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카카오톡 받은 파일\범죄현황및발생장소데이터\"/>
    </mc:Choice>
  </mc:AlternateContent>
  <xr:revisionPtr revIDLastSave="0" documentId="13_ncr:1_{ECC1F0AE-3B66-42B6-B421-8787DCE94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definedNames>
    <definedName name="_xlnm._FilterDatabase" localSheetId="0" hidden="1">Sheet0!$A$1:$K$1</definedName>
  </definedNames>
  <calcPr calcId="191029"/>
</workbook>
</file>

<file path=xl/calcChain.xml><?xml version="1.0" encoding="utf-8"?>
<calcChain xmlns="http://schemas.openxmlformats.org/spreadsheetml/2006/main">
  <c r="H1855" i="1" l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54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796" i="1"/>
  <c r="H1794" i="1"/>
  <c r="H1795" i="1"/>
  <c r="H1793" i="1"/>
  <c r="H1790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1" i="1"/>
  <c r="H1792" i="1"/>
  <c r="H1766" i="1"/>
  <c r="H1765" i="1"/>
  <c r="H1758" i="1"/>
  <c r="H1759" i="1"/>
  <c r="H1760" i="1"/>
  <c r="H1761" i="1"/>
  <c r="H1762" i="1"/>
  <c r="H1763" i="1"/>
  <c r="H1764" i="1"/>
  <c r="H1756" i="1"/>
  <c r="H1757" i="1"/>
  <c r="H1755" i="1"/>
  <c r="H1738" i="1"/>
  <c r="H1739" i="1"/>
  <c r="H1740" i="1"/>
  <c r="H1741" i="1"/>
  <c r="H1742" i="1"/>
  <c r="H1743" i="1"/>
  <c r="H1744" i="1"/>
  <c r="H1737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36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363" i="1"/>
  <c r="H1307" i="1"/>
  <c r="H1308" i="1"/>
  <c r="H1309" i="1"/>
  <c r="H1310" i="1"/>
  <c r="H1311" i="1"/>
  <c r="H1312" i="1"/>
  <c r="H1313" i="1"/>
  <c r="H1314" i="1"/>
  <c r="H1315" i="1"/>
  <c r="H1306" i="1"/>
  <c r="H1178" i="1"/>
  <c r="H1179" i="1"/>
  <c r="H1180" i="1"/>
  <c r="H1181" i="1"/>
  <c r="H1177" i="1"/>
  <c r="H1147" i="1"/>
  <c r="H1148" i="1"/>
  <c r="H1149" i="1"/>
  <c r="H1146" i="1"/>
  <c r="H1131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09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992" i="1"/>
  <c r="H978" i="1"/>
  <c r="H945" i="1"/>
  <c r="H946" i="1"/>
  <c r="H944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851" i="1"/>
  <c r="H845" i="1"/>
  <c r="H846" i="1"/>
  <c r="H847" i="1"/>
  <c r="H848" i="1"/>
  <c r="H849" i="1"/>
  <c r="H850" i="1"/>
  <c r="H900" i="1"/>
  <c r="H901" i="1"/>
  <c r="H902" i="1"/>
  <c r="H903" i="1"/>
  <c r="H904" i="1"/>
  <c r="H905" i="1"/>
  <c r="H906" i="1"/>
  <c r="H907" i="1"/>
  <c r="H908" i="1"/>
  <c r="H844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28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77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17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45" i="1"/>
  <c r="H1746" i="1"/>
  <c r="H1747" i="1"/>
  <c r="H1748" i="1"/>
  <c r="H1749" i="1"/>
  <c r="H1750" i="1"/>
  <c r="H1751" i="1"/>
  <c r="H1752" i="1"/>
  <c r="H1753" i="1"/>
  <c r="H1754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2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75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2" i="1"/>
  <c r="F80" i="1"/>
  <c r="F755" i="1"/>
  <c r="F1484" i="1"/>
  <c r="F907" i="1"/>
  <c r="F1829" i="1"/>
  <c r="F762" i="1"/>
  <c r="F480" i="1"/>
  <c r="F1524" i="1"/>
  <c r="F186" i="1"/>
  <c r="F1472" i="1"/>
  <c r="F325" i="1"/>
  <c r="F283" i="1"/>
  <c r="F522" i="1"/>
  <c r="F1464" i="1"/>
  <c r="F1784" i="1"/>
  <c r="F528" i="1"/>
  <c r="F554" i="1"/>
  <c r="F760" i="1"/>
  <c r="F871" i="1"/>
  <c r="F1458" i="1"/>
  <c r="F1450" i="1"/>
  <c r="F266" i="1"/>
  <c r="F1763" i="1"/>
  <c r="F837" i="1"/>
  <c r="F127" i="1"/>
  <c r="F547" i="1"/>
  <c r="F1890" i="1"/>
  <c r="F427" i="1"/>
  <c r="F1466" i="1"/>
  <c r="F551" i="1"/>
  <c r="F950" i="1"/>
  <c r="F330" i="1"/>
  <c r="F331" i="1"/>
  <c r="F1234" i="1"/>
  <c r="F336" i="1"/>
  <c r="F552" i="1"/>
  <c r="F333" i="1"/>
  <c r="F1456" i="1"/>
  <c r="F1298" i="1"/>
  <c r="F193" i="1"/>
  <c r="F1087" i="1"/>
  <c r="F345" i="1"/>
  <c r="F1208" i="1"/>
  <c r="F1505" i="1"/>
  <c r="F154" i="1"/>
  <c r="F909" i="1"/>
  <c r="F192" i="1"/>
  <c r="F1432" i="1"/>
  <c r="F1232" i="1"/>
  <c r="F529" i="1"/>
  <c r="F946" i="1"/>
  <c r="F1745" i="1"/>
  <c r="F476" i="1"/>
  <c r="F530" i="1"/>
  <c r="F462" i="1"/>
  <c r="F320" i="1"/>
  <c r="F1149" i="1"/>
  <c r="F1579" i="1"/>
  <c r="F524" i="1"/>
  <c r="F1468" i="1"/>
  <c r="F432" i="1"/>
  <c r="F1207" i="1"/>
  <c r="F657" i="1"/>
  <c r="F332" i="1"/>
  <c r="F1443" i="1"/>
  <c r="F326" i="1"/>
  <c r="F1295" i="1"/>
  <c r="F696" i="1"/>
  <c r="F221" i="1"/>
  <c r="F1478" i="1"/>
  <c r="F1634" i="1"/>
  <c r="F139" i="1"/>
  <c r="F217" i="1"/>
  <c r="F256" i="1"/>
  <c r="F512" i="1"/>
  <c r="F1230" i="1"/>
  <c r="F395" i="1"/>
  <c r="F1061" i="1"/>
  <c r="F1441" i="1"/>
  <c r="F898" i="1"/>
  <c r="F1787" i="1"/>
  <c r="F461" i="1"/>
  <c r="F741" i="1"/>
  <c r="F1812" i="1"/>
  <c r="F828" i="1"/>
  <c r="F1522" i="1"/>
  <c r="F1809" i="1"/>
  <c r="F763" i="1"/>
  <c r="F469" i="1"/>
  <c r="F472" i="1"/>
  <c r="F471" i="1"/>
  <c r="F1746" i="1"/>
  <c r="F1583" i="1"/>
  <c r="F749" i="1"/>
  <c r="F1461" i="1"/>
  <c r="F697" i="1"/>
  <c r="F97" i="1"/>
  <c r="F1558" i="1"/>
  <c r="F695" i="1"/>
  <c r="F396" i="1"/>
  <c r="F744" i="1"/>
  <c r="F1710" i="1"/>
  <c r="F1055" i="1"/>
  <c r="F1750" i="1"/>
  <c r="F920" i="1"/>
  <c r="F1210" i="1"/>
  <c r="F287" i="1"/>
  <c r="F1862" i="1"/>
  <c r="F189" i="1"/>
  <c r="F1669" i="1"/>
  <c r="F1449" i="1"/>
  <c r="F743" i="1"/>
  <c r="F467" i="1"/>
  <c r="F261" i="1"/>
  <c r="F334" i="1"/>
  <c r="F664" i="1"/>
  <c r="F754" i="1"/>
  <c r="F1766" i="1"/>
  <c r="F1783" i="1"/>
  <c r="F1749" i="1"/>
  <c r="F858" i="1"/>
  <c r="F453" i="1"/>
  <c r="F1765" i="1"/>
  <c r="F468" i="1"/>
  <c r="F1739" i="1"/>
  <c r="F1751" i="1"/>
  <c r="F1141" i="1"/>
  <c r="F1744" i="1"/>
  <c r="F251" i="1"/>
  <c r="F1463" i="1"/>
  <c r="F438" i="1"/>
  <c r="F253" i="1"/>
  <c r="F323" i="1"/>
  <c r="F1578" i="1"/>
  <c r="F510" i="1"/>
  <c r="F1738" i="1"/>
  <c r="F1200" i="1"/>
  <c r="F197" i="1"/>
  <c r="F497" i="1"/>
  <c r="F435" i="1"/>
  <c r="F1549" i="1"/>
  <c r="F880" i="1"/>
  <c r="F1828" i="1"/>
  <c r="F550" i="1"/>
  <c r="F1600" i="1"/>
  <c r="F874" i="1"/>
  <c r="F1717" i="1"/>
  <c r="F548" i="1"/>
  <c r="F318" i="1"/>
  <c r="F514" i="1"/>
  <c r="F1856" i="1"/>
  <c r="F1542" i="1"/>
  <c r="F195" i="1"/>
  <c r="F1073" i="1"/>
  <c r="F872" i="1"/>
  <c r="F1198" i="1"/>
  <c r="F268" i="1"/>
  <c r="F849" i="1"/>
  <c r="F456" i="1"/>
  <c r="F1644" i="1"/>
  <c r="F1201" i="1"/>
  <c r="F847" i="1"/>
  <c r="F22" i="1"/>
  <c r="F829" i="1"/>
  <c r="F260" i="1"/>
  <c r="F1340" i="1"/>
  <c r="F1118" i="1"/>
  <c r="F1797" i="1"/>
  <c r="F1057" i="1"/>
  <c r="F64" i="1"/>
  <c r="F1396" i="1"/>
  <c r="F555" i="1"/>
  <c r="F1672" i="1"/>
  <c r="F199" i="1"/>
  <c r="F433" i="1"/>
  <c r="F188" i="1"/>
  <c r="F444" i="1"/>
  <c r="F406" i="1"/>
  <c r="F1120" i="1"/>
  <c r="F1786" i="1"/>
  <c r="F841" i="1"/>
  <c r="F798" i="1"/>
  <c r="F394" i="1"/>
  <c r="F549" i="1"/>
  <c r="F1781" i="1"/>
  <c r="F1847" i="1"/>
  <c r="F436" i="1"/>
  <c r="F1892" i="1"/>
  <c r="F1142" i="1"/>
  <c r="F761" i="1"/>
  <c r="F722" i="1"/>
  <c r="F1083" i="1"/>
  <c r="F949" i="1"/>
  <c r="F1199" i="1"/>
  <c r="F259" i="1"/>
  <c r="F1205" i="1"/>
  <c r="F463" i="1"/>
  <c r="F1830" i="1"/>
  <c r="F768" i="1"/>
  <c r="F1231" i="1"/>
  <c r="F1229" i="1"/>
  <c r="F101" i="1"/>
  <c r="F921" i="1"/>
  <c r="F1586" i="1"/>
  <c r="F1440" i="1"/>
  <c r="F1037" i="1"/>
  <c r="F519" i="1"/>
  <c r="F1481" i="1"/>
  <c r="F511" i="1"/>
  <c r="F134" i="1"/>
  <c r="F653" i="1"/>
  <c r="F1584" i="1"/>
  <c r="F979" i="1"/>
  <c r="F457" i="1"/>
  <c r="F1486" i="1"/>
  <c r="F650" i="1"/>
  <c r="F694" i="1"/>
  <c r="F1523" i="1"/>
  <c r="F1081" i="1"/>
  <c r="F1038" i="1"/>
  <c r="F877" i="1"/>
  <c r="F441" i="1"/>
  <c r="F1140" i="1"/>
  <c r="F1645" i="1"/>
  <c r="F1748" i="1"/>
  <c r="F439" i="1"/>
  <c r="F470" i="1"/>
  <c r="F745" i="1"/>
  <c r="F440" i="1"/>
  <c r="F1467" i="1"/>
  <c r="F1889" i="1"/>
  <c r="F654" i="1"/>
  <c r="F1058" i="1"/>
  <c r="F1483" i="1"/>
  <c r="F916" i="1"/>
  <c r="F1772" i="1"/>
  <c r="F737" i="1"/>
  <c r="F1855" i="1"/>
  <c r="F1880" i="1"/>
  <c r="F402" i="1"/>
  <c r="F879" i="1"/>
  <c r="F1790" i="1"/>
  <c r="F1601" i="1"/>
  <c r="F1747" i="1"/>
  <c r="F478" i="1"/>
  <c r="F700" i="1"/>
  <c r="F1598" i="1"/>
  <c r="F1559" i="1"/>
  <c r="F1560" i="1"/>
  <c r="F961" i="1"/>
  <c r="F1347" i="1"/>
  <c r="F919" i="1"/>
  <c r="F1056" i="1"/>
  <c r="F466" i="1"/>
  <c r="F1442" i="1"/>
  <c r="F944" i="1"/>
  <c r="F838" i="1"/>
  <c r="F1062" i="1"/>
  <c r="F917" i="1"/>
  <c r="F1395" i="1"/>
  <c r="F1341" i="1"/>
  <c r="F1091" i="1"/>
  <c r="F1462" i="1"/>
  <c r="F1086" i="1"/>
  <c r="F1567" i="1"/>
  <c r="F1737" i="1"/>
  <c r="F753" i="1"/>
  <c r="F1521" i="1"/>
  <c r="F1143" i="1"/>
  <c r="F978" i="1"/>
  <c r="F451" i="1"/>
  <c r="F1358" i="1"/>
  <c r="F1017" i="1"/>
  <c r="F460" i="1"/>
  <c r="F1611" i="1"/>
  <c r="F748" i="1"/>
  <c r="F1823" i="1"/>
  <c r="F652" i="1"/>
  <c r="F429" i="1"/>
  <c r="F531" i="1"/>
  <c r="F1770" i="1"/>
  <c r="F1336" i="1"/>
  <c r="F255" i="1"/>
  <c r="F448" i="1"/>
  <c r="F1548" i="1"/>
  <c r="F1798" i="1"/>
  <c r="F434" i="1"/>
  <c r="F190" i="1"/>
  <c r="F265" i="1"/>
  <c r="F902" i="1"/>
  <c r="F1054" i="1"/>
  <c r="F1827" i="1"/>
  <c r="F477" i="1"/>
  <c r="F1842" i="1"/>
  <c r="F658" i="1"/>
  <c r="F927" i="1"/>
  <c r="F407" i="1"/>
  <c r="F1561" i="1"/>
  <c r="F378" i="1"/>
  <c r="F447" i="1"/>
  <c r="F649" i="1"/>
  <c r="F751" i="1"/>
  <c r="F1342" i="1"/>
  <c r="F1334" i="1"/>
  <c r="F337" i="1"/>
  <c r="F890" i="1"/>
  <c r="F1356" i="1"/>
  <c r="F656" i="1"/>
  <c r="F289" i="1"/>
  <c r="F513" i="1"/>
  <c r="F486" i="1"/>
  <c r="F187" i="1"/>
  <c r="F534" i="1"/>
  <c r="F720" i="1"/>
  <c r="F651" i="1"/>
  <c r="F198" i="1"/>
  <c r="F742" i="1"/>
  <c r="F525" i="1"/>
  <c r="F521" i="1"/>
  <c r="F839" i="1"/>
  <c r="F18" i="1"/>
  <c r="F966" i="1"/>
  <c r="F1562" i="1"/>
  <c r="F1810" i="1"/>
  <c r="F288" i="1"/>
  <c r="F125" i="1"/>
  <c r="F485" i="1"/>
  <c r="F324" i="1"/>
  <c r="F553" i="1"/>
  <c r="F1437" i="1"/>
  <c r="F137" i="1"/>
  <c r="F662" i="1"/>
  <c r="F864" i="1"/>
  <c r="F1159" i="1"/>
  <c r="F1112" i="1"/>
  <c r="F452" i="1"/>
  <c r="F707" i="1"/>
  <c r="F520" i="1"/>
  <c r="F484" i="1"/>
  <c r="F663" i="1"/>
  <c r="F1139" i="1"/>
  <c r="F1448" i="1"/>
  <c r="F1029" i="1"/>
  <c r="F1299" i="1"/>
  <c r="F721" i="1"/>
  <c r="F487" i="1"/>
  <c r="F1718" i="1"/>
  <c r="F1345" i="1"/>
  <c r="F881" i="1"/>
  <c r="F1105" i="1"/>
  <c r="F665" i="1"/>
  <c r="F1453" i="1"/>
  <c r="F319" i="1"/>
  <c r="F1335" i="1"/>
  <c r="F1074" i="1"/>
  <c r="F317" i="1"/>
  <c r="F535" i="1"/>
  <c r="F483" i="1"/>
  <c r="F1113" i="1"/>
  <c r="F458" i="1"/>
  <c r="F1587" i="1"/>
  <c r="F473" i="1"/>
  <c r="F863" i="1"/>
  <c r="F445" i="1"/>
  <c r="F431" i="1"/>
  <c r="F882" i="1"/>
  <c r="F1357" i="1"/>
  <c r="F1857" i="1"/>
  <c r="F1550" i="1"/>
  <c r="F546" i="1"/>
  <c r="F321" i="1"/>
  <c r="F153" i="1"/>
  <c r="F875" i="1"/>
  <c r="F479" i="1"/>
  <c r="F335" i="1"/>
  <c r="F126" i="1"/>
  <c r="F142" i="1"/>
  <c r="F1436" i="1"/>
  <c r="F1690" i="1"/>
  <c r="F1438" i="1"/>
  <c r="F354" i="1"/>
  <c r="F496" i="1"/>
  <c r="F1473" i="1"/>
  <c r="F897" i="1"/>
  <c r="F1496" i="1"/>
  <c r="F143" i="1"/>
  <c r="F1658" i="1"/>
  <c r="F40" i="1"/>
  <c r="F374" i="1"/>
  <c r="F178" i="1"/>
  <c r="F117" i="1"/>
  <c r="F769" i="1"/>
  <c r="F1661" i="1"/>
  <c r="F848" i="1"/>
  <c r="F1202" i="1"/>
  <c r="F968" i="1"/>
  <c r="F1805" i="1"/>
  <c r="F1092" i="1"/>
  <c r="F133" i="1"/>
  <c r="F114" i="1"/>
  <c r="F450" i="1"/>
  <c r="F923" i="1"/>
  <c r="F536" i="1"/>
  <c r="F1716" i="1"/>
  <c r="F1506" i="1"/>
  <c r="F1459" i="1"/>
  <c r="F1808" i="1"/>
  <c r="F1447" i="1"/>
  <c r="F883" i="1"/>
  <c r="F706" i="1"/>
  <c r="F254" i="1"/>
  <c r="F1802" i="1"/>
  <c r="F1068" i="1"/>
  <c r="F1731" i="1"/>
  <c r="F1111" i="1"/>
  <c r="F1110" i="1"/>
  <c r="F81" i="1"/>
  <c r="F474" i="1"/>
  <c r="F1795" i="1"/>
  <c r="F1053" i="1"/>
  <c r="F886" i="1"/>
  <c r="F1752" i="1"/>
  <c r="F1689" i="1"/>
  <c r="F1734" i="1"/>
  <c r="F1090" i="1"/>
  <c r="F449" i="1"/>
  <c r="F873" i="1"/>
  <c r="F1067" i="1"/>
  <c r="F425" i="1"/>
  <c r="F1079" i="1"/>
  <c r="F442" i="1"/>
  <c r="F1678" i="1"/>
  <c r="F1475" i="1"/>
  <c r="F1027" i="1"/>
  <c r="F1474" i="1"/>
  <c r="F1730" i="1"/>
  <c r="F428" i="1"/>
  <c r="F1508" i="1"/>
  <c r="F385" i="1"/>
  <c r="F1233" i="1"/>
  <c r="F1702" i="1"/>
  <c r="F383" i="1"/>
  <c r="F446" i="1"/>
  <c r="F1673" i="1"/>
  <c r="F1728" i="1"/>
  <c r="F390" i="1"/>
  <c r="F666" i="1"/>
  <c r="F1115" i="1"/>
  <c r="F1060" i="1"/>
  <c r="F459" i="1"/>
  <c r="F138" i="1"/>
  <c r="F488" i="1"/>
  <c r="F800" i="1"/>
  <c r="F1705" i="1"/>
  <c r="F160" i="1"/>
  <c r="F1117" i="1"/>
  <c r="F1039" i="1"/>
  <c r="F885" i="1"/>
  <c r="F922" i="1"/>
  <c r="F911" i="1"/>
  <c r="F1297" i="1"/>
  <c r="F1519" i="1"/>
  <c r="F860" i="1"/>
  <c r="F1804" i="1"/>
  <c r="F128" i="1"/>
  <c r="F699" i="1"/>
  <c r="F135" i="1"/>
  <c r="F1203" i="1"/>
  <c r="F1711" i="1"/>
  <c r="F392" i="1"/>
  <c r="F931" i="1"/>
  <c r="F322" i="1"/>
  <c r="F1034" i="1"/>
  <c r="F1663" i="1"/>
  <c r="F1417" i="1"/>
  <c r="F1209" i="1"/>
  <c r="F1674" i="1"/>
  <c r="F1013" i="1"/>
  <c r="F1824" i="1"/>
  <c r="F752" i="1"/>
  <c r="F1137" i="1"/>
  <c r="F1411" i="1"/>
  <c r="F1681" i="1"/>
  <c r="F430" i="1"/>
  <c r="F1014" i="1"/>
  <c r="F1679" i="1"/>
  <c r="F1657" i="1"/>
  <c r="F1401" i="1"/>
  <c r="F1693" i="1"/>
  <c r="F1460" i="1"/>
  <c r="F556" i="1"/>
  <c r="F527" i="1"/>
  <c r="F490" i="1"/>
  <c r="F499" i="1"/>
  <c r="F314" i="1"/>
  <c r="F1375" i="1"/>
  <c r="F1381" i="1"/>
  <c r="F1078" i="1"/>
  <c r="F532" i="1"/>
  <c r="F1384" i="1"/>
  <c r="F1722" i="1"/>
  <c r="F1394" i="1"/>
  <c r="F1386" i="1"/>
  <c r="F1439" i="1"/>
  <c r="F280" i="1"/>
  <c r="F1418" i="1"/>
  <c r="F166" i="1"/>
  <c r="F1082" i="1"/>
  <c r="F540" i="1"/>
  <c r="F936" i="1"/>
  <c r="F1400" i="1"/>
  <c r="F987" i="1"/>
  <c r="F159" i="1"/>
  <c r="F1707" i="1"/>
  <c r="F509" i="1"/>
  <c r="F802" i="1"/>
  <c r="F945" i="1"/>
  <c r="F1422" i="1"/>
  <c r="F1683" i="1"/>
  <c r="F806" i="1"/>
  <c r="F1397" i="1"/>
  <c r="F1398" i="1"/>
  <c r="F1403" i="1"/>
  <c r="F491" i="1"/>
  <c r="F1377" i="1"/>
  <c r="F1387" i="1"/>
  <c r="F39" i="1"/>
  <c r="F501" i="1"/>
  <c r="F1392" i="1"/>
  <c r="F1412" i="1"/>
  <c r="F177" i="1"/>
  <c r="F543" i="1"/>
  <c r="F492" i="1"/>
  <c r="F66" i="1"/>
  <c r="F1703" i="1"/>
  <c r="F276" i="1"/>
  <c r="F1764" i="1"/>
  <c r="F282" i="1"/>
  <c r="F405" i="1"/>
  <c r="F1668" i="1"/>
  <c r="F1727" i="1"/>
  <c r="F1684" i="1"/>
  <c r="F1080" i="1"/>
  <c r="F862" i="1"/>
  <c r="F855" i="1"/>
  <c r="F1687" i="1"/>
  <c r="F963" i="1"/>
  <c r="F1782" i="1"/>
  <c r="F508" i="1"/>
  <c r="F1226" i="1"/>
  <c r="F191" i="1"/>
  <c r="F1626" i="1"/>
  <c r="F1270" i="1"/>
  <c r="F1402" i="1"/>
  <c r="F1158" i="1"/>
  <c r="F1615" i="1"/>
  <c r="F542" i="1"/>
  <c r="F1152" i="1"/>
  <c r="F1255" i="1"/>
  <c r="F1390" i="1"/>
  <c r="F1370" i="1"/>
  <c r="F559" i="1"/>
  <c r="F1372" i="1"/>
  <c r="F1371" i="1"/>
  <c r="F1476" i="1"/>
  <c r="F373" i="1"/>
  <c r="F1700" i="1"/>
  <c r="F1241" i="1"/>
  <c r="F1173" i="1"/>
  <c r="F967" i="1"/>
  <c r="F796" i="1"/>
  <c r="F1059" i="1"/>
  <c r="F1465" i="1"/>
  <c r="F1431" i="1"/>
  <c r="F711" i="1"/>
  <c r="F194" i="1"/>
  <c r="F1742" i="1"/>
  <c r="F1151" i="1"/>
  <c r="F1174" i="1"/>
  <c r="F1072" i="1"/>
  <c r="F1741" i="1"/>
  <c r="F1677" i="1"/>
  <c r="F1606" i="1"/>
  <c r="F878" i="1"/>
  <c r="F408" i="1"/>
  <c r="F1713" i="1"/>
  <c r="F1317" i="1"/>
  <c r="F246" i="1"/>
  <c r="F1099" i="1"/>
  <c r="F75" i="1"/>
  <c r="F712" i="1"/>
  <c r="F227" i="1"/>
  <c r="F1050" i="1"/>
  <c r="F1268" i="1"/>
  <c r="F1048" i="1"/>
  <c r="F808" i="1"/>
  <c r="F1084" i="1"/>
  <c r="F1314" i="1"/>
  <c r="F237" i="1"/>
  <c r="F1296" i="1"/>
  <c r="F91" i="1"/>
  <c r="F121" i="1"/>
  <c r="F714" i="1"/>
  <c r="F6" i="1"/>
  <c r="F63" i="1"/>
  <c r="F404" i="1"/>
  <c r="F269" i="1"/>
  <c r="F475" i="1"/>
  <c r="F275" i="1"/>
  <c r="F281" i="1"/>
  <c r="F420" i="1"/>
  <c r="F1323" i="1"/>
  <c r="F1686" i="1"/>
  <c r="F1692" i="1"/>
  <c r="F1280" i="1"/>
  <c r="F1366" i="1"/>
  <c r="F764" i="1"/>
  <c r="F1625" i="1"/>
  <c r="F1714" i="1"/>
  <c r="F870" i="1"/>
  <c r="F1697" i="1"/>
  <c r="F1709" i="1"/>
  <c r="F1691" i="1"/>
  <c r="F1726" i="1"/>
  <c r="F1030" i="1"/>
  <c r="F1671" i="1"/>
  <c r="F1801" i="1"/>
  <c r="F780" i="1"/>
  <c r="F493" i="1"/>
  <c r="F349" i="1"/>
  <c r="F799" i="1"/>
  <c r="F988" i="1"/>
  <c r="F1288" i="1"/>
  <c r="F1480" i="1"/>
  <c r="F111" i="1"/>
  <c r="F617" i="1"/>
  <c r="F893" i="1"/>
  <c r="F792" i="1"/>
  <c r="F1685" i="1"/>
  <c r="F257" i="1"/>
  <c r="F270" i="1"/>
  <c r="F1723" i="1"/>
  <c r="F845" i="1"/>
  <c r="F1147" i="1"/>
  <c r="F70" i="1"/>
  <c r="F948" i="1"/>
  <c r="F168" i="1"/>
  <c r="F843" i="1"/>
  <c r="F1196" i="1"/>
  <c r="F299" i="1"/>
  <c r="F363" i="1"/>
  <c r="F346" i="1"/>
  <c r="F382" i="1"/>
  <c r="F1324" i="1"/>
  <c r="F750" i="1"/>
  <c r="F1354" i="1"/>
  <c r="F1044" i="1"/>
  <c r="F1144" i="1"/>
  <c r="F1896" i="1"/>
  <c r="F1276" i="1"/>
  <c r="F973" i="1"/>
  <c r="F1597" i="1"/>
  <c r="F1479" i="1"/>
  <c r="F1426" i="1"/>
  <c r="F155" i="1"/>
  <c r="F991" i="1"/>
  <c r="F692" i="1"/>
  <c r="F727" i="1"/>
  <c r="F210" i="1"/>
  <c r="F74" i="1"/>
  <c r="F200" i="1"/>
  <c r="F957" i="1"/>
  <c r="F1838" i="1"/>
  <c r="F1315" i="1"/>
  <c r="F54" i="1"/>
  <c r="F1337" i="1"/>
  <c r="F889" i="1"/>
  <c r="F1762" i="1"/>
  <c r="F1238" i="1"/>
  <c r="F1845" i="1"/>
  <c r="F1325" i="1"/>
  <c r="F123" i="1"/>
  <c r="F1193" i="1"/>
  <c r="F1264" i="1"/>
  <c r="F219" i="1"/>
  <c r="F1666" i="1"/>
  <c r="F1680" i="1"/>
  <c r="F1130" i="1"/>
  <c r="F1331" i="1"/>
  <c r="F175" i="1"/>
  <c r="F339" i="1"/>
  <c r="F725" i="1"/>
  <c r="F163" i="1"/>
  <c r="F145" i="1"/>
  <c r="F500" i="1"/>
  <c r="F868" i="1"/>
  <c r="F1301" i="1"/>
  <c r="F801" i="1"/>
  <c r="F357" i="1"/>
  <c r="F995" i="1"/>
  <c r="F1721" i="1"/>
  <c r="F1332" i="1"/>
  <c r="F1343" i="1"/>
  <c r="F1362" i="1"/>
  <c r="F386" i="1"/>
  <c r="F1755" i="1"/>
  <c r="F443" i="1"/>
  <c r="F562" i="1"/>
  <c r="F316" i="1"/>
  <c r="F1866" i="1"/>
  <c r="F1217" i="1"/>
  <c r="F342" i="1"/>
  <c r="F1816" i="1"/>
  <c r="F1803" i="1"/>
  <c r="F625" i="1"/>
  <c r="F1640" i="1"/>
  <c r="F1175" i="1"/>
  <c r="F313" i="1"/>
  <c r="F691" i="1"/>
  <c r="F1206" i="1"/>
  <c r="F1410" i="1"/>
  <c r="F371" i="1"/>
  <c r="F685" i="1"/>
  <c r="F821" i="1"/>
  <c r="F348" i="1"/>
  <c r="F1405" i="1"/>
  <c r="F1178" i="1"/>
  <c r="F803" i="1"/>
  <c r="F1607" i="1"/>
  <c r="F1010" i="1"/>
  <c r="F959" i="1"/>
  <c r="F565" i="1"/>
  <c r="F1655" i="1"/>
  <c r="F249" i="1"/>
  <c r="F71" i="1"/>
  <c r="F970" i="1"/>
  <c r="F980" i="1"/>
  <c r="F21" i="1"/>
  <c r="F1240" i="1"/>
  <c r="F929" i="1"/>
  <c r="F1554" i="1"/>
  <c r="F816" i="1"/>
  <c r="F1543" i="1"/>
  <c r="F633" i="1"/>
  <c r="F1136" i="1"/>
  <c r="F1489" i="1"/>
  <c r="F619" i="1"/>
  <c r="F846" i="1"/>
  <c r="F581" i="1"/>
  <c r="F578" i="1"/>
  <c r="F1563" i="1"/>
  <c r="F1191" i="1"/>
  <c r="F364" i="1"/>
  <c r="F956" i="1"/>
  <c r="F767" i="1"/>
  <c r="F730" i="1"/>
  <c r="F1150" i="1"/>
  <c r="F1594" i="1"/>
  <c r="F506" i="1"/>
  <c r="F1399" i="1"/>
  <c r="F1182" i="1"/>
  <c r="F1239" i="1"/>
  <c r="F704" i="1"/>
  <c r="F684" i="1"/>
  <c r="F1844" i="1"/>
  <c r="F9" i="1"/>
  <c r="F1287" i="1"/>
  <c r="F1535" i="1"/>
  <c r="F1509" i="1"/>
  <c r="F1488" i="1"/>
  <c r="F1491" i="1"/>
  <c r="F1520" i="1"/>
  <c r="F1494" i="1"/>
  <c r="F206" i="1"/>
  <c r="F1608" i="1"/>
  <c r="F369" i="1"/>
  <c r="F952" i="1"/>
  <c r="F338" i="1"/>
  <c r="F1046" i="1"/>
  <c r="F667" i="1"/>
  <c r="F1455" i="1"/>
  <c r="F243" i="1"/>
  <c r="F976" i="1"/>
  <c r="F1237" i="1"/>
  <c r="F327" i="1"/>
  <c r="F1194" i="1"/>
  <c r="F1211" i="1"/>
  <c r="F679" i="1"/>
  <c r="F53" i="1"/>
  <c r="F1629" i="1"/>
  <c r="F972" i="1"/>
  <c r="F584" i="1"/>
  <c r="F852" i="1"/>
  <c r="F1551" i="1"/>
  <c r="F766" i="1"/>
  <c r="F971" i="1"/>
  <c r="F594" i="1"/>
  <c r="F1526" i="1"/>
  <c r="F482" i="1"/>
  <c r="F1363" i="1"/>
  <c r="F119" i="1"/>
  <c r="F951" i="1"/>
  <c r="F1026" i="1"/>
  <c r="F630" i="1"/>
  <c r="F1865" i="1"/>
  <c r="F1546" i="1"/>
  <c r="F723" i="1"/>
  <c r="F1041" i="1"/>
  <c r="F329" i="1"/>
  <c r="F1286" i="1"/>
  <c r="F2" i="1"/>
  <c r="F238" i="1"/>
  <c r="F564" i="1"/>
  <c r="F1708" i="1"/>
  <c r="F793" i="1"/>
  <c r="F1350" i="1"/>
  <c r="F1620" i="1"/>
  <c r="F1837" i="1"/>
  <c r="F230" i="1"/>
  <c r="F636" i="1"/>
  <c r="F1614" i="1"/>
  <c r="F1632" i="1"/>
  <c r="F1361" i="1"/>
  <c r="F576" i="1"/>
  <c r="F822" i="1"/>
  <c r="F296" i="1"/>
  <c r="F1304" i="1"/>
  <c r="F1518" i="1"/>
  <c r="F690" i="1"/>
  <c r="F739" i="1"/>
  <c r="F113" i="1"/>
  <c r="F124" i="1"/>
  <c r="F1547" i="1"/>
  <c r="F33" i="1"/>
  <c r="F1698" i="1"/>
  <c r="F1272" i="1"/>
  <c r="F698" i="1"/>
  <c r="F1096" i="1"/>
  <c r="F481" i="1"/>
  <c r="F399" i="1"/>
  <c r="F1095" i="1"/>
  <c r="F1876" i="1"/>
  <c r="F609" i="1"/>
  <c r="F1378" i="1"/>
  <c r="F583" i="1"/>
  <c r="F1777" i="1"/>
  <c r="F1664" i="1"/>
  <c r="F622" i="1"/>
  <c r="F1326" i="1"/>
  <c r="F79" i="1"/>
  <c r="F814" i="1"/>
  <c r="F1774" i="1"/>
  <c r="F1883" i="1"/>
  <c r="F615" i="1"/>
  <c r="F1135" i="1"/>
  <c r="F773" i="1"/>
  <c r="F1503" i="1"/>
  <c r="F1225" i="1"/>
  <c r="F1389" i="1"/>
  <c r="F591" i="1"/>
  <c r="F1133" i="1"/>
  <c r="F1308" i="1"/>
  <c r="F284" i="1"/>
  <c r="F641" i="1"/>
  <c r="F215" i="1"/>
  <c r="F1247" i="1"/>
  <c r="F1454" i="1"/>
  <c r="F675" i="1"/>
  <c r="F226" i="1"/>
  <c r="F1166" i="1"/>
  <c r="F1870" i="1"/>
  <c r="F865" i="1"/>
  <c r="F867" i="1"/>
  <c r="F1157" i="1"/>
  <c r="F1125" i="1"/>
  <c r="F1568" i="1"/>
  <c r="F1393" i="1"/>
  <c r="F1646" i="1"/>
  <c r="F811" i="1"/>
  <c r="F797" i="1"/>
  <c r="F1293" i="1"/>
  <c r="F1682" i="1"/>
  <c r="F1599" i="1"/>
  <c r="F990" i="1"/>
  <c r="F401" i="1"/>
  <c r="F1643" i="1"/>
  <c r="F1069" i="1"/>
  <c r="F93" i="1"/>
  <c r="F746" i="1"/>
  <c r="F1874" i="1"/>
  <c r="F1180" i="1"/>
  <c r="F998" i="1"/>
  <c r="F558" i="1"/>
  <c r="F7" i="1"/>
  <c r="F857" i="1"/>
  <c r="F644" i="1"/>
  <c r="F614" i="1"/>
  <c r="F824" i="1"/>
  <c r="F389" i="1"/>
  <c r="F1648" i="1"/>
  <c r="F580" i="1"/>
  <c r="F1500" i="1"/>
  <c r="F31" i="1"/>
  <c r="F710" i="1"/>
  <c r="F104" i="1"/>
  <c r="F1736" i="1"/>
  <c r="F10" i="1"/>
  <c r="F1007" i="1"/>
  <c r="F1005" i="1"/>
  <c r="F629" i="1"/>
  <c r="F1153" i="1"/>
  <c r="F1497" i="1"/>
  <c r="F67" i="1"/>
  <c r="F1242" i="1"/>
  <c r="F241" i="1"/>
  <c r="F1253" i="1"/>
  <c r="F731" i="1"/>
  <c r="F1213" i="1"/>
  <c r="F587" i="1"/>
  <c r="F526" i="1"/>
  <c r="F387" i="1"/>
  <c r="F1278" i="1"/>
  <c r="F1495" i="1"/>
  <c r="F1379" i="1"/>
  <c r="F1818" i="1"/>
  <c r="F130" i="1"/>
  <c r="F1155" i="1"/>
  <c r="F355" i="1"/>
  <c r="F776" i="1"/>
  <c r="F1650" i="1"/>
  <c r="F586" i="1"/>
  <c r="F589" i="1"/>
  <c r="F1409" i="1"/>
  <c r="F818" i="1"/>
  <c r="F1530" i="1"/>
  <c r="F626" i="1"/>
  <c r="F1566" i="1"/>
  <c r="F1036" i="1"/>
  <c r="F677" i="1"/>
  <c r="F1851" i="1"/>
  <c r="F740" i="1"/>
  <c r="F612" i="1"/>
  <c r="F32" i="1"/>
  <c r="F1043" i="1"/>
  <c r="F99" i="1"/>
  <c r="F361" i="1"/>
  <c r="F1254" i="1"/>
  <c r="F182" i="1"/>
  <c r="F1859" i="1"/>
  <c r="F713" i="1"/>
  <c r="F1355" i="1"/>
  <c r="F1388" i="1"/>
  <c r="F1330" i="1"/>
  <c r="F1282" i="1"/>
  <c r="F1886" i="1"/>
  <c r="F1591" i="1"/>
  <c r="F1835" i="1"/>
  <c r="F809" i="1"/>
  <c r="F76" i="1"/>
  <c r="F810" i="1"/>
  <c r="F1873" i="1"/>
  <c r="F728" i="1"/>
  <c r="F1215" i="1"/>
  <c r="F686" i="1"/>
  <c r="F1817" i="1"/>
  <c r="F162" i="1"/>
  <c r="F901" i="1"/>
  <c r="F262" i="1"/>
  <c r="F928" i="1"/>
  <c r="F120" i="1"/>
  <c r="F294" i="1"/>
  <c r="F72" i="1"/>
  <c r="F1101" i="1"/>
  <c r="F777" i="1"/>
  <c r="F418" i="1"/>
  <c r="F400" i="1"/>
  <c r="F231" i="1"/>
  <c r="F366" i="1"/>
  <c r="F1222" i="1"/>
  <c r="F689" i="1"/>
  <c r="F1161" i="1"/>
  <c r="F1197" i="1"/>
  <c r="F680" i="1"/>
  <c r="F1743" i="1"/>
  <c r="F1420" i="1"/>
  <c r="F455" i="1"/>
  <c r="F1884" i="1"/>
  <c r="F895" i="1"/>
  <c r="F623" i="1"/>
  <c r="F813" i="1"/>
  <c r="F1128" i="1"/>
  <c r="F176" i="1"/>
  <c r="F1346" i="1"/>
  <c r="F69" i="1"/>
  <c r="F1327" i="1"/>
  <c r="F1573" i="1"/>
  <c r="F833" i="1"/>
  <c r="F1123" i="1"/>
  <c r="F592" i="1"/>
  <c r="F982" i="1"/>
  <c r="F1617" i="1"/>
  <c r="F673" i="1"/>
  <c r="F1385" i="1"/>
  <c r="F682" i="1"/>
  <c r="F823" i="1"/>
  <c r="F954" i="1"/>
  <c r="F647" i="1"/>
  <c r="F1659" i="1"/>
  <c r="F1214" i="1"/>
  <c r="F1131" i="1"/>
  <c r="F1383" i="1"/>
  <c r="F1882" i="1"/>
  <c r="F1529" i="1"/>
  <c r="F1553" i="1"/>
  <c r="F1404" i="1"/>
  <c r="F1852" i="1"/>
  <c r="F1098" i="1"/>
  <c r="F834" i="1"/>
  <c r="F1261" i="1"/>
  <c r="F781" i="1"/>
  <c r="F1311" i="1"/>
  <c r="F50" i="1"/>
  <c r="F1266" i="1"/>
  <c r="F376" i="1"/>
  <c r="F360" i="1"/>
  <c r="F783" i="1"/>
  <c r="F273" i="1"/>
  <c r="F77" i="1"/>
  <c r="F129" i="1"/>
  <c r="F708" i="1"/>
  <c r="F1848" i="1"/>
  <c r="F637" i="1"/>
  <c r="F573" i="1"/>
  <c r="F1138" i="1"/>
  <c r="F209" i="1"/>
  <c r="F1840" i="1"/>
  <c r="F1868" i="1"/>
  <c r="F27" i="1"/>
  <c r="F1701" i="1"/>
  <c r="F377" i="1"/>
  <c r="F1605" i="1"/>
  <c r="F757" i="1"/>
  <c r="F1652" i="1"/>
  <c r="F1510" i="1"/>
  <c r="F1273" i="1"/>
  <c r="F1428" i="1"/>
  <c r="F228" i="1"/>
  <c r="F365" i="1"/>
  <c r="F1502" i="1"/>
  <c r="F1565" i="1"/>
  <c r="F1501" i="1"/>
  <c r="F1740" i="1"/>
  <c r="F1228" i="1"/>
  <c r="F271" i="1"/>
  <c r="F1368" i="1"/>
  <c r="F353" i="1"/>
  <c r="F1429" i="1"/>
  <c r="F368" i="1"/>
  <c r="F495" i="1"/>
  <c r="F1665" i="1"/>
  <c r="F1176" i="1"/>
  <c r="F595" i="1"/>
  <c r="F1252" i="1"/>
  <c r="F765" i="1"/>
  <c r="F1780" i="1"/>
  <c r="F906" i="1"/>
  <c r="F1469" i="1"/>
  <c r="F1867" i="1"/>
  <c r="F1329" i="1"/>
  <c r="F1075" i="1"/>
  <c r="F516" i="1"/>
  <c r="F1775" i="1"/>
  <c r="F1776" i="1"/>
  <c r="F1169" i="1"/>
  <c r="F1415" i="1"/>
  <c r="F738" i="1"/>
  <c r="F1104" i="1"/>
  <c r="F1571" i="1"/>
  <c r="F1754" i="1"/>
  <c r="F819" i="1"/>
  <c r="F1799" i="1"/>
  <c r="F290" i="1"/>
  <c r="F1292" i="1"/>
  <c r="F465" i="1"/>
  <c r="F489" i="1"/>
  <c r="F285" i="1"/>
  <c r="F933" i="1"/>
  <c r="F1015" i="1"/>
  <c r="F1819" i="1"/>
  <c r="F1618" i="1"/>
  <c r="F310" i="1"/>
  <c r="F1621" i="1"/>
  <c r="F1154" i="1"/>
  <c r="F49" i="1"/>
  <c r="F1895" i="1"/>
  <c r="F835" i="1"/>
  <c r="F150" i="1"/>
  <c r="F1758" i="1"/>
  <c r="F579" i="1"/>
  <c r="F116" i="1"/>
  <c r="F1638" i="1"/>
  <c r="F1156" i="1"/>
  <c r="F1850" i="1"/>
  <c r="F771" i="1"/>
  <c r="F567" i="1"/>
  <c r="F1706" i="1"/>
  <c r="F965" i="1"/>
  <c r="F1878" i="1"/>
  <c r="F311" i="1"/>
  <c r="F1735" i="1"/>
  <c r="F1167" i="1"/>
  <c r="F1305" i="1"/>
  <c r="F341" i="1"/>
  <c r="F1879" i="1"/>
  <c r="F1760" i="1"/>
  <c r="F82" i="1"/>
  <c r="F216" i="1"/>
  <c r="F503" i="1"/>
  <c r="F782" i="1"/>
  <c r="F1499" i="1"/>
  <c r="F1753" i="1"/>
  <c r="F939" i="1"/>
  <c r="F606" i="1"/>
  <c r="F593" i="1"/>
  <c r="F23" i="1"/>
  <c r="F1300" i="1"/>
  <c r="F152" i="1"/>
  <c r="F1789" i="1"/>
  <c r="F1106" i="1"/>
  <c r="F1177" i="1"/>
  <c r="F1595" i="1"/>
  <c r="F1145" i="1"/>
  <c r="F1555" i="1"/>
  <c r="F181" i="1"/>
  <c r="F1871" i="1"/>
  <c r="F566" i="1"/>
  <c r="F214" i="1"/>
  <c r="F941" i="1"/>
  <c r="F842" i="1"/>
  <c r="F1406" i="1"/>
  <c r="F1310" i="1"/>
  <c r="F804" i="1"/>
  <c r="F1604" i="1"/>
  <c r="F969" i="1"/>
  <c r="F1833" i="1"/>
  <c r="F1630" i="1"/>
  <c r="F212" i="1"/>
  <c r="F869" i="1"/>
  <c r="F544" i="1"/>
  <c r="F794" i="1"/>
  <c r="F413" i="1"/>
  <c r="F414" i="1"/>
  <c r="F1552" i="1"/>
  <c r="F981" i="1"/>
  <c r="F1756" i="1"/>
  <c r="F291" i="1"/>
  <c r="F1170" i="1"/>
  <c r="F1047" i="1"/>
  <c r="F1794" i="1"/>
  <c r="F65" i="1"/>
  <c r="F1444" i="1"/>
  <c r="F778" i="1"/>
  <c r="F170" i="1"/>
  <c r="F669" i="1"/>
  <c r="F89" i="1"/>
  <c r="F132" i="1"/>
  <c r="F141" i="1"/>
  <c r="F924" i="1"/>
  <c r="F856" i="1"/>
  <c r="F204" i="1"/>
  <c r="F169" i="1"/>
  <c r="F1603" i="1"/>
  <c r="F307" i="1"/>
  <c r="F1729" i="1"/>
  <c r="F1637" i="1"/>
  <c r="F1093" i="1"/>
  <c r="F306" i="1"/>
  <c r="F146" i="1"/>
  <c r="F11" i="1"/>
  <c r="F46" i="1"/>
  <c r="F934" i="1"/>
  <c r="F575" i="1"/>
  <c r="F977" i="1"/>
  <c r="F78" i="1"/>
  <c r="F45" i="1"/>
  <c r="F196" i="1"/>
  <c r="F733" i="1"/>
  <c r="F866" i="1"/>
  <c r="F639" i="1"/>
  <c r="F1557" i="1"/>
  <c r="F1525" i="1"/>
  <c r="F943" i="1"/>
  <c r="F1452" i="1"/>
  <c r="F1283" i="1"/>
  <c r="F136" i="1"/>
  <c r="F620" i="1"/>
  <c r="F1761" i="1"/>
  <c r="F1759" i="1"/>
  <c r="F693" i="1"/>
  <c r="F1274" i="1"/>
  <c r="F607" i="1"/>
  <c r="F659" i="1"/>
  <c r="F1365" i="1"/>
  <c r="F1119" i="1"/>
  <c r="F232" i="1"/>
  <c r="F208" i="1"/>
  <c r="F1575" i="1"/>
  <c r="F372" i="1"/>
  <c r="F1875" i="1"/>
  <c r="F705" i="1"/>
  <c r="F344" i="1"/>
  <c r="F1380" i="1"/>
  <c r="F110" i="1"/>
  <c r="F242" i="1"/>
  <c r="F600" i="1"/>
  <c r="F1235" i="1"/>
  <c r="F1277" i="1"/>
  <c r="F1667" i="1"/>
  <c r="F716" i="1"/>
  <c r="F397" i="1"/>
  <c r="F245" i="1"/>
  <c r="F563" i="1"/>
  <c r="F1670" i="1"/>
  <c r="F876" i="1"/>
  <c r="F315" i="1"/>
  <c r="F1148" i="1"/>
  <c r="F308" i="1"/>
  <c r="F789" i="1"/>
  <c r="F1373" i="1"/>
  <c r="F1351" i="1"/>
  <c r="F709" i="1"/>
  <c r="F687" i="1"/>
  <c r="F672" i="1"/>
  <c r="F1088" i="1"/>
  <c r="F107" i="1"/>
  <c r="F891" i="1"/>
  <c r="F277" i="1"/>
  <c r="F1593" i="1"/>
  <c r="F905" i="1"/>
  <c r="F1250" i="1"/>
  <c r="F375" i="1"/>
  <c r="F359" i="1"/>
  <c r="F1382" i="1"/>
  <c r="F207" i="1"/>
  <c r="F236" i="1"/>
  <c r="F185" i="1"/>
  <c r="F1757" i="1"/>
  <c r="F1285" i="1"/>
  <c r="F179" i="1"/>
  <c r="F410" i="1"/>
  <c r="F1633" i="1"/>
  <c r="F646" i="1"/>
  <c r="F105" i="1"/>
  <c r="F1328" i="1"/>
  <c r="F1788" i="1"/>
  <c r="F1791" i="1"/>
  <c r="F918" i="1"/>
  <c r="F1042" i="1"/>
  <c r="F1822" i="1"/>
  <c r="F90" i="1"/>
  <c r="F1821" i="1"/>
  <c r="F599" i="1"/>
  <c r="F1609" i="1"/>
  <c r="F421" i="1"/>
  <c r="F1391" i="1"/>
  <c r="F1221" i="1"/>
  <c r="F5" i="1"/>
  <c r="F1425" i="1"/>
  <c r="F202" i="1"/>
  <c r="F1275" i="1"/>
  <c r="F44" i="1"/>
  <c r="F1768" i="1"/>
  <c r="F1294" i="1"/>
  <c r="F517" i="1"/>
  <c r="F1642" i="1"/>
  <c r="F702" i="1"/>
  <c r="F426" i="1"/>
  <c r="F1843" i="1"/>
  <c r="F1344" i="1"/>
  <c r="F1359" i="1"/>
  <c r="F1348" i="1"/>
  <c r="F616" i="1"/>
  <c r="F103" i="1"/>
  <c r="F1477" i="1"/>
  <c r="F1536" i="1"/>
  <c r="F1537" i="1"/>
  <c r="F1249" i="1"/>
  <c r="F1263" i="1"/>
  <c r="F1517" i="1"/>
  <c r="F1504" i="1"/>
  <c r="F1511" i="1"/>
  <c r="F86" i="1"/>
  <c r="F1825" i="1"/>
  <c r="F1369" i="1"/>
  <c r="F1699" i="1"/>
  <c r="F605" i="1"/>
  <c r="F419" i="1"/>
  <c r="F1267" i="1"/>
  <c r="F1421" i="1"/>
  <c r="F1423" i="1"/>
  <c r="F611" i="1"/>
  <c r="F1627" i="1"/>
  <c r="F1602" i="1"/>
  <c r="F1109" i="1"/>
  <c r="F903" i="1"/>
  <c r="F912" i="1"/>
  <c r="F507" i="1"/>
  <c r="F1319" i="1"/>
  <c r="F729" i="1"/>
  <c r="F915" i="1"/>
  <c r="F1227" i="1"/>
  <c r="F930" i="1"/>
  <c r="F1572" i="1"/>
  <c r="F676" i="1"/>
  <c r="F1124" i="1"/>
  <c r="F1364" i="1"/>
  <c r="F590" i="1"/>
  <c r="F340" i="1"/>
  <c r="F1416" i="1"/>
  <c r="F1108" i="1"/>
  <c r="F409" i="1"/>
  <c r="F627" i="1"/>
  <c r="F504" i="1"/>
  <c r="F996" i="1"/>
  <c r="F502" i="1"/>
  <c r="F1891" i="1"/>
  <c r="F1853" i="1"/>
  <c r="F1569" i="1"/>
  <c r="F1376" i="1"/>
  <c r="F791" i="1"/>
  <c r="F1116" i="1"/>
  <c r="F1134" i="1"/>
  <c r="F859" i="1"/>
  <c r="F1071" i="1"/>
  <c r="F1581" i="1"/>
  <c r="F1860" i="1"/>
  <c r="F568" i="1"/>
  <c r="F1413" i="1"/>
  <c r="F947" i="1"/>
  <c r="F756" i="1"/>
  <c r="F681" i="1"/>
  <c r="F84" i="1"/>
  <c r="F851" i="1"/>
  <c r="F975" i="1"/>
  <c r="F235" i="1"/>
  <c r="F220" i="1"/>
  <c r="F1339" i="1"/>
  <c r="F570" i="1"/>
  <c r="F1251" i="1"/>
  <c r="F1367" i="1"/>
  <c r="F1589" i="1"/>
  <c r="F1872" i="1"/>
  <c r="F732" i="1"/>
  <c r="F718" i="1"/>
  <c r="F1033" i="1"/>
  <c r="F717" i="1"/>
  <c r="F1183" i="1"/>
  <c r="F1360" i="1"/>
  <c r="F498" i="1"/>
  <c r="F887" i="1"/>
  <c r="F1623" i="1"/>
  <c r="F1528" i="1"/>
  <c r="F1888" i="1"/>
  <c r="F1212" i="1"/>
  <c r="F422" i="1"/>
  <c r="F925" i="1"/>
  <c r="F815" i="1"/>
  <c r="F1016" i="1"/>
  <c r="F940" i="1"/>
  <c r="F1322" i="1"/>
  <c r="F533" i="1"/>
  <c r="F1220" i="1"/>
  <c r="F655" i="1"/>
  <c r="F1052" i="1"/>
  <c r="F391" i="1"/>
  <c r="F403" i="1"/>
  <c r="F645" i="1"/>
  <c r="F384" i="1"/>
  <c r="F1260" i="1"/>
  <c r="F1126" i="1"/>
  <c r="F1715" i="1"/>
  <c r="F352" i="1"/>
  <c r="F683" i="1"/>
  <c r="F1482" i="1"/>
  <c r="F274" i="1"/>
  <c r="F225" i="1"/>
  <c r="F1624" i="1"/>
  <c r="F1066" i="1"/>
  <c r="F892" i="1"/>
  <c r="F350" i="1"/>
  <c r="F1834" i="1"/>
  <c r="F367" i="1"/>
  <c r="F1590" i="1"/>
  <c r="F1122" i="1"/>
  <c r="F1894" i="1"/>
  <c r="F1353" i="1"/>
  <c r="F83" i="1"/>
  <c r="F1414" i="1"/>
  <c r="F588" i="1"/>
  <c r="F1168" i="1"/>
  <c r="F1374" i="1"/>
  <c r="F1792" i="1"/>
  <c r="F539" i="1"/>
  <c r="F1427" i="1"/>
  <c r="F8" i="1"/>
  <c r="F131" i="1"/>
  <c r="F252" i="1"/>
  <c r="F1127" i="1"/>
  <c r="F351" i="1"/>
  <c r="F910" i="1"/>
  <c r="F1631" i="1"/>
  <c r="F43" i="1"/>
  <c r="F724" i="1"/>
  <c r="F932" i="1"/>
  <c r="F1836" i="1"/>
  <c r="F688" i="1"/>
  <c r="F953" i="1"/>
  <c r="F1639" i="1"/>
  <c r="F362" i="1"/>
  <c r="F1832" i="1"/>
  <c r="F1512" i="1"/>
  <c r="F505" i="1"/>
  <c r="F92" i="1"/>
  <c r="F1190" i="1"/>
  <c r="F618" i="1"/>
  <c r="F149" i="1"/>
  <c r="F1223" i="1"/>
  <c r="F1471" i="1"/>
  <c r="F233" i="1"/>
  <c r="F1869" i="1"/>
  <c r="F1841" i="1"/>
  <c r="F201" i="1"/>
  <c r="F986" i="1"/>
  <c r="F454" i="1"/>
  <c r="F962" i="1"/>
  <c r="F914" i="1"/>
  <c r="F538" i="1"/>
  <c r="F613" i="1"/>
  <c r="F1498" i="1"/>
  <c r="F1433" i="1"/>
  <c r="F1712" i="1"/>
  <c r="F109" i="1"/>
  <c r="F164" i="1"/>
  <c r="F678" i="1"/>
  <c r="F34" i="1"/>
  <c r="F57" i="1"/>
  <c r="F1544" i="1"/>
  <c r="F98" i="1"/>
  <c r="F85" i="1"/>
  <c r="F94" i="1"/>
  <c r="F960" i="1"/>
  <c r="F343" i="1"/>
  <c r="F1660" i="1"/>
  <c r="F1435" i="1"/>
  <c r="F1434" i="1"/>
  <c r="F224" i="1"/>
  <c r="F24" i="1"/>
  <c r="F167" i="1"/>
  <c r="F68" i="1"/>
  <c r="F100" i="1"/>
  <c r="F56" i="1"/>
  <c r="F157" i="1"/>
  <c r="F719" i="1"/>
  <c r="F1430" i="1"/>
  <c r="F661" i="1"/>
  <c r="F668" i="1"/>
  <c r="F1306" i="1"/>
  <c r="F660" i="1"/>
  <c r="F41" i="1"/>
  <c r="F642" i="1"/>
  <c r="F894" i="1"/>
  <c r="F635" i="1"/>
  <c r="F380" i="1"/>
  <c r="F302" i="1"/>
  <c r="F1248" i="1"/>
  <c r="F671" i="1"/>
  <c r="F312" i="1"/>
  <c r="F1651" i="1"/>
  <c r="F574" i="1"/>
  <c r="F48" i="1"/>
  <c r="F379" i="1"/>
  <c r="F1514" i="1"/>
  <c r="F640" i="1"/>
  <c r="F1564" i="1"/>
  <c r="F144" i="1"/>
  <c r="F1271" i="1"/>
  <c r="F610" i="1"/>
  <c r="F156" i="1"/>
  <c r="F758" i="1"/>
  <c r="F1025" i="1"/>
  <c r="F984" i="1"/>
  <c r="F899" i="1"/>
  <c r="F1192" i="1"/>
  <c r="F16" i="1"/>
  <c r="F1451" i="1"/>
  <c r="F1165" i="1"/>
  <c r="F1218" i="1"/>
  <c r="F735" i="1"/>
  <c r="F15" i="1"/>
  <c r="F1457" i="1"/>
  <c r="F1445" i="1"/>
  <c r="F37" i="1"/>
  <c r="F73" i="1"/>
  <c r="F12" i="1"/>
  <c r="F388" i="1"/>
  <c r="F1576" i="1"/>
  <c r="F151" i="1"/>
  <c r="F172" i="1"/>
  <c r="F165" i="1"/>
  <c r="F628" i="1"/>
  <c r="F608" i="1"/>
  <c r="F1021" i="1"/>
  <c r="F1321" i="1"/>
  <c r="F112" i="1"/>
  <c r="F1269" i="1"/>
  <c r="F1419" i="1"/>
  <c r="F1216" i="1"/>
  <c r="F223" i="1"/>
  <c r="F602" i="1"/>
  <c r="F1236" i="1"/>
  <c r="F830" i="1"/>
  <c r="F309" i="1"/>
  <c r="F1085" i="1"/>
  <c r="F670" i="1"/>
  <c r="F853" i="1"/>
  <c r="F1811" i="1"/>
  <c r="F1492" i="1"/>
  <c r="F1132" i="1"/>
  <c r="F820" i="1"/>
  <c r="F30" i="1"/>
  <c r="F171" i="1"/>
  <c r="F1612" i="1"/>
  <c r="F140" i="1"/>
  <c r="F62" i="1"/>
  <c r="F908" i="1"/>
  <c r="F674" i="1"/>
  <c r="F38" i="1"/>
  <c r="F518" i="1"/>
  <c r="F13" i="1"/>
  <c r="F624" i="1"/>
  <c r="F935" i="1"/>
  <c r="F1307" i="1"/>
  <c r="F774" i="1"/>
  <c r="F148" i="1"/>
  <c r="F1720" i="1"/>
  <c r="F1352" i="1"/>
  <c r="F1778" i="1"/>
  <c r="F1002" i="1"/>
  <c r="F958" i="1"/>
  <c r="F1281" i="1"/>
  <c r="F1018" i="1"/>
  <c r="F621" i="1"/>
  <c r="F1515" i="1"/>
  <c r="F571" i="1"/>
  <c r="F1695" i="1"/>
  <c r="F1849" i="1"/>
  <c r="F1023" i="1"/>
  <c r="F292" i="1"/>
  <c r="F648" i="1"/>
  <c r="F515" i="1"/>
  <c r="F561" i="1"/>
  <c r="F785" i="1"/>
  <c r="F1688" i="1"/>
  <c r="F250" i="1"/>
  <c r="F229" i="1"/>
  <c r="F36" i="1"/>
  <c r="F1574" i="1"/>
  <c r="F1493" i="1"/>
  <c r="F1577" i="1"/>
  <c r="F1258" i="1"/>
  <c r="F1725" i="1"/>
  <c r="F47" i="1"/>
  <c r="F17" i="1"/>
  <c r="F1195" i="1"/>
  <c r="F1246" i="1"/>
  <c r="F1814" i="1"/>
  <c r="F328" i="1"/>
  <c r="F301" i="1"/>
  <c r="F703" i="1"/>
  <c r="F523" i="1"/>
  <c r="F1187" i="1"/>
  <c r="F4" i="1"/>
  <c r="F158" i="1"/>
  <c r="F1219" i="1"/>
  <c r="F1028" i="1"/>
  <c r="F1040" i="1"/>
  <c r="F52" i="1"/>
  <c r="F240" i="1"/>
  <c r="F1585" i="1"/>
  <c r="F1622" i="1"/>
  <c r="F1800" i="1"/>
  <c r="F1507" i="1"/>
  <c r="F1188" i="1"/>
  <c r="F55" i="1"/>
  <c r="F1162" i="1"/>
  <c r="F1009" i="1"/>
  <c r="F423" i="1"/>
  <c r="F643" i="1"/>
  <c r="F1160" i="1"/>
  <c r="F304" i="1"/>
  <c r="F1031" i="1"/>
  <c r="F1885" i="1"/>
  <c r="F1864" i="1"/>
  <c r="F35" i="1"/>
  <c r="F788" i="1"/>
  <c r="F494" i="1"/>
  <c r="F108" i="1"/>
  <c r="F61" i="1"/>
  <c r="F1011" i="1"/>
  <c r="F28" i="1"/>
  <c r="F118" i="1"/>
  <c r="F1070" i="1"/>
  <c r="F1580" i="1"/>
  <c r="F1424" i="1"/>
  <c r="F1636" i="1"/>
  <c r="F1446" i="1"/>
  <c r="F26" i="1"/>
  <c r="F1008" i="1"/>
  <c r="F1349" i="1"/>
  <c r="F736" i="1"/>
  <c r="F1641" i="1"/>
  <c r="F631" i="1"/>
  <c r="F1613" i="1"/>
  <c r="F1616" i="1"/>
  <c r="F807" i="1"/>
  <c r="F1006" i="1"/>
  <c r="F1097" i="1"/>
  <c r="F1312" i="1"/>
  <c r="F356" i="1"/>
  <c r="F861" i="1"/>
  <c r="F1024" i="1"/>
  <c r="F989" i="1"/>
  <c r="F715" i="1"/>
  <c r="F29" i="1"/>
  <c r="F772" i="1"/>
  <c r="F955" i="1"/>
  <c r="F1309" i="1"/>
  <c r="F1887" i="1"/>
  <c r="F1813" i="1"/>
  <c r="F1012" i="1"/>
  <c r="F994" i="1"/>
  <c r="F1003" i="1"/>
  <c r="F1619" i="1"/>
  <c r="F20" i="1"/>
  <c r="F985" i="1"/>
  <c r="F303" i="1"/>
  <c r="F1181" i="1"/>
  <c r="F1826" i="1"/>
  <c r="F247" i="1"/>
  <c r="F826" i="1"/>
  <c r="F174" i="1"/>
  <c r="F827" i="1"/>
  <c r="F572" i="1"/>
  <c r="F293" i="1"/>
  <c r="F603" i="1"/>
  <c r="F297" i="1"/>
  <c r="F1485" i="1"/>
  <c r="F298" i="1"/>
  <c r="F537" i="1"/>
  <c r="F1032" i="1"/>
  <c r="F211" i="1"/>
  <c r="F836" i="1"/>
  <c r="F596" i="1"/>
  <c r="F264" i="1"/>
  <c r="F1527" i="1"/>
  <c r="F784" i="1"/>
  <c r="F286" i="1"/>
  <c r="F161" i="1"/>
  <c r="F1001" i="1"/>
  <c r="F203" i="1"/>
  <c r="F272" i="1"/>
  <c r="F1256" i="1"/>
  <c r="F115" i="1"/>
  <c r="F370" i="1"/>
  <c r="F1022" i="1"/>
  <c r="F1532" i="1"/>
  <c r="F248" i="1"/>
  <c r="F938" i="1"/>
  <c r="F1320" i="1"/>
  <c r="F1696" i="1"/>
  <c r="F1785" i="1"/>
  <c r="F1318" i="1"/>
  <c r="F295" i="1"/>
  <c r="F993" i="1"/>
  <c r="F1863" i="1"/>
  <c r="F1129" i="1"/>
  <c r="F904" i="1"/>
  <c r="F942" i="1"/>
  <c r="F775" i="1"/>
  <c r="F1596" i="1"/>
  <c r="F1303" i="1"/>
  <c r="F1290" i="1"/>
  <c r="F854" i="1"/>
  <c r="F604" i="1"/>
  <c r="F926" i="1"/>
  <c r="F1769" i="1"/>
  <c r="F1316" i="1"/>
  <c r="F825" i="1"/>
  <c r="F1289" i="1"/>
  <c r="F888" i="1"/>
  <c r="F58" i="1"/>
  <c r="F569" i="1"/>
  <c r="F87" i="1"/>
  <c r="F1516" i="1"/>
  <c r="F1313" i="1"/>
  <c r="F1656" i="1"/>
  <c r="F1172" i="1"/>
  <c r="F412" i="1"/>
  <c r="F1000" i="1"/>
  <c r="F786" i="1"/>
  <c r="F638" i="1"/>
  <c r="F557" i="1"/>
  <c r="F1076" i="1"/>
  <c r="F1649" i="1"/>
  <c r="F1164" i="1"/>
  <c r="F577" i="1"/>
  <c r="F560" i="1"/>
  <c r="F1100" i="1"/>
  <c r="F598" i="1"/>
  <c r="F1064" i="1"/>
  <c r="F805" i="1"/>
  <c r="F1338" i="1"/>
  <c r="F416" i="1"/>
  <c r="F95" i="1"/>
  <c r="F381" i="1"/>
  <c r="F1719" i="1"/>
  <c r="F937" i="1"/>
  <c r="F812" i="1"/>
  <c r="F1063" i="1"/>
  <c r="F1796" i="1"/>
  <c r="F411" i="1"/>
  <c r="F25" i="1"/>
  <c r="F983" i="1"/>
  <c r="F347" i="1"/>
  <c r="F1588" i="1"/>
  <c r="F787" i="1"/>
  <c r="F1846" i="1"/>
  <c r="F239" i="1"/>
  <c r="F60" i="1"/>
  <c r="F424" i="1"/>
  <c r="F1820" i="1"/>
  <c r="F415" i="1"/>
  <c r="F1771" i="1"/>
  <c r="F795" i="1"/>
  <c r="F1773" i="1"/>
  <c r="F19" i="1"/>
  <c r="F726" i="1"/>
  <c r="F417" i="1"/>
  <c r="F1676" i="1"/>
  <c r="F844" i="1"/>
  <c r="F585" i="1"/>
  <c r="F278" i="1"/>
  <c r="F300" i="1"/>
  <c r="F1107" i="1"/>
  <c r="F1257" i="1"/>
  <c r="F759" i="1"/>
  <c r="F180" i="1"/>
  <c r="F1094" i="1"/>
  <c r="F122" i="1"/>
  <c r="F634" i="1"/>
  <c r="F832" i="1"/>
  <c r="F173" i="1"/>
  <c r="F263" i="1"/>
  <c r="F1570" i="1"/>
  <c r="F790" i="1"/>
  <c r="F770" i="1"/>
  <c r="F398" i="1"/>
  <c r="F1610" i="1"/>
  <c r="F632" i="1"/>
  <c r="F974" i="1"/>
  <c r="F1065" i="1"/>
  <c r="F305" i="1"/>
  <c r="F1121" i="1"/>
  <c r="F1179" i="1"/>
  <c r="F102" i="1"/>
  <c r="F1407" i="1"/>
  <c r="F267" i="1"/>
  <c r="F601" i="1"/>
  <c r="F1259" i="1"/>
  <c r="F840" i="1"/>
  <c r="F358" i="1"/>
  <c r="F900" i="1"/>
  <c r="F1243" i="1"/>
  <c r="F1333" i="1"/>
  <c r="F1531" i="1"/>
  <c r="F997" i="1"/>
  <c r="F1004" i="1"/>
  <c r="F817" i="1"/>
  <c r="F1077" i="1"/>
  <c r="F597" i="1"/>
  <c r="F1733" i="1"/>
  <c r="F42" i="1"/>
  <c r="F1831" i="1"/>
  <c r="F1184" i="1"/>
  <c r="F1408" i="1"/>
  <c r="F205" i="1"/>
  <c r="F59" i="1"/>
  <c r="F1265" i="1"/>
  <c r="F14" i="1"/>
  <c r="F1893" i="1"/>
  <c r="F1114" i="1"/>
  <c r="F1103" i="1"/>
  <c r="F3" i="1"/>
  <c r="F850" i="1"/>
  <c r="F1592" i="1"/>
  <c r="F1538" i="1"/>
  <c r="F545" i="1"/>
  <c r="F234" i="1"/>
  <c r="F106" i="1"/>
  <c r="F1861" i="1"/>
  <c r="F779" i="1"/>
  <c r="F1628" i="1"/>
  <c r="F1877" i="1"/>
  <c r="F1302" i="1"/>
  <c r="F1284" i="1"/>
  <c r="F1534" i="1"/>
  <c r="F999" i="1"/>
  <c r="F541" i="1"/>
  <c r="F1533" i="1"/>
  <c r="F1815" i="1"/>
  <c r="F701" i="1"/>
  <c r="F1204" i="1"/>
  <c r="F147" i="1"/>
  <c r="F734" i="1"/>
  <c r="F222" i="1"/>
  <c r="F464" i="1"/>
  <c r="F1839" i="1"/>
  <c r="F1635" i="1"/>
  <c r="F1858" i="1"/>
  <c r="F1881" i="1"/>
  <c r="F747" i="1"/>
  <c r="F1186" i="1"/>
  <c r="F1049" i="1"/>
  <c r="F1767" i="1"/>
  <c r="F896" i="1"/>
  <c r="F964" i="1"/>
  <c r="F1779" i="1"/>
  <c r="F1545" i="1"/>
  <c r="F1224" i="1"/>
  <c r="F1171" i="1"/>
  <c r="F244" i="1"/>
  <c r="F1854" i="1"/>
  <c r="F218" i="1"/>
  <c r="F88" i="1"/>
  <c r="F1539" i="1"/>
  <c r="F1146" i="1"/>
  <c r="F1653" i="1"/>
  <c r="F884" i="1"/>
  <c r="F1291" i="1"/>
  <c r="F1490" i="1"/>
  <c r="F1279" i="1"/>
  <c r="F1163" i="1"/>
  <c r="F184" i="1"/>
  <c r="F1262" i="1"/>
  <c r="F1694" i="1"/>
  <c r="F1487" i="1"/>
  <c r="F1470" i="1"/>
  <c r="F913" i="1"/>
  <c r="F1189" i="1"/>
  <c r="F437" i="1"/>
  <c r="F1245" i="1"/>
  <c r="F1662" i="1"/>
  <c r="F1793" i="1"/>
  <c r="F1654" i="1"/>
  <c r="F1647" i="1"/>
  <c r="F1045" i="1"/>
  <c r="F258" i="1"/>
  <c r="F1185" i="1"/>
  <c r="F1582" i="1"/>
  <c r="F1724" i="1"/>
  <c r="F1732" i="1"/>
  <c r="F1089" i="1"/>
  <c r="F1244" i="1"/>
  <c r="F1675" i="1"/>
  <c r="F1051" i="1"/>
  <c r="F1102" i="1"/>
  <c r="F1541" i="1"/>
  <c r="F1556" i="1"/>
  <c r="F1513" i="1"/>
  <c r="F992" i="1"/>
  <c r="F279" i="1"/>
  <c r="F1035" i="1"/>
  <c r="F1807" i="1"/>
  <c r="F183" i="1"/>
  <c r="F1020" i="1"/>
  <c r="F393" i="1"/>
  <c r="F582" i="1"/>
  <c r="F1704" i="1"/>
  <c r="F213" i="1"/>
  <c r="F51" i="1"/>
  <c r="F1019" i="1"/>
  <c r="F1806" i="1"/>
  <c r="F96" i="1"/>
  <c r="F1540" i="1"/>
  <c r="F831" i="1"/>
</calcChain>
</file>

<file path=xl/sharedStrings.xml><?xml version="1.0" encoding="utf-8"?>
<sst xmlns="http://schemas.openxmlformats.org/spreadsheetml/2006/main" count="15171" uniqueCount="9017">
  <si>
    <t>번호</t>
  </si>
  <si>
    <t>개방서비스명</t>
  </si>
  <si>
    <t>개방서비스아이디</t>
  </si>
  <si>
    <t>소재지우편번호</t>
  </si>
  <si>
    <t>소재지전체주소</t>
  </si>
  <si>
    <t>도로명전체주소</t>
  </si>
  <si>
    <t>도로명우편번호</t>
  </si>
  <si>
    <t>사업장명</t>
  </si>
  <si>
    <t>1</t>
  </si>
  <si>
    <t>단란주점영업</t>
  </si>
  <si>
    <t>07_23_01_P</t>
  </si>
  <si>
    <t/>
  </si>
  <si>
    <t>132-908</t>
  </si>
  <si>
    <t xml:space="preserve">서울특별시 도봉구 창동 333-2 한성빌딩 </t>
  </si>
  <si>
    <t>서울특별시 도봉구 노해로65길 11, 한성빌딩 지하1층 2호 (창동)</t>
  </si>
  <si>
    <t>01405</t>
  </si>
  <si>
    <t>조개</t>
  </si>
  <si>
    <t>2</t>
  </si>
  <si>
    <t>135-880</t>
  </si>
  <si>
    <t xml:space="preserve">서울특별시 강남구 삼성동 157-11 </t>
  </si>
  <si>
    <t>서울특별시 강남구 삼성로96길 12, 지하1층 (삼성동)</t>
  </si>
  <si>
    <t>06168</t>
  </si>
  <si>
    <t>썸노래밤</t>
  </si>
  <si>
    <t>3</t>
  </si>
  <si>
    <t>153-858</t>
  </si>
  <si>
    <t xml:space="preserve">서울특별시 금천구 시흥동 889-2 </t>
  </si>
  <si>
    <t>서울특별시 금천구 시흥대로52길 51, 2층 (시흥동)</t>
  </si>
  <si>
    <t>08628</t>
  </si>
  <si>
    <t>신사리 노래타운</t>
  </si>
  <si>
    <t>4</t>
  </si>
  <si>
    <t>140-160</t>
  </si>
  <si>
    <t xml:space="preserve">서울특별시 용산구 남영동 74 </t>
  </si>
  <si>
    <t>서울특별시 용산구 한강대로 276, 2층 (남영동)</t>
  </si>
  <si>
    <t>04352</t>
  </si>
  <si>
    <t>사운드 노래주점</t>
  </si>
  <si>
    <t>148</t>
  </si>
  <si>
    <t>5</t>
  </si>
  <si>
    <t>130-870</t>
  </si>
  <si>
    <t xml:space="preserve">서울특별시 동대문구 청량리동 773 </t>
  </si>
  <si>
    <t>서울특별시 동대문구 홍릉로1길 17, 2층 (청량리동)</t>
  </si>
  <si>
    <t>02573</t>
  </si>
  <si>
    <t>도레미가요마당</t>
  </si>
  <si>
    <t>6</t>
  </si>
  <si>
    <t>131-810</t>
  </si>
  <si>
    <t xml:space="preserve">서울특별시 중랑구 망우동 563-18 서울프라자 </t>
  </si>
  <si>
    <t>서울특별시 중랑구 망우로 376-1, 서울프라자 2층 (망우동)</t>
  </si>
  <si>
    <t>02163</t>
  </si>
  <si>
    <t>카리브</t>
  </si>
  <si>
    <t>7</t>
  </si>
  <si>
    <t>153-864</t>
  </si>
  <si>
    <t xml:space="preserve">서울특별시 금천구 시흥동 999-45 </t>
  </si>
  <si>
    <t>서울특별시 금천구 금하로 617-2, 2층 201호 (시흥동)</t>
  </si>
  <si>
    <t>08614</t>
  </si>
  <si>
    <t>시사별밤</t>
  </si>
  <si>
    <t>8</t>
  </si>
  <si>
    <t>157-910</t>
  </si>
  <si>
    <t xml:space="preserve">서울특별시 강서구 화곡동 938-22 2층 </t>
  </si>
  <si>
    <t>서울특별시 강서구 곰달래로 60, 2층 (화곡동)</t>
  </si>
  <si>
    <t>07775</t>
  </si>
  <si>
    <t>해바라기</t>
  </si>
  <si>
    <t>9</t>
  </si>
  <si>
    <t>140-877</t>
  </si>
  <si>
    <t xml:space="preserve">서울특별시 용산구 한강로3가 40-969 서울드래곤시티 </t>
  </si>
  <si>
    <t>서울특별시 용산구 청파로20길 95, 서울드래곤시티 B동 33층 (한강로3가)</t>
  </si>
  <si>
    <t>04372</t>
  </si>
  <si>
    <t>내추럴8</t>
  </si>
  <si>
    <t>10</t>
  </si>
  <si>
    <t>134-813</t>
  </si>
  <si>
    <t xml:space="preserve">서울특별시 강동구 길동 385-10 영무 엘리아트 </t>
  </si>
  <si>
    <t>서울특별시 강동구 양재대로111길 52, 영무 엘리아트 지하 1층 B101호, B102호 (길동)</t>
  </si>
  <si>
    <t>05354</t>
  </si>
  <si>
    <t>홀짝7080</t>
  </si>
  <si>
    <t>11</t>
  </si>
  <si>
    <t>150-035</t>
  </si>
  <si>
    <t xml:space="preserve">서울특별시 영등포구 영등포동5가 20-62 </t>
  </si>
  <si>
    <t>서울특별시 영등포구 영등포로 219, 지하1층 24~28호 (영등포동5가)</t>
  </si>
  <si>
    <t>07250</t>
  </si>
  <si>
    <t>아리아라이브</t>
  </si>
  <si>
    <t>12</t>
  </si>
  <si>
    <t>142-878</t>
  </si>
  <si>
    <t xml:space="preserve">서울특별시 강북구 수유동 191-76 </t>
  </si>
  <si>
    <t>서울특별시 강북구 도봉로87길 14, 2층 (수유동)</t>
  </si>
  <si>
    <t>01074</t>
  </si>
  <si>
    <t>퍼스트</t>
  </si>
  <si>
    <t>13</t>
  </si>
  <si>
    <t>142-867</t>
  </si>
  <si>
    <t xml:space="preserve">서울특별시 강북구 번동 446-24 홍승빌딩 </t>
  </si>
  <si>
    <t>서울특별시 강북구 도봉로 332, 홍승빌딩 지하1층 (번동)</t>
  </si>
  <si>
    <t>01062</t>
  </si>
  <si>
    <t>윈</t>
  </si>
  <si>
    <t>14</t>
  </si>
  <si>
    <t>151-892</t>
  </si>
  <si>
    <t xml:space="preserve">서울특별시 관악구 신림동 1433-120 </t>
  </si>
  <si>
    <t>서울특별시 관악구 남부순환로 1587, 지하1층 (신림동)</t>
  </si>
  <si>
    <t>08759</t>
  </si>
  <si>
    <t>젠틀맨8090</t>
  </si>
  <si>
    <t>15</t>
  </si>
  <si>
    <t>150-033</t>
  </si>
  <si>
    <t xml:space="preserve">서울특별시 영등포구 영등포동3가 25 </t>
  </si>
  <si>
    <t>서울특별시 영등포구 영등포로46길 7, 2층 (영등포동3가)</t>
  </si>
  <si>
    <t>07304</t>
  </si>
  <si>
    <t>주머니7080라이브</t>
  </si>
  <si>
    <t>16</t>
  </si>
  <si>
    <t>100-846</t>
  </si>
  <si>
    <t xml:space="preserve">서울특별시 중구 을지로3가 95-6 </t>
  </si>
  <si>
    <t>서울특별시 중구 충무로9길 14, 2층 (을지로3가)</t>
  </si>
  <si>
    <t>04543</t>
  </si>
  <si>
    <t>힙지로</t>
  </si>
  <si>
    <t>17</t>
  </si>
  <si>
    <t>151-930</t>
  </si>
  <si>
    <t xml:space="preserve">서울특별시 관악구 신림동 1638-12 을 </t>
  </si>
  <si>
    <t>서울특별시 관악구 신림로59길 15-16, 2층 (신림동)</t>
  </si>
  <si>
    <t>08776</t>
  </si>
  <si>
    <t>체크인(CHECK-IN)</t>
  </si>
  <si>
    <t>18</t>
  </si>
  <si>
    <t>151-876</t>
  </si>
  <si>
    <t xml:space="preserve">서울특별시 관악구 신림동 538-35 </t>
  </si>
  <si>
    <t>서울특별시 관악구 난곡로65길 3 (신림동)</t>
  </si>
  <si>
    <t>08767</t>
  </si>
  <si>
    <t>유니라이브</t>
  </si>
  <si>
    <t>19</t>
  </si>
  <si>
    <t xml:space="preserve">서울특별시 금천구 시흥동 994-3 </t>
  </si>
  <si>
    <t>서울특별시 금천구 시흥대로 231, 2층 일부호 (시흥동)</t>
  </si>
  <si>
    <t>08632</t>
  </si>
  <si>
    <t>도레미 노래포차</t>
  </si>
  <si>
    <t>20</t>
  </si>
  <si>
    <t>130-840</t>
  </si>
  <si>
    <t xml:space="preserve">서울특별시 동대문구 장안동 337-7 </t>
  </si>
  <si>
    <t>서울특별시 동대문구 답십리로72길 46, 2층 17~19호 (장안동)</t>
  </si>
  <si>
    <t>02637</t>
  </si>
  <si>
    <t>유턴 뮤직바(U-TURN MUSIC BAR)</t>
  </si>
  <si>
    <t>21</t>
  </si>
  <si>
    <t>150-901</t>
  </si>
  <si>
    <t xml:space="preserve">서울특별시 영등포구 영등포동2가 94-139 명화빌딩 4층 </t>
  </si>
  <si>
    <t>서울특별시 영등포구 버드나루로 30, 명화빌딩 4층 (영등포동2가)</t>
  </si>
  <si>
    <t>07254</t>
  </si>
  <si>
    <t>MH TOP</t>
  </si>
  <si>
    <t>22</t>
  </si>
  <si>
    <t>150-741</t>
  </si>
  <si>
    <t xml:space="preserve">서울특별시 영등포구 여의도동 44-21 중앙빌딩 </t>
  </si>
  <si>
    <t>서울특별시 영등포구 국제금융로8길 19, 중앙빌딩 지하동 1층 111호 (여의도동)</t>
  </si>
  <si>
    <t>07333</t>
  </si>
  <si>
    <t>콜라보</t>
  </si>
  <si>
    <t>23</t>
  </si>
  <si>
    <t>142-804</t>
  </si>
  <si>
    <t xml:space="preserve">서울특별시 강북구 미아동 35-23 지상2층 </t>
  </si>
  <si>
    <t>서울특별시 강북구 도봉로6길 12, 2층 (미아동)</t>
  </si>
  <si>
    <t>01220</t>
  </si>
  <si>
    <t>골목길7080라이브 단란주점</t>
  </si>
  <si>
    <t>24</t>
  </si>
  <si>
    <t>100-080</t>
  </si>
  <si>
    <t xml:space="preserve">서울특별시 중구 북창동 20-2 </t>
  </si>
  <si>
    <t>서울특별시 중구 남대문로1길 25, 3층 (북창동)</t>
  </si>
  <si>
    <t>04526</t>
  </si>
  <si>
    <t>플레이</t>
  </si>
  <si>
    <t>122</t>
  </si>
  <si>
    <t>25</t>
  </si>
  <si>
    <t>132-924</t>
  </si>
  <si>
    <t xml:space="preserve">서울특별시 도봉구 창동 655-15 </t>
  </si>
  <si>
    <t>서울특별시 도봉구 도봉로 464, 지하1층 (창동)</t>
  </si>
  <si>
    <t>01455</t>
  </si>
  <si>
    <t>힐링캠프</t>
  </si>
  <si>
    <t>26</t>
  </si>
  <si>
    <t>135-915</t>
  </si>
  <si>
    <t xml:space="preserve">서울특별시 강남구 역삼동 678-2 </t>
  </si>
  <si>
    <t>서울특별시 강남구 논현로94길 24, 지하1층 (역삼동)</t>
  </si>
  <si>
    <t>06141</t>
  </si>
  <si>
    <t>엠지(MZ)노래밤</t>
  </si>
  <si>
    <t>27</t>
  </si>
  <si>
    <t>151-875</t>
  </si>
  <si>
    <t xml:space="preserve">서울특별시 관악구 신림동 527-3 </t>
  </si>
  <si>
    <t>서울특별시 관악구 남부순환로 1479, 지1층 (신림동)</t>
  </si>
  <si>
    <t>08761</t>
  </si>
  <si>
    <t>모이자</t>
  </si>
  <si>
    <t>28</t>
  </si>
  <si>
    <t>131-859</t>
  </si>
  <si>
    <t xml:space="preserve">서울특별시 중랑구 상봉동 89-1 </t>
  </si>
  <si>
    <t>서울특별시 중랑구 망우로50길 15, 2층 (상봉동)</t>
  </si>
  <si>
    <t>02149</t>
  </si>
  <si>
    <t>해와달</t>
  </si>
  <si>
    <t>29</t>
  </si>
  <si>
    <t>157-908</t>
  </si>
  <si>
    <t xml:space="preserve">서울특별시 강서구 화곡동 894-18 성지빌딩 지하1층 </t>
  </si>
  <si>
    <t>서울특별시 강서구 강서로 24, 성지빌딩 지하1층 (화곡동)</t>
  </si>
  <si>
    <t>07781</t>
  </si>
  <si>
    <t>라떼8090</t>
  </si>
  <si>
    <t>30</t>
  </si>
  <si>
    <t xml:space="preserve">서울특별시 영등포구 영등포동3가 8-1 성남빌딩 </t>
  </si>
  <si>
    <t>서울특별시 영등포구 영중로8길 6, 성남빌딩 A동 2층 201호 (영등포동3가)</t>
  </si>
  <si>
    <t>07302</t>
  </si>
  <si>
    <t>첫번째 라이브</t>
  </si>
  <si>
    <t>31</t>
  </si>
  <si>
    <t xml:space="preserve">서울특별시 관악구 신림동 530-31 상진 </t>
  </si>
  <si>
    <t>서울특별시 관악구 난곡로 323, 상진 2층 (신림동)</t>
  </si>
  <si>
    <t>판도라</t>
  </si>
  <si>
    <t>32</t>
  </si>
  <si>
    <t>121-732</t>
  </si>
  <si>
    <t xml:space="preserve">서울특별시 마포구 도화동 37 진도빌딩 </t>
  </si>
  <si>
    <t>서울특별시 마포구 마포대로 44, 진도빌딩 지1층 6,7,8,9,12,13,14,15,16호 (도화동)</t>
  </si>
  <si>
    <t>04174</t>
  </si>
  <si>
    <t>시그니처 7080</t>
  </si>
  <si>
    <t>33</t>
  </si>
  <si>
    <t xml:space="preserve">서울특별시 강북구 수유동 229-1 </t>
  </si>
  <si>
    <t>서울특별시 강북구 도봉로87길 15, 3층 (수유동)</t>
  </si>
  <si>
    <t>01073</t>
  </si>
  <si>
    <t>상록회관 연탄구이 수유역점</t>
  </si>
  <si>
    <t>78</t>
  </si>
  <si>
    <t>34</t>
  </si>
  <si>
    <t>서울특별시 강북구 도봉로87길 15, 2층 (수유동)</t>
  </si>
  <si>
    <t>70</t>
  </si>
  <si>
    <t>35</t>
  </si>
  <si>
    <t>138-827</t>
  </si>
  <si>
    <t xml:space="preserve">서울특별시 송파구 방이동 43-6 파크캐슬오피스텔 </t>
  </si>
  <si>
    <t>서울특별시 송파구 오금로11길 41, 파크캐슬오피스텔 지하1층 102호 (방이동)</t>
  </si>
  <si>
    <t>05544</t>
  </si>
  <si>
    <t>구도로 노래주점</t>
  </si>
  <si>
    <t>36</t>
  </si>
  <si>
    <t xml:space="preserve">서울특별시 강북구 수유동 229-53 지하1층 </t>
  </si>
  <si>
    <t>서울특별시 강북구 도봉로83길 10, 지하1층 (수유동)</t>
  </si>
  <si>
    <t>오렌지노래주점</t>
  </si>
  <si>
    <t>37</t>
  </si>
  <si>
    <t xml:space="preserve">서울특별시 관악구 신림동 538-11 </t>
  </si>
  <si>
    <t>서울특별시 관악구 남부순환로 1461, 지하1층 (신림동)</t>
  </si>
  <si>
    <t>청춘스케치7090라이브</t>
  </si>
  <si>
    <t>38</t>
  </si>
  <si>
    <t xml:space="preserve">서울특별시 강북구 수유동 229-2 덕인빌딩 3층 301호 </t>
  </si>
  <si>
    <t>서울특별시 강북구 도봉로87길 3, 덕인빌딩 3층 301호 (수유동)</t>
  </si>
  <si>
    <t>와우노래타운</t>
  </si>
  <si>
    <t>39</t>
  </si>
  <si>
    <t>150-031</t>
  </si>
  <si>
    <t xml:space="preserve">서울특별시 영등포구 영등포동1가 139-5 진영빌딩 </t>
  </si>
  <si>
    <t>서울특별시 영등포구 경인로 872, 진영빌딩 지하1층 (영등포동1가)</t>
  </si>
  <si>
    <t>07306</t>
  </si>
  <si>
    <t>박준7080라이브</t>
  </si>
  <si>
    <t>256</t>
  </si>
  <si>
    <t>40</t>
  </si>
  <si>
    <t>138-861</t>
  </si>
  <si>
    <t xml:space="preserve">서울특별시 송파구 잠실동 182-4 </t>
  </si>
  <si>
    <t>서울특별시 송파구 백제고분로7길 33, 지하1층 (잠실동)</t>
  </si>
  <si>
    <t>05557</t>
  </si>
  <si>
    <t>헤븐노래방</t>
  </si>
  <si>
    <t>41</t>
  </si>
  <si>
    <t>134-814</t>
  </si>
  <si>
    <t xml:space="preserve">서울특별시 강동구 길동 415-13 강동 큐브 2차 </t>
  </si>
  <si>
    <t>서울특별시 강동구 진황도로 85, 지층 1,2호 (길동, 강동 큐브 2차)</t>
  </si>
  <si>
    <t>철부지</t>
  </si>
  <si>
    <t>42</t>
  </si>
  <si>
    <t>137-883</t>
  </si>
  <si>
    <t xml:space="preserve">서울특별시 서초구 서초동 1694-6 신우빌딩 지하1층 </t>
  </si>
  <si>
    <t>서울특별시 서초구 서초대로51길 15, 신우빌딩 지하1층 (서초동)</t>
  </si>
  <si>
    <t>06605</t>
  </si>
  <si>
    <t>화수분</t>
  </si>
  <si>
    <t>43</t>
  </si>
  <si>
    <t>142-891</t>
  </si>
  <si>
    <t xml:space="preserve">서울특별시 강북구 수유동 45-1 평익타워 </t>
  </si>
  <si>
    <t>서울특별시 강북구 노해로 3, 평익타워 지하1층 B02호 (수유동)</t>
  </si>
  <si>
    <t>01081</t>
  </si>
  <si>
    <t>그린</t>
  </si>
  <si>
    <t>44</t>
  </si>
  <si>
    <t>138-805</t>
  </si>
  <si>
    <t xml:space="preserve">서울특별시 송파구 가락동 98-6 캘리포니아관광호텔 </t>
  </si>
  <si>
    <t>서울특별시 송파구 송파대로28길 11, 캘리포니아관광호텔 1층 (가락동)</t>
  </si>
  <si>
    <t>05719</t>
  </si>
  <si>
    <t>썬 7080 LIVE</t>
  </si>
  <si>
    <t>45</t>
  </si>
  <si>
    <t>140-858</t>
  </si>
  <si>
    <t xml:space="preserve">서울특별시 용산구 이태원동 123-18 </t>
  </si>
  <si>
    <t>서울특별시 용산구 이태원로 183-4, 지하1층 (이태원동)</t>
  </si>
  <si>
    <t>04350</t>
  </si>
  <si>
    <t>와키노래타운(waki)</t>
  </si>
  <si>
    <t>46</t>
  </si>
  <si>
    <t>135-935</t>
  </si>
  <si>
    <t xml:space="preserve">서울특별시 강남구 역삼동 826-36 신소애빌딩 지하1층 </t>
  </si>
  <si>
    <t>서울특별시 강남구 테헤란로4길 40, 신소애빌딩 지하1층 (역삼동)</t>
  </si>
  <si>
    <t>06241</t>
  </si>
  <si>
    <t>주식회사 원테이블</t>
  </si>
  <si>
    <t>47</t>
  </si>
  <si>
    <t>156-800</t>
  </si>
  <si>
    <t xml:space="preserve">서울특별시 동작구 노량진동 16-1 노량진 드림스퀘어 복합빌딩 </t>
  </si>
  <si>
    <t>서울특별시 동작구 노들로2길 7, 노량진 드림스퀘어 복합빌딩 지하1층 A동 B01호 (노량진동)</t>
  </si>
  <si>
    <t>06900</t>
  </si>
  <si>
    <t>별밤</t>
  </si>
  <si>
    <t>48</t>
  </si>
  <si>
    <t xml:space="preserve">서울특별시 강동구 길동 414-5 골드클래스 </t>
  </si>
  <si>
    <t>서울특별시 강동구 양재대로111길 27, B01호 (길동, 골드클래스)</t>
  </si>
  <si>
    <t>05353</t>
  </si>
  <si>
    <t>가랑비Ⅱ</t>
  </si>
  <si>
    <t>49</t>
  </si>
  <si>
    <t>150-866</t>
  </si>
  <si>
    <t xml:space="preserve">서울특별시 영등포구 양평동4가 27-3 </t>
  </si>
  <si>
    <t>서울특별시 영등포구 양평로 75, 2층 (양평동4가)</t>
  </si>
  <si>
    <t>07212</t>
  </si>
  <si>
    <t>소나돼지나</t>
  </si>
  <si>
    <t>50</t>
  </si>
  <si>
    <t xml:space="preserve">서울특별시 송파구 방이동 37-7 </t>
  </si>
  <si>
    <t>서울특별시 송파구 오금로11길 23-9, 2층 (방이동)</t>
  </si>
  <si>
    <t>05543</t>
  </si>
  <si>
    <t>JJ노래주점</t>
  </si>
  <si>
    <t>51</t>
  </si>
  <si>
    <t xml:space="preserve">서울특별시 관악구 신림동 1639-20 </t>
  </si>
  <si>
    <t>서울특별시 관악구 남부순환로 1594-4, 지하1층 (신림동)</t>
  </si>
  <si>
    <t>볼트 마이크(VOLT MIC)</t>
  </si>
  <si>
    <t>52</t>
  </si>
  <si>
    <t>121-807</t>
  </si>
  <si>
    <t xml:space="preserve">서울특별시 마포구 노고산동 57-38 영화빌딩 </t>
  </si>
  <si>
    <t>서울특별시 마포구 서강로 135, 영화빌딩 지층 (노고산동)</t>
  </si>
  <si>
    <t>04058</t>
  </si>
  <si>
    <t>국민가수</t>
  </si>
  <si>
    <t>53</t>
  </si>
  <si>
    <t>110-840</t>
  </si>
  <si>
    <t xml:space="preserve">서울특별시 종로구 창신동 174-1 </t>
  </si>
  <si>
    <t>서울특별시 종로구 종로 321-2, 2층 (창신동)</t>
  </si>
  <si>
    <t>03105</t>
  </si>
  <si>
    <t>스케치 노래주점</t>
  </si>
  <si>
    <t>54</t>
  </si>
  <si>
    <t xml:space="preserve">서울특별시 강서구 화곡동 937-12 지하1층 </t>
  </si>
  <si>
    <t>서울특별시 강서구 월정로18길 7, 지하1층 (화곡동)</t>
  </si>
  <si>
    <t>도깨비노래바</t>
  </si>
  <si>
    <t>55</t>
  </si>
  <si>
    <t xml:space="preserve">서울특별시 관악구 신림동 1640-30 </t>
  </si>
  <si>
    <t>서울특별시 관악구 남부순환로176길 11, 3층 (신림동)</t>
  </si>
  <si>
    <t>클래스</t>
  </si>
  <si>
    <t>56</t>
  </si>
  <si>
    <t>서울특별시 강서구 화곡동 928-38 지하1층호</t>
  </si>
  <si>
    <t>서울특별시 강서구 곰달래로16길 37, 지하1층 (화곡동)</t>
  </si>
  <si>
    <t>청춘포차</t>
  </si>
  <si>
    <t>57</t>
  </si>
  <si>
    <t xml:space="preserve">서울특별시 강북구 수유동 191-57 </t>
  </si>
  <si>
    <t>서울특별시 강북구 한천로139길 11, 3층 (수유동)</t>
  </si>
  <si>
    <t>명월이</t>
  </si>
  <si>
    <t>58</t>
  </si>
  <si>
    <t>136-035</t>
  </si>
  <si>
    <t xml:space="preserve">서울특별시 성북구 동소문동5가 100 </t>
  </si>
  <si>
    <t>서울특별시 성북구 동소문로20길 28-8, 지하1층 (동소문동5가)</t>
  </si>
  <si>
    <t>02846</t>
  </si>
  <si>
    <t>레드제플린</t>
  </si>
  <si>
    <t>59</t>
  </si>
  <si>
    <t>122-837</t>
  </si>
  <si>
    <t xml:space="preserve">서울특별시 은평구 대조동 14-63 창도빌딩(지층) </t>
  </si>
  <si>
    <t>서울특별시 은평구 불광로 10, 창도빌딩 (대조동)</t>
  </si>
  <si>
    <t>03397</t>
  </si>
  <si>
    <t>유람선</t>
  </si>
  <si>
    <t>60</t>
  </si>
  <si>
    <t xml:space="preserve">서울특별시 관악구 신림동 1433-66 </t>
  </si>
  <si>
    <t>서울특별시 관악구 남부순환로 1597-10, 지하1층 (신림동)</t>
  </si>
  <si>
    <t>베를린</t>
  </si>
  <si>
    <t>61</t>
  </si>
  <si>
    <t>서울특별시 영등포구 영등포동3가 9-13 에쉐르아이 시네마 쇼핑몰 1502호</t>
  </si>
  <si>
    <t>서울특별시 영등포구 영중로 12, 에쉐르아이 시네마 쇼핑몰 15층 1502호 (영등포동3가)</t>
  </si>
  <si>
    <t>하늘공원단란주점</t>
  </si>
  <si>
    <t>62</t>
  </si>
  <si>
    <t>157-909</t>
  </si>
  <si>
    <t xml:space="preserve">서울특별시 강서구 화곡동 903-1 지상 2층 </t>
  </si>
  <si>
    <t>서울특별시 강서구 강서로 19, 2층 (화곡동)</t>
  </si>
  <si>
    <t>07778</t>
  </si>
  <si>
    <t>밀크</t>
  </si>
  <si>
    <t>63</t>
  </si>
  <si>
    <t>서울특별시 송파구 가락동 98 송파가락두산위브센티움 B102호</t>
  </si>
  <si>
    <t>서울특별시 송파구 송파대로30길 16, 지하1층 B102호 (가락동, 송파가락두산위브센티움)</t>
  </si>
  <si>
    <t>칭구</t>
  </si>
  <si>
    <t>64</t>
  </si>
  <si>
    <t>152-880</t>
  </si>
  <si>
    <t xml:space="preserve">서울특별시 구로구 구로동 1124-42 서림빌딩 </t>
  </si>
  <si>
    <t>서울특별시 구로구 디지털로32나길 38, 서림빌딩 지하1층 (구로동)</t>
  </si>
  <si>
    <t>08391</t>
  </si>
  <si>
    <t>감성주점</t>
  </si>
  <si>
    <t>65</t>
  </si>
  <si>
    <t>서울특별시 강북구 수유동 229-2 덕인빌딩 202호</t>
  </si>
  <si>
    <t>서울특별시 강북구 도봉로87길 3, 덕인빌딩 2층 202호 (수유동)</t>
  </si>
  <si>
    <t>팔로우</t>
  </si>
  <si>
    <t>66</t>
  </si>
  <si>
    <t>150-886</t>
  </si>
  <si>
    <t xml:space="preserve">서울특별시 영등포구 여의도동 36-4 오륜빌딩 </t>
  </si>
  <si>
    <t>서울특별시 영등포구 국제금융로8길 34, 오륜빌딩 지층 105~108호 (여의도동)</t>
  </si>
  <si>
    <t>07331</t>
  </si>
  <si>
    <t>오륜</t>
  </si>
  <si>
    <t>67</t>
  </si>
  <si>
    <t xml:space="preserve">서울특별시 강북구 수유동 191-78 </t>
  </si>
  <si>
    <t>서울특별시 강북구 한천로139길 39 (수유동)</t>
  </si>
  <si>
    <t>발렌타인</t>
  </si>
  <si>
    <t>68</t>
  </si>
  <si>
    <t xml:space="preserve">서울특별시 송파구 잠실동 178-4 지하1층 </t>
  </si>
  <si>
    <t>서울특별시 송파구 백제고분로7길 15, 지하1층 (잠실동)</t>
  </si>
  <si>
    <t>05556</t>
  </si>
  <si>
    <t>카톡</t>
  </si>
  <si>
    <t>69</t>
  </si>
  <si>
    <t>152-894</t>
  </si>
  <si>
    <t xml:space="preserve">서울특별시 구로구 오류동 55-50 지하층 </t>
  </si>
  <si>
    <t>서울특별시 구로구 경인로 216, 지하층 (오류동)</t>
  </si>
  <si>
    <t>08271</t>
  </si>
  <si>
    <t>로즈 단란주점</t>
  </si>
  <si>
    <t>134-843</t>
  </si>
  <si>
    <t xml:space="preserve">서울특별시 강동구 성내동 379번지 </t>
  </si>
  <si>
    <t>서울특별시 강동구 천호대로 1134, 지하1층 (성내동)</t>
  </si>
  <si>
    <t>05373</t>
  </si>
  <si>
    <t>마당라이브주점</t>
  </si>
  <si>
    <t>71</t>
  </si>
  <si>
    <t xml:space="preserve">서울특별시 영등포구 영등포동5가 6-3 </t>
  </si>
  <si>
    <t>서울특별시 영등포구 영등포로 231-1, 2층 (영등포동5가)</t>
  </si>
  <si>
    <t>히트7080</t>
  </si>
  <si>
    <t>72</t>
  </si>
  <si>
    <t>122-923</t>
  </si>
  <si>
    <t xml:space="preserve">서울특별시 은평구 응암동 577-46 2층 </t>
  </si>
  <si>
    <t>서울특별시 은평구 가좌로 232, 2층 (응암동)</t>
  </si>
  <si>
    <t>03457</t>
  </si>
  <si>
    <t>광화문 연가</t>
  </si>
  <si>
    <t>73</t>
  </si>
  <si>
    <t>135-920</t>
  </si>
  <si>
    <t xml:space="preserve">서울특별시 강남구 역삼동 720-9 스타팅빌딩 </t>
  </si>
  <si>
    <t>서울특별시 강남구 테헤란로38길 5, 스타팅빌딩 지하1층 (역삼동)</t>
  </si>
  <si>
    <t>06221</t>
  </si>
  <si>
    <t>지젤</t>
  </si>
  <si>
    <t>74</t>
  </si>
  <si>
    <t xml:space="preserve">서울특별시 강동구 성내동 244-14 </t>
  </si>
  <si>
    <t>서울특별시 강동구 천호대로176길 10, 지층 (성내동)</t>
  </si>
  <si>
    <t>별이 빛나는 밤에</t>
  </si>
  <si>
    <t>75</t>
  </si>
  <si>
    <t>134-864</t>
  </si>
  <si>
    <t xml:space="preserve">서울특별시 강동구 천호동 453-7번지 </t>
  </si>
  <si>
    <t>서울특별시 강동구 천호대로159길 25, 지층 (천호동)</t>
  </si>
  <si>
    <t>05335</t>
  </si>
  <si>
    <t>로데오포차7080</t>
  </si>
  <si>
    <t>76</t>
  </si>
  <si>
    <t>151-890</t>
  </si>
  <si>
    <t xml:space="preserve">서울특별시 관악구 신림동 1422-30 </t>
  </si>
  <si>
    <t>서울특별시 관악구 남부순환로 1619-1, 지하1층 (신림동)</t>
  </si>
  <si>
    <t>08754</t>
  </si>
  <si>
    <t>이브</t>
  </si>
  <si>
    <t>77</t>
  </si>
  <si>
    <t xml:space="preserve">서울특별시 송파구 방이동 24-8 금곡빌딩 2층 </t>
  </si>
  <si>
    <t>서울특별시 송파구 올림픽로30길 6, 금곡빌딩 2층 (방이동)</t>
  </si>
  <si>
    <t>05542</t>
  </si>
  <si>
    <t>노블레스</t>
  </si>
  <si>
    <t>157-928</t>
  </si>
  <si>
    <t xml:space="preserve">서울특별시 강서구 화곡동 1117-2번지 </t>
  </si>
  <si>
    <t>서울특별시 강서구 공항대로46길 82, 지상3층 (화곡동)</t>
  </si>
  <si>
    <t>07658</t>
  </si>
  <si>
    <t>메세노래바</t>
  </si>
  <si>
    <t>79</t>
  </si>
  <si>
    <t>137-863</t>
  </si>
  <si>
    <t xml:space="preserve">서울특별시 서초구 서초동 1363-5 지하1층 </t>
  </si>
  <si>
    <t>서울특별시 서초구 강남대로37길 28, 지하1층 (서초동)</t>
  </si>
  <si>
    <t>06735</t>
  </si>
  <si>
    <t>피닉스(Phoenix)</t>
  </si>
  <si>
    <t>80</t>
  </si>
  <si>
    <t>150-885</t>
  </si>
  <si>
    <t xml:space="preserve">서울특별시 영등포구 여의도동 35-5번지 여의도종합상가(219,220호) </t>
  </si>
  <si>
    <t>서울특별시 영등포구 여의나루로 42, 여의도종합상가 219,220호 (여의도동)</t>
  </si>
  <si>
    <t>07328</t>
  </si>
  <si>
    <t>무지개주점</t>
  </si>
  <si>
    <t>81</t>
  </si>
  <si>
    <t>130-851</t>
  </si>
  <si>
    <t xml:space="preserve">서울특별시 동대문구 전농동 602-9번지 </t>
  </si>
  <si>
    <t>서울특별시 동대문구 왕산로 274-1, 지하1층 (전농동)</t>
  </si>
  <si>
    <t>02554</t>
  </si>
  <si>
    <t>쎄븐바</t>
  </si>
  <si>
    <t>82</t>
  </si>
  <si>
    <t>100-281</t>
  </si>
  <si>
    <t xml:space="preserve">서울특별시 중구 인현동1가 141-2번지 호운빌딩 </t>
  </si>
  <si>
    <t>서울특별시 중구 충무로 22, 호운빌딩 지하 층 (인현동1가)</t>
  </si>
  <si>
    <t>04556</t>
  </si>
  <si>
    <t>천지댄스메들리</t>
  </si>
  <si>
    <t>83</t>
  </si>
  <si>
    <t xml:space="preserve">서울특별시 강서구 화곡동 928-37 1층 </t>
  </si>
  <si>
    <t>서울특별시 강서구 곰달래로16길 35, 1층 (화곡동)</t>
  </si>
  <si>
    <t>하늘노래광장</t>
  </si>
  <si>
    <t>84</t>
  </si>
  <si>
    <t>153-857</t>
  </si>
  <si>
    <t xml:space="preserve">서울특별시 금천구 시흥동 882-58 </t>
  </si>
  <si>
    <t>서울특별시 금천구 금하로 631, 지하1층 (시흥동)</t>
  </si>
  <si>
    <t>08626</t>
  </si>
  <si>
    <t>아리조나</t>
  </si>
  <si>
    <t>85</t>
  </si>
  <si>
    <t>100-879</t>
  </si>
  <si>
    <t xml:space="preserve">서울특별시 중구 흥인동 96번지 </t>
  </si>
  <si>
    <t>서울특별시 중구 퇴계로 407, 2층 (흥인동)</t>
  </si>
  <si>
    <t>04570</t>
  </si>
  <si>
    <t>쎄리</t>
  </si>
  <si>
    <t>86</t>
  </si>
  <si>
    <t>132-898</t>
  </si>
  <si>
    <t xml:space="preserve">서울특별시 도봉구 창동 10번지 </t>
  </si>
  <si>
    <t>서울특별시 도봉구 노해로69길 15-15, 지하2층 (창동)</t>
  </si>
  <si>
    <t>01414</t>
  </si>
  <si>
    <t>창동주점</t>
  </si>
  <si>
    <t>87</t>
  </si>
  <si>
    <t>140-780</t>
  </si>
  <si>
    <t xml:space="preserve">서울특별시 용산구 한강로3가 40-140번지 </t>
  </si>
  <si>
    <t>서울특별시 용산구 한강대로15길 8-3, 지하1층 (한강로3가)</t>
  </si>
  <si>
    <t>04379</t>
  </si>
  <si>
    <t>유랑</t>
  </si>
  <si>
    <t>88</t>
  </si>
  <si>
    <t>100-869</t>
  </si>
  <si>
    <t xml:space="preserve">서울특별시 중구 황학동 710 </t>
  </si>
  <si>
    <t>서울특별시 중구 퇴계로 443, 지하1층 (황학동)</t>
  </si>
  <si>
    <t>04576</t>
  </si>
  <si>
    <t>별밤 7080라이브</t>
  </si>
  <si>
    <t>89</t>
  </si>
  <si>
    <t>서울특별시 금천구 금하로 617-2, 지하1층 (시흥동)</t>
  </si>
  <si>
    <t>킹노래바</t>
  </si>
  <si>
    <t>90</t>
  </si>
  <si>
    <t xml:space="preserve">서울특별시 강서구 화곡동 935-13번지 (지하 1층) </t>
  </si>
  <si>
    <t>서울특별시 강서구 강서로5나길 148-3, 지하 1층 (화곡동)</t>
  </si>
  <si>
    <t>뉴 디바</t>
  </si>
  <si>
    <t>91</t>
  </si>
  <si>
    <t xml:space="preserve">서울특별시 강서구 화곡동 935-5번지 외 1필지 힐하우스 (지상 2층) </t>
  </si>
  <si>
    <t>서울특별시 강서구 강서로5나길 144, 힐하우스 2층 (화곡동)</t>
  </si>
  <si>
    <t>승리노래광장</t>
  </si>
  <si>
    <t>92</t>
  </si>
  <si>
    <t xml:space="preserve">서울특별시 강서구 화곡동 935-5 외 1필지 힐하우스 (지상 3층) </t>
  </si>
  <si>
    <t>서울특별시 강서구 강서로5나길 144, 힐하우스 3층 (화곡동)</t>
  </si>
  <si>
    <t>핫 초이스 단란주점</t>
  </si>
  <si>
    <t>93</t>
  </si>
  <si>
    <t xml:space="preserve">서울특별시 종로구 창신동 207 지하1층 </t>
  </si>
  <si>
    <t>서울특별시 종로구 종로 327, 지하1층 (창신동)</t>
  </si>
  <si>
    <t>03104</t>
  </si>
  <si>
    <t>동대문연가</t>
  </si>
  <si>
    <t>94</t>
  </si>
  <si>
    <t>122-842</t>
  </si>
  <si>
    <t xml:space="preserve">서울특별시 은평구 대조동 185-54 </t>
  </si>
  <si>
    <t>서울특별시 은평구 연서로28길 3, 2층 52.53호 (대조동)</t>
  </si>
  <si>
    <t>03385</t>
  </si>
  <si>
    <t>쏠</t>
  </si>
  <si>
    <t>95</t>
  </si>
  <si>
    <t xml:space="preserve">서울특별시 금천구 시흥동 885 </t>
  </si>
  <si>
    <t>서울특별시 금천구 시흥대로52길 62, 지상2층 (시흥동)</t>
  </si>
  <si>
    <t>올래 노래바</t>
  </si>
  <si>
    <t>96</t>
  </si>
  <si>
    <t xml:space="preserve">서울특별시 영등포구 영등포동3가 16 </t>
  </si>
  <si>
    <t>서울특별시 영등포구 영중로10길 16, 5층 (영등포동3가)</t>
  </si>
  <si>
    <t>가수공현아 7080라이브</t>
  </si>
  <si>
    <t>97</t>
  </si>
  <si>
    <t xml:space="preserve">서울특별시 구로구 오류동 55-51 </t>
  </si>
  <si>
    <t>서울특별시 구로구 경인로 214, 지하1층 (오류동)</t>
  </si>
  <si>
    <t>얘플</t>
  </si>
  <si>
    <t>98</t>
  </si>
  <si>
    <t>135-893</t>
  </si>
  <si>
    <t xml:space="preserve">서울특별시 강남구 신사동 588-16 현대썬앤빌 </t>
  </si>
  <si>
    <t>서울특별시 강남구 도산대로 225, 지하2층 (신사동, 현대썬앤빌)</t>
  </si>
  <si>
    <t>06026</t>
  </si>
  <si>
    <t>느리게 걷기</t>
  </si>
  <si>
    <t>99</t>
  </si>
  <si>
    <t>122-959</t>
  </si>
  <si>
    <t xml:space="preserve">서울특별시 은평구 갈현동 456-17번지 </t>
  </si>
  <si>
    <t>서울특별시 은평구 연서로29길 7-23 (갈현동)</t>
  </si>
  <si>
    <t>03331</t>
  </si>
  <si>
    <t>뉴노래팡</t>
  </si>
  <si>
    <t>100</t>
  </si>
  <si>
    <t>서울특별시 구로구 오류동 44-10번지 시티월드 지층101호</t>
  </si>
  <si>
    <t>서울특별시 구로구 경인로 176, 지하1층 101호 (오류동, 시티월드)</t>
  </si>
  <si>
    <t>보라보라7080노래타운</t>
  </si>
  <si>
    <t>101</t>
  </si>
  <si>
    <t xml:space="preserve">서울특별시 강서구 화곡동 1117-7번지 덕영빌딩 (지상 3층) </t>
  </si>
  <si>
    <t>서울특별시 강서구 공항대로46길 90, 덕영빌딩 3층 (화곡동)</t>
  </si>
  <si>
    <t>나가수7090라이브</t>
  </si>
  <si>
    <t>102</t>
  </si>
  <si>
    <t xml:space="preserve">서울특별시 금천구 시흥동 883-3번지 지하1층 </t>
  </si>
  <si>
    <t>서울특별시 금천구 금하로 632, 김안과의원 지하1층 (시흥동)</t>
  </si>
  <si>
    <t>소풍</t>
  </si>
  <si>
    <t>103</t>
  </si>
  <si>
    <t>110-807</t>
  </si>
  <si>
    <t xml:space="preserve">서울특별시 종로구 돈의동 46-1번지 </t>
  </si>
  <si>
    <t>서울특별시 종로구 돈화문로11길 12, 2층 (돈의동)</t>
  </si>
  <si>
    <t>03133</t>
  </si>
  <si>
    <t>HOT(에이치오티)</t>
  </si>
  <si>
    <t>104</t>
  </si>
  <si>
    <t>137-858</t>
  </si>
  <si>
    <t xml:space="preserve">서울특별시 서초구 서초동 1327-11 </t>
  </si>
  <si>
    <t>서울특별시 서초구 서초대로78길 32, 지1층 (서초동)</t>
  </si>
  <si>
    <t>06621</t>
  </si>
  <si>
    <t>문노래바</t>
  </si>
  <si>
    <t>105</t>
  </si>
  <si>
    <t>110-842</t>
  </si>
  <si>
    <t xml:space="preserve">서울특별시 종로구 창신동 463-1 지하1층 </t>
  </si>
  <si>
    <t>서울특별시 종로구 종로46길 11, 지하1층 (창신동)</t>
  </si>
  <si>
    <t>03119</t>
  </si>
  <si>
    <t>블루 7090 라이브</t>
  </si>
  <si>
    <t>106</t>
  </si>
  <si>
    <t>156-816</t>
  </si>
  <si>
    <t xml:space="preserve">서울특별시 동작구 사당동 145-14 </t>
  </si>
  <si>
    <t>서울특별시 동작구 동작대로25길 25, 지하1층 (사당동)</t>
  </si>
  <si>
    <t>07008</t>
  </si>
  <si>
    <t>모아</t>
  </si>
  <si>
    <t>107</t>
  </si>
  <si>
    <t xml:space="preserve">서울특별시 송파구 가락동 99-1 2층 201호,202호 </t>
  </si>
  <si>
    <t>서울특별시 송파구 송파대로28길 12, 2층 201,202호 (가락동)</t>
  </si>
  <si>
    <t>렉스노래주점</t>
  </si>
  <si>
    <t>108</t>
  </si>
  <si>
    <t xml:space="preserve">서울특별시 강북구 번동 449-10 </t>
  </si>
  <si>
    <t>서울특별시 강북구 덕릉로 지하 93-9, 지1층 (번동)</t>
  </si>
  <si>
    <t>순금이라이브 7080</t>
  </si>
  <si>
    <t>109</t>
  </si>
  <si>
    <t>131-848</t>
  </si>
  <si>
    <t xml:space="preserve">서울특별시 중랑구 묵동 175-2 지하1층 </t>
  </si>
  <si>
    <t>서울특별시 중랑구 동일로 920 (묵동, 지하1층)</t>
  </si>
  <si>
    <t>02033</t>
  </si>
  <si>
    <t>불후의명곡 7080라이브</t>
  </si>
  <si>
    <t>110</t>
  </si>
  <si>
    <t>134-880</t>
  </si>
  <si>
    <t xml:space="preserve">서울특별시 강동구 길동 389-1번지 </t>
  </si>
  <si>
    <t>서울특별시 강동구 양재대로113길 7, 2층 (길동)</t>
  </si>
  <si>
    <t>행복</t>
  </si>
  <si>
    <t>111</t>
  </si>
  <si>
    <t>110-320</t>
  </si>
  <si>
    <t xml:space="preserve">서울특별시 종로구 낙원동 121-1 </t>
  </si>
  <si>
    <t>서울특별시 종로구 돈화문로11길 30, 5층 (낙원동)</t>
  </si>
  <si>
    <t>씩(SeeK)</t>
  </si>
  <si>
    <t>145</t>
  </si>
  <si>
    <t>112</t>
  </si>
  <si>
    <t>150-890</t>
  </si>
  <si>
    <t xml:space="preserve">서울특별시 영등포구 여의도동 44-16 외교빌딩(지하1층 1호,2호) </t>
  </si>
  <si>
    <t>서울특별시 영등포구 여의대방로67길 10 (여의도동, 외교빌딩 지하1층 1호,2호)</t>
  </si>
  <si>
    <t>상상노래바</t>
  </si>
  <si>
    <t>113</t>
  </si>
  <si>
    <t xml:space="preserve">서울특별시 금천구 시흥동 883-18번지 지하1층 </t>
  </si>
  <si>
    <t>서울특별시 금천구 시흥대로 222, 지하1층 (시흥동)</t>
  </si>
  <si>
    <t>맨체스터</t>
  </si>
  <si>
    <t>114</t>
  </si>
  <si>
    <t xml:space="preserve">서울특별시 강서구 화곡동 935-12 2층 </t>
  </si>
  <si>
    <t>서울특별시 강서구 강서로5나길 148, 2층 (화곡동)</t>
  </si>
  <si>
    <t>엑스엑스노래</t>
  </si>
  <si>
    <t>115</t>
  </si>
  <si>
    <t>142-803</t>
  </si>
  <si>
    <t xml:space="preserve">서울특별시 강북구 미아동 160-39 2층 </t>
  </si>
  <si>
    <t>서울특별시 강북구 도봉로 286, 2층 (미아동)</t>
  </si>
  <si>
    <t>01128</t>
  </si>
  <si>
    <t>샤샤</t>
  </si>
  <si>
    <t>116</t>
  </si>
  <si>
    <t xml:space="preserve">서울특별시 강북구 수유동 229-23번지 3층 </t>
  </si>
  <si>
    <t>서울특별시 강북구 도봉로87길 13, 3층 (수유동)</t>
  </si>
  <si>
    <t>큐브 뮤직타운</t>
  </si>
  <si>
    <t>117</t>
  </si>
  <si>
    <t xml:space="preserve">서울특별시 구로구 구로동 1125-3번지 외1필지 2층 </t>
  </si>
  <si>
    <t>서울특별시 구로구 디지털로32길 97-22, 2층 (구로동)</t>
  </si>
  <si>
    <t>귀빈VIP노래궁</t>
  </si>
  <si>
    <t>118</t>
  </si>
  <si>
    <t xml:space="preserve">서울특별시 금천구 시흥동 889 지하1층 </t>
  </si>
  <si>
    <t>서울특별시 금천구 시흥대로 220, 지하1층 (시흥동)</t>
  </si>
  <si>
    <t>쎄시봉7080라이브</t>
  </si>
  <si>
    <t>119</t>
  </si>
  <si>
    <t>100-450</t>
  </si>
  <si>
    <t xml:space="preserve">서울특별시 중구 신당동 100-3 2층 </t>
  </si>
  <si>
    <t>서울특별시 중구 퇴계로 406 (신당동, 2층)</t>
  </si>
  <si>
    <t>04577</t>
  </si>
  <si>
    <t>7080 5번출구</t>
  </si>
  <si>
    <t>120</t>
  </si>
  <si>
    <t>100-845</t>
  </si>
  <si>
    <t xml:space="preserve">서울특별시 중구 을지로2가 101-28 3층 </t>
  </si>
  <si>
    <t>서울특별시 중구 을지로9길 8, 3층 (을지로2가)</t>
  </si>
  <si>
    <t>04542</t>
  </si>
  <si>
    <t>솜사탕</t>
  </si>
  <si>
    <t>121</t>
  </si>
  <si>
    <t xml:space="preserve">서울특별시 종로구 창신동 439-1번지 2층 </t>
  </si>
  <si>
    <t>서울특별시 종로구 종로46길 28, 2층 (창신동)</t>
  </si>
  <si>
    <t>뉴키즈 노래주점</t>
  </si>
  <si>
    <t>130-820</t>
  </si>
  <si>
    <t xml:space="preserve">서울특별시 동대문구 용두동 104-1번지 2층 </t>
  </si>
  <si>
    <t>서울특별시 동대문구 왕산로 90, 2층 (용두동)</t>
  </si>
  <si>
    <t>02585</t>
  </si>
  <si>
    <t>쌍피노래주점</t>
  </si>
  <si>
    <t>123</t>
  </si>
  <si>
    <t xml:space="preserve">서울특별시 강서구 화곡동 913-9번지 지상2층 </t>
  </si>
  <si>
    <t>서울특별시 강서구 강서로5나길 82, 지상2층 (화곡동, 1동)</t>
  </si>
  <si>
    <t>07776</t>
  </si>
  <si>
    <t>테크노 노래광장</t>
  </si>
  <si>
    <t>02624</t>
  </si>
  <si>
    <t>놀이터</t>
  </si>
  <si>
    <t>270</t>
  </si>
  <si>
    <t>125</t>
  </si>
  <si>
    <t>100-814</t>
  </si>
  <si>
    <t xml:space="preserve">서울특별시 중구 서소문동 57-7 지하1층 </t>
  </si>
  <si>
    <t>서울특별시 중구 서소문로 101 (서소문동, 지하1층)</t>
  </si>
  <si>
    <t>04516</t>
  </si>
  <si>
    <t>아리아</t>
  </si>
  <si>
    <t>126</t>
  </si>
  <si>
    <t xml:space="preserve">서울특별시 강서구 화곡동 935-13번지 (지상 1층) </t>
  </si>
  <si>
    <t>서울특별시 강서구 강서로5나길 148-3, 1층 (화곡동, 1동)</t>
  </si>
  <si>
    <t>겨울연가</t>
  </si>
  <si>
    <t>127</t>
  </si>
  <si>
    <t>110-835</t>
  </si>
  <si>
    <t xml:space="preserve">서울특별시 종로구 종로5가 116번지 지하1층 </t>
  </si>
  <si>
    <t>서울특별시 종로구 종로31길 16, 지하1층 (종로5가)</t>
  </si>
  <si>
    <t>03129</t>
  </si>
  <si>
    <t>오예</t>
  </si>
  <si>
    <t>128</t>
  </si>
  <si>
    <t xml:space="preserve">서울특별시 종로구 창신동 510 2층 </t>
  </si>
  <si>
    <t>서울특별시 종로구 종로 308-1, 2층 (창신동)</t>
  </si>
  <si>
    <t>스타 노래밤</t>
  </si>
  <si>
    <t>129</t>
  </si>
  <si>
    <t>136-051</t>
  </si>
  <si>
    <t xml:space="preserve">서울특별시 성북구 동선동1가 4-14번지 </t>
  </si>
  <si>
    <t>서울특별시 성북구 동소문로20길 29 (동선동1가)</t>
  </si>
  <si>
    <t>02845</t>
  </si>
  <si>
    <t>가을7080라이브</t>
  </si>
  <si>
    <t>130</t>
  </si>
  <si>
    <t>110-126</t>
  </si>
  <si>
    <t>서울특별시 종로구 종로6가 242-1번지 한덕빌딩 지하1층 08호</t>
  </si>
  <si>
    <t>서울특별시 종로구 종로41길 25, 지하1층 8호 (종로6가, 한덕빌딩)</t>
  </si>
  <si>
    <t>03125</t>
  </si>
  <si>
    <t>7080아지트</t>
  </si>
  <si>
    <t>131</t>
  </si>
  <si>
    <t>134-871</t>
  </si>
  <si>
    <t xml:space="preserve">서울특별시 강동구 천호동 410-11 </t>
  </si>
  <si>
    <t>서울특별시 강동구 천호대로159길 41 (천호동)</t>
  </si>
  <si>
    <t>녹두마루</t>
  </si>
  <si>
    <t>132</t>
  </si>
  <si>
    <t xml:space="preserve">서울특별시 영등포구 영등포동3가 23-1번지 2층 일부 </t>
  </si>
  <si>
    <t>서울특별시 영등포구 영등포로50길 8-3 (영등포동3가, 2층 일부)</t>
  </si>
  <si>
    <t>싸이언노래타운</t>
  </si>
  <si>
    <t>133</t>
  </si>
  <si>
    <t xml:space="preserve">서울특별시 강서구 화곡동 904-12 (지상 2층) </t>
  </si>
  <si>
    <t>서울특별시 강서구 강서로5나길 16, 2층 (화곡동, 1동)</t>
  </si>
  <si>
    <t>아모르7080</t>
  </si>
  <si>
    <t>134</t>
  </si>
  <si>
    <t xml:space="preserve">서울특별시 강동구 천호동 410-26 </t>
  </si>
  <si>
    <t>서울특별시 강동구 천호대로159길 33 (천호동)</t>
  </si>
  <si>
    <t>거성쪼쪼노래박스(hof)</t>
  </si>
  <si>
    <t>135</t>
  </si>
  <si>
    <t xml:space="preserve">서울특별시 강북구 수유동 191-70 지하1층 </t>
  </si>
  <si>
    <t>서울특별시 강북구 한천로139길 25, 지하1층 (수유동)</t>
  </si>
  <si>
    <t>스팟(SPOT)</t>
  </si>
  <si>
    <t>136</t>
  </si>
  <si>
    <t xml:space="preserve">서울특별시 은평구 대조동 12-2 지층 </t>
  </si>
  <si>
    <t>서울특별시 은평구 불광로 17 (대조동)</t>
  </si>
  <si>
    <t>03396</t>
  </si>
  <si>
    <t>벤츠7080</t>
  </si>
  <si>
    <t>137</t>
  </si>
  <si>
    <t xml:space="preserve">서울특별시 관악구 신림동 1421-55번지 </t>
  </si>
  <si>
    <t>서울특별시 관악구 신림로64길 11, 1층 (신림동)</t>
  </si>
  <si>
    <t>퀸노래클럽</t>
  </si>
  <si>
    <t>138</t>
  </si>
  <si>
    <t>110-853</t>
  </si>
  <si>
    <t xml:space="preserve">서울특별시 종로구 종로4가 9-1번지 지하1층 </t>
  </si>
  <si>
    <t>서울특별시 종로구 종로 193, 지하1층 (종로4가)</t>
  </si>
  <si>
    <t>03130</t>
  </si>
  <si>
    <t>킹스맨</t>
  </si>
  <si>
    <t>139</t>
  </si>
  <si>
    <t>138-803</t>
  </si>
  <si>
    <t xml:space="preserve">서울특별시 송파구 가락동 77-7번지 </t>
  </si>
  <si>
    <t>서울특별시 송파구 송파대로28길 35, 지상3층 (가락동)</t>
  </si>
  <si>
    <t>05717</t>
  </si>
  <si>
    <t>스위트노래</t>
  </si>
  <si>
    <t>140</t>
  </si>
  <si>
    <t xml:space="preserve">서울특별시 강동구 길동 456-2 </t>
  </si>
  <si>
    <t>서울특별시 강동구 진황도로 100, 202,203호 (길동)</t>
  </si>
  <si>
    <t>05355</t>
  </si>
  <si>
    <t>141</t>
  </si>
  <si>
    <t>151-834</t>
  </si>
  <si>
    <t xml:space="preserve">서울특별시 관악구 봉천동 858-1 </t>
  </si>
  <si>
    <t>서울특별시 관악구 봉천로 482 (봉천동)</t>
  </si>
  <si>
    <t>08738</t>
  </si>
  <si>
    <t>티나노래방</t>
  </si>
  <si>
    <t>142</t>
  </si>
  <si>
    <t xml:space="preserve">서울특별시 강서구 화곡동 904-1 2층 </t>
  </si>
  <si>
    <t>서울특별시 강서구 강서로5길 10, 2층 (화곡동, 1동)</t>
  </si>
  <si>
    <t>드럼노래광장</t>
  </si>
  <si>
    <t>143</t>
  </si>
  <si>
    <t>122-809</t>
  </si>
  <si>
    <t xml:space="preserve">서울특별시 은평구 갈현동 396-9 5층 </t>
  </si>
  <si>
    <t>서울특별시 은평구 통일로 855-20 (갈현동, 5층)</t>
  </si>
  <si>
    <t>03330</t>
  </si>
  <si>
    <t>노래타운 세븐플로어(연신내점)</t>
  </si>
  <si>
    <t>144</t>
  </si>
  <si>
    <t xml:space="preserve">서울특별시 동대문구 장안동 366-9번지 지하1층 </t>
  </si>
  <si>
    <t>서울특별시 동대문구 장한로22길 7 (장안동)</t>
  </si>
  <si>
    <t>02639</t>
  </si>
  <si>
    <t>오케이(O.K)단란주점</t>
  </si>
  <si>
    <t xml:space="preserve">서울특별시 중랑구 망우동 563-15 2층 </t>
  </si>
  <si>
    <t>서울특별시 중랑구 망우로 378-1, 2층 (망우동)</t>
  </si>
  <si>
    <t>동학라이브</t>
  </si>
  <si>
    <t>146</t>
  </si>
  <si>
    <t xml:space="preserve">서울특별시 관악구 신림동 530-29번지 </t>
  </si>
  <si>
    <t>서울특별시 관악구 난곡로 325, 2층 (신림동)</t>
  </si>
  <si>
    <t>별밤7080</t>
  </si>
  <si>
    <t>147</t>
  </si>
  <si>
    <t>122-858</t>
  </si>
  <si>
    <t>서울특별시 은평구 불광동 281-154 2층호</t>
  </si>
  <si>
    <t>서울특별시 은평구 통일로66길 4-1, 2층 (불광동)</t>
  </si>
  <si>
    <t>03368</t>
  </si>
  <si>
    <t>쌩쌩7080</t>
  </si>
  <si>
    <t xml:space="preserve">서울특별시 동대문구 장안동 344-9 삼우빌딩 </t>
  </si>
  <si>
    <t>서울특별시 동대문구 장한로24길 13, 삼우빌딩 지하1층 (장안동)</t>
  </si>
  <si>
    <t>뉴시크릿</t>
  </si>
  <si>
    <t>149</t>
  </si>
  <si>
    <t>110-829</t>
  </si>
  <si>
    <t xml:space="preserve">서울특별시 종로구 숭인동 1418 지하 1층 </t>
  </si>
  <si>
    <t>서울특별시 종로구 난계로29길 19-13, 지하 1층 (숭인동)</t>
  </si>
  <si>
    <t>03116</t>
  </si>
  <si>
    <t>파티노래빠</t>
  </si>
  <si>
    <t>150</t>
  </si>
  <si>
    <t xml:space="preserve">서울특별시 관악구 신림동 529-12번지 </t>
  </si>
  <si>
    <t>서울특별시 관악구 난곡로 330 (신림동)</t>
  </si>
  <si>
    <t>신사동라이브7080</t>
  </si>
  <si>
    <t>151</t>
  </si>
  <si>
    <t xml:space="preserve">서울특별시 강북구 수유동 191-38 지하1층 </t>
  </si>
  <si>
    <t>서울특별시 강북구 도봉로89길 10, 지하1층 (수유동)</t>
  </si>
  <si>
    <t>우리 노래주점</t>
  </si>
  <si>
    <t>153</t>
  </si>
  <si>
    <t xml:space="preserve">서울특별시 관악구 신림동 1424-19번지 </t>
  </si>
  <si>
    <t>서울특별시 관악구 신림로 354, 지하1층 (신림동)</t>
  </si>
  <si>
    <t>비젼21단란주점</t>
  </si>
  <si>
    <t>154</t>
  </si>
  <si>
    <t xml:space="preserve">서울특별시 중랑구 묵동 163-29번지 2층 </t>
  </si>
  <si>
    <t>서울특별시 중랑구 숙선옹주로 11, 2층 (묵동)</t>
  </si>
  <si>
    <t>02032</t>
  </si>
  <si>
    <t>동양노래주점</t>
  </si>
  <si>
    <t>155</t>
  </si>
  <si>
    <t>140-889</t>
  </si>
  <si>
    <t xml:space="preserve">서울특별시 용산구 한남동 87-7번지 지하1층 </t>
  </si>
  <si>
    <t>서울특별시 용산구 대사관로34길 13, 지하1층 (한남동)</t>
  </si>
  <si>
    <t>04410</t>
  </si>
  <si>
    <t>샤인</t>
  </si>
  <si>
    <t>156</t>
  </si>
  <si>
    <t xml:space="preserve">서울특별시 강동구 길동 454-2 </t>
  </si>
  <si>
    <t>서울특별시 강동구 천호대로175길 11, 2층 (길동)</t>
  </si>
  <si>
    <t>추억만들기</t>
  </si>
  <si>
    <t>157</t>
  </si>
  <si>
    <t>137-874</t>
  </si>
  <si>
    <t xml:space="preserve">서울특별시 서초구 서초동 1573-14 </t>
  </si>
  <si>
    <t>서울특별시 서초구 반포대로30길 81 (서초동)</t>
  </si>
  <si>
    <t>06644</t>
  </si>
  <si>
    <t>교대콘서트</t>
  </si>
  <si>
    <t>158</t>
  </si>
  <si>
    <t xml:space="preserve">서울특별시 동대문구 장안동 342-6 </t>
  </si>
  <si>
    <t>서울특별시 동대문구 장한로24길 27, 지층 (장안동)</t>
  </si>
  <si>
    <t>로데오</t>
  </si>
  <si>
    <t>159</t>
  </si>
  <si>
    <t xml:space="preserve">서울특별시 송파구 가락동 77-7 2층 204호 </t>
  </si>
  <si>
    <t>서울특별시 송파구 송파대로28길 35 (가락동,   2층 204호)</t>
  </si>
  <si>
    <t>160</t>
  </si>
  <si>
    <t xml:space="preserve">서울특별시 강북구 미아동 42-212번지 지하1층 </t>
  </si>
  <si>
    <t>서울특별시 강북구 월계로 7, 지하1층 (미아동)</t>
  </si>
  <si>
    <t>파티유</t>
  </si>
  <si>
    <t>161</t>
  </si>
  <si>
    <t>130-809</t>
  </si>
  <si>
    <t xml:space="preserve">서울특별시 동대문구 답십리동 961-9번지 </t>
  </si>
  <si>
    <t>서울특별시 동대문구 고미술로 99, 지하1층 16,17,18호 (답십리동)</t>
  </si>
  <si>
    <t>02622</t>
  </si>
  <si>
    <t>캐츠아이7080라이브</t>
  </si>
  <si>
    <t>162</t>
  </si>
  <si>
    <t xml:space="preserve">서울특별시 강서구 화곡동 927-1 웰라이빌아파트 1층 </t>
  </si>
  <si>
    <t>서울특별시 강서구 강서로5나길 104, 1층 (화곡동, 웰라이빌아파트)</t>
  </si>
  <si>
    <t>귀빈노래광장</t>
  </si>
  <si>
    <t>163</t>
  </si>
  <si>
    <t>122-924</t>
  </si>
  <si>
    <t xml:space="preserve">서울특별시 은평구 응암동 599-19 2층 </t>
  </si>
  <si>
    <t>서울특별시 은평구 응암로 185, 2층 (응암동)</t>
  </si>
  <si>
    <t>03485</t>
  </si>
  <si>
    <t>또와노래팡</t>
  </si>
  <si>
    <t>164</t>
  </si>
  <si>
    <t xml:space="preserve">서울특별시 송파구 가락동 77-7번지 302호 </t>
  </si>
  <si>
    <t>서울특별시 송파구 송파대로28길 35 (가락동,   302호)</t>
  </si>
  <si>
    <t>자유인</t>
  </si>
  <si>
    <t>165</t>
  </si>
  <si>
    <t>130-805</t>
  </si>
  <si>
    <t xml:space="preserve">서울특별시 동대문구 답십리동 494-5 </t>
  </si>
  <si>
    <t>서울특별시 동대문구 천호대로 291-1, 지1층 (답십리동)</t>
  </si>
  <si>
    <t>02604</t>
  </si>
  <si>
    <t>빙</t>
  </si>
  <si>
    <t>166</t>
  </si>
  <si>
    <t>135-825</t>
  </si>
  <si>
    <t xml:space="preserve">서울특별시 강남구 논현동 164-11 광명빌딩 지하1층 </t>
  </si>
  <si>
    <t>서울특별시 강남구 강남대로 506 (논현동, 광명빌딩지하1층)</t>
  </si>
  <si>
    <t>06114</t>
  </si>
  <si>
    <t>Q노래바</t>
  </si>
  <si>
    <t>167</t>
  </si>
  <si>
    <t>서울특별시 도봉구 창동 13-2 B101호</t>
  </si>
  <si>
    <t>서울특별시 도봉구 마들로11길 57, B1층 101호 (창동, EQ빌딩)</t>
  </si>
  <si>
    <t>창동노래타운</t>
  </si>
  <si>
    <t>168</t>
  </si>
  <si>
    <t xml:space="preserve">서울특별시 강북구 미아동 160-1 </t>
  </si>
  <si>
    <t>서울특별시 강북구 덕릉로 92, 지하1층 (미아동)</t>
  </si>
  <si>
    <t>월드 단란주점</t>
  </si>
  <si>
    <t>169</t>
  </si>
  <si>
    <t>158-864</t>
  </si>
  <si>
    <t xml:space="preserve">서울특별시 양천구 신정동 1182-7 지하 1층 </t>
  </si>
  <si>
    <t>서울특별시 양천구 중앙로 247, 지하 1층 (신정동)</t>
  </si>
  <si>
    <t>08073</t>
  </si>
  <si>
    <t>보고싶다</t>
  </si>
  <si>
    <t>170</t>
  </si>
  <si>
    <t>133-882</t>
  </si>
  <si>
    <t xml:space="preserve">서울특별시 성동구 도선동 276번지 </t>
  </si>
  <si>
    <t>서울특별시 성동구 무학로2길 32, 2층 (도선동)</t>
  </si>
  <si>
    <t>04709</t>
  </si>
  <si>
    <t>와이제이(YJ)</t>
  </si>
  <si>
    <t>171</t>
  </si>
  <si>
    <t>100-013</t>
  </si>
  <si>
    <t xml:space="preserve">서울특별시 중구 충무로3가 56-1 2층 </t>
  </si>
  <si>
    <t>서울특별시 중구 수표로6길 32, 2층 (충무로3가)</t>
  </si>
  <si>
    <t>04554</t>
  </si>
  <si>
    <t>경포마을 7080 라이브</t>
  </si>
  <si>
    <t>172</t>
  </si>
  <si>
    <t xml:space="preserve">서울특별시 서초구 서초동 1330-20 </t>
  </si>
  <si>
    <t>서울특별시 서초구 강남대로53길 7, 지하층 102호 (서초동)</t>
  </si>
  <si>
    <t>06626</t>
  </si>
  <si>
    <t>러블리</t>
  </si>
  <si>
    <t>173</t>
  </si>
  <si>
    <t>135-845</t>
  </si>
  <si>
    <t xml:space="preserve">서울특별시 강남구 대치동 943-8 지하1층 </t>
  </si>
  <si>
    <t>서울특별시 강남구 테헤란로84길 9, 지하1층 (대치동)</t>
  </si>
  <si>
    <t>06179</t>
  </si>
  <si>
    <t>아지트</t>
  </si>
  <si>
    <t>174</t>
  </si>
  <si>
    <t>150-809</t>
  </si>
  <si>
    <t xml:space="preserve">서울특별시 영등포구 당산동6가 233번지 지하1층 </t>
  </si>
  <si>
    <t>서울특별시 영등포구 양평로 28 (당산동6가, 지하1층)</t>
  </si>
  <si>
    <t>07223</t>
  </si>
  <si>
    <t>모나코</t>
  </si>
  <si>
    <t>175</t>
  </si>
  <si>
    <t xml:space="preserve">서울특별시 관악구 신림동 538-7 </t>
  </si>
  <si>
    <t>서울특별시 관악구 남부순환로 1465, 지하1층 (신림동)</t>
  </si>
  <si>
    <t>월드컵노래광장</t>
  </si>
  <si>
    <t>176</t>
  </si>
  <si>
    <t xml:space="preserve">서울특별시 종로구 낙원동 141 지하1층 </t>
  </si>
  <si>
    <t>서울특별시 종로구 수표로 120, 지하1층 (낙원동)</t>
  </si>
  <si>
    <t>03139</t>
  </si>
  <si>
    <t>박달재 가요장</t>
  </si>
  <si>
    <t>177</t>
  </si>
  <si>
    <t xml:space="preserve">서울특별시 강동구 길동 459-4 </t>
  </si>
  <si>
    <t>서울특별시 강동구 양재대로 1441, 6층 (길동)</t>
  </si>
  <si>
    <t>위라이브</t>
  </si>
  <si>
    <t>178</t>
  </si>
  <si>
    <t xml:space="preserve">서울특별시 강서구 화곡동 903-1번지 (지상 3층) </t>
  </si>
  <si>
    <t>서울특별시 강서구 강서로 19, 3층 (화곡동, 1동)</t>
  </si>
  <si>
    <t>맥뚜뮤직</t>
  </si>
  <si>
    <t>179</t>
  </si>
  <si>
    <t xml:space="preserve">서울특별시 강동구 길동 387-15 근영빌딩 </t>
  </si>
  <si>
    <t>서울특별시 강동구 양재대로111길 32, 근영빌딩 2층 (길동)</t>
  </si>
  <si>
    <t>애플2</t>
  </si>
  <si>
    <t>180</t>
  </si>
  <si>
    <t xml:space="preserve">서울특별시 강서구 화곡동 913-10번지 (지상 2층) </t>
  </si>
  <si>
    <t>서울특별시 강서구 강서로5나길 84, 2층 (화곡동, 1동)</t>
  </si>
  <si>
    <t>별천지노래광장</t>
  </si>
  <si>
    <t>181</t>
  </si>
  <si>
    <t>157-881</t>
  </si>
  <si>
    <t>서울특별시 강서구 화곡동 343-56 (지하 2층) 201호</t>
  </si>
  <si>
    <t>서울특별시 강서구 강서로 43-13, 지하 2층 201호 (화곡동, 1동)</t>
  </si>
  <si>
    <t>07774</t>
  </si>
  <si>
    <t>바쿠스</t>
  </si>
  <si>
    <t>04038</t>
  </si>
  <si>
    <t>183</t>
  </si>
  <si>
    <t xml:space="preserve">서울특별시 성동구 도선동 68번지 </t>
  </si>
  <si>
    <t>서울특별시 성동구 무학로2길 46 (도선동)</t>
  </si>
  <si>
    <t>엠비씨(MBC)단란주점</t>
  </si>
  <si>
    <t>184</t>
  </si>
  <si>
    <t>100-195</t>
  </si>
  <si>
    <t xml:space="preserve">서울특별시 중구 을지로5가 275-6 지하1층 </t>
  </si>
  <si>
    <t>서울특별시 중구 동호로 350, 지하1층 (을지로5가)</t>
  </si>
  <si>
    <t>04561</t>
  </si>
  <si>
    <t>힐링</t>
  </si>
  <si>
    <t>185</t>
  </si>
  <si>
    <t xml:space="preserve">서울특별시 도봉구 창동 6번지 콤마빌딩 </t>
  </si>
  <si>
    <t>서울특별시 도봉구 마들로11가길 15, 4층 401호,402일부호 (창동, 콤마빌딩)</t>
  </si>
  <si>
    <t>환희주점</t>
  </si>
  <si>
    <t>186</t>
  </si>
  <si>
    <t>139-832</t>
  </si>
  <si>
    <t xml:space="preserve">서울특별시 노원구 상계동 724-3번지 지하6호 </t>
  </si>
  <si>
    <t>서울특별시 노원구 노해로 494, 지하6호 (상계동)</t>
  </si>
  <si>
    <t>01751</t>
  </si>
  <si>
    <t>신바람7080라이브</t>
  </si>
  <si>
    <t>187</t>
  </si>
  <si>
    <t xml:space="preserve">서울특별시 강서구 화곡동 1117-16 2층 </t>
  </si>
  <si>
    <t>서울특별시 강서구 화곡로 322, 2층 (화곡동, 6동)</t>
  </si>
  <si>
    <t>팬더</t>
  </si>
  <si>
    <t>188</t>
  </si>
  <si>
    <t xml:space="preserve">서울특별시 관악구 신림동 529-8번지 </t>
  </si>
  <si>
    <t>서울특별시 관악구 난곡로 320, 2층 (신림동)</t>
  </si>
  <si>
    <t>콘서트7080</t>
  </si>
  <si>
    <t>189</t>
  </si>
  <si>
    <t>100-310</t>
  </si>
  <si>
    <t xml:space="preserve">서울특별시 중구 오장동 139-11번지 지하1층 </t>
  </si>
  <si>
    <t>서울특별시 중구 을지로36길 35 (오장동, 지하1층)</t>
  </si>
  <si>
    <t>04547</t>
  </si>
  <si>
    <t>7080라이브</t>
  </si>
  <si>
    <t>190</t>
  </si>
  <si>
    <t>131-828</t>
  </si>
  <si>
    <t xml:space="preserve">서울특별시 중랑구 면목동 634-5번지 </t>
  </si>
  <si>
    <t>서울특별시 중랑구 면목로 311, 2층 (면목동)</t>
  </si>
  <si>
    <t>02238</t>
  </si>
  <si>
    <t>세시봉</t>
  </si>
  <si>
    <t>191</t>
  </si>
  <si>
    <t xml:space="preserve">서울특별시 강서구 화곡동 904-10번지 (지하 1층) </t>
  </si>
  <si>
    <t>서울특별시 강서구 강서로5나길 10, 지하 1층 (화곡동, 1동)</t>
  </si>
  <si>
    <t>탈렌트노래바</t>
  </si>
  <si>
    <t>192</t>
  </si>
  <si>
    <t xml:space="preserve">서울특별시 중랑구 상봉동 90-29번지 지하1층 </t>
  </si>
  <si>
    <t>서울특별시 중랑구 면목로96길 48 (상봉동)</t>
  </si>
  <si>
    <t>신세계노래주점</t>
  </si>
  <si>
    <t>193</t>
  </si>
  <si>
    <t xml:space="preserve">서울특별시 성북구 동선동1가 4-6번지 지하 1층 </t>
  </si>
  <si>
    <t>서울특별시 성북구 동소문로20길 29-15 (동선동1가, 지하 1층)</t>
  </si>
  <si>
    <t>써니7080</t>
  </si>
  <si>
    <t>194</t>
  </si>
  <si>
    <t xml:space="preserve">서울특별시 금천구 시흥동 995-6 지하1층 </t>
  </si>
  <si>
    <t>서울특별시 금천구 금하로 614, 지하1층 (시흥동)</t>
  </si>
  <si>
    <t>Zoot London(쥬트런던)</t>
  </si>
  <si>
    <t>195</t>
  </si>
  <si>
    <t>153-813</t>
  </si>
  <si>
    <t>서울특별시 금천구 독산동 293-5번지 협진식품빌딩 5층 33호</t>
  </si>
  <si>
    <t>서울특별시 금천구 범안로 1209, 지상5층 33호 (독산동, 협진식품빌딩)</t>
  </si>
  <si>
    <t>08585</t>
  </si>
  <si>
    <t>모모7080</t>
  </si>
  <si>
    <t>196</t>
  </si>
  <si>
    <t>137-953</t>
  </si>
  <si>
    <t xml:space="preserve">서울특별시 서초구 서초동 1602-10번지 </t>
  </si>
  <si>
    <t>서울특별시 서초구 효령로 289 (서초동)</t>
  </si>
  <si>
    <t>06654</t>
  </si>
  <si>
    <t>197</t>
  </si>
  <si>
    <t>121-812</t>
  </si>
  <si>
    <t xml:space="preserve">서울특별시 마포구 도화동 174-1 </t>
  </si>
  <si>
    <t>서울특별시 마포구 마포대로 69 (도화동, 지하1층)</t>
  </si>
  <si>
    <t>04157</t>
  </si>
  <si>
    <t>잰틀맨</t>
  </si>
  <si>
    <t>198</t>
  </si>
  <si>
    <t xml:space="preserve">서울특별시 송파구 가락동 77-7 지상2층 201, 202호 </t>
  </si>
  <si>
    <t>서울특별시 송파구 송파대로28길 35, 2층 201,202호 (가락동)</t>
  </si>
  <si>
    <t>낙원</t>
  </si>
  <si>
    <t>199</t>
  </si>
  <si>
    <t xml:space="preserve">서울특별시 강동구 천호동 556-2 지하 1층 </t>
  </si>
  <si>
    <t>서울특별시 강동구 진황도로 17-1 (천호동,지하 1층)</t>
  </si>
  <si>
    <t>05334</t>
  </si>
  <si>
    <t>모두와</t>
  </si>
  <si>
    <t>200</t>
  </si>
  <si>
    <t>서울특별시 송파구 가락동 80 성원상떼빌 지하1층 09호</t>
  </si>
  <si>
    <t>서울특별시 송파구 송파대로28길 27, 지하1층 09호 (가락동, 성원상떼빌)</t>
  </si>
  <si>
    <t>05718</t>
  </si>
  <si>
    <t>에페</t>
  </si>
  <si>
    <t>201</t>
  </si>
  <si>
    <t xml:space="preserve">서울특별시 강서구 화곡동 928-7번지 (지하 1층) </t>
  </si>
  <si>
    <t>서울특별시 강서구 강서로5나길 124, 지하 1층 (화곡동, 1동)</t>
  </si>
  <si>
    <t>데블(DEVIL)</t>
  </si>
  <si>
    <t>202</t>
  </si>
  <si>
    <t>서울특별시 중랑구 망우동 563-3번지 2층호</t>
  </si>
  <si>
    <t>서울특별시 중랑구 망우로 384 (망우동)</t>
  </si>
  <si>
    <t>놀아7080</t>
  </si>
  <si>
    <t>203</t>
  </si>
  <si>
    <t>139-808</t>
  </si>
  <si>
    <t xml:space="preserve">서울특별시 노원구 공릉동 661-11번지 지하1층 </t>
  </si>
  <si>
    <t>서울특별시 노원구 공릉로 95, 지하1층 (공릉동)</t>
  </si>
  <si>
    <t>01849</t>
  </si>
  <si>
    <t>204</t>
  </si>
  <si>
    <t xml:space="preserve">서울특별시 송파구 방이동 37-2 (2층) </t>
  </si>
  <si>
    <t>서울특별시 송파구 오금로11길 23 (방이동,(2층))</t>
  </si>
  <si>
    <t>압구정수산시장 방이점</t>
  </si>
  <si>
    <t>205</t>
  </si>
  <si>
    <t xml:space="preserve">서울특별시 송파구 방이동 24-7 동산빌딩 지하1층 </t>
  </si>
  <si>
    <t>서울특별시 송파구 올림픽로30길 10, 동산빌딩 지하1층 (방이동)</t>
  </si>
  <si>
    <t>가온7080</t>
  </si>
  <si>
    <t>206</t>
  </si>
  <si>
    <t>135-897</t>
  </si>
  <si>
    <t xml:space="preserve">서울특별시 강남구 신사동 651-21 지상15층 </t>
  </si>
  <si>
    <t>서울특별시 강남구 도산대로 323, 지상15층 (신사동)</t>
  </si>
  <si>
    <t>06021</t>
  </si>
  <si>
    <t>퀸</t>
  </si>
  <si>
    <t>207</t>
  </si>
  <si>
    <t xml:space="preserve">서울특별시 동작구 사당동 145-26 (지하1층) </t>
  </si>
  <si>
    <t>서울특별시 동작구 동작대로25길 11 (사당동)</t>
  </si>
  <si>
    <t>스타 7080</t>
  </si>
  <si>
    <t>208</t>
  </si>
  <si>
    <t xml:space="preserve">서울특별시 은평구 대조동 197-5 </t>
  </si>
  <si>
    <t>서울특별시 은평구 연서로26길 9-3, 지하1층 (대조동)</t>
  </si>
  <si>
    <t>패미리가떴다</t>
  </si>
  <si>
    <t>209</t>
  </si>
  <si>
    <t xml:space="preserve">서울특별시 영등포구 여의도동 35-5 3층 333호 </t>
  </si>
  <si>
    <t>서울특별시 영등포구 여의나루로 42, 3층 333호 (여의도동)</t>
  </si>
  <si>
    <t>백궁</t>
  </si>
  <si>
    <t>210</t>
  </si>
  <si>
    <t>137-818</t>
  </si>
  <si>
    <t xml:space="preserve">서울특별시 서초구 방배동 444-6 지하1층 </t>
  </si>
  <si>
    <t>서울특별시 서초구 방배천로 5-2, 지하1층 (방배동)</t>
  </si>
  <si>
    <t>06693</t>
  </si>
  <si>
    <t>벅스노래바</t>
  </si>
  <si>
    <t>211</t>
  </si>
  <si>
    <t xml:space="preserve">서울특별시 관악구 신림동 1431-15 </t>
  </si>
  <si>
    <t>서울특별시 관악구 신림로 361 (신림동, 지하1층)</t>
  </si>
  <si>
    <t>08760</t>
  </si>
  <si>
    <t>파티 파티</t>
  </si>
  <si>
    <t>212</t>
  </si>
  <si>
    <t>140-806</t>
  </si>
  <si>
    <t xml:space="preserve">서울특별시 용산구 갈월동 66-2 지하 1층 </t>
  </si>
  <si>
    <t>서울특별시 용산구 한강대로 306, 지하 1층 (갈월동)</t>
  </si>
  <si>
    <t>04334</t>
  </si>
  <si>
    <t>뉴욕</t>
  </si>
  <si>
    <t>213</t>
  </si>
  <si>
    <t xml:space="preserve">서울특별시 관악구 신림동 1421-63번지 </t>
  </si>
  <si>
    <t>서울특별시 관악구 신림로64길 9 (신림동)</t>
  </si>
  <si>
    <t>Yu단란주점</t>
  </si>
  <si>
    <t>214</t>
  </si>
  <si>
    <t>135-922</t>
  </si>
  <si>
    <t xml:space="preserve">서울특별시 강남구 역삼동 705-5 지하1동 </t>
  </si>
  <si>
    <t>서울특별시 강남구 선릉로91길 18 (역삼동)</t>
  </si>
  <si>
    <t>06150</t>
  </si>
  <si>
    <t>팡팡노래밤</t>
  </si>
  <si>
    <t>215</t>
  </si>
  <si>
    <t xml:space="preserve">서울특별시 구로구 구로동 1124-13 </t>
  </si>
  <si>
    <t>서울특별시 구로구 디지털로32길 97-13 (구로동)</t>
  </si>
  <si>
    <t>뽀빠이 노래바</t>
  </si>
  <si>
    <t>216</t>
  </si>
  <si>
    <t xml:space="preserve">서울특별시 은평구 대조동 186-39번지 </t>
  </si>
  <si>
    <t>서울특별시 은평구 통일로 825, 지층 (대조동)</t>
  </si>
  <si>
    <t>정거장</t>
  </si>
  <si>
    <t>217</t>
  </si>
  <si>
    <t>121-851</t>
  </si>
  <si>
    <t xml:space="preserve">서울특별시 마포구 신공덕동 27-8번지 </t>
  </si>
  <si>
    <t>서울특별시 마포구 만리재로 20-14 (신공덕동, 지하1층)</t>
  </si>
  <si>
    <t>04195</t>
  </si>
  <si>
    <t>빙고</t>
  </si>
  <si>
    <t>218</t>
  </si>
  <si>
    <t>서울특별시 강서구 화곡동 927-1 웰라이빌아파트 1층 114-A호</t>
  </si>
  <si>
    <t>서울특별시 강서구 강서로5나길 104, 1층 111-A호 (화곡동, 웰라이빌아파트)</t>
  </si>
  <si>
    <t>궁노래주점</t>
  </si>
  <si>
    <t>219</t>
  </si>
  <si>
    <t xml:space="preserve">서울특별시 용산구 남영동 89-8 지상2층 </t>
  </si>
  <si>
    <t>서울특별시 용산구 한강대로 262 (남영동)</t>
  </si>
  <si>
    <t>올레올레</t>
  </si>
  <si>
    <t>220</t>
  </si>
  <si>
    <t>서울특별시 구로구 구로동 1123-3 A동 지층호</t>
  </si>
  <si>
    <t>서울특별시 구로구 시흥대로 577-11, A동 지하1층 (구로동)</t>
  </si>
  <si>
    <t>별단란주점</t>
  </si>
  <si>
    <t>221</t>
  </si>
  <si>
    <t>152-893</t>
  </si>
  <si>
    <t>서울특별시 구로구 오류동 38-1 대서프라자 203호 203호</t>
  </si>
  <si>
    <t>서울특별시 구로구 경인로23길 8, 2층 203호 (오류동)</t>
  </si>
  <si>
    <t>08268</t>
  </si>
  <si>
    <t>노래하는 7080</t>
  </si>
  <si>
    <t>222</t>
  </si>
  <si>
    <t>140-880</t>
  </si>
  <si>
    <t xml:space="preserve">서울특별시 용산구 한강로3가 40-454번지 지상2층 </t>
  </si>
  <si>
    <t>서울특별시 용산구 한강대로11길 6 (한강로3가,지상2층)</t>
  </si>
  <si>
    <t>옛정노래</t>
  </si>
  <si>
    <t>223</t>
  </si>
  <si>
    <t xml:space="preserve">서울특별시 서초구 서초동 1601-1 지하 1층(7,8호) </t>
  </si>
  <si>
    <t>서울특별시 서초구 효령로55길 28 (서초동,지하 1층(7,8호))</t>
  </si>
  <si>
    <t>샤르망</t>
  </si>
  <si>
    <t>224</t>
  </si>
  <si>
    <t xml:space="preserve">서울특별시 서초구 방배동 445-4번지 </t>
  </si>
  <si>
    <t>서울특별시 서초구 방배천로 5-1 (방배동)</t>
  </si>
  <si>
    <t>블랙문</t>
  </si>
  <si>
    <t>225</t>
  </si>
  <si>
    <t xml:space="preserve">서울특별시 동대문구 장안동 365-1 (2층) </t>
  </si>
  <si>
    <t>서울특별시 동대문구 장한로 102 (장안동,(2층))</t>
  </si>
  <si>
    <t>클럽엑스</t>
  </si>
  <si>
    <t>226</t>
  </si>
  <si>
    <t xml:space="preserve">서울특별시 강서구 화곡동 905-5 2층 </t>
  </si>
  <si>
    <t>서울특별시 강서구 강서로5나길 22, 2층 (화곡동)</t>
  </si>
  <si>
    <t>07777</t>
  </si>
  <si>
    <t>주주노래바</t>
  </si>
  <si>
    <t>227</t>
  </si>
  <si>
    <t xml:space="preserve">서울특별시 성북구 동선동1가 4-10 </t>
  </si>
  <si>
    <t>서울특별시 성북구 동소문로20길 29-7, 지하층 (동선동1가)</t>
  </si>
  <si>
    <t>슈퍼스타</t>
  </si>
  <si>
    <t>228</t>
  </si>
  <si>
    <t xml:space="preserve">서울특별시 은평구 응암동 601-32 지층 </t>
  </si>
  <si>
    <t>서울특별시 은평구 응암로 184-1 (응암동, 지층)</t>
  </si>
  <si>
    <t>03478</t>
  </si>
  <si>
    <t>연예인 7080</t>
  </si>
  <si>
    <t>229</t>
  </si>
  <si>
    <t>110-841</t>
  </si>
  <si>
    <t xml:space="preserve">서울특별시 종로구 창신동 328-3 (2층) </t>
  </si>
  <si>
    <t>서울특별시 종로구 종로 332 (창신동,(2층))</t>
  </si>
  <si>
    <t>03121</t>
  </si>
  <si>
    <t>팡팡노래주점</t>
  </si>
  <si>
    <t>230</t>
  </si>
  <si>
    <t xml:space="preserve">서울특별시 강서구 화곡동 904-27 (지상 2층) </t>
  </si>
  <si>
    <t>서울특별시 강서구 강서로5길 16, 2층 (화곡동, 1동)</t>
  </si>
  <si>
    <t>초특급노래광장</t>
  </si>
  <si>
    <t>231</t>
  </si>
  <si>
    <t xml:space="preserve">서울특별시 강서구 화곡동 935-19번지 (지하 1층) </t>
  </si>
  <si>
    <t>서울특별시 강서구 월정로 102, 지하 1층 (화곡동, 1동)</t>
  </si>
  <si>
    <t>승리노래바</t>
  </si>
  <si>
    <t>232</t>
  </si>
  <si>
    <t xml:space="preserve">서울특별시 금천구 시흥동 883-7 지하1층 </t>
  </si>
  <si>
    <t>서울특별시 금천구 시흥대로 228 (시흥동, 지하1층)</t>
  </si>
  <si>
    <t>종이연 7080 단란주점</t>
  </si>
  <si>
    <t>233</t>
  </si>
  <si>
    <t xml:space="preserve">서울특별시 강서구 화곡동 905-10 지하 1층 </t>
  </si>
  <si>
    <t>서울특별시 강서구 강서로5나길 36, 지하 1층 (화곡동)</t>
  </si>
  <si>
    <t>나이스타임노래광장</t>
  </si>
  <si>
    <t>234</t>
  </si>
  <si>
    <t xml:space="preserve">서울특별시 영등포구 영등포동3가 8-1 성남빌딩 A동 지하1층 </t>
  </si>
  <si>
    <t>서울특별시 영등포구 영중로8길 6 (영등포동3가,성남빌딩 A동 지하1층)</t>
  </si>
  <si>
    <t>먹고놀자매들리</t>
  </si>
  <si>
    <t>235</t>
  </si>
  <si>
    <t xml:space="preserve">서울특별시 중랑구 상봉동 88-76번지 지층 </t>
  </si>
  <si>
    <t>서울특별시 중랑구 봉우재로33길 76 (상봉동,지층)</t>
  </si>
  <si>
    <t>02151</t>
  </si>
  <si>
    <t>대박 라이브</t>
  </si>
  <si>
    <t>236</t>
  </si>
  <si>
    <t xml:space="preserve">서울특별시 구로구 구로동 1124-2 2층 </t>
  </si>
  <si>
    <t>서울특별시 구로구 디지털로32길 97-33, 2층 (구로동)</t>
  </si>
  <si>
    <t>플레이 노래타운</t>
  </si>
  <si>
    <t>237</t>
  </si>
  <si>
    <t>137-860</t>
  </si>
  <si>
    <t xml:space="preserve">서울특별시 서초구 서초동 1337-22 대우디오빌 비113호 (지하1층) </t>
  </si>
  <si>
    <t>서울특별시 서초구 강남대로 321, 지하1층 비113호 (서초동, 대우디오빌)</t>
  </si>
  <si>
    <t>06627</t>
  </si>
  <si>
    <t>멜로디노래바큐(Q)</t>
  </si>
  <si>
    <t>238</t>
  </si>
  <si>
    <t xml:space="preserve">서울특별시 용산구 남영동 18-2 지하1층 </t>
  </si>
  <si>
    <t>서울특별시 용산구 한강대로 298 (남영동, 18-2 지하1층)</t>
  </si>
  <si>
    <t>팅커벨</t>
  </si>
  <si>
    <t>239</t>
  </si>
  <si>
    <t>156-826</t>
  </si>
  <si>
    <t xml:space="preserve">서울특별시 동작구 사당동 1031-24번지 </t>
  </si>
  <si>
    <t>서울특별시 동작구 동작대로3길 10 (사당동)</t>
  </si>
  <si>
    <t>07015</t>
  </si>
  <si>
    <t>해성</t>
  </si>
  <si>
    <t>240</t>
  </si>
  <si>
    <t>100-819</t>
  </si>
  <si>
    <t xml:space="preserve">서울특별시 중구 신당동 140-4 지하1층 </t>
  </si>
  <si>
    <t>서울특별시 중구 퇴계로 436 (신당동,지하1층)</t>
  </si>
  <si>
    <t>04578</t>
  </si>
  <si>
    <t>7080딴따라</t>
  </si>
  <si>
    <t>241</t>
  </si>
  <si>
    <t>153-839</t>
  </si>
  <si>
    <t xml:space="preserve">서울특별시 금천구 시흥동 121-9 </t>
  </si>
  <si>
    <t>서울특별시 금천구 시흥대로63길 3, 지하1층 (시흥동)</t>
  </si>
  <si>
    <t>08615</t>
  </si>
  <si>
    <t>에쿠스 노래타운</t>
  </si>
  <si>
    <t>242</t>
  </si>
  <si>
    <t xml:space="preserve">서울특별시 중랑구 묵동 163-1 2층 </t>
  </si>
  <si>
    <t>서울특별시 중랑구 숙선옹주로 3 (묵동,2층)</t>
  </si>
  <si>
    <t>팬덤라이브</t>
  </si>
  <si>
    <t>243</t>
  </si>
  <si>
    <t>131-860</t>
  </si>
  <si>
    <t xml:space="preserve">서울특별시 중랑구 상봉동 113-3번지 2층 </t>
  </si>
  <si>
    <t>서울특별시 중랑구 면목로 483 (상봉동,2층)</t>
  </si>
  <si>
    <t>02137</t>
  </si>
  <si>
    <t>244</t>
  </si>
  <si>
    <t>157-866</t>
  </si>
  <si>
    <t xml:space="preserve">서울특별시 강서구 화곡동 24-524 제일빌딩 지하 1층 </t>
  </si>
  <si>
    <t>서울특별시 강서구 화곡로42길 4, 제일빌딩 지하 1층 (화곡동)</t>
  </si>
  <si>
    <t>07679</t>
  </si>
  <si>
    <t>영노래바</t>
  </si>
  <si>
    <t>245</t>
  </si>
  <si>
    <t xml:space="preserve">서울특별시 동대문구 장안동 366-6번지 지상2층 </t>
  </si>
  <si>
    <t>서울특별시 동대문구 장한로 106 (장안동,지상2층)</t>
  </si>
  <si>
    <t>콘서트</t>
  </si>
  <si>
    <t>246</t>
  </si>
  <si>
    <t>100-032</t>
  </si>
  <si>
    <t xml:space="preserve">서울특별시 중구 저동2가 78번지 지하1층(B102,103,104) </t>
  </si>
  <si>
    <t>서울특별시 중구 수표로 45 (저동2가,지하1층(B102,103,104))</t>
  </si>
  <si>
    <t>04551</t>
  </si>
  <si>
    <t>자이언트노래주점</t>
  </si>
  <si>
    <t>247</t>
  </si>
  <si>
    <t xml:space="preserve">서울특별시 은평구 불광동 281-175 </t>
  </si>
  <si>
    <t>서울특별시 은평구 통일로 716 (불광동)</t>
  </si>
  <si>
    <t>싱글벙글단란</t>
  </si>
  <si>
    <t>248</t>
  </si>
  <si>
    <t xml:space="preserve">서울특별시 종로구 창신동 290 (B1층) </t>
  </si>
  <si>
    <t>서울특별시 종로구 종로 339 (창신동,(B1층))</t>
  </si>
  <si>
    <t>애플단란주점</t>
  </si>
  <si>
    <t>249</t>
  </si>
  <si>
    <t xml:space="preserve">서울특별시 강서구 화곡동 938-19번지 (지하 1층) </t>
  </si>
  <si>
    <t>서울특별시 강서구 곰달래로 54, 지하 1층 (화곡동, 1동)</t>
  </si>
  <si>
    <t>테마단란주점</t>
  </si>
  <si>
    <t>250</t>
  </si>
  <si>
    <t>153-801</t>
  </si>
  <si>
    <t xml:space="preserve">서울특별시 금천구 가산동 141-8 2층 </t>
  </si>
  <si>
    <t>서울특별시 금천구 가산로 148 (가산동,2층)</t>
  </si>
  <si>
    <t>08527</t>
  </si>
  <si>
    <t>던힐노래바</t>
  </si>
  <si>
    <t>251</t>
  </si>
  <si>
    <t xml:space="preserve">서울특별시 은평구 불광동 281-108 외91 </t>
  </si>
  <si>
    <t>서울특별시 은평구 통일로 732 (불광동,외91)</t>
  </si>
  <si>
    <t>청춘라이브</t>
  </si>
  <si>
    <t>252</t>
  </si>
  <si>
    <t xml:space="preserve">서울특별시 은평구 갈현동 456-2 </t>
  </si>
  <si>
    <t>서울특별시 은평구 연서로 217 (갈현동)</t>
  </si>
  <si>
    <t>링코노래타운</t>
  </si>
  <si>
    <t>253</t>
  </si>
  <si>
    <t>링코노래바</t>
  </si>
  <si>
    <t>254</t>
  </si>
  <si>
    <t>121-838</t>
  </si>
  <si>
    <t xml:space="preserve">서울특별시 마포구 서교동 351-5 </t>
  </si>
  <si>
    <t>서울특별시 마포구 월드컵북로 7 (서교동)</t>
  </si>
  <si>
    <t>04031</t>
  </si>
  <si>
    <t>오렌지</t>
  </si>
  <si>
    <t>255</t>
  </si>
  <si>
    <t xml:space="preserve">서울특별시 양천구 신정동 1190-6 지하 1층 </t>
  </si>
  <si>
    <t>서울특별시 양천구 중앙로 269, 지하 1층 (신정동)</t>
  </si>
  <si>
    <t>08058</t>
  </si>
  <si>
    <t>라이브사랑벌</t>
  </si>
  <si>
    <t xml:space="preserve">서울특별시 동작구 사당동 145-11번지 </t>
  </si>
  <si>
    <t>서울특별시 동작구 동작대로27가길 36 (사당동)</t>
  </si>
  <si>
    <t>SBS노래주점</t>
  </si>
  <si>
    <t>257</t>
  </si>
  <si>
    <t xml:space="preserve">서울특별시 서초구 서초동 1330-12 지하1층 </t>
  </si>
  <si>
    <t>서울특별시 서초구 서초대로78길 52 (서초동,지하1층)</t>
  </si>
  <si>
    <t>H1(에이치원)</t>
  </si>
  <si>
    <t>258</t>
  </si>
  <si>
    <t xml:space="preserve">서울특별시 강서구 화곡동 935-12 </t>
  </si>
  <si>
    <t>서울특별시 강서구 강서로5나길 148, 3층 (화곡동)</t>
  </si>
  <si>
    <t>왕노래타운</t>
  </si>
  <si>
    <t>259</t>
  </si>
  <si>
    <t xml:space="preserve">서울특별시 영등포구 여의도동 36-2 </t>
  </si>
  <si>
    <t>서울특별시 영등포구 국제금융로6길 33, 지하1층 (여의도동)</t>
  </si>
  <si>
    <t>하모니카</t>
  </si>
  <si>
    <t>260</t>
  </si>
  <si>
    <t xml:space="preserve">서울특별시 마포구 노고산동 106-69번지 </t>
  </si>
  <si>
    <t>서울특별시 마포구 서강로18길 19 (노고산동, 지하1층)</t>
  </si>
  <si>
    <t>04109</t>
  </si>
  <si>
    <t>나우</t>
  </si>
  <si>
    <t>261</t>
  </si>
  <si>
    <t xml:space="preserve">서울특별시 도봉구 창동 655-26 지하1층 </t>
  </si>
  <si>
    <t>서울특별시 도봉구 도봉로110길 11, 지하1층 (창동)</t>
  </si>
  <si>
    <t>7080라이브밀라노</t>
  </si>
  <si>
    <t>262</t>
  </si>
  <si>
    <t xml:space="preserve">서울특별시 서초구 서초동 1366-7 지하 1층 일부 </t>
  </si>
  <si>
    <t>서울특별시 서초구 강남대로 243 (서초동,지하 1층 일부)</t>
  </si>
  <si>
    <t>김(kim)클럽단란주점</t>
  </si>
  <si>
    <t>263</t>
  </si>
  <si>
    <t>156-827</t>
  </si>
  <si>
    <t xml:space="preserve">서울특별시 동작구 사당동 1044-28 (지하1층) </t>
  </si>
  <si>
    <t>서울특별시 동작구 동작대로1길 33 (사당동,(지하1층))</t>
  </si>
  <si>
    <t>07025</t>
  </si>
  <si>
    <t>파파코</t>
  </si>
  <si>
    <t>264</t>
  </si>
  <si>
    <t xml:space="preserve">서울특별시 영등포구 당산동6가 227번지 지하1층 </t>
  </si>
  <si>
    <t>서울특별시 영등포구 양평로 36 (당산동6가,지하1층)</t>
  </si>
  <si>
    <t>맥주창고B.one</t>
  </si>
  <si>
    <t>265</t>
  </si>
  <si>
    <t xml:space="preserve">서울특별시 양천구 신정동 1183-11 지하 1층 </t>
  </si>
  <si>
    <t>서울특별시 양천구 중앙로 257, 지하 1층 (신정동)</t>
  </si>
  <si>
    <t>팡팡노래바</t>
  </si>
  <si>
    <t>266</t>
  </si>
  <si>
    <t>137-887</t>
  </si>
  <si>
    <t xml:space="preserve">서울특별시 서초구 양재동 12-4 지하 1층 </t>
  </si>
  <si>
    <t>서울특별시 서초구 남부순환로350길 8 (양재동,지하 1층)</t>
  </si>
  <si>
    <t>06736</t>
  </si>
  <si>
    <t>어린왕자 블랙</t>
  </si>
  <si>
    <t>267</t>
  </si>
  <si>
    <t xml:space="preserve">서울특별시 영등포구 영등포동3가 16-2번지 지하1층 </t>
  </si>
  <si>
    <t>서울특별시 영등포구 영중로10길 20, 지하1층 (영등포동3가)</t>
  </si>
  <si>
    <t>지엑스</t>
  </si>
  <si>
    <t>268</t>
  </si>
  <si>
    <t>137-881</t>
  </si>
  <si>
    <t xml:space="preserve">서울특별시 서초구 서초동 1670-9 지하 1층 </t>
  </si>
  <si>
    <t>서울특별시 서초구 서초중앙로22길 45 (서초동,지하 1층)</t>
  </si>
  <si>
    <t>06633</t>
  </si>
  <si>
    <t>명품</t>
  </si>
  <si>
    <t>269</t>
  </si>
  <si>
    <t>122-831</t>
  </si>
  <si>
    <t xml:space="preserve">서울특별시 은평구 녹번동 117-112 지하1층 </t>
  </si>
  <si>
    <t>서울특별시 은평구 통일로 697 (녹번동,지하1층)</t>
  </si>
  <si>
    <t>03375</t>
  </si>
  <si>
    <t>제이제이라이브(JJlive)</t>
  </si>
  <si>
    <t>110-122</t>
  </si>
  <si>
    <t xml:space="preserve">서울특별시 종로구 종로2가 12번지 지하1층 </t>
  </si>
  <si>
    <t>서울특별시 종로구 종로 77 (종로2가,지하1층)</t>
  </si>
  <si>
    <t>03164</t>
  </si>
  <si>
    <t>풀코스</t>
  </si>
  <si>
    <t>271</t>
  </si>
  <si>
    <t xml:space="preserve">서울특별시 금천구 시흥동 888-12 지하1층 </t>
  </si>
  <si>
    <t>서울특별시 금천구 시흥대로56길 17 (시흥동, 지하1층)</t>
  </si>
  <si>
    <t>콘서트 7080</t>
  </si>
  <si>
    <t>272</t>
  </si>
  <si>
    <t xml:space="preserve">서울특별시 용산구 한강로3가 40-137번지 지하1층 </t>
  </si>
  <si>
    <t>서울특별시 용산구 한강대로 57 (한강로3가, 40-137 지하1층)</t>
  </si>
  <si>
    <t>팡파르</t>
  </si>
  <si>
    <t>273</t>
  </si>
  <si>
    <t xml:space="preserve">서울특별시 성북구 동선동1가 4-8번지 (지하1층) </t>
  </si>
  <si>
    <t>서울특별시 성북구 동소문로20길 29-11 (동선동1가,(지하1층))</t>
  </si>
  <si>
    <t>포시즌</t>
  </si>
  <si>
    <t>274</t>
  </si>
  <si>
    <t>121-030</t>
  </si>
  <si>
    <t>서울특별시 마포구 신공덕동 167번지 외2필지 메트로디오빌 지1층 B119호</t>
  </si>
  <si>
    <t>서울특별시 마포구 백범로 199, B119호 (신공덕동,외2필지 메트로디오빌 지1층)</t>
  </si>
  <si>
    <t>메트로</t>
  </si>
  <si>
    <t>275</t>
  </si>
  <si>
    <t xml:space="preserve">서울특별시 강서구 화곡동 913-5 지하1층 </t>
  </si>
  <si>
    <t>서울특별시 강서구 강서로5나길 88 (화곡동,지하1층)</t>
  </si>
  <si>
    <t>학창시절</t>
  </si>
  <si>
    <t>276</t>
  </si>
  <si>
    <t>158-859</t>
  </si>
  <si>
    <t xml:space="preserve">서울특별시 양천구 신정동 972-3 동성빌딩 지하 1층 </t>
  </si>
  <si>
    <t>서울특별시 양천구 중앙로 284, 동성빌딩 지하 1층 (신정동)</t>
  </si>
  <si>
    <t>08026</t>
  </si>
  <si>
    <t>라이브7080 1박2일</t>
  </si>
  <si>
    <t>277</t>
  </si>
  <si>
    <t>120-012</t>
  </si>
  <si>
    <t xml:space="preserve">서울특별시 서대문구 충정로2가 5-6 </t>
  </si>
  <si>
    <t>서울특별시 서대문구 통일로 133-5 (충정로2가)</t>
  </si>
  <si>
    <t>03735</t>
  </si>
  <si>
    <t>블랙&amp;화이트</t>
  </si>
  <si>
    <t>278</t>
  </si>
  <si>
    <t xml:space="preserve">서울특별시 강서구 화곡동 928-19번지 (지상 2층) </t>
  </si>
  <si>
    <t>서울특별시 강서구 강서로5나길 130, 2층 (화곡동, 1동)</t>
  </si>
  <si>
    <t>연안노래광장</t>
  </si>
  <si>
    <t>279</t>
  </si>
  <si>
    <t>122-860</t>
  </si>
  <si>
    <t xml:space="preserve">서울특별시 은평구 불광동 486-2번지 지하1층 </t>
  </si>
  <si>
    <t>서울특별시 은평구 통일로80길 8 (불광동,지하1층)</t>
  </si>
  <si>
    <t>03345</t>
  </si>
  <si>
    <t>얄리단란주점</t>
  </si>
  <si>
    <t>280</t>
  </si>
  <si>
    <t xml:space="preserve">서울특별시 금천구 시흥동 884-4 지상2층 </t>
  </si>
  <si>
    <t>서울특별시 금천구 시흥대로52길 70 (시흥동, 지상2층)</t>
  </si>
  <si>
    <t>호텔노래바</t>
  </si>
  <si>
    <t>281</t>
  </si>
  <si>
    <t xml:space="preserve">서울특별시 중랑구 망우동 490-13번지 2층 </t>
  </si>
  <si>
    <t>서울특별시 중랑구 용마산로115길 92 (망우동,2층)</t>
  </si>
  <si>
    <t>7080불놀이야</t>
  </si>
  <si>
    <t>282</t>
  </si>
  <si>
    <t xml:space="preserve">서울특별시 구로구 구로동 1124-1 </t>
  </si>
  <si>
    <t>서울특별시 구로구 디지털로32길 97-39 (구로동)</t>
  </si>
  <si>
    <t>썬노래바</t>
  </si>
  <si>
    <t>283</t>
  </si>
  <si>
    <t xml:space="preserve">서울특별시 강서구 화곡동 898-12 2층 </t>
  </si>
  <si>
    <t>서울특별시 강서구 곰달래로 126, 2층 (화곡동)</t>
  </si>
  <si>
    <t>라이브곰친구</t>
  </si>
  <si>
    <t>284</t>
  </si>
  <si>
    <t xml:space="preserve">서울특별시 관악구 신림동 1640-31 </t>
  </si>
  <si>
    <t>서울특별시 관악구 신림로59길 14 (신림동)</t>
  </si>
  <si>
    <t>준코뮤직타운 신림2호점</t>
  </si>
  <si>
    <t>285</t>
  </si>
  <si>
    <t xml:space="preserve">서울특별시 중구 신당동 120-9 (2층) </t>
  </si>
  <si>
    <t>서울특별시 중구 퇴계로 422-1 (신당동,(2층))</t>
  </si>
  <si>
    <t>판타지 드림라이브</t>
  </si>
  <si>
    <t>286</t>
  </si>
  <si>
    <t>158-070</t>
  </si>
  <si>
    <t xml:space="preserve">서울특별시 양천구 신정동 1031-8 지하 1층 </t>
  </si>
  <si>
    <t>서울특별시 양천구 중앙로 264, 지하 1층 (신정동)</t>
  </si>
  <si>
    <t>08082</t>
  </si>
  <si>
    <t>강남노래바</t>
  </si>
  <si>
    <t>287</t>
  </si>
  <si>
    <t>134-020</t>
  </si>
  <si>
    <t xml:space="preserve">서울특별시 강동구 천호동 415-32 ,33호 </t>
  </si>
  <si>
    <t>서울특별시 강동구 올림픽로70길 51 (천호동,,33호)</t>
  </si>
  <si>
    <t>05329</t>
  </si>
  <si>
    <t>노래하는호프소주방이꼬이꼬</t>
  </si>
  <si>
    <t>288</t>
  </si>
  <si>
    <t xml:space="preserve">서울특별시 강서구 화곡동 913-4 (지상 2층) </t>
  </si>
  <si>
    <t>서울특별시 강서구 강서로5나길 80, 2층 (화곡동, 1동)</t>
  </si>
  <si>
    <t>황실노래광장</t>
  </si>
  <si>
    <t>289</t>
  </si>
  <si>
    <t>122-808</t>
  </si>
  <si>
    <t xml:space="preserve">서울특별시 은평구 갈현동 395-24번지 </t>
  </si>
  <si>
    <t>서울특별시 은평구 통일로 865 (갈현동)</t>
  </si>
  <si>
    <t>박주현 뮤직크럽</t>
  </si>
  <si>
    <t>290</t>
  </si>
  <si>
    <t>100-862</t>
  </si>
  <si>
    <t xml:space="preserve">서울특별시 중구 충무로4가 132-3 지하1층 </t>
  </si>
  <si>
    <t>서울특별시 중구 퇴계로 209, 지하1층 (충무로4가)</t>
  </si>
  <si>
    <t>04557</t>
  </si>
  <si>
    <t>뜰방</t>
  </si>
  <si>
    <t>291</t>
  </si>
  <si>
    <t xml:space="preserve">서울특별시 강서구 화곡동 903-4 2층 </t>
  </si>
  <si>
    <t>서울특별시 강서구 강서로5길 4, 2층 (화곡동, 1동)</t>
  </si>
  <si>
    <t>광장노래노래</t>
  </si>
  <si>
    <t>292</t>
  </si>
  <si>
    <t xml:space="preserve">서울특별시 강동구 길동 412-8 (지1층) </t>
  </si>
  <si>
    <t>서울특별시 강동구 양재대로 1465 (길동,(지1층))</t>
  </si>
  <si>
    <t>악쓰는 하마2</t>
  </si>
  <si>
    <t>293</t>
  </si>
  <si>
    <t xml:space="preserve">서울특별시 강북구 미아동 35-1 (도봉로 40-1) </t>
  </si>
  <si>
    <t>서울특별시 강북구 도봉로6길 8 (미아동,(도봉로 40-1))</t>
  </si>
  <si>
    <t>롤리팝</t>
  </si>
  <si>
    <t>294</t>
  </si>
  <si>
    <t>130-867</t>
  </si>
  <si>
    <t xml:space="preserve">서울특별시 동대문구 청량리동 50-1 외1필지 </t>
  </si>
  <si>
    <t>서울특별시 동대문구 왕산로 253-1 (청량리동,외1필지)</t>
  </si>
  <si>
    <t>02488</t>
  </si>
  <si>
    <t>독도 7080</t>
  </si>
  <si>
    <t>295</t>
  </si>
  <si>
    <t>137-856</t>
  </si>
  <si>
    <t xml:space="preserve">서울특별시 서초구 서초동 1307-18번지 6층 </t>
  </si>
  <si>
    <t>서울특별시 서초구 강남대로65길 7 (서초동,6층)</t>
  </si>
  <si>
    <t>06614</t>
  </si>
  <si>
    <t>주궁</t>
  </si>
  <si>
    <t>296</t>
  </si>
  <si>
    <t xml:space="preserve">서울특별시 중랑구 망우동 563-12번지 </t>
  </si>
  <si>
    <t>서울특별시 중랑구 용마산로115길 106 (망우동)</t>
  </si>
  <si>
    <t>샴퓨</t>
  </si>
  <si>
    <t>297</t>
  </si>
  <si>
    <t xml:space="preserve">서울특별시 강서구 화곡동 938-18 (지상 2층) </t>
  </si>
  <si>
    <t>서울특별시 강서구 곰달래로 52, 2층 (화곡동, 1동)</t>
  </si>
  <si>
    <t>처음그날처럼 생음악라이브</t>
  </si>
  <si>
    <t>298</t>
  </si>
  <si>
    <t>131-831</t>
  </si>
  <si>
    <t xml:space="preserve">서울특별시 중랑구 면목동 496-18 </t>
  </si>
  <si>
    <t>서울특별시 중랑구 면목로 325, 2,3층 (면목동)</t>
  </si>
  <si>
    <t>02228</t>
  </si>
  <si>
    <t>주락노래타운</t>
  </si>
  <si>
    <t>299</t>
  </si>
  <si>
    <t xml:space="preserve">서울특별시 구로구 구로동 1124-6 (창조1길15)지하1층 </t>
  </si>
  <si>
    <t>서울특별시 구로구 디지털로32길 97-27 (구로동,(창조1길15)지하1층)</t>
  </si>
  <si>
    <t>야우</t>
  </si>
  <si>
    <t>300</t>
  </si>
  <si>
    <t>156-840</t>
  </si>
  <si>
    <t xml:space="preserve">서울특별시 동작구 상도동 188-4 </t>
  </si>
  <si>
    <t>서울특별시 동작구 상도로 152 (상도동)</t>
  </si>
  <si>
    <t>06959</t>
  </si>
  <si>
    <t>파티파티</t>
  </si>
  <si>
    <t>301</t>
  </si>
  <si>
    <t xml:space="preserve">서울특별시 강서구 화곡동 343-57 </t>
  </si>
  <si>
    <t>서울특별시 강서구 강서로 39, 3층 (화곡동)</t>
  </si>
  <si>
    <t>엔</t>
  </si>
  <si>
    <t>302</t>
  </si>
  <si>
    <t xml:space="preserve">서울특별시 은평구 갈현동 456-33 </t>
  </si>
  <si>
    <t>서울특별시 은평구 연서로 221 (갈현동)</t>
  </si>
  <si>
    <t>시바노래밤</t>
  </si>
  <si>
    <t>303</t>
  </si>
  <si>
    <t>157-925</t>
  </si>
  <si>
    <t xml:space="preserve">서울특별시 강서구 화곡동 1075-1 (지하 1층) </t>
  </si>
  <si>
    <t>서울특별시 강서구 화곡로 지하 166, 1층 (화곡동, 1동)</t>
  </si>
  <si>
    <t>황실노래바</t>
  </si>
  <si>
    <t>304</t>
  </si>
  <si>
    <t xml:space="preserve">서울특별시 강서구 화곡동 913-3번지 (지하 1층) </t>
  </si>
  <si>
    <t>서울특별시 강서구 강서로5나길 74 (화곡동,(지하 1층))</t>
  </si>
  <si>
    <t>황금노래바</t>
  </si>
  <si>
    <t>305</t>
  </si>
  <si>
    <t xml:space="preserve">서울특별시 구로구 구로동 1123-1 (시흥대로10)지하1층 </t>
  </si>
  <si>
    <t>서울특별시 구로구 시흥대로 577 (구로동,(시흥대로10)지하1층)</t>
  </si>
  <si>
    <t>박스노래타운</t>
  </si>
  <si>
    <t>306</t>
  </si>
  <si>
    <t xml:space="preserve">서울특별시 금천구 시흥동 888-1 지상2층 </t>
  </si>
  <si>
    <t>서울특별시 금천구 시흥대로52길 46 (시흥동,지상2층)</t>
  </si>
  <si>
    <t>영웅노래바</t>
  </si>
  <si>
    <t>307</t>
  </si>
  <si>
    <t xml:space="preserve">서울특별시 양천구 신정동 1183-7 지하 1층 </t>
  </si>
  <si>
    <t>서울특별시 양천구 중앙로 263, 지하 1층 (신정동)</t>
  </si>
  <si>
    <t>라온뮤직타운</t>
  </si>
  <si>
    <t>308</t>
  </si>
  <si>
    <t>158-861</t>
  </si>
  <si>
    <t xml:space="preserve">서울특별시 양천구 신정동 1030-6 2층 </t>
  </si>
  <si>
    <t>서울특별시 양천구 중앙로34길 30, 2층 (신정동)</t>
  </si>
  <si>
    <t>아주노래광장</t>
  </si>
  <si>
    <t>309</t>
  </si>
  <si>
    <t xml:space="preserve">서울특별시 강북구 수유동 230-13 </t>
  </si>
  <si>
    <t>서울특별시 강북구 도봉로 317 (수유동)</t>
  </si>
  <si>
    <t>스머프</t>
  </si>
  <si>
    <t>310</t>
  </si>
  <si>
    <t>130-846</t>
  </si>
  <si>
    <t xml:space="preserve">서울특별시 동대문구 장안동 464-1 </t>
  </si>
  <si>
    <t>서울특별시 동대문구 장한로 6 (장안동)</t>
  </si>
  <si>
    <t>02645</t>
  </si>
  <si>
    <t>뱅크</t>
  </si>
  <si>
    <t>311</t>
  </si>
  <si>
    <t xml:space="preserve">서울특별시 양천구 신정동 972-1 2층 </t>
  </si>
  <si>
    <t>서울특별시 양천구 중앙로 288, 2층 (신정동)</t>
  </si>
  <si>
    <t>퓨전노래주점</t>
  </si>
  <si>
    <t>312</t>
  </si>
  <si>
    <t xml:space="preserve">서울특별시 구로구 구로동 1124-22 (창조길8-1)2층 </t>
  </si>
  <si>
    <t>서울특별시 구로구 디지털로32길 91 (구로동,(창조길8-1)2층)</t>
  </si>
  <si>
    <t>씨스타</t>
  </si>
  <si>
    <t>313</t>
  </si>
  <si>
    <t xml:space="preserve">서울특별시 강북구 번동 449-4 (도봉로 296) 지하1층 </t>
  </si>
  <si>
    <t>서울특별시 강북구 도봉로 296 (번동,(도봉로 296))</t>
  </si>
  <si>
    <t>써니</t>
  </si>
  <si>
    <t>314</t>
  </si>
  <si>
    <t xml:space="preserve">서울특별시 관악구 신림동 1423-19 </t>
  </si>
  <si>
    <t>서울특별시 관악구 봉천로12길 63, 지하1층 (신림동)</t>
  </si>
  <si>
    <t>17%</t>
  </si>
  <si>
    <t>315</t>
  </si>
  <si>
    <t>151-800</t>
  </si>
  <si>
    <t xml:space="preserve">서울특별시 관악구 남현동 1061-3 외1필지 가호 </t>
  </si>
  <si>
    <t>서울특별시 관악구 남현1길 68-6 (남현동,외1필지 가호)</t>
  </si>
  <si>
    <t>08807</t>
  </si>
  <si>
    <t>호박</t>
  </si>
  <si>
    <t>316</t>
  </si>
  <si>
    <t xml:space="preserve">서울특별시 강동구 길동 386-8번지 지하 1층 </t>
  </si>
  <si>
    <t>서울특별시 강동구 천중로40길 78 (길동,지하 1층)</t>
  </si>
  <si>
    <t>연경가요주점</t>
  </si>
  <si>
    <t>317</t>
  </si>
  <si>
    <t>151-903</t>
  </si>
  <si>
    <t xml:space="preserve">서울특별시 관악구 신림동 1655-16 </t>
  </si>
  <si>
    <t>서울특별시 관악구 시흥대로 560, 지하1층 (신림동)</t>
  </si>
  <si>
    <t>08769</t>
  </si>
  <si>
    <t>쇼킹노래바</t>
  </si>
  <si>
    <t>318</t>
  </si>
  <si>
    <t xml:space="preserve">서울특별시 금천구 독산동 293-5 </t>
  </si>
  <si>
    <t>서울특별시 금천구 범안로 1209, 지상4층 (독산동)</t>
  </si>
  <si>
    <t>파라다이스</t>
  </si>
  <si>
    <t>319</t>
  </si>
  <si>
    <t xml:space="preserve">서울특별시 구로구 구로동 1123-3 지하 1층 </t>
  </si>
  <si>
    <t>서울특별시 구로구 시흥대로 577-11 (구로동,지하 1층)</t>
  </si>
  <si>
    <t>K-2 노래광장</t>
  </si>
  <si>
    <t>320</t>
  </si>
  <si>
    <t xml:space="preserve">서울특별시 강동구 길동 458-2번지 202호 </t>
  </si>
  <si>
    <t>서울특별시 강동구 천호대로177길 16 (길동,202호)</t>
  </si>
  <si>
    <t>사탕</t>
  </si>
  <si>
    <t>321</t>
  </si>
  <si>
    <t xml:space="preserve">서울특별시 금천구 시흥동 883-15 </t>
  </si>
  <si>
    <t>서울특별시 금천구 시흥대로58길 5, 지하1층 (시흥동)</t>
  </si>
  <si>
    <t>킹카투</t>
  </si>
  <si>
    <t>322</t>
  </si>
  <si>
    <t>151-894</t>
  </si>
  <si>
    <t xml:space="preserve">서울특별시 관악구 신림동 1474-10 </t>
  </si>
  <si>
    <t>서울특별시 관악구 남부순환로 1456, 지상2층 (신림동)</t>
  </si>
  <si>
    <t>08771</t>
  </si>
  <si>
    <t>쎄시봉콘서트 7080</t>
  </si>
  <si>
    <t>323</t>
  </si>
  <si>
    <t xml:space="preserve">서울특별시 관악구 신림동 1432-73번지 </t>
  </si>
  <si>
    <t>서울특별시 관악구 신림로 353, 4층 (신림동)</t>
  </si>
  <si>
    <t>동경</t>
  </si>
  <si>
    <t>324</t>
  </si>
  <si>
    <t xml:space="preserve">서울특별시 도봉구 창동 661-2 </t>
  </si>
  <si>
    <t>서울특별시 도봉구 도봉로 508, 지하1층 (창동)</t>
  </si>
  <si>
    <t>01453</t>
  </si>
  <si>
    <t>대박단란주점</t>
  </si>
  <si>
    <t>325</t>
  </si>
  <si>
    <t xml:space="preserve">서울특별시 강남구 논현동 143-20번지 </t>
  </si>
  <si>
    <t>서울특별시 강남구 강남대로 522 (논현동)</t>
  </si>
  <si>
    <t>에이스 노래당</t>
  </si>
  <si>
    <t>326</t>
  </si>
  <si>
    <t>121-893</t>
  </si>
  <si>
    <t xml:space="preserve">서울특별시 마포구 서교동 371-4번지 </t>
  </si>
  <si>
    <t>서울특별시 마포구 양화로16길 10 (서교동)</t>
  </si>
  <si>
    <t>주</t>
  </si>
  <si>
    <t>327</t>
  </si>
  <si>
    <t xml:space="preserve">서울특별시 은평구 갈현동 456-4 지하1층 </t>
  </si>
  <si>
    <t>서울특별시 은평구 연서로27길 6, 지하1층 (갈현동)</t>
  </si>
  <si>
    <t>복 노래밤</t>
  </si>
  <si>
    <t>328</t>
  </si>
  <si>
    <t>100-873</t>
  </si>
  <si>
    <t xml:space="preserve">서울특별시 중구 회현동1가 65 렉스호텔 지하1층 </t>
  </si>
  <si>
    <t>서울특별시 중구 퇴계로10길 23 (회현동1가,렉스호텔 지하1층)</t>
  </si>
  <si>
    <t>04632</t>
  </si>
  <si>
    <t>애가</t>
  </si>
  <si>
    <t>329</t>
  </si>
  <si>
    <t xml:space="preserve">서울특별시 강북구 번동 449-2 지상2층 </t>
  </si>
  <si>
    <t>서울특별시 강북구 도봉로82길 16 (번동,지상2층)</t>
  </si>
  <si>
    <t>쿠베라</t>
  </si>
  <si>
    <t>330</t>
  </si>
  <si>
    <t xml:space="preserve">서울특별시 강남구 역삼동 677-2 </t>
  </si>
  <si>
    <t>서울특별시 강남구 언주로93길 29 (역삼동)</t>
  </si>
  <si>
    <t>06142</t>
  </si>
  <si>
    <t>알마니 노래바 Q</t>
  </si>
  <si>
    <t>331</t>
  </si>
  <si>
    <t xml:space="preserve">서울특별시 관악구 남현동 1061-17 </t>
  </si>
  <si>
    <t>서울특별시 관악구 과천대로 941, 지하1층 (남현동)</t>
  </si>
  <si>
    <t>준코뮤직타운 사당1호점</t>
  </si>
  <si>
    <t>332</t>
  </si>
  <si>
    <t xml:space="preserve">서울특별시 강북구 수유동 191-75 </t>
  </si>
  <si>
    <t>서울특별시 강북구 도봉로87길 12, 5층 (수유동)</t>
  </si>
  <si>
    <t>팡팡노래타운</t>
  </si>
  <si>
    <t>333</t>
  </si>
  <si>
    <t xml:space="preserve">서울특별시 관악구 신림동 538-2 </t>
  </si>
  <si>
    <t>서울특별시 관악구 남부순환로 1471, 지하1층 (신림동)</t>
  </si>
  <si>
    <t>원,투,쓰리</t>
  </si>
  <si>
    <t>334</t>
  </si>
  <si>
    <t>150-715</t>
  </si>
  <si>
    <t xml:space="preserve">서울특별시 영등포구 여의도동 14-11 대하빌딩지하19호 </t>
  </si>
  <si>
    <t>서울특별시 영등포구 국회대로70길 19 (여의도동,대하빌딩지하19호)</t>
  </si>
  <si>
    <t>07238</t>
  </si>
  <si>
    <t>신사노래노래</t>
  </si>
  <si>
    <t>335</t>
  </si>
  <si>
    <t xml:space="preserve">서울특별시 강남구 역삼동 718-31 </t>
  </si>
  <si>
    <t>서울특별시 강남구 논현로86길 33, 지하1층 (역삼동)</t>
  </si>
  <si>
    <t>06220</t>
  </si>
  <si>
    <t>버디(Buddy)</t>
  </si>
  <si>
    <t>336</t>
  </si>
  <si>
    <t xml:space="preserve">서울특별시 구로구 구로동 1125-1번지 지하1층 </t>
  </si>
  <si>
    <t>서울특별시 구로구 시흥대로 571, 지하1층 (구로동)</t>
  </si>
  <si>
    <t>엠(M)노래주점</t>
  </si>
  <si>
    <t>337</t>
  </si>
  <si>
    <t>130-817</t>
  </si>
  <si>
    <t xml:space="preserve">서울특별시 동대문구 용두동 45-5번지 지하1층 (고산자로 173) </t>
  </si>
  <si>
    <t>서울특별시 동대문구 고산자로 415 (용두동,지하1층 (고산자로 173))</t>
  </si>
  <si>
    <t>02566</t>
  </si>
  <si>
    <t>훈(HOON)</t>
  </si>
  <si>
    <t>338</t>
  </si>
  <si>
    <t>136-045</t>
  </si>
  <si>
    <t xml:space="preserve">서울특별시 성북구 삼선동5가 298-10 광남제니텔 B01호 </t>
  </si>
  <si>
    <t>서울특별시 성북구 보문로 167 (삼선동5가,광남제니텔 B01호)</t>
  </si>
  <si>
    <t>02862</t>
  </si>
  <si>
    <t>뮤즈</t>
  </si>
  <si>
    <t>339</t>
  </si>
  <si>
    <t xml:space="preserve">서울특별시 성동구 도선동 253-10 (지하1층) </t>
  </si>
  <si>
    <t>서울특별시 성동구 왕십리로 330-6, 지하1층 (도선동, 253-10)</t>
  </si>
  <si>
    <t>사파리</t>
  </si>
  <si>
    <t>340</t>
  </si>
  <si>
    <t xml:space="preserve">서울특별시 강서구 화곡동 913-6 (지하 1층) </t>
  </si>
  <si>
    <t>서울특별시 강서구 강서로5나길 94, 지하 1층 (화곡동, 1동)</t>
  </si>
  <si>
    <t>퀸 노래광장</t>
  </si>
  <si>
    <t>341</t>
  </si>
  <si>
    <t>153-830</t>
  </si>
  <si>
    <t xml:space="preserve">서울특별시 금천구 독산동 1031-5 지하1층 </t>
  </si>
  <si>
    <t>서울특별시 금천구 시흥대로 364 (독산동, 지하1층)</t>
  </si>
  <si>
    <t>08616</t>
  </si>
  <si>
    <t>라이브콘서트</t>
  </si>
  <si>
    <t>342</t>
  </si>
  <si>
    <t xml:space="preserve">서울특별시 관악구 신림동 1431-41 </t>
  </si>
  <si>
    <t>서울특별시 관악구 신림동길 3, 지상2층 (신림동)</t>
  </si>
  <si>
    <t>스위트 데빌스</t>
  </si>
  <si>
    <t>343</t>
  </si>
  <si>
    <t xml:space="preserve">서울특별시 관악구 남현동 1060-2 </t>
  </si>
  <si>
    <t>서울특별시 관악구 남현1길 47, 지하1층 01호 (남현동)</t>
  </si>
  <si>
    <t>08806</t>
  </si>
  <si>
    <t>준코뮤직타운 사당2호점</t>
  </si>
  <si>
    <t>344</t>
  </si>
  <si>
    <t xml:space="preserve">서울특별시 구로구 구로동 1125-2 (시흥대로 118) 지하1층 </t>
  </si>
  <si>
    <t>345</t>
  </si>
  <si>
    <t xml:space="preserve">서울특별시 성북구 동선동1가 3-7 지하 </t>
  </si>
  <si>
    <t>서울특별시 성북구 동소문로20나길 8 (동선동1가,지하)</t>
  </si>
  <si>
    <t>솔</t>
  </si>
  <si>
    <t>346</t>
  </si>
  <si>
    <t xml:space="preserve">서울특별시 영등포구 여의도동 44-12 고려빌딩204호 </t>
  </si>
  <si>
    <t>서울특별시 영등포구 여의대방로67길 8 (여의도동,고려빌딩204호)</t>
  </si>
  <si>
    <t>하루</t>
  </si>
  <si>
    <t>347</t>
  </si>
  <si>
    <t>120-857</t>
  </si>
  <si>
    <t xml:space="preserve">서울특별시 서대문구 홍제동 294-4 (지하1층) </t>
  </si>
  <si>
    <t>서울특별시 서대문구 통일로 478 (홍제동,(지하1층))</t>
  </si>
  <si>
    <t>03628</t>
  </si>
  <si>
    <t>방콕</t>
  </si>
  <si>
    <t>348</t>
  </si>
  <si>
    <t xml:space="preserve">서울특별시 송파구 잠실동 182-6번지 지하1층 </t>
  </si>
  <si>
    <t>서울특별시 송파구 백제고분로7길 29 (잠실동,지하1층)</t>
  </si>
  <si>
    <t>Melon(멜론)노래주점</t>
  </si>
  <si>
    <t>349</t>
  </si>
  <si>
    <t xml:space="preserve">서울특별시 금천구 독산동 293-5 협진식품빌딩 </t>
  </si>
  <si>
    <t>서울특별시 금천구 범안로 1209, 협진식품빌딩 4층 (독산동)</t>
  </si>
  <si>
    <t>마니또</t>
  </si>
  <si>
    <t>350</t>
  </si>
  <si>
    <t>151-080</t>
  </si>
  <si>
    <t xml:space="preserve">서울특별시 관악구 남현동 1062-15 지하2층 </t>
  </si>
  <si>
    <t>서울특별시 관악구 남현1길 58 (남현동,지하2층)</t>
  </si>
  <si>
    <t>남현1호 JMC(제이엠씨)</t>
  </si>
  <si>
    <t>351</t>
  </si>
  <si>
    <t>110-826</t>
  </si>
  <si>
    <t xml:space="preserve">서울특별시 종로구 숭인동 310 외 3필지(지하1층) </t>
  </si>
  <si>
    <t>서울특별시 종로구 종로 344 (숭인동,외 3필지(지하1층))</t>
  </si>
  <si>
    <t>03114</t>
  </si>
  <si>
    <t>뉴 백악관 노래하우스</t>
  </si>
  <si>
    <t>352</t>
  </si>
  <si>
    <t xml:space="preserve">서울특별시 양천구 신정동 1190-2 지하 1층 </t>
  </si>
  <si>
    <t>서울특별시 양천구 신월로 282, 지하 1층 (신정동)</t>
  </si>
  <si>
    <t>타임노래광장</t>
  </si>
  <si>
    <t>353</t>
  </si>
  <si>
    <t xml:space="preserve">서울특별시 동대문구 장안동 367-1 </t>
  </si>
  <si>
    <t>서울특별시 동대문구 장한로 126, 2층 (장안동)</t>
  </si>
  <si>
    <t>보보스노래궁</t>
  </si>
  <si>
    <t>354</t>
  </si>
  <si>
    <t>137-902</t>
  </si>
  <si>
    <t>서울특별시 서초구 잠원동 8-24 크레신타워 지하1층 B01호</t>
  </si>
  <si>
    <t>서울특별시 서초구 강남대로 631, 크레신타워 지하1층 B01호 (잠원동)</t>
  </si>
  <si>
    <t>06524</t>
  </si>
  <si>
    <t>Hazard(헤저드)</t>
  </si>
  <si>
    <t>355</t>
  </si>
  <si>
    <t xml:space="preserve">서울특별시 구로구 구로동 1125-6 동해빌딩 지층동 </t>
  </si>
  <si>
    <t>첼로</t>
  </si>
  <si>
    <t>356</t>
  </si>
  <si>
    <t xml:space="preserve">서울특별시 영등포구 여의도동 44-37 지상14층 </t>
  </si>
  <si>
    <t>서울특별시 영등포구 여의대방로 375 (여의도동,지상14층)</t>
  </si>
  <si>
    <t>클라우드</t>
  </si>
  <si>
    <t>357</t>
  </si>
  <si>
    <t xml:space="preserve">서울특별시 강북구 수유동 191-56 지상2층(전부) </t>
  </si>
  <si>
    <t>서울특별시 강북구 한천로139길 13, 2층 (수유동)</t>
  </si>
  <si>
    <t>킹단란주점</t>
  </si>
  <si>
    <t>358</t>
  </si>
  <si>
    <t xml:space="preserve">서울특별시 양천구 신정동 1031-3 지하 1층 </t>
  </si>
  <si>
    <t>서울특별시 양천구 중앙로 272, 지하 1층 (신정동)</t>
  </si>
  <si>
    <t>359</t>
  </si>
  <si>
    <t>137-875</t>
  </si>
  <si>
    <t xml:space="preserve">서울특별시 서초구 서초동 1574-4 </t>
  </si>
  <si>
    <t>서울특별시 서초구 서초대로50길 19 (서초동)</t>
  </si>
  <si>
    <t>지노</t>
  </si>
  <si>
    <t>360</t>
  </si>
  <si>
    <t xml:space="preserve">서울특별시 강북구 수유동 191-26 (지하1층) </t>
  </si>
  <si>
    <t>서울특별시 강북구 도봉로89길 8 (수유동,(지하1층))</t>
  </si>
  <si>
    <t>라임단란주점</t>
  </si>
  <si>
    <t>361</t>
  </si>
  <si>
    <t xml:space="preserve">서울특별시 관악구 신림동 1655-24 </t>
  </si>
  <si>
    <t>서울특별시 관악구 시흥대로 552, 지하1층 (신림동)</t>
  </si>
  <si>
    <t>08768</t>
  </si>
  <si>
    <t>레이스</t>
  </si>
  <si>
    <t>362</t>
  </si>
  <si>
    <t>157-916</t>
  </si>
  <si>
    <t xml:space="preserve">서울특별시 강서구 화곡동 998-8 (지하 1층) </t>
  </si>
  <si>
    <t>서울특별시 강서구 화곡로 303, 지하 1층 (화곡동, 6동)</t>
  </si>
  <si>
    <t>07686</t>
  </si>
  <si>
    <t>허니 허니</t>
  </si>
  <si>
    <t>363</t>
  </si>
  <si>
    <t xml:space="preserve">서울특별시 성동구 도선동 253-1번지 지하1층 </t>
  </si>
  <si>
    <t>서울특별시 성동구 무학로2길 36 (도선동,지하1층)</t>
  </si>
  <si>
    <t>황금</t>
  </si>
  <si>
    <t>364</t>
  </si>
  <si>
    <t xml:space="preserve">서울특별시 강서구 화곡동 927-5 (지상 2층) </t>
  </si>
  <si>
    <t>서울특별시 강서구 강서로5나길 116, 2층 (화곡동, 1동)</t>
  </si>
  <si>
    <t>별빛노래바</t>
  </si>
  <si>
    <t>365</t>
  </si>
  <si>
    <t xml:space="preserve">서울특별시 은평구 대조동 198-25 </t>
  </si>
  <si>
    <t>서울특별시 은평구 연서로26길 3, 지하층 (대조동)</t>
  </si>
  <si>
    <t>파티</t>
  </si>
  <si>
    <t>366</t>
  </si>
  <si>
    <t xml:space="preserve">서울특별시 강서구 화곡동 936-15 (지하 1층) </t>
  </si>
  <si>
    <t>서울특별시 강서구 월정로 112, 지하 1층 (화곡동, 1동)</t>
  </si>
  <si>
    <t>쓰리놈 노래바</t>
  </si>
  <si>
    <t>367</t>
  </si>
  <si>
    <t xml:space="preserve">서울특별시 동대문구 용두동 24-2번지 지하1층 </t>
  </si>
  <si>
    <t>서울특별시 동대문구 고산자로 428, 지하1층 (용두동)</t>
  </si>
  <si>
    <t>02560</t>
  </si>
  <si>
    <t>용두차차차 단란주점</t>
  </si>
  <si>
    <t>368</t>
  </si>
  <si>
    <t xml:space="preserve">서울특별시 강서구 화곡동 913-11 2층 </t>
  </si>
  <si>
    <t>서울특별시 강서구 강서로5나길 90, 2층 (화곡동)</t>
  </si>
  <si>
    <t>썬노래뱅크</t>
  </si>
  <si>
    <t>369</t>
  </si>
  <si>
    <t xml:space="preserve">서울특별시 강서구 화곡동 901-27 지하 1층 </t>
  </si>
  <si>
    <t>서울특별시 강서구 강서로7길 31, 지하 1층 (화곡동, 1동)</t>
  </si>
  <si>
    <t>구찌</t>
  </si>
  <si>
    <t>370</t>
  </si>
  <si>
    <t xml:space="preserve">서울특별시 동대문구 장안동 367-3번지 </t>
  </si>
  <si>
    <t>서울특별시 동대문구 장한로24길 7, 2층 2호 (장안동)</t>
  </si>
  <si>
    <t>럭셔리</t>
  </si>
  <si>
    <t>371</t>
  </si>
  <si>
    <t xml:space="preserve">서울특별시 양천구 신정동 972-1 3층 </t>
  </si>
  <si>
    <t>서울특별시 양천구 중앙로 288, 3층 (신정동)</t>
  </si>
  <si>
    <t>오디션단란주점</t>
  </si>
  <si>
    <t>372</t>
  </si>
  <si>
    <t xml:space="preserve">서울특별시 중랑구 묵동 163-3번지 </t>
  </si>
  <si>
    <t>서울특별시 중랑구 중랑역로 272, 지하1층 (묵동)</t>
  </si>
  <si>
    <t>궁노래</t>
  </si>
  <si>
    <t>373</t>
  </si>
  <si>
    <t xml:space="preserve">서울특별시 은평구 갈현동 396-9 7층 </t>
  </si>
  <si>
    <t>서울특별시 은평구 통일로 855-20, 7층 (갈현동)</t>
  </si>
  <si>
    <t>374</t>
  </si>
  <si>
    <t xml:space="preserve">서울특별시 관악구 신림동 527-10 </t>
  </si>
  <si>
    <t>서울특별시 관악구 남부순환로 1483, 지하1층 (신림동)</t>
  </si>
  <si>
    <t>375</t>
  </si>
  <si>
    <t>서울특별시 강북구 한천로139길 11 (수유동)</t>
  </si>
  <si>
    <t>아방궁</t>
  </si>
  <si>
    <t>376</t>
  </si>
  <si>
    <t xml:space="preserve">서울특별시 강남구 역삼동 826-29 지하1층 106호 </t>
  </si>
  <si>
    <t>서울특별시 강남구 테헤란로4길 32 (역삼동,지하1층 106호)</t>
  </si>
  <si>
    <t>썸노래바</t>
  </si>
  <si>
    <t>377</t>
  </si>
  <si>
    <t xml:space="preserve">서울특별시 동대문구 장안동 344-9번지 </t>
  </si>
  <si>
    <t>서울특별시 동대문구 장한로24길 13, 5층 (장안동)</t>
  </si>
  <si>
    <t>보스</t>
  </si>
  <si>
    <t>378</t>
  </si>
  <si>
    <t xml:space="preserve">서울특별시 강서구 화곡동 938-22 (지하 1층) </t>
  </si>
  <si>
    <t>서울특별시 강서구 곰달래로 60, 지하 1층 (화곡동, 1동)</t>
  </si>
  <si>
    <t>수</t>
  </si>
  <si>
    <t>379</t>
  </si>
  <si>
    <t xml:space="preserve">서울특별시 강북구 수유동 229-33 </t>
  </si>
  <si>
    <t>서울특별시 강북구 도봉로87길 9 (수유동)</t>
  </si>
  <si>
    <t>등대단란주점</t>
  </si>
  <si>
    <t>380</t>
  </si>
  <si>
    <t xml:space="preserve">서울특별시 강남구 역삼동 677-5 </t>
  </si>
  <si>
    <t>서울특별시 강남구 언주로93길 21, 지하2층 (역삼동)</t>
  </si>
  <si>
    <t>아이</t>
  </si>
  <si>
    <t>381</t>
  </si>
  <si>
    <t>135-924</t>
  </si>
  <si>
    <t xml:space="preserve">서울특별시 강남구 역삼동 736-24 110호 </t>
  </si>
  <si>
    <t>서울특별시 강남구 테헤란로20길 19 (역삼동,110호)</t>
  </si>
  <si>
    <t>06236</t>
  </si>
  <si>
    <t>웨이브노래바Q</t>
  </si>
  <si>
    <t>382</t>
  </si>
  <si>
    <t>150-870</t>
  </si>
  <si>
    <t xml:space="preserve">서울특별시 영등포구 여의도동 13-22 지하1층 </t>
  </si>
  <si>
    <t>서울특별시 영등포구 국회대로72길 17 (여의도동,지하1층)</t>
  </si>
  <si>
    <t>벤투</t>
  </si>
  <si>
    <t>383</t>
  </si>
  <si>
    <t xml:space="preserve">서울특별시 종로구 낙원동 243-1번지 지상2층 </t>
  </si>
  <si>
    <t>서울특별시 종로구 수표로 133 (낙원동,지상2층)</t>
  </si>
  <si>
    <t>03140</t>
  </si>
  <si>
    <t>렛츠고</t>
  </si>
  <si>
    <t>384</t>
  </si>
  <si>
    <t>150-871</t>
  </si>
  <si>
    <t xml:space="preserve">서울특별시 영등포구 여의도동 14-13 지하107호 </t>
  </si>
  <si>
    <t>서울특별시 영등포구 국회대로72길 22 (여의도동,지하107호)</t>
  </si>
  <si>
    <t>테마투</t>
  </si>
  <si>
    <t>385</t>
  </si>
  <si>
    <t>157-812</t>
  </si>
  <si>
    <t xml:space="preserve">서울특별시 강서구 공항동 72-33번지 외 1필지 (지하 1층) </t>
  </si>
  <si>
    <t>서울특별시 강서구 공항대로 지하 14, 1층 (공항동)</t>
  </si>
  <si>
    <t>놀이놀이노래바</t>
  </si>
  <si>
    <t>386</t>
  </si>
  <si>
    <t xml:space="preserve">서울특별시 관악구 봉천동 851-14번지 </t>
  </si>
  <si>
    <t>서울특별시 관악구 봉천로53길 5, 지하1층 (봉천동)</t>
  </si>
  <si>
    <t>08737</t>
  </si>
  <si>
    <t>음악여행 7080라이브</t>
  </si>
  <si>
    <t>387</t>
  </si>
  <si>
    <t>서울특별시 영등포구 영등포로 219 (영등포동5가)</t>
  </si>
  <si>
    <t>388</t>
  </si>
  <si>
    <t xml:space="preserve">서울특별시 동대문구 전농동 602-5 지하1층(전유부-2호) </t>
  </si>
  <si>
    <t>서울특별시 동대문구 왕산로 278, 지하1층 (전농동)</t>
  </si>
  <si>
    <t>389</t>
  </si>
  <si>
    <t>140-847</t>
  </si>
  <si>
    <t xml:space="preserve">서울특별시 용산구 원효로2가 2-3 (지하1층) </t>
  </si>
  <si>
    <t>서울특별시 용산구 원효로 214 (원효로2가,(지하1층))</t>
  </si>
  <si>
    <t>04368</t>
  </si>
  <si>
    <t>태평양단란주점</t>
  </si>
  <si>
    <t>390</t>
  </si>
  <si>
    <t xml:space="preserve">서울특별시 강남구 역삼동 736-40 </t>
  </si>
  <si>
    <t>서울특별시 강남구 테헤란로22길 9 (역삼동)</t>
  </si>
  <si>
    <t>노래바VIP</t>
  </si>
  <si>
    <t>391</t>
  </si>
  <si>
    <t>110-420</t>
  </si>
  <si>
    <t xml:space="preserve">서울특별시 종로구 관수동 159-2 (지하1층) </t>
  </si>
  <si>
    <t>서울특별시 종로구 수표로 89-11 (관수동,(지하1층))</t>
  </si>
  <si>
    <t>03191</t>
  </si>
  <si>
    <t>프레스리 라이브</t>
  </si>
  <si>
    <t>392</t>
  </si>
  <si>
    <t>135-832</t>
  </si>
  <si>
    <t xml:space="preserve">서울특별시 강남구 논현동 248-7 지상1층 </t>
  </si>
  <si>
    <t>서울특별시 강남구 언주로 640 (논현동,지상1층)</t>
  </si>
  <si>
    <t>06098</t>
  </si>
  <si>
    <t>더빠</t>
  </si>
  <si>
    <t>393</t>
  </si>
  <si>
    <t>157-924</t>
  </si>
  <si>
    <t xml:space="preserve">서울특별시 강서구 화곡동 1065-6 강서포스텔 지하 1층 </t>
  </si>
  <si>
    <t>서울특별시 강서구 강서로33길 19, 강서포스텔 지하 1층 (화곡동)</t>
  </si>
  <si>
    <t>07714</t>
  </si>
  <si>
    <t>두꺼비 노래바</t>
  </si>
  <si>
    <t>394</t>
  </si>
  <si>
    <t>135-517</t>
  </si>
  <si>
    <t xml:space="preserve">서울특별시 강남구 청담동 92-4번지 지하2층 </t>
  </si>
  <si>
    <t>서울특별시 강남구 도산대로 435, 지하2층 (청담동)</t>
  </si>
  <si>
    <t>06016</t>
  </si>
  <si>
    <t>JS(제이에스)</t>
  </si>
  <si>
    <t>395</t>
  </si>
  <si>
    <t>135-911</t>
  </si>
  <si>
    <t xml:space="preserve">서울특별시 강남구 역삼동 648-3 </t>
  </si>
  <si>
    <t>서울특별시 강남구 강남대로94길 54, 지상1층 (역삼동)</t>
  </si>
  <si>
    <t>06133</t>
  </si>
  <si>
    <t>396</t>
  </si>
  <si>
    <t xml:space="preserve">서울특별시 노원구 공릉동 661-3번지 </t>
  </si>
  <si>
    <t>서울특별시 노원구 화랑로 449-8 (공릉동)</t>
  </si>
  <si>
    <t>헬리우스노래방(주점)</t>
  </si>
  <si>
    <t>397</t>
  </si>
  <si>
    <t>110-111</t>
  </si>
  <si>
    <t xml:space="preserve">서울특별시 종로구 관철동 19-7번지 지하1층 </t>
  </si>
  <si>
    <t>서울특별시 종로구 삼일대로17길 40 (관철동,지하1층)</t>
  </si>
  <si>
    <t>03189</t>
  </si>
  <si>
    <t>쎄시봉</t>
  </si>
  <si>
    <t>398</t>
  </si>
  <si>
    <t xml:space="preserve">서울특별시 동대문구 답십리동 496-17 </t>
  </si>
  <si>
    <t>서울특별시 동대문구 천호대로 269, 지하1층 (답십리동)</t>
  </si>
  <si>
    <t>02603</t>
  </si>
  <si>
    <t>트로트7080</t>
  </si>
  <si>
    <t>399</t>
  </si>
  <si>
    <t xml:space="preserve">서울특별시 송파구 가락동 78번지 IT벤처타워 지하1층 105호 </t>
  </si>
  <si>
    <t>서울특별시 송파구 중대로 135 (가락동,IT벤처타워 지하1층 105호)</t>
  </si>
  <si>
    <t>아이티</t>
  </si>
  <si>
    <t>400</t>
  </si>
  <si>
    <t xml:space="preserve">서울특별시 마포구 서교동 394-27 지하1층 </t>
  </si>
  <si>
    <t>서울특별시 마포구 양화로 52 (서교동,지하1층)</t>
  </si>
  <si>
    <t>04045</t>
  </si>
  <si>
    <t>파티파티노래바</t>
  </si>
  <si>
    <t>401</t>
  </si>
  <si>
    <t>100-871</t>
  </si>
  <si>
    <t xml:space="preserve">서울특별시 중구 황학동 2492번지 (지하1층) </t>
  </si>
  <si>
    <t>서울특별시 중구 난계로11길 5 (황학동,(지하1층))</t>
  </si>
  <si>
    <t>04575</t>
  </si>
  <si>
    <t>어울림</t>
  </si>
  <si>
    <t>402</t>
  </si>
  <si>
    <t>137-888</t>
  </si>
  <si>
    <t xml:space="preserve">서울특별시 서초구 양재동 13-9 지하 102호 </t>
  </si>
  <si>
    <t>서울특별시 서초구 남부순환로350길 36 (양재동,지하 102호)</t>
  </si>
  <si>
    <t>몽노래바큐</t>
  </si>
  <si>
    <t>403</t>
  </si>
  <si>
    <t xml:space="preserve">서울특별시 강남구 역삼동 705-15 </t>
  </si>
  <si>
    <t>서울특별시 강남구 선릉로93길 9, 지하1층 (역삼동, 장원빌딩)</t>
  </si>
  <si>
    <t>싱싱노래바Q</t>
  </si>
  <si>
    <t>404</t>
  </si>
  <si>
    <t xml:space="preserve">서울특별시 강남구 역삼동 646-22번지 지하1층 </t>
  </si>
  <si>
    <t>서울특별시 강남구 테헤란로21길 6, 지하1층 (역삼동)</t>
  </si>
  <si>
    <t>06132</t>
  </si>
  <si>
    <t>쉘브르</t>
  </si>
  <si>
    <t>405</t>
  </si>
  <si>
    <t xml:space="preserve">서울특별시 강서구 화곡동 913-5 동훈빌딩 (지상 2층) </t>
  </si>
  <si>
    <t>서울특별시 강서구 강서로5나길 88, 2층 (화곡동, 1동 동훈빌딩)</t>
  </si>
  <si>
    <t>코코노래광장</t>
  </si>
  <si>
    <t>406</t>
  </si>
  <si>
    <t xml:space="preserve">서울특별시 동작구 사당동 147-69번지 </t>
  </si>
  <si>
    <t>서울특별시 동작구 동작대로27가길 39 (사당동)</t>
  </si>
  <si>
    <t>킹카</t>
  </si>
  <si>
    <t>407</t>
  </si>
  <si>
    <t xml:space="preserve">서울특별시 관악구 신림동 1655-27번지 </t>
  </si>
  <si>
    <t>서울특별시 관악구 시흥대로 550, 지하1층 (신림동)</t>
  </si>
  <si>
    <t>황제</t>
  </si>
  <si>
    <t>408</t>
  </si>
  <si>
    <t xml:space="preserve">서울특별시 종로구 숭인동 1416번지 지하1층 </t>
  </si>
  <si>
    <t>서울특별시 종로구 종로66길 21 (숭인동,지하1층)</t>
  </si>
  <si>
    <t>비틀즈</t>
  </si>
  <si>
    <t>409</t>
  </si>
  <si>
    <t xml:space="preserve">서울특별시 용산구 이태원동 123-5번지 (지하1층) </t>
  </si>
  <si>
    <t>서울특별시 용산구 이태원로27가길 9 (이태원동,(지하1층))</t>
  </si>
  <si>
    <t>(주)아울라운지</t>
  </si>
  <si>
    <t>410</t>
  </si>
  <si>
    <t xml:space="preserve">서울특별시 영등포구 영등포동3가 13-4 지하1층 </t>
  </si>
  <si>
    <t>서울특별시 영등포구 영중로10길 44 (영등포동3가,지하1층)</t>
  </si>
  <si>
    <t>07303</t>
  </si>
  <si>
    <t>큐노래주점</t>
  </si>
  <si>
    <t>411</t>
  </si>
  <si>
    <t xml:space="preserve">서울특별시 중구 황학동 657-6번지 (지하1층) </t>
  </si>
  <si>
    <t>서울특별시 중구 퇴계로87길 26 (황학동,(지하1층))</t>
  </si>
  <si>
    <t>가을 단란주점</t>
  </si>
  <si>
    <t>412</t>
  </si>
  <si>
    <t>150-733</t>
  </si>
  <si>
    <t xml:space="preserve">서울특별시 영등포구 여의도동 43번지 미원빌딩314,315호 </t>
  </si>
  <si>
    <t>서울특별시 영등포구 국제금융로 70 (여의도동,미원빌딩314,315호)</t>
  </si>
  <si>
    <t>인(in)</t>
  </si>
  <si>
    <t>413</t>
  </si>
  <si>
    <t>130-842</t>
  </si>
  <si>
    <t xml:space="preserve">서울특별시 동대문구 장안동 372-6 </t>
  </si>
  <si>
    <t>서울특별시 동대문구 장한로23길 11-11, 3층 (장안동)</t>
  </si>
  <si>
    <t>동행 7080</t>
  </si>
  <si>
    <t>414</t>
  </si>
  <si>
    <t xml:space="preserve">서울특별시 금천구 독산동 1031-27 지하1층 </t>
  </si>
  <si>
    <t>서울특별시 금천구 시흥대로 352, 지하1층 (독산동)</t>
  </si>
  <si>
    <t>황금노래빠</t>
  </si>
  <si>
    <t>415</t>
  </si>
  <si>
    <t xml:space="preserve">서울특별시 강동구 천호동 411-4 </t>
  </si>
  <si>
    <t>서울특별시 강동구 천호대로157길 40 (천호동)</t>
  </si>
  <si>
    <t>이꼬이꼬</t>
  </si>
  <si>
    <t>416</t>
  </si>
  <si>
    <t xml:space="preserve">서울특별시 중구 황학동 2484-0번지 (지하1층) </t>
  </si>
  <si>
    <t>서울특별시 중구 퇴계로 457 (황학동,(지하1층))</t>
  </si>
  <si>
    <t>올리브주점</t>
  </si>
  <si>
    <t>417</t>
  </si>
  <si>
    <t>137-873</t>
  </si>
  <si>
    <t xml:space="preserve">서울특별시 서초구 서초동 1554-5 B104 ,B105 </t>
  </si>
  <si>
    <t>서울특별시 서초구 서초대로 266, 아스트라 지하1층 B104 ,B105호 (서초동)</t>
  </si>
  <si>
    <t>06646</t>
  </si>
  <si>
    <t>비타민</t>
  </si>
  <si>
    <t>418</t>
  </si>
  <si>
    <t>110-340</t>
  </si>
  <si>
    <t xml:space="preserve">서울특별시 종로구 익선동 93번지 </t>
  </si>
  <si>
    <t>서울특별시 종로구 삼일대로30길 37 (익선동)</t>
  </si>
  <si>
    <t>03132</t>
  </si>
  <si>
    <t>홀(HOLE)</t>
  </si>
  <si>
    <t>419</t>
  </si>
  <si>
    <t xml:space="preserve">서울특별시 성동구 도선동 161번지 지하1층 </t>
  </si>
  <si>
    <t>서울특별시 성동구 왕십리로24길 12 (도선동,지하1층)</t>
  </si>
  <si>
    <t>왕코 뮤직타운</t>
  </si>
  <si>
    <t>420</t>
  </si>
  <si>
    <t xml:space="preserve">서울특별시 성동구 도선동 148번지 (지상2,3층) </t>
  </si>
  <si>
    <t>서울특별시 성동구 무학로2길 41 (도선동,(지상2,3층))</t>
  </si>
  <si>
    <t>앤</t>
  </si>
  <si>
    <t>421</t>
  </si>
  <si>
    <t xml:space="preserve">서울특별시 강남구 삼성동 157-13 지하1층 </t>
  </si>
  <si>
    <t>서울특별시 강남구 테헤란로83길 21 (삼성동,지하1층)</t>
  </si>
  <si>
    <t>비바노래바</t>
  </si>
  <si>
    <t>422</t>
  </si>
  <si>
    <t xml:space="preserve">서울특별시 강서구 화곡동 936-9 (지상 2층) </t>
  </si>
  <si>
    <t>서울특별시 강서구 월정로 106, 2층 (화곡동, 1동)</t>
  </si>
  <si>
    <t>승리</t>
  </si>
  <si>
    <t>423</t>
  </si>
  <si>
    <t>100-300</t>
  </si>
  <si>
    <t xml:space="preserve">서울특별시 중구 초동 37-1 </t>
  </si>
  <si>
    <t>서울특별시 중구 충무로 36-8, 2층 (초동)</t>
  </si>
  <si>
    <t>스타</t>
  </si>
  <si>
    <t>424</t>
  </si>
  <si>
    <t>137-855</t>
  </si>
  <si>
    <t xml:space="preserve">서울특별시 서초구 서초동 1303-9번지 </t>
  </si>
  <si>
    <t>서울특별시 서초구 서초대로77길 55 (서초동)</t>
  </si>
  <si>
    <t>06611</t>
  </si>
  <si>
    <t>아바타</t>
  </si>
  <si>
    <t>425</t>
  </si>
  <si>
    <t>130-844</t>
  </si>
  <si>
    <t xml:space="preserve">서울특별시 동대문구 장안동 431-1번지 평산빌딩 </t>
  </si>
  <si>
    <t>서울특별시 동대문구 천호대로83길 46, 평산빌딩 지하1층 (장안동)</t>
  </si>
  <si>
    <t>02636</t>
  </si>
  <si>
    <t>펑키단란주점</t>
  </si>
  <si>
    <t>426</t>
  </si>
  <si>
    <t>110-843</t>
  </si>
  <si>
    <t xml:space="preserve">서울특별시 종로구 창신동 696-1 </t>
  </si>
  <si>
    <t>서울특별시 종로구 종로 289 (창신동)</t>
  </si>
  <si>
    <t>03101</t>
  </si>
  <si>
    <t>HT 노래방</t>
  </si>
  <si>
    <t>427</t>
  </si>
  <si>
    <t xml:space="preserve">서울특별시 종로구 낙원동 235-5 </t>
  </si>
  <si>
    <t>서울특별시 종로구 수표로 125, 2층 (낙원동)</t>
  </si>
  <si>
    <t>송해길 라이브카페</t>
  </si>
  <si>
    <t>428</t>
  </si>
  <si>
    <t>110-290</t>
  </si>
  <si>
    <t xml:space="preserve">서울특별시 종로구 인사동 257번지 </t>
  </si>
  <si>
    <t>서울특별시 종로구 종로 63-11, 지상 1층 (인사동)</t>
  </si>
  <si>
    <t>비바체</t>
  </si>
  <si>
    <t>429</t>
  </si>
  <si>
    <t xml:space="preserve">서울특별시 서초구 양재동 11-8번지 (지하1층) </t>
  </si>
  <si>
    <t>서울특별시 서초구 남부순환로350길 19-5 (양재동,(지하1층))</t>
  </si>
  <si>
    <t>06737</t>
  </si>
  <si>
    <t>와 노래단란주점</t>
  </si>
  <si>
    <t>430</t>
  </si>
  <si>
    <t xml:space="preserve">서울특별시 강서구 화곡동 913-4번지 (지하 1층) </t>
  </si>
  <si>
    <t>서울특별시 강서구 강서로5나길 80, 지하 1층 (화곡동, 1동)</t>
  </si>
  <si>
    <t>엣지</t>
  </si>
  <si>
    <t>431</t>
  </si>
  <si>
    <t xml:space="preserve">서울특별시 동대문구 장안동 344-9 2층 </t>
  </si>
  <si>
    <t>서울특별시 동대문구 장한로24길 13, 2층 (장안동)</t>
  </si>
  <si>
    <t>필라이브</t>
  </si>
  <si>
    <t>432</t>
  </si>
  <si>
    <t xml:space="preserve">서울특별시 서초구 서초동 1553-14 2층 </t>
  </si>
  <si>
    <t>서울특별시 서초구 반포대로30길 11, 2층 (서초동)</t>
  </si>
  <si>
    <t>06647</t>
  </si>
  <si>
    <t>잼(JAM)</t>
  </si>
  <si>
    <t>433</t>
  </si>
  <si>
    <t xml:space="preserve">서울특별시 강서구 화곡동 894-17 </t>
  </si>
  <si>
    <t>서울특별시 강서구 강서로 22, 3층 (화곡동)</t>
  </si>
  <si>
    <t>왈츠노래노래</t>
  </si>
  <si>
    <t>434</t>
  </si>
  <si>
    <t>137-876</t>
  </si>
  <si>
    <t xml:space="preserve">서울특별시 서초구 서초동 1595-2 지하1층 </t>
  </si>
  <si>
    <t>서울특별시 서초구 반포대로18길 56, 지하1층 (서초동)</t>
  </si>
  <si>
    <t>06651</t>
  </si>
  <si>
    <t>박스</t>
  </si>
  <si>
    <t>435</t>
  </si>
  <si>
    <t xml:space="preserve">서울특별시 강서구 화곡동 905-9 (지상 3 층) </t>
  </si>
  <si>
    <t>서울특별시 강서구 강서로5나길 32, 3층 (화곡동, 1동)</t>
  </si>
  <si>
    <t>궁전노래바</t>
  </si>
  <si>
    <t>436</t>
  </si>
  <si>
    <t xml:space="preserve">서울특별시 종로구 낙원동 176번지 지상2층 </t>
  </si>
  <si>
    <t>서울특별시 종로구 수표로 112 (낙원동,지상2층)</t>
  </si>
  <si>
    <t>무아</t>
  </si>
  <si>
    <t>437</t>
  </si>
  <si>
    <t xml:space="preserve">서울특별시 영등포구 영등포동5가 25-17번지 </t>
  </si>
  <si>
    <t>서울특별시 영등포구 영중로 46 (영등포동5가)</t>
  </si>
  <si>
    <t>만남7080라이브</t>
  </si>
  <si>
    <t>438</t>
  </si>
  <si>
    <t>120-859</t>
  </si>
  <si>
    <t xml:space="preserve">서울특별시 서대문구 홍제동 173-2 </t>
  </si>
  <si>
    <t>서울특별시 서대문구 통일로37길 4 (홍제동)</t>
  </si>
  <si>
    <t>03639</t>
  </si>
  <si>
    <t>테크노</t>
  </si>
  <si>
    <t>439</t>
  </si>
  <si>
    <t xml:space="preserve">서울특별시 영등포구 영등포동5가 20-62번지 </t>
  </si>
  <si>
    <t>서울특별시 영등포구 영등포로 219, 지하1층 (영등포동5가)</t>
  </si>
  <si>
    <t>정다운</t>
  </si>
  <si>
    <t>440</t>
  </si>
  <si>
    <t xml:space="preserve">서울특별시 종로구 익선동 57 지1층 </t>
  </si>
  <si>
    <t>서울특별시 종로구 삼일대로32길 54 (익선동,지1층)</t>
  </si>
  <si>
    <t>살롱탑</t>
  </si>
  <si>
    <t>441</t>
  </si>
  <si>
    <t xml:space="preserve">서울특별시 강서구 화곡동 897-14번지 (지하 1층) </t>
  </si>
  <si>
    <t>서울특별시 강서구 곰달래로 134, 지하 1층 (화곡동, 8동)</t>
  </si>
  <si>
    <t>스위스노래팡주점</t>
  </si>
  <si>
    <t>442</t>
  </si>
  <si>
    <t xml:space="preserve">서울특별시 용산구 이태원동 126-15 (지상2층) </t>
  </si>
  <si>
    <t>서울특별시 용산구 우사단로 46 (이태원동,(지상2층))</t>
  </si>
  <si>
    <t>04405</t>
  </si>
  <si>
    <t>여보클럽</t>
  </si>
  <si>
    <t>443</t>
  </si>
  <si>
    <t xml:space="preserve">서울특별시 강서구 화곡동 1110-6번지 (지하 1층) </t>
  </si>
  <si>
    <t>서울특별시 강서구 공항대로46길 40, 지하 1층 (화곡동, 6동)</t>
  </si>
  <si>
    <t>07653</t>
  </si>
  <si>
    <t>보보스</t>
  </si>
  <si>
    <t>444</t>
  </si>
  <si>
    <t xml:space="preserve">서울특별시 송파구 방이동 39-12 지상1층 </t>
  </si>
  <si>
    <t>서울특별시 송파구 오금로11길 29-14, 지상1층 (방이동)</t>
  </si>
  <si>
    <t>보스(BOSS)</t>
  </si>
  <si>
    <t>445</t>
  </si>
  <si>
    <t>110-071</t>
  </si>
  <si>
    <t xml:space="preserve">서울특별시 종로구 당주동 18번지 </t>
  </si>
  <si>
    <t>서울특별시 종로구 새문안로9길 29-2 (당주동)</t>
  </si>
  <si>
    <t>03183</t>
  </si>
  <si>
    <t>첼로영상가요</t>
  </si>
  <si>
    <t>446</t>
  </si>
  <si>
    <t xml:space="preserve">서울특별시 강서구 화곡동 1105-2 (지하 1층) </t>
  </si>
  <si>
    <t>서울특별시 강서구 화곡로 319, 지하 1층 (화곡동, 6동)</t>
  </si>
  <si>
    <t>놀러와7080</t>
  </si>
  <si>
    <t>447</t>
  </si>
  <si>
    <t xml:space="preserve">서울특별시 강서구 화곡동 913-3 2층 </t>
  </si>
  <si>
    <t>서울특별시 강서구 강서로5나길 74, 2층 (화곡동)</t>
  </si>
  <si>
    <t>코러스</t>
  </si>
  <si>
    <t>448</t>
  </si>
  <si>
    <t xml:space="preserve">서울특별시 종로구 낙원동 141번지 </t>
  </si>
  <si>
    <t>서울특별시 종로구 수표로 120 (낙원동)</t>
  </si>
  <si>
    <t>스타하우스</t>
  </si>
  <si>
    <t>449</t>
  </si>
  <si>
    <t xml:space="preserve">서울특별시 종로구 익선동 158-3 </t>
  </si>
  <si>
    <t>서울특별시 종로구 돈화문로11가길 21 (익선동)</t>
  </si>
  <si>
    <t>헉헉(Hug Hug)</t>
  </si>
  <si>
    <t>450</t>
  </si>
  <si>
    <t xml:space="preserve">서울특별시 강서구 화곡동 1116-0 2층 </t>
  </si>
  <si>
    <t>서울특별시 강서구 공항대로46길 56, 2층 (화곡동, 6동)</t>
  </si>
  <si>
    <t>발리노래바</t>
  </si>
  <si>
    <t>451</t>
  </si>
  <si>
    <t xml:space="preserve">서울특별시 구로구 구로동 1125-8 </t>
  </si>
  <si>
    <t>서울특별시 구로구 디지털로32길 97-10 (구로동)</t>
  </si>
  <si>
    <t>9D</t>
  </si>
  <si>
    <t>452</t>
  </si>
  <si>
    <t xml:space="preserve">서울특별시 성동구 도선동 253-4번지 </t>
  </si>
  <si>
    <t>서울특별시 성동구 왕십리로24길 5 (도선동)</t>
  </si>
  <si>
    <t>테마</t>
  </si>
  <si>
    <t>453</t>
  </si>
  <si>
    <t xml:space="preserve">서울특별시 서초구 서초동 1363-3 지하1층 </t>
  </si>
  <si>
    <t>서울특별시 서초구 남부순환로347길 20, 지하1층 (서초동)</t>
  </si>
  <si>
    <t>루이체</t>
  </si>
  <si>
    <t>454</t>
  </si>
  <si>
    <t xml:space="preserve">서울특별시 강서구 화곡동 927-6 (지하 1층) </t>
  </si>
  <si>
    <t>서울특별시 강서구 강서로5나길 118, 지하 1층 (화곡동, 1동)</t>
  </si>
  <si>
    <t>찬찬찬노래주점</t>
  </si>
  <si>
    <t>455</t>
  </si>
  <si>
    <t xml:space="preserve">서울특별시 강남구 역삼동 719-8 지하1층 </t>
  </si>
  <si>
    <t>서울특별시 강남구 테헤란로34길 5 (역삼동,지하1층)</t>
  </si>
  <si>
    <t>에스 노래바</t>
  </si>
  <si>
    <t>456</t>
  </si>
  <si>
    <t>151-801</t>
  </si>
  <si>
    <t xml:space="preserve">서울특별시 관악구 남현동 602-22번지 </t>
  </si>
  <si>
    <t>서울특별시 관악구 남현3길 74, 지하1층 (남현동)</t>
  </si>
  <si>
    <t>동창생</t>
  </si>
  <si>
    <t>457</t>
  </si>
  <si>
    <t>139-942</t>
  </si>
  <si>
    <t xml:space="preserve">서울특별시 노원구 상계동 730-5번지 일신프라자 B104 </t>
  </si>
  <si>
    <t>서울특별시 노원구 동일로 1393 (상계동,일신프라자 B104)</t>
  </si>
  <si>
    <t>01762</t>
  </si>
  <si>
    <t>e베니스</t>
  </si>
  <si>
    <t>458</t>
  </si>
  <si>
    <t>110-808</t>
  </si>
  <si>
    <t xml:space="preserve">서울특별시 종로구 돈의동 126번지 2층 </t>
  </si>
  <si>
    <t>서울특별시 종로구 돈화문로5가길 15 (돈의동,2층)</t>
  </si>
  <si>
    <t>그린비</t>
  </si>
  <si>
    <t>459</t>
  </si>
  <si>
    <t>135-936</t>
  </si>
  <si>
    <t xml:space="preserve">서울특별시 강남구 역삼동 831-35번지 지하1층 </t>
  </si>
  <si>
    <t>서울특별시 강남구 역삼로3길 17 (역삼동,지하1층)</t>
  </si>
  <si>
    <t>06242</t>
  </si>
  <si>
    <t>쏠래</t>
  </si>
  <si>
    <t>460</t>
  </si>
  <si>
    <t xml:space="preserve">서울특별시 성동구 도선동 253-5번지 (지상2층) </t>
  </si>
  <si>
    <t>서울특별시 성동구 왕십리로24길 3 (도선동,(지상2층))</t>
  </si>
  <si>
    <t>안동역</t>
  </si>
  <si>
    <t>461</t>
  </si>
  <si>
    <t xml:space="preserve">서울특별시 서초구 방배동 446-5 지하1층 </t>
  </si>
  <si>
    <t>서울특별시 서초구 남부순환로 2121-3 (방배동,지하1층)</t>
  </si>
  <si>
    <t>놀러와</t>
  </si>
  <si>
    <t>462</t>
  </si>
  <si>
    <t xml:space="preserve">서울특별시 동대문구 장안동 383-3번지 지하1층 </t>
  </si>
  <si>
    <t>서울특별시 동대문구 장한로21길 16, 지하1층 (장안동)</t>
  </si>
  <si>
    <t>463</t>
  </si>
  <si>
    <t xml:space="preserve">서울특별시 동작구 사당동 145-30번지 </t>
  </si>
  <si>
    <t>서울특별시 동작구 동작대로27가길 37 (사당동)</t>
  </si>
  <si>
    <t>굿타임</t>
  </si>
  <si>
    <t>464</t>
  </si>
  <si>
    <t xml:space="preserve">서울특별시 동작구 노량진동 35-2번지 </t>
  </si>
  <si>
    <t>서울특별시 동작구 노량진로8길 31 (노량진동)</t>
  </si>
  <si>
    <t>06928</t>
  </si>
  <si>
    <t>오페라</t>
  </si>
  <si>
    <t>465</t>
  </si>
  <si>
    <t xml:space="preserve">서울특별시 송파구 잠실동 181-2 지하1층 </t>
  </si>
  <si>
    <t>서울특별시 송파구 올림픽로 98, 지하1층 (잠실동)</t>
  </si>
  <si>
    <t>몽키노래타운</t>
  </si>
  <si>
    <t>466</t>
  </si>
  <si>
    <t>140-872</t>
  </si>
  <si>
    <t xml:space="preserve">서울특별시 용산구 한강로2가 116-5번지 (지상2층) </t>
  </si>
  <si>
    <t>서울특별시 용산구 한강대로42길 3 (한강로2가,(지상2층))</t>
  </si>
  <si>
    <t>04382</t>
  </si>
  <si>
    <t>놀아줘</t>
  </si>
  <si>
    <t>467</t>
  </si>
  <si>
    <t xml:space="preserve">서울특별시 동대문구 용두동 20-18번지 지하1층 </t>
  </si>
  <si>
    <t>서울특별시 동대문구 고산자로34길 40, 지하1층 (용두동)</t>
  </si>
  <si>
    <t>월드컵</t>
  </si>
  <si>
    <t>468</t>
  </si>
  <si>
    <t xml:space="preserve">서울특별시 중구 황학동 2491-0 (지하1층) </t>
  </si>
  <si>
    <t>서울특별시 중구 난계로11길 9 (황학동,(지하1층))</t>
  </si>
  <si>
    <t>드가</t>
  </si>
  <si>
    <t>469</t>
  </si>
  <si>
    <t xml:space="preserve">서울특별시 강남구 역삼동 678-5 지하1층 </t>
  </si>
  <si>
    <t>서울특별시 강남구 논현로94길 32 (역삼동,지하1층)</t>
  </si>
  <si>
    <t>슈퍼스타 노래바큐</t>
  </si>
  <si>
    <t>470</t>
  </si>
  <si>
    <t xml:space="preserve">서울특별시 금천구 가산동 141-18 지상2층 </t>
  </si>
  <si>
    <t>서울특별시 금천구 가산로 152, 지상2층 (가산동)</t>
  </si>
  <si>
    <t>오디션노래주점</t>
  </si>
  <si>
    <t>471</t>
  </si>
  <si>
    <t xml:space="preserve">서울특별시 강남구 역삼동 718-0번지 지하1층 </t>
  </si>
  <si>
    <t>서울특별시 강남구 테헤란로 204 (역삼동,지하1층)</t>
  </si>
  <si>
    <t>하데스라이브</t>
  </si>
  <si>
    <t>472</t>
  </si>
  <si>
    <t xml:space="preserve">서울특별시 송파구 가락동 79-7 (지층7,8,14,15) </t>
  </si>
  <si>
    <t>서울특별시 송파구 송파대로28길 32 (가락동,(지층7,8,14,15))</t>
  </si>
  <si>
    <t>두바이</t>
  </si>
  <si>
    <t>473</t>
  </si>
  <si>
    <t xml:space="preserve">서울특별시 종로구 돈의동 90 2층 </t>
  </si>
  <si>
    <t>서울특별시 종로구 수표로22길 21 (돈의동,2층)</t>
  </si>
  <si>
    <t>몬스터</t>
  </si>
  <si>
    <t>474</t>
  </si>
  <si>
    <t xml:space="preserve">서울특별시 강서구 화곡동 1117-11 2층 </t>
  </si>
  <si>
    <t>서울특별시 강서구 공항대로46길 96, 2층 (화곡동, 6동)</t>
  </si>
  <si>
    <t>수노래바</t>
  </si>
  <si>
    <t>475</t>
  </si>
  <si>
    <t>156-832</t>
  </si>
  <si>
    <t xml:space="preserve">서울특별시 동작구 상도동 367-4 </t>
  </si>
  <si>
    <t>서울특별시 동작구 상도로 170 (상도동)</t>
  </si>
  <si>
    <t>06956</t>
  </si>
  <si>
    <t>팡팡</t>
  </si>
  <si>
    <t>476</t>
  </si>
  <si>
    <t xml:space="preserve">서울특별시 강북구 수유동 191-58 </t>
  </si>
  <si>
    <t>서울특별시 강북구 한천로139길 9, 지하1층 (수유동)</t>
  </si>
  <si>
    <t>황진이</t>
  </si>
  <si>
    <t>477</t>
  </si>
  <si>
    <t>137-809</t>
  </si>
  <si>
    <t xml:space="preserve">서울특별시 서초구 반포동 722-38번지 지하1층 </t>
  </si>
  <si>
    <t>서울특별시 서초구 강남대로 521-4, 지하1층 (반포동)</t>
  </si>
  <si>
    <t>06536</t>
  </si>
  <si>
    <t>불타는 청춘들 7080라이브</t>
  </si>
  <si>
    <t>478</t>
  </si>
  <si>
    <t xml:space="preserve">서울특별시 종로구 관철동 7-11 </t>
  </si>
  <si>
    <t>서울특별시 종로구 종로14길 19 (관철동)</t>
  </si>
  <si>
    <t>03190</t>
  </si>
  <si>
    <t>준코뮤직타운 종각1호점</t>
  </si>
  <si>
    <t>479</t>
  </si>
  <si>
    <t>150-841</t>
  </si>
  <si>
    <t xml:space="preserve">서울특별시 영등포구 신길동 235-3 </t>
  </si>
  <si>
    <t>서울특별시 영등포구 가마산로 501 (신길동)</t>
  </si>
  <si>
    <t>07362</t>
  </si>
  <si>
    <t>신사동</t>
  </si>
  <si>
    <t>480</t>
  </si>
  <si>
    <t xml:space="preserve">서울특별시 송파구 가락동 98-7 지하1층 </t>
  </si>
  <si>
    <t>서울특별시 송파구 송파대로28길 13, 지하1층 (가락동)</t>
  </si>
  <si>
    <t>캐슬</t>
  </si>
  <si>
    <t>481</t>
  </si>
  <si>
    <t xml:space="preserve">서울특별시 종로구 낙원동 144-1 지상2층 </t>
  </si>
  <si>
    <t>서울특별시 종로구 수표로 118-1 (낙원동,지상2층)</t>
  </si>
  <si>
    <t>센스</t>
  </si>
  <si>
    <t>482</t>
  </si>
  <si>
    <t>120-833</t>
  </si>
  <si>
    <t xml:space="preserve">서울특별시 서대문구 창천동 29-44 </t>
  </si>
  <si>
    <t>서울특별시 서대문구 연세로2가길 20 (창천동)</t>
  </si>
  <si>
    <t>03779</t>
  </si>
  <si>
    <t>현노래짱클럽</t>
  </si>
  <si>
    <t>483</t>
  </si>
  <si>
    <t xml:space="preserve">서울특별시 중랑구 망우동 490-29 </t>
  </si>
  <si>
    <t>서울특별시 중랑구 용마산로115길 68 (망우동)</t>
  </si>
  <si>
    <t>뮤직타운</t>
  </si>
  <si>
    <t>484</t>
  </si>
  <si>
    <t xml:space="preserve">서울특별시 금천구 시흥동 888-10 지하1층 </t>
  </si>
  <si>
    <t>서울특별시 금천구 시흥대로56길 13 (시흥동, 지하1층)</t>
  </si>
  <si>
    <t>연예인노래바</t>
  </si>
  <si>
    <t>485</t>
  </si>
  <si>
    <t xml:space="preserve">서울특별시 성북구 동선동1가 2-3 </t>
  </si>
  <si>
    <t>서울특별시 성북구 동소문로20가길 14 (동선동1가)</t>
  </si>
  <si>
    <t>개코노래타운</t>
  </si>
  <si>
    <t>486</t>
  </si>
  <si>
    <t>150-820</t>
  </si>
  <si>
    <t xml:space="preserve">서울특별시 영등포구 대림동 908-13번지 지하1층 </t>
  </si>
  <si>
    <t>서울특별시 영등포구 신길로 49 (대림동, 지하1층)</t>
  </si>
  <si>
    <t>07427</t>
  </si>
  <si>
    <t>헹가래</t>
  </si>
  <si>
    <t>487</t>
  </si>
  <si>
    <t xml:space="preserve">서울특별시 종로구 낙원동 206번지 지상3층 </t>
  </si>
  <si>
    <t>서울특별시 종로구 수표로 109-2 (낙원동,지상3층)</t>
  </si>
  <si>
    <t>헤라클레스</t>
  </si>
  <si>
    <t>488</t>
  </si>
  <si>
    <t xml:space="preserve">서울특별시 강서구 화곡동 898-5번지 (지하1층) </t>
  </si>
  <si>
    <t>서울특별시 강서구 강서로 21, 지하1층 (화곡동, 1동)</t>
  </si>
  <si>
    <t>테마노래바</t>
  </si>
  <si>
    <t>489</t>
  </si>
  <si>
    <t xml:space="preserve">서울특별시 서대문구 창천동 29-61 </t>
  </si>
  <si>
    <t>서울특별시 서대문구 연세로2길 19 (창천동)</t>
  </si>
  <si>
    <t>로즈</t>
  </si>
  <si>
    <t>490</t>
  </si>
  <si>
    <t xml:space="preserve">서울특별시 종로구 낙원동 179  (지상2층) </t>
  </si>
  <si>
    <t>서울특별시 종로구 수표로22길 2 (낙원동, (지상2층))</t>
  </si>
  <si>
    <t>21세기</t>
  </si>
  <si>
    <t>491</t>
  </si>
  <si>
    <t>110-160</t>
  </si>
  <si>
    <t xml:space="preserve">서울특별시 종로구 공평동 60번지 </t>
  </si>
  <si>
    <t>서울특별시 종로구 우정국로 30-6 (공평동)</t>
  </si>
  <si>
    <t>리베</t>
  </si>
  <si>
    <t>492</t>
  </si>
  <si>
    <t>150-813</t>
  </si>
  <si>
    <t xml:space="preserve">서울특별시 영등포구 대림동 689-1 지하1층 </t>
  </si>
  <si>
    <t>서울특별시 영등포구 대림로 198 (대림동, 지하1층)</t>
  </si>
  <si>
    <t>07401</t>
  </si>
  <si>
    <t>황제노래</t>
  </si>
  <si>
    <t>493</t>
  </si>
  <si>
    <t xml:space="preserve">서울특별시 종로구 낙원동 58-1 종로오피스텔 지하1층 120, 121호 </t>
  </si>
  <si>
    <t>서울특별시 종로구 삼일대로30길 21, 지하1층 120, 121호 (낙원동, 종로오피스텔)</t>
  </si>
  <si>
    <t>리얼 (Real)</t>
  </si>
  <si>
    <t>494</t>
  </si>
  <si>
    <t xml:space="preserve">서울특별시 영등포구 영등포동3가 14-1 </t>
  </si>
  <si>
    <t>서울특별시 영등포구 영중로10길 34 (영등포동3가)</t>
  </si>
  <si>
    <t>리믹스</t>
  </si>
  <si>
    <t>495</t>
  </si>
  <si>
    <t>151-877</t>
  </si>
  <si>
    <t xml:space="preserve">서울특별시 관악구 신림동 564-41 </t>
  </si>
  <si>
    <t>서울특별시 관악구 남부순환로 1423 (신림동)</t>
  </si>
  <si>
    <t>08766</t>
  </si>
  <si>
    <t>코리아 싸파리</t>
  </si>
  <si>
    <t>496</t>
  </si>
  <si>
    <t>151-869</t>
  </si>
  <si>
    <t xml:space="preserve">서울특별시 관악구 신림동 1586-1 </t>
  </si>
  <si>
    <t>서울특별시 관악구 남부순환로172길 1 (신림동)</t>
  </si>
  <si>
    <t>08774</t>
  </si>
  <si>
    <t>팡팡 노래바</t>
  </si>
  <si>
    <t>497</t>
  </si>
  <si>
    <t>151-835</t>
  </si>
  <si>
    <t xml:space="preserve">서울특별시 관악구 봉천동 1602-1 </t>
  </si>
  <si>
    <t>서울특별시 관악구 관악로16길 26 (봉천동)</t>
  </si>
  <si>
    <t>08788</t>
  </si>
  <si>
    <t>세시봉7080</t>
  </si>
  <si>
    <t>498</t>
  </si>
  <si>
    <t>151-836</t>
  </si>
  <si>
    <t xml:space="preserve">서울특별시 관악구 봉천동 883-16 지하1층 </t>
  </si>
  <si>
    <t>서울특별시 관악구 남부순환로 1786 (봉천동,지하1층)</t>
  </si>
  <si>
    <t>08786</t>
  </si>
  <si>
    <t>끼</t>
  </si>
  <si>
    <t>499</t>
  </si>
  <si>
    <t xml:space="preserve">서울특별시 강북구 수유동 190-28 </t>
  </si>
  <si>
    <t>서울특별시 강북구 한천로 1053-1 (수유동)</t>
  </si>
  <si>
    <t>01071</t>
  </si>
  <si>
    <t>쑈쑈쑈단란주점</t>
  </si>
  <si>
    <t>500</t>
  </si>
  <si>
    <t>150-803</t>
  </si>
  <si>
    <t xml:space="preserve">서울특별시 영등포구 당산동3가 168 갑산빌딩 </t>
  </si>
  <si>
    <t>서울특별시 영등포구 국회대로34길 7-2, 갑산빌딩 지하1층 (당산동3가)</t>
  </si>
  <si>
    <t>07257</t>
  </si>
  <si>
    <t>501</t>
  </si>
  <si>
    <t xml:space="preserve">서울특별시 영등포구 당산동3가 223-9번지 </t>
  </si>
  <si>
    <t>서울특별시 영등포구 국회대로34길 19 (당산동3가)</t>
  </si>
  <si>
    <t>달과별</t>
  </si>
  <si>
    <t>502</t>
  </si>
  <si>
    <t>서울특별시 서초구 서초동 1589-5 센츄리오피스텔 지하1층 1호</t>
  </si>
  <si>
    <t>서울특별시 서초구 반포대로14길 30, 센츄리오피스텔 지하1층 (서초동)</t>
  </si>
  <si>
    <t>06653</t>
  </si>
  <si>
    <t>모코</t>
  </si>
  <si>
    <t>503</t>
  </si>
  <si>
    <t xml:space="preserve">서울특별시 관악구 신림동 1641-76 지하1층 </t>
  </si>
  <si>
    <t>서울특별시 관악구 신림로 276, 지하1층 (신림동)</t>
  </si>
  <si>
    <t>08778</t>
  </si>
  <si>
    <t>바니</t>
  </si>
  <si>
    <t>504</t>
  </si>
  <si>
    <t xml:space="preserve">서울특별시 영등포구 당산동3가 257-12 </t>
  </si>
  <si>
    <t>서울특별시 영등포구 양산로23길 17 (당산동3가)</t>
  </si>
  <si>
    <t>07259</t>
  </si>
  <si>
    <t>벤스</t>
  </si>
  <si>
    <t>505</t>
  </si>
  <si>
    <t>110-470</t>
  </si>
  <si>
    <t xml:space="preserve">서울특별시 종로구 연지동 1-24번지 외 1 </t>
  </si>
  <si>
    <t>서울특별시 종로구 창경궁로20길 32-7 (연지동,외 1)</t>
  </si>
  <si>
    <t>03127</t>
  </si>
  <si>
    <t>홍일점</t>
  </si>
  <si>
    <t>506</t>
  </si>
  <si>
    <t xml:space="preserve">서울특별시 영등포구 당산동3가 86-1 지하1층 </t>
  </si>
  <si>
    <t>서울특별시 영등포구 국회대로36길 13 (당산동3가, 지하1층)</t>
  </si>
  <si>
    <t>507</t>
  </si>
  <si>
    <t xml:space="preserve">서울특별시 영등포구 당산동3가 287-0 지하1층 </t>
  </si>
  <si>
    <t>서울특별시 영등포구 당산로28길 6 (당산동3가, 지하1층)</t>
  </si>
  <si>
    <t>해비치노래바</t>
  </si>
  <si>
    <t>508</t>
  </si>
  <si>
    <t xml:space="preserve">서울특별시 영등포구 여의도동 14-13번지 </t>
  </si>
  <si>
    <t>서울특별시 영등포구 국회대로72길 22 (여의도동)</t>
  </si>
  <si>
    <t>509</t>
  </si>
  <si>
    <t>142-864</t>
  </si>
  <si>
    <t xml:space="preserve">서울특별시 강북구 번동 418-9 </t>
  </si>
  <si>
    <t>서울특별시 강북구 도봉로 350 (번동)</t>
  </si>
  <si>
    <t>01063</t>
  </si>
  <si>
    <t>뉴본(New Bon) 7080 라이브</t>
  </si>
  <si>
    <t>510</t>
  </si>
  <si>
    <t xml:space="preserve">서울특별시 영등포구 신길동 296-26번지 지하1층 </t>
  </si>
  <si>
    <t>서울특별시 영등포구 도신로 114, 지하1층 (신길동)</t>
  </si>
  <si>
    <t>07383</t>
  </si>
  <si>
    <t>썬노래주점</t>
  </si>
  <si>
    <t>511</t>
  </si>
  <si>
    <t>135-937</t>
  </si>
  <si>
    <t xml:space="preserve">서울특별시 강남구 역삼동 838-7번지 </t>
  </si>
  <si>
    <t>서울특별시 강남구 강남대로62길 18 (역삼동)</t>
  </si>
  <si>
    <t>06253</t>
  </si>
  <si>
    <t>우연</t>
  </si>
  <si>
    <t>512</t>
  </si>
  <si>
    <t xml:space="preserve">서울특별시 서초구 서초동 1601-2번지 (지하 1층) </t>
  </si>
  <si>
    <t>서울특별시 서초구 효령로55길 22 (서초동,(지하 1층))</t>
  </si>
  <si>
    <t>앵거스</t>
  </si>
  <si>
    <t>513</t>
  </si>
  <si>
    <t>151-904</t>
  </si>
  <si>
    <t xml:space="preserve">서울특별시 관악구 신림동 1659-38 </t>
  </si>
  <si>
    <t>서울특별시 관악구 조원중앙로1길 6 (신림동)</t>
  </si>
  <si>
    <t>어게인</t>
  </si>
  <si>
    <t>514</t>
  </si>
  <si>
    <t>156-849</t>
  </si>
  <si>
    <t xml:space="preserve">서울특별시 동작구 신대방동 395-67번지 관악타워 지1층136호 </t>
  </si>
  <si>
    <t>서울특별시 동작구 보라매로5길 51 (신대방동,관악타워 지1층136호)</t>
  </si>
  <si>
    <t>Live 캐슬</t>
  </si>
  <si>
    <t>515</t>
  </si>
  <si>
    <t>150-812</t>
  </si>
  <si>
    <t xml:space="preserve">서울특별시 영등포구 대림동 664-21 지하1층 </t>
  </si>
  <si>
    <t>서울특별시 영등포구 대림로 238 (대림동, 지하1층)</t>
  </si>
  <si>
    <t>07381</t>
  </si>
  <si>
    <t>녹색지대</t>
  </si>
  <si>
    <t>516</t>
  </si>
  <si>
    <t>121-897</t>
  </si>
  <si>
    <t xml:space="preserve">서울특별시 마포구 합정동 373-17 지층 </t>
  </si>
  <si>
    <t>서울특별시 마포구 독막로 2 (합정동,지층)</t>
  </si>
  <si>
    <t>04071</t>
  </si>
  <si>
    <t>한강</t>
  </si>
  <si>
    <t>517</t>
  </si>
  <si>
    <t xml:space="preserve">서울특별시 강남구 역삼동 831-25번지 </t>
  </si>
  <si>
    <t>서울특별시 강남구 강남대로78길 14 (역삼동)</t>
  </si>
  <si>
    <t>스타박스 노래바</t>
  </si>
  <si>
    <t>518</t>
  </si>
  <si>
    <t xml:space="preserve">서울특별시 종로구 돈의동 37 지하1층 </t>
  </si>
  <si>
    <t>서울특별시 종로구 돈화문로11길 26, 지하1층 (돈의동)</t>
  </si>
  <si>
    <t>딥(deep)</t>
  </si>
  <si>
    <t>519</t>
  </si>
  <si>
    <t>151-856</t>
  </si>
  <si>
    <t xml:space="preserve">서울특별시 관악구 신림동 131-21번지 </t>
  </si>
  <si>
    <t>서울특별시 관악구 신림로 90 (신림동)</t>
  </si>
  <si>
    <t>08839</t>
  </si>
  <si>
    <t>추억의 7080</t>
  </si>
  <si>
    <t>520</t>
  </si>
  <si>
    <t>132-010</t>
  </si>
  <si>
    <t xml:space="preserve">서울특별시 도봉구 도봉동 554 </t>
  </si>
  <si>
    <t>서울특별시 도봉구 도봉산길 53, 지하1층 (도봉동)</t>
  </si>
  <si>
    <t>01302</t>
  </si>
  <si>
    <t>갤럭시</t>
  </si>
  <si>
    <t>521</t>
  </si>
  <si>
    <t xml:space="preserve">서울특별시 마포구 노고산동 57-18번지 </t>
  </si>
  <si>
    <t>서울특별시 마포구 서강로 137-7 (노고산동)</t>
  </si>
  <si>
    <t>522</t>
  </si>
  <si>
    <t>150-842</t>
  </si>
  <si>
    <t xml:space="preserve">서울특별시 영등포구 신길동 500-0 지하1층 </t>
  </si>
  <si>
    <t>서울특별시 영등포구 신풍로 122, 지하1층 (신길동)</t>
  </si>
  <si>
    <t>07432</t>
  </si>
  <si>
    <t>2020라이브빠</t>
  </si>
  <si>
    <t>523</t>
  </si>
  <si>
    <t xml:space="preserve">서울특별시 종로구 낙원동 213-4 지상3층 </t>
  </si>
  <si>
    <t>서울특별시 종로구 종로17길 30 (낙원동,지상3층)</t>
  </si>
  <si>
    <t>사이다</t>
  </si>
  <si>
    <t>524</t>
  </si>
  <si>
    <t>132-820</t>
  </si>
  <si>
    <t xml:space="preserve">서울특별시 도봉구 도봉동 617-15 </t>
  </si>
  <si>
    <t>서울특별시 도봉구 도봉로 763, 지하1층 (도봉동)</t>
  </si>
  <si>
    <t>01310</t>
  </si>
  <si>
    <t>선보래</t>
  </si>
  <si>
    <t>525</t>
  </si>
  <si>
    <t>150-824</t>
  </si>
  <si>
    <t xml:space="preserve">서울특별시 영등포구 대림동 1019-3번지 지하1층 </t>
  </si>
  <si>
    <t>서울특별시 영등포구 대림로 107-2, 지하1층 (대림동)</t>
  </si>
  <si>
    <t>07443</t>
  </si>
  <si>
    <t>엔돌핀</t>
  </si>
  <si>
    <t>526</t>
  </si>
  <si>
    <t>150-826</t>
  </si>
  <si>
    <t xml:space="preserve">서울특별시 영등포구 대림동 1050-29 </t>
  </si>
  <si>
    <t>서울특별시 영등포구 도림로 130 (대림동)</t>
  </si>
  <si>
    <t>07416</t>
  </si>
  <si>
    <t>궁전</t>
  </si>
  <si>
    <t>527</t>
  </si>
  <si>
    <t xml:space="preserve">서울특별시 영등포구 대림동 692-2 </t>
  </si>
  <si>
    <t>서울특별시 영등포구 대림로 186 (대림동)</t>
  </si>
  <si>
    <t>07410</t>
  </si>
  <si>
    <t>샤인노래방</t>
  </si>
  <si>
    <t>528</t>
  </si>
  <si>
    <t>151-848</t>
  </si>
  <si>
    <t xml:space="preserve">서울특별시 관악구 봉천동 1612-3 </t>
  </si>
  <si>
    <t>서울특별시 관악구 봉천로 522, 지하1층 (봉천동)</t>
  </si>
  <si>
    <t>08789</t>
  </si>
  <si>
    <t>바이킹</t>
  </si>
  <si>
    <t>529</t>
  </si>
  <si>
    <t xml:space="preserve">서울특별시 영등포구 당산동3가 194-0 지하1층 </t>
  </si>
  <si>
    <t>서울특별시 영등포구 국회대로34길 4-1 (당산동3가, 지하1층)</t>
  </si>
  <si>
    <t>방코쓰리</t>
  </si>
  <si>
    <t>530</t>
  </si>
  <si>
    <t xml:space="preserve">서울특별시 영등포구 당산동3가 296-0 </t>
  </si>
  <si>
    <t>서울특별시 영등포구 당산로 114 (당산동3가)</t>
  </si>
  <si>
    <t>에코</t>
  </si>
  <si>
    <t>531</t>
  </si>
  <si>
    <t>135-830</t>
  </si>
  <si>
    <t xml:space="preserve">서울특별시 강남구 논현동 242-21 지하1층 </t>
  </si>
  <si>
    <t>서울특별시 강남구 선릉로129길 3-6, 지하1층 (논현동)</t>
  </si>
  <si>
    <t>06099</t>
  </si>
  <si>
    <t>파티룸토르</t>
  </si>
  <si>
    <t>532</t>
  </si>
  <si>
    <t>151-842</t>
  </si>
  <si>
    <t xml:space="preserve">서울특별시 관악구 봉천동 922-2 </t>
  </si>
  <si>
    <t>서울특별시 관악구 남부순환로 1750, 지하1층 (봉천동)</t>
  </si>
  <si>
    <t>08785</t>
  </si>
  <si>
    <t>제이노래짱</t>
  </si>
  <si>
    <t>533</t>
  </si>
  <si>
    <t>150-804</t>
  </si>
  <si>
    <t xml:space="preserve">서울특별시 영등포구 당산동3가 396-11번지 지하1층 </t>
  </si>
  <si>
    <t>서울특별시 영등포구 당산로31길 13-1, 지하1층 (당산동3가)</t>
  </si>
  <si>
    <t>07261</t>
  </si>
  <si>
    <t>디바</t>
  </si>
  <si>
    <t>534</t>
  </si>
  <si>
    <t>150-832</t>
  </si>
  <si>
    <t xml:space="preserve">서울특별시 영등포구 도림동 156-8 지하1층 </t>
  </si>
  <si>
    <t>서울특별시 영등포구 도림로 357-1 (도림동, 지하1층)</t>
  </si>
  <si>
    <t>07374</t>
  </si>
  <si>
    <t>라이브7080</t>
  </si>
  <si>
    <t>535</t>
  </si>
  <si>
    <t>135-954</t>
  </si>
  <si>
    <t xml:space="preserve">서울특별시 강남구 청담동 91-8 </t>
  </si>
  <si>
    <t>서울특별시 강남구 도산대로 429 (청담동)</t>
  </si>
  <si>
    <t>컴퍼니</t>
  </si>
  <si>
    <t>536</t>
  </si>
  <si>
    <t>151-865</t>
  </si>
  <si>
    <t xml:space="preserve">서울특별시 관악구 신림동 403-23 </t>
  </si>
  <si>
    <t>서울특별시 관악구 신림로 167, 지하1층 (신림동)</t>
  </si>
  <si>
    <t>08846</t>
  </si>
  <si>
    <t>싱싱노래바</t>
  </si>
  <si>
    <t>537</t>
  </si>
  <si>
    <t>151-832</t>
  </si>
  <si>
    <t xml:space="preserve">서울특별시 관악구 봉천동 1632-3번지 </t>
  </si>
  <si>
    <t>서울특별시 관악구 봉천로 596, 지하1층 전체호 (봉천동)</t>
  </si>
  <si>
    <t>08793</t>
  </si>
  <si>
    <t>뮤즈노래바</t>
  </si>
  <si>
    <t>538</t>
  </si>
  <si>
    <t>135-846</t>
  </si>
  <si>
    <t xml:space="preserve">서울특별시 강남구 대치동 946-15번지 지하1층 </t>
  </si>
  <si>
    <t>서울특별시 강남구 영동대로85길 6 (대치동,지하1층)</t>
  </si>
  <si>
    <t>06181</t>
  </si>
  <si>
    <t>골드</t>
  </si>
  <si>
    <t>539</t>
  </si>
  <si>
    <t xml:space="preserve">서울특별시 종로구 당주동 23-6번지 </t>
  </si>
  <si>
    <t>비너스</t>
  </si>
  <si>
    <t>540</t>
  </si>
  <si>
    <t xml:space="preserve">서울특별시 강북구 미아동 860-241번지 4층 </t>
  </si>
  <si>
    <t>서울특별시 강북구 도봉로8길 12 (미아동,4층)</t>
  </si>
  <si>
    <t>조코뮤직</t>
  </si>
  <si>
    <t>541</t>
  </si>
  <si>
    <t xml:space="preserve">서울특별시 중구 북창동 20-3번지 지상2층 </t>
  </si>
  <si>
    <t>김미</t>
  </si>
  <si>
    <t>542</t>
  </si>
  <si>
    <t xml:space="preserve">서울특별시 강북구 번동 446-18번지 </t>
  </si>
  <si>
    <t>서울특별시 강북구 오패산로77길 6 (번동)</t>
  </si>
  <si>
    <t>민들레 단란주점</t>
  </si>
  <si>
    <t>543</t>
  </si>
  <si>
    <t>157-880</t>
  </si>
  <si>
    <t xml:space="preserve">서울특별시 강서구 화곡동 342-58번지 (지하 1층) </t>
  </si>
  <si>
    <t>서울특별시 강서구 강서로 38, 지하 1층 (화곡동, 8동)</t>
  </si>
  <si>
    <t>07760</t>
  </si>
  <si>
    <t>초대가요메들리</t>
  </si>
  <si>
    <t>544</t>
  </si>
  <si>
    <t xml:space="preserve">서울특별시 종로구 낙원동 110-0번지 </t>
  </si>
  <si>
    <t>서울특별시 종로구 돈화문로11길 38 (낙원동)</t>
  </si>
  <si>
    <t>뽀빠이(popeye)</t>
  </si>
  <si>
    <t>545</t>
  </si>
  <si>
    <t xml:space="preserve">서울특별시 종로구 익선동 137-2번지 </t>
  </si>
  <si>
    <t>서울특별시 종로구 삼일대로30길 28 (익선동)</t>
  </si>
  <si>
    <t>블루</t>
  </si>
  <si>
    <t>546</t>
  </si>
  <si>
    <t xml:space="preserve">서울특별시 종로구 낙원동 218-1번지  (3층) </t>
  </si>
  <si>
    <t>서울특별시 종로구 수표로 121 (낙원동, (3층))</t>
  </si>
  <si>
    <t>사랑투</t>
  </si>
  <si>
    <t>547</t>
  </si>
  <si>
    <t>137-725</t>
  </si>
  <si>
    <t xml:space="preserve">서울특별시 서초구 서초동 1596-6 지하 </t>
  </si>
  <si>
    <t>서울특별시 서초구 효령로53길 67 (서초동,지하)</t>
  </si>
  <si>
    <t>06652</t>
  </si>
  <si>
    <t>필드라이브</t>
  </si>
  <si>
    <t>548</t>
  </si>
  <si>
    <t xml:space="preserve">서울특별시 동대문구 용두동 23-6번지 (용우물3길 7) </t>
  </si>
  <si>
    <t>서울특별시 동대문구 고산자로34길 11 (용두동,(용우물3길 7))</t>
  </si>
  <si>
    <t>초원가요주점</t>
  </si>
  <si>
    <t>549</t>
  </si>
  <si>
    <t>130-811</t>
  </si>
  <si>
    <t xml:space="preserve">서울특별시 동대문구 신설동 97-22 (신설길 15) </t>
  </si>
  <si>
    <t>서울특별시 동대문구 왕산로2길 27 (신설동,(신설길 15))</t>
  </si>
  <si>
    <t>02582</t>
  </si>
  <si>
    <t>새하늘(Newskykaraoke)</t>
  </si>
  <si>
    <t>550</t>
  </si>
  <si>
    <t xml:space="preserve">서울특별시 종로구 낙원동 225 한국장기협회 2층 </t>
  </si>
  <si>
    <t>서울특별시 종로구 수표로 121-1, 한국장기협회 2층 (낙원동)</t>
  </si>
  <si>
    <t>보노 노래바 큐 Q</t>
  </si>
  <si>
    <t>551</t>
  </si>
  <si>
    <t xml:space="preserve">서울특별시 마포구 서교동 354-22번지 </t>
  </si>
  <si>
    <t>서울특별시 마포구 양화로 134 (서교동)</t>
  </si>
  <si>
    <t>피닉스</t>
  </si>
  <si>
    <t>552</t>
  </si>
  <si>
    <t>100-842</t>
  </si>
  <si>
    <t xml:space="preserve">서울특별시 중구 을지로1가 32번지 지하2층 </t>
  </si>
  <si>
    <t>서울특별시 중구 남대문로9길 51 (을지로1가,지하2층)</t>
  </si>
  <si>
    <t>04523</t>
  </si>
  <si>
    <t>아시나요</t>
  </si>
  <si>
    <t>553</t>
  </si>
  <si>
    <t>151-852</t>
  </si>
  <si>
    <t xml:space="preserve">서울특별시 관악구 신림동 10-629 </t>
  </si>
  <si>
    <t>서울특별시 관악구 남부순환로 1674 (신림동)</t>
  </si>
  <si>
    <t>08780</t>
  </si>
  <si>
    <t>몽고메리</t>
  </si>
  <si>
    <t>554</t>
  </si>
  <si>
    <t>138-835</t>
  </si>
  <si>
    <t xml:space="preserve">서울특별시 송파구 방이동 206-7 지하1층 </t>
  </si>
  <si>
    <t>서울특별시 송파구 위례성대로18길 31-5, 지하1층 (방이동)</t>
  </si>
  <si>
    <t>05639</t>
  </si>
  <si>
    <t>샤넬 7090 라이브 바</t>
  </si>
  <si>
    <t>555</t>
  </si>
  <si>
    <t xml:space="preserve">서울특별시 강동구 길동 413-14 </t>
  </si>
  <si>
    <t>서울특별시 강동구 진황도로43길 3 (길동)</t>
  </si>
  <si>
    <t>명궁</t>
  </si>
  <si>
    <t>556</t>
  </si>
  <si>
    <t>122-911</t>
  </si>
  <si>
    <t xml:space="preserve">서울특별시 은평구 응암동 119-25 지하1층 </t>
  </si>
  <si>
    <t>서울특별시 은평구 응암로 257, 지하1층 (응암동)</t>
  </si>
  <si>
    <t>03455</t>
  </si>
  <si>
    <t>나이스</t>
  </si>
  <si>
    <t>557</t>
  </si>
  <si>
    <t>138-847</t>
  </si>
  <si>
    <t xml:space="preserve">서울특별시 송파구 석촌동 286-9 (지하1층) </t>
  </si>
  <si>
    <t>서울특별시 송파구 백제고분로 358 (석촌동,(지하1층))</t>
  </si>
  <si>
    <t>05685</t>
  </si>
  <si>
    <t>뉴타운</t>
  </si>
  <si>
    <t>558</t>
  </si>
  <si>
    <t xml:space="preserve">서울특별시 영등포구 대림동 692-1번지 지하1층 </t>
  </si>
  <si>
    <t>서울특별시 영등포구 대림로 188, 지하1층 (대림동)</t>
  </si>
  <si>
    <t>뉴월드</t>
  </si>
  <si>
    <t>559</t>
  </si>
  <si>
    <t xml:space="preserve">서울특별시 성북구 삼선동5가 298-1 </t>
  </si>
  <si>
    <t>서울특별시 성북구 보문로 175 (삼선동5가)</t>
  </si>
  <si>
    <t>7080 가수지연의 라이브</t>
  </si>
  <si>
    <t>560</t>
  </si>
  <si>
    <t>122-882</t>
  </si>
  <si>
    <t xml:space="preserve">서울특별시 은평구 신사동 23-7번지 지하1층 </t>
  </si>
  <si>
    <t>서울특별시 은평구 증산로 469 (신사동,지하1층)</t>
  </si>
  <si>
    <t>03449</t>
  </si>
  <si>
    <t>한강메들리</t>
  </si>
  <si>
    <t>561</t>
  </si>
  <si>
    <t xml:space="preserve">서울특별시 관악구 신림동 1669-13 </t>
  </si>
  <si>
    <t>서울특별시 관악구 조원중앙로2길 2 (신림동)</t>
  </si>
  <si>
    <t>08765</t>
  </si>
  <si>
    <t>블루문</t>
  </si>
  <si>
    <t>562</t>
  </si>
  <si>
    <t>136-084</t>
  </si>
  <si>
    <t xml:space="preserve">서울특별시 성북구 보문동4가 90-2번지 </t>
  </si>
  <si>
    <t>서울특별시 성북구 보문로 68 (보문동4가)</t>
  </si>
  <si>
    <t>02859</t>
  </si>
  <si>
    <t>금화</t>
  </si>
  <si>
    <t>563</t>
  </si>
  <si>
    <t>138-837</t>
  </si>
  <si>
    <t xml:space="preserve">서울특별시 송파구 삼전동 8-15번지 (지하1층) </t>
  </si>
  <si>
    <t>서울특별시 송파구 백제고분로21길 5 (삼전동,(지하1층))</t>
  </si>
  <si>
    <t>05606</t>
  </si>
  <si>
    <t>띵까띵까</t>
  </si>
  <si>
    <t>564</t>
  </si>
  <si>
    <t xml:space="preserve">서울특별시 영등포구 당산동3가 342-6번지 지하1층 </t>
  </si>
  <si>
    <t>서울특별시 영등포구 양산로 125, 지하1층 (당산동3가)</t>
  </si>
  <si>
    <t>565</t>
  </si>
  <si>
    <t xml:space="preserve">서울특별시 영등포구 당산동3가 129-0 지하1층 </t>
  </si>
  <si>
    <t>서울특별시 영등포구 국회대로36길 10 (당산동3가, 지하1층)</t>
  </si>
  <si>
    <t>캠프스토리</t>
  </si>
  <si>
    <t>566</t>
  </si>
  <si>
    <t>151-888</t>
  </si>
  <si>
    <t xml:space="preserve">서울특별시 관악구 신림동 587-38 지하1층 </t>
  </si>
  <si>
    <t>서울특별시 관악구 난곡로 240 (신림동,지하1층)</t>
  </si>
  <si>
    <t>08849</t>
  </si>
  <si>
    <t>여시노래노래</t>
  </si>
  <si>
    <t>567</t>
  </si>
  <si>
    <t xml:space="preserve">서울특별시 영등포구 당산동3가 142 지하1층 </t>
  </si>
  <si>
    <t>서울특별시 영등포구 국회대로 574-2, 지하1층 (당산동3가)</t>
  </si>
  <si>
    <t>달래</t>
  </si>
  <si>
    <t>568</t>
  </si>
  <si>
    <t xml:space="preserve">서울특별시 영등포구 당산동3가 132-0 지하1층 </t>
  </si>
  <si>
    <t>서울특별시 영등포구 국회대로36길 8 (당산동3가, 지하1층)</t>
  </si>
  <si>
    <t>사계절</t>
  </si>
  <si>
    <t>569</t>
  </si>
  <si>
    <t xml:space="preserve">서울특별시 영등포구 영등포동5가 30-0 지하1층 </t>
  </si>
  <si>
    <t>서울특별시 영등포구 영중로20길 2 (영등포동5가, 지하1층)</t>
  </si>
  <si>
    <t>금강산</t>
  </si>
  <si>
    <t>570</t>
  </si>
  <si>
    <t xml:space="preserve">서울특별시 강서구 화곡동 1065-20 지하 1층 </t>
  </si>
  <si>
    <t>서울특별시 강서구 강서로33길 9, 지하 1층 (화곡동)</t>
  </si>
  <si>
    <t>톱스타</t>
  </si>
  <si>
    <t>571</t>
  </si>
  <si>
    <t xml:space="preserve">서울특별시 종로구 낙원동 99-1 </t>
  </si>
  <si>
    <t>서울특별시 종로구 수표로 132 (낙원동)</t>
  </si>
  <si>
    <t>시티</t>
  </si>
  <si>
    <t>572</t>
  </si>
  <si>
    <t>138-828</t>
  </si>
  <si>
    <t xml:space="preserve">서울특별시 송파구 방이동 65번지 지하1층 </t>
  </si>
  <si>
    <t>서울특별시 송파구 오금로 91, 지하1층 (방이동)</t>
  </si>
  <si>
    <t>05548</t>
  </si>
  <si>
    <t>사랑</t>
  </si>
  <si>
    <t>573</t>
  </si>
  <si>
    <t>136-090</t>
  </si>
  <si>
    <t xml:space="preserve">서울특별시 성북구 종암동 3-544번지 ,3-71,124-80 </t>
  </si>
  <si>
    <t>서울특별시 성북구 종암로27길 18 (종암동,,3-71,124-80)</t>
  </si>
  <si>
    <t>02802</t>
  </si>
  <si>
    <t>차차차</t>
  </si>
  <si>
    <t>574</t>
  </si>
  <si>
    <t xml:space="preserve">서울특별시 마포구 서교동 372-2번지 1층동 </t>
  </si>
  <si>
    <t>서울특별시 마포구 잔다리로 48, 1층동 (서교동)</t>
  </si>
  <si>
    <t>파파야</t>
  </si>
  <si>
    <t>575</t>
  </si>
  <si>
    <t xml:space="preserve">서울특별시 노원구 상계동 708 지하1층 </t>
  </si>
  <si>
    <t>서울특별시 노원구 노해로75길 14-18, 지하 1층 (상계동)</t>
  </si>
  <si>
    <t>01689</t>
  </si>
  <si>
    <t>모히또</t>
  </si>
  <si>
    <t>576</t>
  </si>
  <si>
    <t xml:space="preserve">서울특별시 서초구 서초동 1337-9 지하1층 </t>
  </si>
  <si>
    <t>서울특별시 서초구 효령로79길 21, 지하1층 (서초동)</t>
  </si>
  <si>
    <t>타이밍</t>
  </si>
  <si>
    <t>577</t>
  </si>
  <si>
    <t xml:space="preserve">서울특별시 영등포구 영등포동3가 26 </t>
  </si>
  <si>
    <t>서울특별시 영등포구 영중로8길 20, 2층 (영등포동3가)</t>
  </si>
  <si>
    <t>비전</t>
  </si>
  <si>
    <t>578</t>
  </si>
  <si>
    <t>150-867</t>
  </si>
  <si>
    <t xml:space="preserve">서울특별시 영등포구 양평동4가 119-0 </t>
  </si>
  <si>
    <t>서울특별시 영등포구 양평로 116 (양평동4가)</t>
  </si>
  <si>
    <t>07206</t>
  </si>
  <si>
    <t>천사노래</t>
  </si>
  <si>
    <t>579</t>
  </si>
  <si>
    <t>153-806</t>
  </si>
  <si>
    <t xml:space="preserve">서울특별시 금천구 독산동 145-8 </t>
  </si>
  <si>
    <t>서울특별시 금천구 시흥대로 473 (독산동, 지하1층)</t>
  </si>
  <si>
    <t>08531</t>
  </si>
  <si>
    <t>나가수</t>
  </si>
  <si>
    <t>580</t>
  </si>
  <si>
    <t>134-010</t>
  </si>
  <si>
    <t xml:space="preserve">서울특별시 강동구 길동 448-1 ,2,449 </t>
  </si>
  <si>
    <t>서울특별시 강동구 진황도로 94 (길동,,2,449)</t>
  </si>
  <si>
    <t>그랜져</t>
  </si>
  <si>
    <t>581</t>
  </si>
  <si>
    <t xml:space="preserve">서울특별시 종로구 종로5가 38-2 </t>
  </si>
  <si>
    <t>서울특별시 종로구 종로35길 3 (종로5가)</t>
  </si>
  <si>
    <t>03126</t>
  </si>
  <si>
    <t>종로</t>
  </si>
  <si>
    <t>582</t>
  </si>
  <si>
    <t xml:space="preserve">서울특별시 성북구 보문동4가 88-0번지 </t>
  </si>
  <si>
    <t>서울특별시 성북구 보문로 70 (보문동4가)</t>
  </si>
  <si>
    <t>대명</t>
  </si>
  <si>
    <t>583</t>
  </si>
  <si>
    <t>136-864</t>
  </si>
  <si>
    <t xml:space="preserve">서울특별시 성북구 종암동 3-680번지 </t>
  </si>
  <si>
    <t>서울특별시 성북구 종암로21길 71 (종암동)</t>
  </si>
  <si>
    <t>02803</t>
  </si>
  <si>
    <t>뿌요뿌요</t>
  </si>
  <si>
    <t>584</t>
  </si>
  <si>
    <t xml:space="preserve">서울특별시 서초구 서초동 1572-9 </t>
  </si>
  <si>
    <t>서울특별시 서초구 반포대로30길 69 (서초동)</t>
  </si>
  <si>
    <t>06645</t>
  </si>
  <si>
    <t>향수</t>
  </si>
  <si>
    <t>585</t>
  </si>
  <si>
    <t>110-836</t>
  </si>
  <si>
    <t xml:space="preserve">서울특별시 종로구 종로5가 225-6 (지하1층) </t>
  </si>
  <si>
    <t>서울특별시 종로구 종로40가길 39-3 (종로5가,(지하1층))</t>
  </si>
  <si>
    <t>03197</t>
  </si>
  <si>
    <t>586</t>
  </si>
  <si>
    <t xml:space="preserve">서울특별시 종로구 낙원동 173-1 </t>
  </si>
  <si>
    <t>서울특별시 종로구 수표로 116 (낙원동)</t>
  </si>
  <si>
    <t>587</t>
  </si>
  <si>
    <t xml:space="preserve">서울특별시 은평구 불광동 285-20 지층 </t>
  </si>
  <si>
    <t>서울특별시 은평구 진흥로 201 (불광동, 지층)</t>
  </si>
  <si>
    <t>라이브영</t>
  </si>
  <si>
    <t>588</t>
  </si>
  <si>
    <t xml:space="preserve">서울특별시 동대문구 장안동 366-11 지하1층 </t>
  </si>
  <si>
    <t>서울특별시 동대문구 장한로 114, 지하1층 (장안동)</t>
  </si>
  <si>
    <t>준단란주점</t>
  </si>
  <si>
    <t>589</t>
  </si>
  <si>
    <t xml:space="preserve">서울특별시 강서구 화곡동 343-61 (지하 1층) </t>
  </si>
  <si>
    <t>서울특별시 강서구 강서로 33, 지하 1층 (화곡동, 1동)</t>
  </si>
  <si>
    <t>엠(M)</t>
  </si>
  <si>
    <t>590</t>
  </si>
  <si>
    <t>110-370</t>
  </si>
  <si>
    <t xml:space="preserve">서울특별시 종로구 묘동 149-1번지 </t>
  </si>
  <si>
    <t>서울특별시 종로구 돈화문로 57 (묘동)</t>
  </si>
  <si>
    <t>레테</t>
  </si>
  <si>
    <t>591</t>
  </si>
  <si>
    <t>158-829</t>
  </si>
  <si>
    <t xml:space="preserve">서울특별시 양천구 신월동 147-3 지하 1층 </t>
  </si>
  <si>
    <t>서울특별시 양천구 남부순환로 354, 지하 1층 (신월동)</t>
  </si>
  <si>
    <t>07910</t>
  </si>
  <si>
    <t>성진노래빠</t>
  </si>
  <si>
    <t>592</t>
  </si>
  <si>
    <t>134-868</t>
  </si>
  <si>
    <t xml:space="preserve">서울특별시 강동구 천호동 325-8 </t>
  </si>
  <si>
    <t>서울특별시 강동구 천중로 19-1 (천호동)</t>
  </si>
  <si>
    <t>05244</t>
  </si>
  <si>
    <t>노래하는포장마차뚱딴지</t>
  </si>
  <si>
    <t>593</t>
  </si>
  <si>
    <t xml:space="preserve">서울특별시 서초구 잠원동 12-1 성원빌딩 지하1층 </t>
  </si>
  <si>
    <t>서울특별시 서초구 강남대로105길 15, 성원빌딩 지하1층 (잠원동)</t>
  </si>
  <si>
    <t>기분좋은날</t>
  </si>
  <si>
    <t>594</t>
  </si>
  <si>
    <t>135-875</t>
  </si>
  <si>
    <t xml:space="preserve">서울특별시 강남구 삼성동 127-12번지 </t>
  </si>
  <si>
    <t>서울특별시 강남구 삼성로 531 (삼성동)</t>
  </si>
  <si>
    <t>06156</t>
  </si>
  <si>
    <t>도도</t>
  </si>
  <si>
    <t>595</t>
  </si>
  <si>
    <t xml:space="preserve">서울특별시 금천구 독산동 148-22 지하1층 </t>
  </si>
  <si>
    <t>서울특별시 금천구 가산로 72, 지하1층 (독산동)</t>
  </si>
  <si>
    <t>08533</t>
  </si>
  <si>
    <t>힐러노래바</t>
  </si>
  <si>
    <t>596</t>
  </si>
  <si>
    <t>134-846</t>
  </si>
  <si>
    <t xml:space="preserve">서울특별시 강동구 성내동 440-22번지 </t>
  </si>
  <si>
    <t>서울특별시 강동구 양재대로85길 15 (성내동)</t>
  </si>
  <si>
    <t>05408</t>
  </si>
  <si>
    <t>대가</t>
  </si>
  <si>
    <t>597</t>
  </si>
  <si>
    <t>137-832</t>
  </si>
  <si>
    <t xml:space="preserve">서울특별시 서초구 방배동 813-7 (지하1층) </t>
  </si>
  <si>
    <t>서울특별시 서초구 동광로 70 (방배동,(지하1층))</t>
  </si>
  <si>
    <t>06562</t>
  </si>
  <si>
    <t>서래 셀부루</t>
  </si>
  <si>
    <t>598</t>
  </si>
  <si>
    <t>138-846</t>
  </si>
  <si>
    <t xml:space="preserve">서울특별시 송파구 석촌동 276-6 </t>
  </si>
  <si>
    <t>서울특별시 송파구 가락로 108 (석촌동)</t>
  </si>
  <si>
    <t>05696</t>
  </si>
  <si>
    <t>599</t>
  </si>
  <si>
    <t>137-829</t>
  </si>
  <si>
    <t xml:space="preserve">서울특별시 서초구 방배동 777-6 (지층) </t>
  </si>
  <si>
    <t>서울특별시 서초구 방배중앙로 164 (방배동)</t>
  </si>
  <si>
    <t>06557</t>
  </si>
  <si>
    <t>퀸 노래바</t>
  </si>
  <si>
    <t>600</t>
  </si>
  <si>
    <t>132-821</t>
  </si>
  <si>
    <t xml:space="preserve">서울특별시 도봉구 도봉동 623-83번지 지하1층 </t>
  </si>
  <si>
    <t>서울특별시 도봉구 도봉로156길 32, 지하1층 (도봉동)</t>
  </si>
  <si>
    <t>01328</t>
  </si>
  <si>
    <t>만남의광장</t>
  </si>
  <si>
    <t>601</t>
  </si>
  <si>
    <t>137-877</t>
  </si>
  <si>
    <t xml:space="preserve">서울특별시 서초구 서초동 1603-68 (11동 지하4호) </t>
  </si>
  <si>
    <t>서울특별시 서초구 효령로 305 (서초동,(11동 지하4호))</t>
  </si>
  <si>
    <t>06643</t>
  </si>
  <si>
    <t>국제주점</t>
  </si>
  <si>
    <t>602</t>
  </si>
  <si>
    <t>158-819</t>
  </si>
  <si>
    <t xml:space="preserve">서울특별시 양천구 목동 793-5 지하 1층 </t>
  </si>
  <si>
    <t>서울특별시 양천구 등촌로 20-1, 지하 1층 (목동)</t>
  </si>
  <si>
    <t>07966</t>
  </si>
  <si>
    <t>팝콘 노래장</t>
  </si>
  <si>
    <t>603</t>
  </si>
  <si>
    <t xml:space="preserve">서울특별시 강동구 천호동 121-83 </t>
  </si>
  <si>
    <t>서울특별시 강동구 성안로 181 (천호동)</t>
  </si>
  <si>
    <t>05332</t>
  </si>
  <si>
    <t>청사초롱 노래하는포차(민속노래마차)</t>
  </si>
  <si>
    <t>604</t>
  </si>
  <si>
    <t xml:space="preserve">서울특별시 송파구 잠실동 180-6 </t>
  </si>
  <si>
    <t>서울특별시 송파구 올림픽로12길 4-23 (잠실동)</t>
  </si>
  <si>
    <t>뉴코 노래타운 신천점</t>
  </si>
  <si>
    <t>605</t>
  </si>
  <si>
    <t>135-889</t>
  </si>
  <si>
    <t xml:space="preserve">서울특별시 강남구 신사동 539번지 </t>
  </si>
  <si>
    <t>서울특별시 강남구 도산대로15길 6 (신사동)</t>
  </si>
  <si>
    <t>06036</t>
  </si>
  <si>
    <t>타라</t>
  </si>
  <si>
    <t>606</t>
  </si>
  <si>
    <t>135-914</t>
  </si>
  <si>
    <t xml:space="preserve">서울특별시 강남구 역삼동 667-0 </t>
  </si>
  <si>
    <t>서울특별시 강남구 논현로 542, 지하1층 B101호 (역삼동)</t>
  </si>
  <si>
    <t>06136</t>
  </si>
  <si>
    <t>조수경라이브</t>
  </si>
  <si>
    <t>607</t>
  </si>
  <si>
    <t>153-807</t>
  </si>
  <si>
    <t xml:space="preserve">서울특별시 금천구 독산동 159-20 지하1층 </t>
  </si>
  <si>
    <t>서울특별시 금천구 시흥대로 432 (독산동, 지하1층)</t>
  </si>
  <si>
    <t>08545</t>
  </si>
  <si>
    <t>별 노래바</t>
  </si>
  <si>
    <t>608</t>
  </si>
  <si>
    <t>135-821</t>
  </si>
  <si>
    <t xml:space="preserve">서울특별시 강남구 논현동 106-8번지 </t>
  </si>
  <si>
    <t>서울특별시 강남구 언주로136길 5 (논현동)</t>
  </si>
  <si>
    <t>06058</t>
  </si>
  <si>
    <t>메이플</t>
  </si>
  <si>
    <t>609</t>
  </si>
  <si>
    <t xml:space="preserve">서울특별시 강남구 대치동 943-12번지 </t>
  </si>
  <si>
    <t>서울특별시 강남구 테헤란로84길 13 (대치동)</t>
  </si>
  <si>
    <t>칼라</t>
  </si>
  <si>
    <t>610</t>
  </si>
  <si>
    <t xml:space="preserve">서울특별시 강서구 화곡동 342-57번지 (지하 1층) </t>
  </si>
  <si>
    <t>서울특별시 강서구 강서로 36, 지하 1층 (화곡동, 8동)</t>
  </si>
  <si>
    <t>홍시</t>
  </si>
  <si>
    <t>611</t>
  </si>
  <si>
    <t xml:space="preserve">서울특별시 강북구 미아동 42-73번지 (대지길 20) </t>
  </si>
  <si>
    <t>서울특별시 강북구 월계로3길 28 (미아동,(대지길 20))</t>
  </si>
  <si>
    <t>01221</t>
  </si>
  <si>
    <t>목화</t>
  </si>
  <si>
    <t>612</t>
  </si>
  <si>
    <t xml:space="preserve">서울특별시 강서구 화곡동 936-9 (지상 3층) </t>
  </si>
  <si>
    <t>서울특별시 강서구 월정로 106, 3층 (화곡동, 1동)</t>
  </si>
  <si>
    <t>뮤직</t>
  </si>
  <si>
    <t>613</t>
  </si>
  <si>
    <t xml:space="preserve">서울특별시 강북구 미아동 860-108번지 </t>
  </si>
  <si>
    <t>서울특별시 강북구 솔샘로 270 (미아동)</t>
  </si>
  <si>
    <t>01201</t>
  </si>
  <si>
    <t>루희라이브</t>
  </si>
  <si>
    <t>614</t>
  </si>
  <si>
    <t xml:space="preserve">서울특별시 강북구 번동 443-98 청도빌딩 </t>
  </si>
  <si>
    <t>서울특별시 강북구 도봉로82길 33, 청도빌딩 지1층 (번동)</t>
  </si>
  <si>
    <t>01069</t>
  </si>
  <si>
    <t>뮤즈노래클럽</t>
  </si>
  <si>
    <t>615</t>
  </si>
  <si>
    <t>157-897</t>
  </si>
  <si>
    <t xml:space="preserve">서울특별시 강서구 화곡동 779-2번지 (지하 1층) </t>
  </si>
  <si>
    <t>서울특별시 강서구 곰달래로 268, 지하 1층 (화곡동, 4동)</t>
  </si>
  <si>
    <t>07785</t>
  </si>
  <si>
    <t>케이투(K2)노래바</t>
  </si>
  <si>
    <t>616</t>
  </si>
  <si>
    <t>158-825</t>
  </si>
  <si>
    <t xml:space="preserve">서울특별시 양천구 신월동 81-3 신협빌딩 지하 1층 </t>
  </si>
  <si>
    <t>서울특별시 양천구 가로공원로 121, 신협빌딩 지하 1층 (신월동)</t>
  </si>
  <si>
    <t>07905</t>
  </si>
  <si>
    <t>617</t>
  </si>
  <si>
    <t xml:space="preserve">서울특별시 종로구 낙원동 221-0 </t>
  </si>
  <si>
    <t>서울특별시 종로구 종로17길 40 (낙원동)</t>
  </si>
  <si>
    <t>스카이라운지</t>
  </si>
  <si>
    <t>618</t>
  </si>
  <si>
    <t xml:space="preserve">서울특별시 종로구 낙원동 243-8번지 9,10 </t>
  </si>
  <si>
    <t>서울특별시 종로구 종로17길 47 (낙원동,9,10)</t>
  </si>
  <si>
    <t>버클리</t>
  </si>
  <si>
    <t>619</t>
  </si>
  <si>
    <t>138-848</t>
  </si>
  <si>
    <t xml:space="preserve">서울특별시 송파구 송파동 18-18 (지1층) </t>
  </si>
  <si>
    <t>서울특별시 송파구 백제고분로41길 7 (송파동,(지1층))</t>
  </si>
  <si>
    <t>05626</t>
  </si>
  <si>
    <t>준</t>
  </si>
  <si>
    <t>620</t>
  </si>
  <si>
    <t>150-800</t>
  </si>
  <si>
    <t xml:space="preserve">서울특별시 영등포구 당산동1가 74-1 선행빌딩 지하1층 </t>
  </si>
  <si>
    <t>서울특별시 영등포구 영등포로 163 (당산동1가, 선행빌딩 지하1층)</t>
  </si>
  <si>
    <t>07267</t>
  </si>
  <si>
    <t>킹</t>
  </si>
  <si>
    <t>621</t>
  </si>
  <si>
    <t>153-030</t>
  </si>
  <si>
    <t xml:space="preserve">서울특별시 금천구 시흥동 999-48 ,49 지하1층 (금천로 218) </t>
  </si>
  <si>
    <t>서울특별시 금천구 금하로 619, 지하1층 (시흥동)</t>
  </si>
  <si>
    <t>622</t>
  </si>
  <si>
    <t xml:space="preserve">서울특별시 은평구 응암동 119-17 (지하1층) </t>
  </si>
  <si>
    <t>서울특별시 은평구 응암로 261, 지하1층 (응암동)</t>
  </si>
  <si>
    <t>샴푸</t>
  </si>
  <si>
    <t>623</t>
  </si>
  <si>
    <t xml:space="preserve">서울특별시 종로구 묘동 177-1 지하1층 </t>
  </si>
  <si>
    <t>서울특별시 종로구 돈화문로 41-1 (묘동)</t>
  </si>
  <si>
    <t>도깨비</t>
  </si>
  <si>
    <t>624</t>
  </si>
  <si>
    <t>130-838</t>
  </si>
  <si>
    <t xml:space="preserve">서울특별시 동대문구 장안동 301-2번지 지하1층 </t>
  </si>
  <si>
    <t>서울특별시 동대문구 장한로 201, 지하1층 (장안동)</t>
  </si>
  <si>
    <t>02526</t>
  </si>
  <si>
    <t>율아라이브</t>
  </si>
  <si>
    <t>625</t>
  </si>
  <si>
    <t xml:space="preserve">서울특별시 종로구 낙원동 90-0번지 </t>
  </si>
  <si>
    <t>서울특별시 종로구 수표로28길 5 (낙원동)</t>
  </si>
  <si>
    <t>바렌티노</t>
  </si>
  <si>
    <t>626</t>
  </si>
  <si>
    <t xml:space="preserve">서울특별시 종로구 돈의동 44-1 지하1층 </t>
  </si>
  <si>
    <t>서울특별시 종로구 돈화문로11길 18 (돈의동,지하1층)</t>
  </si>
  <si>
    <t>막시무스</t>
  </si>
  <si>
    <t>627</t>
  </si>
  <si>
    <t xml:space="preserve">서울특별시 종로구 낙원동 243-3번지 (지하1층) </t>
  </si>
  <si>
    <t>서울특별시 종로구 종로17길 45 (낙원동,(지하1층))</t>
  </si>
  <si>
    <t>628</t>
  </si>
  <si>
    <t xml:space="preserve">서울특별시 종로구 익선동 103-0번지 </t>
  </si>
  <si>
    <t>서울특별시 종로구 삼일대로30길 49 (익선동)</t>
  </si>
  <si>
    <t>윌페이퍼</t>
  </si>
  <si>
    <t>629</t>
  </si>
  <si>
    <t xml:space="preserve">서울특별시 서대문구 홍제동 294-50 </t>
  </si>
  <si>
    <t>서울특별시 서대문구 통일로 479 (홍제동)</t>
  </si>
  <si>
    <t>03636</t>
  </si>
  <si>
    <t>나성</t>
  </si>
  <si>
    <t>630</t>
  </si>
  <si>
    <t xml:space="preserve">서울특별시 종로구 낙원동 136 보광빌딩 </t>
  </si>
  <si>
    <t>서울특별시 종로구 돈화문로11길 41, 보광빌딩 지하1층 (낙원동)</t>
  </si>
  <si>
    <t>훈(HUN)</t>
  </si>
  <si>
    <t>631</t>
  </si>
  <si>
    <t>100-868</t>
  </si>
  <si>
    <t xml:space="preserve">서울특별시 중구 황학동 1-0번지 </t>
  </si>
  <si>
    <t>서울특별시 중구 마장로9길 49 (황학동)</t>
  </si>
  <si>
    <t>04571</t>
  </si>
  <si>
    <t>캐슬노래주점</t>
  </si>
  <si>
    <t>632</t>
  </si>
  <si>
    <t>139-817</t>
  </si>
  <si>
    <t xml:space="preserve">서울특별시 노원구 상계동 326-4 </t>
  </si>
  <si>
    <t>서울특별시 노원구 노해로83길 18-6 (상계동)</t>
  </si>
  <si>
    <t>01695</t>
  </si>
  <si>
    <t>코코노래주점</t>
  </si>
  <si>
    <t>633</t>
  </si>
  <si>
    <t xml:space="preserve">서울특별시 관악구 봉천동 1657-7 지하1층 </t>
  </si>
  <si>
    <t>서울특별시 관악구 남부순환로246길 5 (봉천동,지하1층)</t>
  </si>
  <si>
    <t>엔젤노래짱</t>
  </si>
  <si>
    <t>634</t>
  </si>
  <si>
    <t>157-801</t>
  </si>
  <si>
    <t xml:space="preserve">서울특별시 강서구 가양동 150-27 지하 1층 </t>
  </si>
  <si>
    <t>서울특별시 강서구 강서로 486, 지하 1층 (가양동, 1동)</t>
  </si>
  <si>
    <t>07530</t>
  </si>
  <si>
    <t>635</t>
  </si>
  <si>
    <t xml:space="preserve">서울특별시 노원구 상계동 725-3 원흥상가지하1층 </t>
  </si>
  <si>
    <t>서울특별시 노원구 동일로218길 지하 35, 지하1층 (상계동, 원흥상가)</t>
  </si>
  <si>
    <t>와 노래주점</t>
  </si>
  <si>
    <t>636</t>
  </si>
  <si>
    <t>121-885</t>
  </si>
  <si>
    <t xml:space="preserve">서울특별시 마포구 합정동 383-31 </t>
  </si>
  <si>
    <t>서울특별시 마포구 월드컵로1길 11 (합정동)</t>
  </si>
  <si>
    <t>04027</t>
  </si>
  <si>
    <t>가보자</t>
  </si>
  <si>
    <t>637</t>
  </si>
  <si>
    <t xml:space="preserve">서울특별시 송파구 송파동 7-12 태하빌딩 </t>
  </si>
  <si>
    <t>서울특별시 송파구 백제고분로41길 45, 태하빌딩 지하1층 (송파동)</t>
  </si>
  <si>
    <t>05624</t>
  </si>
  <si>
    <t>레이크 7080 라이브</t>
  </si>
  <si>
    <t>638</t>
  </si>
  <si>
    <t>150-036</t>
  </si>
  <si>
    <t xml:space="preserve">서울특별시 영등포구 영등포동6가 75-2 대흥빌딩 </t>
  </si>
  <si>
    <t>서울특별시 영등포구 영신로38길 14, 대흥빌딩 지하1층 (영등포동6가)</t>
  </si>
  <si>
    <t>07251</t>
  </si>
  <si>
    <t>태양</t>
  </si>
  <si>
    <t>639</t>
  </si>
  <si>
    <t>135-909</t>
  </si>
  <si>
    <t xml:space="preserve">서울특별시 강남구 역삼동 641-10 </t>
  </si>
  <si>
    <t>서울특별시 강남구 논현로 515 (역삼동)</t>
  </si>
  <si>
    <t>06131</t>
  </si>
  <si>
    <t>미스티</t>
  </si>
  <si>
    <t>640</t>
  </si>
  <si>
    <t>143-915</t>
  </si>
  <si>
    <t xml:space="preserve">서울특별시 광진구 화양동 111-161 </t>
  </si>
  <si>
    <t>서울특별시 광진구 능동로19길 36 (화양동)</t>
  </si>
  <si>
    <t>05009</t>
  </si>
  <si>
    <t>오케이(OK)노래광장</t>
  </si>
  <si>
    <t>641</t>
  </si>
  <si>
    <t>130-850</t>
  </si>
  <si>
    <t xml:space="preserve">서울특별시 동대문구 전농동 38-97 지하1층 </t>
  </si>
  <si>
    <t>서울특별시 동대문구 사가정로 123, 지하1층 (전농동)</t>
  </si>
  <si>
    <t>02507</t>
  </si>
  <si>
    <t>꿈의대화</t>
  </si>
  <si>
    <t>642</t>
  </si>
  <si>
    <t>139-821</t>
  </si>
  <si>
    <t xml:space="preserve">서울특별시 노원구 상계동 616-6 </t>
  </si>
  <si>
    <t>서울특별시 노원구 노해로81길 12-4 (상계동)</t>
  </si>
  <si>
    <t>K POP 노래타운</t>
  </si>
  <si>
    <t>643</t>
  </si>
  <si>
    <t xml:space="preserve">서울특별시 종로구 낙원동 220 지하1층 </t>
  </si>
  <si>
    <t>서울특별시 종로구 종로17길 36 (낙원동,지하1층)</t>
  </si>
  <si>
    <t>엉클</t>
  </si>
  <si>
    <t>644</t>
  </si>
  <si>
    <t xml:space="preserve">서울특별시 강동구 천호동 453-8번지 외3필지 1층 </t>
  </si>
  <si>
    <t>서울특별시 강동구 천호대로157길 18 (천호동,외3필지 1층)</t>
  </si>
  <si>
    <t>악쓰는하마 II</t>
  </si>
  <si>
    <t>645</t>
  </si>
  <si>
    <t xml:space="preserve">서울특별시 강북구 미아동 42-98 </t>
  </si>
  <si>
    <t>서울특별시 강북구 월계로 21 (미아동)</t>
  </si>
  <si>
    <t>한국관</t>
  </si>
  <si>
    <t>646</t>
  </si>
  <si>
    <t>110-834</t>
  </si>
  <si>
    <t xml:space="preserve">서울특별시 종로구 예지동 184-1번지 </t>
  </si>
  <si>
    <t>서울특별시 종로구 청계천로 179 (예지동)</t>
  </si>
  <si>
    <t>03194</t>
  </si>
  <si>
    <t>647</t>
  </si>
  <si>
    <t>130-802</t>
  </si>
  <si>
    <t xml:space="preserve">서울특별시 동대문구 답십리동 260-1 지하1층 </t>
  </si>
  <si>
    <t>서울특별시 동대문구 전농로 53, 지하1층 (답십리동)</t>
  </si>
  <si>
    <t>02600</t>
  </si>
  <si>
    <t>648</t>
  </si>
  <si>
    <t>136-032</t>
  </si>
  <si>
    <t xml:space="preserve">서울특별시 성북구 동소문동2가 230번지 </t>
  </si>
  <si>
    <t>서울특별시 성북구 동소문로 16-1 (동소문동2가)</t>
  </si>
  <si>
    <t>02860</t>
  </si>
  <si>
    <t>카니발</t>
  </si>
  <si>
    <t>649</t>
  </si>
  <si>
    <t>135-855</t>
  </si>
  <si>
    <t xml:space="preserve">서울특별시 강남구 도곡동 425-1번지 지층 </t>
  </si>
  <si>
    <t>서울특별시 강남구 논현로28길 2 (도곡동,지층)</t>
  </si>
  <si>
    <t>06302</t>
  </si>
  <si>
    <t>노래하는포차 주점</t>
  </si>
  <si>
    <t>650</t>
  </si>
  <si>
    <t>121-810</t>
  </si>
  <si>
    <t xml:space="preserve">서울특별시 마포구 대흥동 328-34번지 B1 </t>
  </si>
  <si>
    <t>서울특별시 마포구 독막로 248 (대흥동,B1)</t>
  </si>
  <si>
    <t>04150</t>
  </si>
  <si>
    <t>사거리 노래주점</t>
  </si>
  <si>
    <t>651</t>
  </si>
  <si>
    <t>135-955</t>
  </si>
  <si>
    <t xml:space="preserve">서울특별시 강남구 청담동 119-11번지 </t>
  </si>
  <si>
    <t>서울특별시 강남구 도산대로 503 (청담동)</t>
  </si>
  <si>
    <t>06011</t>
  </si>
  <si>
    <t>큐</t>
  </si>
  <si>
    <t>652</t>
  </si>
  <si>
    <t xml:space="preserve">서울특별시 도봉구 창동 9-1 지하1층 2호 </t>
  </si>
  <si>
    <t>서울특별시 도봉구 노해로 379, 지하1층 2호 (창동)</t>
  </si>
  <si>
    <t>653</t>
  </si>
  <si>
    <t>138-800</t>
  </si>
  <si>
    <t xml:space="preserve">서울특별시 송파구 가락동 7-10 지하1층 </t>
  </si>
  <si>
    <t>서울특별시 송파구 오금로36길 12, 지하1층 (가락동)</t>
  </si>
  <si>
    <t>05700</t>
  </si>
  <si>
    <t>W노래뱅크주점</t>
  </si>
  <si>
    <t>654</t>
  </si>
  <si>
    <t>142-876</t>
  </si>
  <si>
    <t xml:space="preserve">서울특별시 강북구 수유동 174-2 하늘빌딩 지하1층 </t>
  </si>
  <si>
    <t>서울특별시 강북구 도봉로 375, 하늘빌딩 지하1층 (수유동)</t>
  </si>
  <si>
    <t>01054</t>
  </si>
  <si>
    <t>미스트롯 단란주점</t>
  </si>
  <si>
    <t>655</t>
  </si>
  <si>
    <t>157-030</t>
  </si>
  <si>
    <t xml:space="preserve">서울특별시 강서구 등촌동 764 지하 1층 </t>
  </si>
  <si>
    <t>서울특별시 강서구 강서로74길 16, 지하 1층 (등촌동)</t>
  </si>
  <si>
    <t>07573</t>
  </si>
  <si>
    <t>656</t>
  </si>
  <si>
    <t>142-070</t>
  </si>
  <si>
    <t xml:space="preserve">서울특별시 강북구 수유동 569-16 </t>
  </si>
  <si>
    <t>서울특별시 강북구 4.19로 31, 지하1층 (수유동)</t>
  </si>
  <si>
    <t>01026</t>
  </si>
  <si>
    <t>딕훼미리(라이브)</t>
  </si>
  <si>
    <t>657</t>
  </si>
  <si>
    <t xml:space="preserve">서울특별시 강서구 화곡동 1104-0 (지하 1층) </t>
  </si>
  <si>
    <t>서울특별시 강서구 우장산로 지하 124, 1층 (화곡동, 6동)</t>
  </si>
  <si>
    <t>658</t>
  </si>
  <si>
    <t>158-845</t>
  </si>
  <si>
    <t>서울특별시 양천구 신월동 921-4 지하 1층 102호</t>
  </si>
  <si>
    <t>서울특별시 양천구 지양로 90, 지하 1층 102호 (신월동)</t>
  </si>
  <si>
    <t>08034</t>
  </si>
  <si>
    <t>힐링7080라이브</t>
  </si>
  <si>
    <t>659</t>
  </si>
  <si>
    <t xml:space="preserve">서울특별시 금천구 시흥동 885-4번지 ,5,7,8 지하1층 (금천로 189) </t>
  </si>
  <si>
    <t>서울특별시 금천구 금하로 648 (시흥동,,5,7,8 지하1층 (금천로 189))</t>
  </si>
  <si>
    <t>스카이7080</t>
  </si>
  <si>
    <t>660</t>
  </si>
  <si>
    <t>158-858</t>
  </si>
  <si>
    <t xml:space="preserve">서울특별시 양천구 신정동 928-8 지하 1층 </t>
  </si>
  <si>
    <t>서울특별시 양천구 오목로 139, 지하 1층 (신정동)</t>
  </si>
  <si>
    <t>07942</t>
  </si>
  <si>
    <t>드럼7080 라이브</t>
  </si>
  <si>
    <t>661</t>
  </si>
  <si>
    <t xml:space="preserve">서울특별시 서초구 방배동 768-18번지 (지층) </t>
  </si>
  <si>
    <t>서울특별시 서초구 방배중앙로 169 (방배동,(지층))</t>
  </si>
  <si>
    <t>06555</t>
  </si>
  <si>
    <t>싸다구노래타운</t>
  </si>
  <si>
    <t>662</t>
  </si>
  <si>
    <t xml:space="preserve">서울특별시 성북구 동선동1가 85-72번지 </t>
  </si>
  <si>
    <t>서울특별시 성북구 동소문로20나길 34 (동선동1가)</t>
  </si>
  <si>
    <t>제임스딘</t>
  </si>
  <si>
    <t>663</t>
  </si>
  <si>
    <t>131-881</t>
  </si>
  <si>
    <t xml:space="preserve">서울특별시 중랑구 중화동 312-7번지 </t>
  </si>
  <si>
    <t>서울특별시 중랑구 중랑역로 83 (중화동)</t>
  </si>
  <si>
    <t>02101</t>
  </si>
  <si>
    <t>워싱턴</t>
  </si>
  <si>
    <t>664</t>
  </si>
  <si>
    <t>138-842</t>
  </si>
  <si>
    <t xml:space="preserve">서울특별시 송파구 석촌동 7-4번지 지하1층 </t>
  </si>
  <si>
    <t>서울특별시 송파구 백제고분로33길 15, 지하1층 (석촌동)</t>
  </si>
  <si>
    <t>05613</t>
  </si>
  <si>
    <t>베스트 팡팡팡</t>
  </si>
  <si>
    <t>665</t>
  </si>
  <si>
    <t>121-895</t>
  </si>
  <si>
    <t xml:space="preserve">서울특별시 마포구 서교동 408-7번지 </t>
  </si>
  <si>
    <t>서울특별시 마포구 어울마당로 지하 58, 1층 (서교동)</t>
  </si>
  <si>
    <t>오너</t>
  </si>
  <si>
    <t>666</t>
  </si>
  <si>
    <t xml:space="preserve">서울특별시 은평구 대조동 4-1번지 지층동 </t>
  </si>
  <si>
    <t>서울특별시 은평구 통일로 749, 지층동 (대조동)</t>
  </si>
  <si>
    <t>호프랜드</t>
  </si>
  <si>
    <t>667</t>
  </si>
  <si>
    <t xml:space="preserve">서울특별시 영등포구 영등포동5가 63-0 지하1층 </t>
  </si>
  <si>
    <t>서울특별시 영등포구 영중로24길 5-1, 지하1층 (영등포동5가)</t>
  </si>
  <si>
    <t>우정노래바</t>
  </si>
  <si>
    <t>668</t>
  </si>
  <si>
    <t>150-863</t>
  </si>
  <si>
    <t xml:space="preserve">서울특별시 영등포구 양평동1가 164-8번지 </t>
  </si>
  <si>
    <t>초원</t>
  </si>
  <si>
    <t>669</t>
  </si>
  <si>
    <t xml:space="preserve">서울특별시 강남구 역삼동 828-23 </t>
  </si>
  <si>
    <t>서울특별시 강남구 논현로85길 57 (역삼동)</t>
  </si>
  <si>
    <t>06239</t>
  </si>
  <si>
    <t>듀스</t>
  </si>
  <si>
    <t>670</t>
  </si>
  <si>
    <t>121-883</t>
  </si>
  <si>
    <t xml:space="preserve">서울특별시 마포구 합정동 414-13번지 </t>
  </si>
  <si>
    <t>서울특별시 마포구 양화로6길 10 (합정동, 지하1층)</t>
  </si>
  <si>
    <t>04046</t>
  </si>
  <si>
    <t>락앤블루스(ROCK&amp;BLUES)</t>
  </si>
  <si>
    <t>671</t>
  </si>
  <si>
    <t>152-886</t>
  </si>
  <si>
    <t xml:space="preserve">서울특별시 구로구 신도림동 292-3 </t>
  </si>
  <si>
    <t>서울특별시 구로구 신도림로11길 44 (신도림동)</t>
  </si>
  <si>
    <t>08204</t>
  </si>
  <si>
    <t>용궁</t>
  </si>
  <si>
    <t>672</t>
  </si>
  <si>
    <t>153-822</t>
  </si>
  <si>
    <t xml:space="preserve">서울특별시 금천구 독산동 950-3 지하1층 </t>
  </si>
  <si>
    <t>서울특별시 금천구 남부순환로 1386, 지하1층 (독산동)</t>
  </si>
  <si>
    <t>08547</t>
  </si>
  <si>
    <t>아카데미 유랑극단</t>
  </si>
  <si>
    <t>673</t>
  </si>
  <si>
    <t>134-830</t>
  </si>
  <si>
    <t xml:space="preserve">서울특별시 강동구 명일동 324-3 지층 </t>
  </si>
  <si>
    <t>서울특별시 강동구 양재대로 1622 (명일동)</t>
  </si>
  <si>
    <t>05292</t>
  </si>
  <si>
    <t>쉘부르라이브</t>
  </si>
  <si>
    <t>674</t>
  </si>
  <si>
    <t>135-874</t>
  </si>
  <si>
    <t xml:space="preserve">서울특별시 강남구 삼성동 112-23번지 </t>
  </si>
  <si>
    <t>서울특별시 강남구 선릉로 570 (삼성동)</t>
  </si>
  <si>
    <t>06153</t>
  </si>
  <si>
    <t>클래식</t>
  </si>
  <si>
    <t>675</t>
  </si>
  <si>
    <t>서울특별시 강동구 양재대로 1441 (길동)</t>
  </si>
  <si>
    <t>자연인</t>
  </si>
  <si>
    <t>676</t>
  </si>
  <si>
    <t>121-820</t>
  </si>
  <si>
    <t xml:space="preserve">서울특별시 마포구 망원동 338-79 </t>
  </si>
  <si>
    <t>서울특별시 마포구 동교로 39 (망원동)</t>
  </si>
  <si>
    <t>04018</t>
  </si>
  <si>
    <t>여인천하</t>
  </si>
  <si>
    <t>677</t>
  </si>
  <si>
    <t>131-815</t>
  </si>
  <si>
    <t xml:space="preserve">서울특별시 중랑구 면목동 359-1번지 </t>
  </si>
  <si>
    <t>서울특별시 중랑구 면목로 402 (면목동)</t>
  </si>
  <si>
    <t>02197</t>
  </si>
  <si>
    <t>콘서트 주점</t>
  </si>
  <si>
    <t>678</t>
  </si>
  <si>
    <t xml:space="preserve">서울특별시 양천구 목동 805-1 지하 1층 </t>
  </si>
  <si>
    <t>서울특별시 양천구 등촌로 16, 지하 1층 (목동)</t>
  </si>
  <si>
    <t>은하수</t>
  </si>
  <si>
    <t>679</t>
  </si>
  <si>
    <t>135-819</t>
  </si>
  <si>
    <t xml:space="preserve">서울특별시 강남구 논현동 97-10번지 </t>
  </si>
  <si>
    <t>서울특별시 강남구 도산대로46길 14 (논현동)</t>
  </si>
  <si>
    <t>06054</t>
  </si>
  <si>
    <t>680</t>
  </si>
  <si>
    <t>158-849</t>
  </si>
  <si>
    <t xml:space="preserve">서울특별시 양천구 신정동 117-22 지하 1층 </t>
  </si>
  <si>
    <t>서울특별시 양천구 신목로 76, 지하 1층 (신정동)</t>
  </si>
  <si>
    <t>08009</t>
  </si>
  <si>
    <t>681</t>
  </si>
  <si>
    <t xml:space="preserve">서울특별시 동대문구 장안동 463-4 </t>
  </si>
  <si>
    <t>서울특별시 동대문구 장한로2길 15, 지하1층 (장안동)</t>
  </si>
  <si>
    <t>02644</t>
  </si>
  <si>
    <t>팝콘</t>
  </si>
  <si>
    <t>682</t>
  </si>
  <si>
    <t xml:space="preserve">서울특별시 중구 북창동 120-3번지 1층 </t>
  </si>
  <si>
    <t>서울특별시 중구 남대문로1길 12, 1층 (북창동)</t>
  </si>
  <si>
    <t>리베라</t>
  </si>
  <si>
    <t>683</t>
  </si>
  <si>
    <t xml:space="preserve">서울특별시 송파구 방이동 62-1 지하1층 </t>
  </si>
  <si>
    <t>서울특별시 송파구 올림픽로32길 22-5, 지하1층 (방이동)</t>
  </si>
  <si>
    <t>썸 노래</t>
  </si>
  <si>
    <t>684</t>
  </si>
  <si>
    <t xml:space="preserve">서울특별시 중랑구 면목동 626-17번지 </t>
  </si>
  <si>
    <t>서울특별시 중랑구 면목로 302, 지하1층 (면목동)</t>
  </si>
  <si>
    <t>02252</t>
  </si>
  <si>
    <t>필</t>
  </si>
  <si>
    <t>685</t>
  </si>
  <si>
    <t xml:space="preserve">서울특별시 양천구 신월동 931-13 지하 1층 </t>
  </si>
  <si>
    <t>서울특별시 양천구 지양로7길 4, 지하 1층 (신월동)</t>
  </si>
  <si>
    <t>08037</t>
  </si>
  <si>
    <t>멋진인생</t>
  </si>
  <si>
    <t>686</t>
  </si>
  <si>
    <t xml:space="preserve">서울특별시 강남구 역삼동 674-17 </t>
  </si>
  <si>
    <t>서울특별시 강남구 언주로93길 14-3 (역삼동)</t>
  </si>
  <si>
    <t>06139</t>
  </si>
  <si>
    <t>비와이디</t>
  </si>
  <si>
    <t>687</t>
  </si>
  <si>
    <t>138-801</t>
  </si>
  <si>
    <t xml:space="preserve">서울특별시 송파구 가락동 49-4번지 </t>
  </si>
  <si>
    <t>서울특별시 송파구 송이로 97 (가락동)</t>
  </si>
  <si>
    <t>05714</t>
  </si>
  <si>
    <t>아름들</t>
  </si>
  <si>
    <t>688</t>
  </si>
  <si>
    <t xml:space="preserve">서울특별시 송파구 석촌동 2-19 (지1층) </t>
  </si>
  <si>
    <t>서울특별시 송파구 삼학사로 80 (석촌동,(지1층))</t>
  </si>
  <si>
    <t>05612</t>
  </si>
  <si>
    <t>689</t>
  </si>
  <si>
    <t xml:space="preserve">서울특별시 강동구 성내동 379 </t>
  </si>
  <si>
    <t>서울특별시 강동구 천호대로 1134, 지1층 (성내동)</t>
  </si>
  <si>
    <t>어머나</t>
  </si>
  <si>
    <t>690</t>
  </si>
  <si>
    <t>110-803</t>
  </si>
  <si>
    <t xml:space="preserve">서울특별시 종로구 구기동 62-1번지 </t>
  </si>
  <si>
    <t>서울특별시 종로구 진흥로 464 (구기동)</t>
  </si>
  <si>
    <t>03013</t>
  </si>
  <si>
    <t>그녀?</t>
  </si>
  <si>
    <t>691</t>
  </si>
  <si>
    <t xml:space="preserve">서울특별시 종로구 낙원동 195-4 (지하1층) </t>
  </si>
  <si>
    <t>서울특별시 종로구 돈화문로5길 36 (낙원동,(지하1층))</t>
  </si>
  <si>
    <t>아띠</t>
  </si>
  <si>
    <t>692</t>
  </si>
  <si>
    <t>133-828</t>
  </si>
  <si>
    <t xml:space="preserve">서울특별시 성동구 성수동2가 350 </t>
  </si>
  <si>
    <t>서울특별시 성동구 성덕정길 72-4, 지하1층 (성수동2가)</t>
  </si>
  <si>
    <t>04775</t>
  </si>
  <si>
    <t>시크릿 노래주점</t>
  </si>
  <si>
    <t>693</t>
  </si>
  <si>
    <t xml:space="preserve">서울특별시 양천구 신정동 1028-3 지하 1층 </t>
  </si>
  <si>
    <t>서울특별시 양천구 신월로 318, 지하 1층 (신정동)</t>
  </si>
  <si>
    <t>황금노래광장</t>
  </si>
  <si>
    <t>694</t>
  </si>
  <si>
    <t>135-953</t>
  </si>
  <si>
    <t xml:space="preserve">서울특별시 강남구 청담동 71-20 </t>
  </si>
  <si>
    <t>서울특별시 강남구 영동대로137길 3 (청담동)</t>
  </si>
  <si>
    <t>06072</t>
  </si>
  <si>
    <t>삼삼(33)</t>
  </si>
  <si>
    <t>695</t>
  </si>
  <si>
    <t>142-872</t>
  </si>
  <si>
    <t xml:space="preserve">서울특별시 강북구 수유동 2-40 </t>
  </si>
  <si>
    <t>서울특별시 강북구 노해로 19-1 (수유동)</t>
  </si>
  <si>
    <t>01080</t>
  </si>
  <si>
    <t>와와노래타운</t>
  </si>
  <si>
    <t>696</t>
  </si>
  <si>
    <t>153-818</t>
  </si>
  <si>
    <t xml:space="preserve">서울특별시 금천구 독산동 876-1 </t>
  </si>
  <si>
    <t>서울특별시 금천구 남부순환로 1388, 지상2층 (독산동)</t>
  </si>
  <si>
    <t>썬노래밤</t>
  </si>
  <si>
    <t>697</t>
  </si>
  <si>
    <t xml:space="preserve">서울특별시 강남구 역삼동 836-23번지 </t>
  </si>
  <si>
    <t>서울특별시 강남구 강남대로62길 21 (역삼동)</t>
  </si>
  <si>
    <t>06254</t>
  </si>
  <si>
    <t>리베 노래바큐</t>
  </si>
  <si>
    <t>698</t>
  </si>
  <si>
    <t>135-928</t>
  </si>
  <si>
    <t xml:space="preserve">서울특별시 강남구 역삼동 770 </t>
  </si>
  <si>
    <t>서울특별시 강남구 역삼로 214 (역삼동)</t>
  </si>
  <si>
    <t>06227</t>
  </si>
  <si>
    <t>샤론</t>
  </si>
  <si>
    <t>699</t>
  </si>
  <si>
    <t>151-841</t>
  </si>
  <si>
    <t xml:space="preserve">서울특별시 관악구 봉천동 913-1 </t>
  </si>
  <si>
    <t>서울특별시 관악구 남부순환로 1766 (봉천동)</t>
  </si>
  <si>
    <t>서연7080</t>
  </si>
  <si>
    <t>700</t>
  </si>
  <si>
    <t>130-837</t>
  </si>
  <si>
    <t xml:space="preserve">서울특별시 동대문구 장안동 162-9 지하1층 </t>
  </si>
  <si>
    <t>서울특별시 동대문구 한천로 106, 지하1층 (장안동)</t>
  </si>
  <si>
    <t>02626</t>
  </si>
  <si>
    <t>딴따라7080</t>
  </si>
  <si>
    <t>701</t>
  </si>
  <si>
    <t>138-867</t>
  </si>
  <si>
    <t xml:space="preserve">서울특별시 송파구 잠실동 336-18 지하1층 </t>
  </si>
  <si>
    <t>서울특별시 송파구 백제고분로 180, 지하1층 (잠실동)</t>
  </si>
  <si>
    <t>05578</t>
  </si>
  <si>
    <t>동행 단란주점</t>
  </si>
  <si>
    <t>702</t>
  </si>
  <si>
    <t>139-830</t>
  </si>
  <si>
    <t xml:space="preserve">서울특별시 노원구 상계동 735-2 </t>
  </si>
  <si>
    <t>서울특별시 노원구 동일로217가길 39 (상계동)</t>
  </si>
  <si>
    <t>703</t>
  </si>
  <si>
    <t>157-840</t>
  </si>
  <si>
    <t xml:space="preserve">서울특별시 강서구 등촌동 647-23 지하 1층 </t>
  </si>
  <si>
    <t>서울특별시 강서구 공항대로59나길 3, 지하 1층 (등촌동)</t>
  </si>
  <si>
    <t>07563</t>
  </si>
  <si>
    <t>커플</t>
  </si>
  <si>
    <t>704</t>
  </si>
  <si>
    <t>120-805</t>
  </si>
  <si>
    <t xml:space="preserve">서울특별시 서대문구 남가좌동 259-12 (지하1층) </t>
  </si>
  <si>
    <t>로미오</t>
  </si>
  <si>
    <t>705</t>
  </si>
  <si>
    <t>110-062</t>
  </si>
  <si>
    <t xml:space="preserve">서울특별시 종로구 신문로2가 1-402번지 </t>
  </si>
  <si>
    <t>동원</t>
  </si>
  <si>
    <t>706</t>
  </si>
  <si>
    <t xml:space="preserve">서울특별시 양천구 신정동 1029-8 지하 1층 </t>
  </si>
  <si>
    <t>서울특별시 양천구 신월로 302, 지하 1층 (신정동)</t>
  </si>
  <si>
    <t>황제노래빠단란주점</t>
  </si>
  <si>
    <t>707</t>
  </si>
  <si>
    <t xml:space="preserve">서울특별시 양천구 신정동 1183-9 지하 1층 </t>
  </si>
  <si>
    <t>서울특별시 양천구 중앙로 259-1, 지하 1층 (신정동)</t>
  </si>
  <si>
    <t>708</t>
  </si>
  <si>
    <t>158-860</t>
  </si>
  <si>
    <t xml:space="preserve">서울특별시 양천구 신정동 992-5 지하 1층 </t>
  </si>
  <si>
    <t>서울특별시 양천구 목동로21길 2-1, 지하 1층 (신정동)</t>
  </si>
  <si>
    <t>08022</t>
  </si>
  <si>
    <t>709</t>
  </si>
  <si>
    <t xml:space="preserve">서울특별시 강서구 화곡동 1113-14 지하 1층 </t>
  </si>
  <si>
    <t>서울특별시 강서구 공항대로46길 17, 지하 1층 (화곡동, 6동)</t>
  </si>
  <si>
    <t>07654</t>
  </si>
  <si>
    <t>자이언트빠</t>
  </si>
  <si>
    <t>710</t>
  </si>
  <si>
    <t>100-411</t>
  </si>
  <si>
    <t xml:space="preserve">서울특별시 중구 광희동1가 142-0 </t>
  </si>
  <si>
    <t>서울특별시 중구 을지로44길 10 (광희동1가)</t>
  </si>
  <si>
    <t>딘농3</t>
  </si>
  <si>
    <t>711</t>
  </si>
  <si>
    <t xml:space="preserve">서울특별시 강서구 화곡동 906-6 지하 1층 </t>
  </si>
  <si>
    <t>서울특별시 강서구 강서로5나길 25-1, 지하 1층 (화곡동)</t>
  </si>
  <si>
    <t>07779</t>
  </si>
  <si>
    <t>강남</t>
  </si>
  <si>
    <t>712</t>
  </si>
  <si>
    <t>143-803</t>
  </si>
  <si>
    <t xml:space="preserve">서울특별시 광진구 광장동 186 </t>
  </si>
  <si>
    <t>서울특별시 광진구 아차산로78길 165, 지하1층 (광장동)</t>
  </si>
  <si>
    <t>04969</t>
  </si>
  <si>
    <t>놀터아지트</t>
  </si>
  <si>
    <t>713</t>
  </si>
  <si>
    <t xml:space="preserve">서울특별시 강북구 수유동 190-45 지하1층 </t>
  </si>
  <si>
    <t>서울특별시 강북구 한천로 1043, 지하1층 (수유동)</t>
  </si>
  <si>
    <t>714</t>
  </si>
  <si>
    <t>131-851</t>
  </si>
  <si>
    <t xml:space="preserve">서울특별시 중랑구 묵동 237-46번지 </t>
  </si>
  <si>
    <t>서울특별시 중랑구 중랑역로 209 (묵동)</t>
  </si>
  <si>
    <t>02004</t>
  </si>
  <si>
    <t>7080 노래빠</t>
  </si>
  <si>
    <t>715</t>
  </si>
  <si>
    <t>138-818</t>
  </si>
  <si>
    <t xml:space="preserve">서울특별시 송파구 마천동 118-12번지 지하1층 </t>
  </si>
  <si>
    <t>서울특별시 송파구 거마로 60, 지하1층 (마천동)</t>
  </si>
  <si>
    <t>05755</t>
  </si>
  <si>
    <t>파타야 노래주점</t>
  </si>
  <si>
    <t>716</t>
  </si>
  <si>
    <t xml:space="preserve">서울특별시 강북구 수유동 280-91 </t>
  </si>
  <si>
    <t>서울특별시 강북구 4.19로 7 (수유동)</t>
  </si>
  <si>
    <t>한강(라이브)</t>
  </si>
  <si>
    <t>717</t>
  </si>
  <si>
    <t>131-806</t>
  </si>
  <si>
    <t xml:space="preserve">서울특별시 중랑구 망우동 410-1번지 </t>
  </si>
  <si>
    <t>서울특별시 중랑구 용마산로 494 (망우동)</t>
  </si>
  <si>
    <t>02182</t>
  </si>
  <si>
    <t>신나라 7080</t>
  </si>
  <si>
    <t>718</t>
  </si>
  <si>
    <t xml:space="preserve">서울특별시 중구 황학동 2487-0번지 </t>
  </si>
  <si>
    <t>서울특별시 중구 퇴계로 461 (황학동)</t>
  </si>
  <si>
    <t>영영단란주점</t>
  </si>
  <si>
    <t>719</t>
  </si>
  <si>
    <t>143-917</t>
  </si>
  <si>
    <t xml:space="preserve">서울특별시 광진구 화양동 49-14 </t>
  </si>
  <si>
    <t>서울특별시 광진구 동일로22길 40 (화양동)</t>
  </si>
  <si>
    <t>05020</t>
  </si>
  <si>
    <t>가온</t>
  </si>
  <si>
    <t>720</t>
  </si>
  <si>
    <t xml:space="preserve">서울특별시 은평구 응암동 591-12 (지층) </t>
  </si>
  <si>
    <t>서울특별시 은평구 응암로13길 26 (응암동,(지층))</t>
  </si>
  <si>
    <t>03484</t>
  </si>
  <si>
    <t>노래하는 야간열차</t>
  </si>
  <si>
    <t>721</t>
  </si>
  <si>
    <t>136-863</t>
  </si>
  <si>
    <t xml:space="preserve">서울특별시 성북구 종암동 83-6번지 </t>
  </si>
  <si>
    <t>서울특별시 성북구 종암로21길 53 (종암동)</t>
  </si>
  <si>
    <t>밀라노7080라이브</t>
  </si>
  <si>
    <t>722</t>
  </si>
  <si>
    <t xml:space="preserve">서울특별시 강북구 수유동 189-6 (4.19길 33) </t>
  </si>
  <si>
    <t>서울특별시 강북구 한천로 1065 (수유동,(4.19길 33))</t>
  </si>
  <si>
    <t>01070</t>
  </si>
  <si>
    <t>마당</t>
  </si>
  <si>
    <t>723</t>
  </si>
  <si>
    <t xml:space="preserve">서울특별시 구로구 신도림동 292-123 </t>
  </si>
  <si>
    <t>서울특별시 구로구 신도림로11다길 5 (신도림동)</t>
  </si>
  <si>
    <t>08206</t>
  </si>
  <si>
    <t>골든벨노래클럽</t>
  </si>
  <si>
    <t>724</t>
  </si>
  <si>
    <t xml:space="preserve">서울특별시 송파구 가락동 81-4 지하1층 </t>
  </si>
  <si>
    <t>서울특별시 송파구 송파대로30길 27-1, 지하1층 (가락동)</t>
  </si>
  <si>
    <t>05712</t>
  </si>
  <si>
    <t>행복 7080</t>
  </si>
  <si>
    <t>725</t>
  </si>
  <si>
    <t>150-818</t>
  </si>
  <si>
    <t xml:space="preserve">서울특별시 영등포구 대림동 861-21 지하1층 </t>
  </si>
  <si>
    <t>서울특별시 영등포구 디지털로 391 (대림동, 지하1층)</t>
  </si>
  <si>
    <t>07429</t>
  </si>
  <si>
    <t>오빠야</t>
  </si>
  <si>
    <t>726</t>
  </si>
  <si>
    <t>157-873</t>
  </si>
  <si>
    <t xml:space="preserve">서울특별시 강서구 화곡동 1059-60 </t>
  </si>
  <si>
    <t>서울특별시 강서구 화곡로 203, 지하1층 (화곡동)</t>
  </si>
  <si>
    <t>07696</t>
  </si>
  <si>
    <t>727</t>
  </si>
  <si>
    <t>152-871</t>
  </si>
  <si>
    <t xml:space="preserve">서울특별시 구로구 구로동 729-2 </t>
  </si>
  <si>
    <t>서울특별시 구로구 구로동로25길 3 (구로동)</t>
  </si>
  <si>
    <t>08310</t>
  </si>
  <si>
    <t>팡팡단란주점</t>
  </si>
  <si>
    <t>728</t>
  </si>
  <si>
    <t>132-853</t>
  </si>
  <si>
    <t xml:space="preserve">서울특별시 도봉구 방학동 703-61번지 지하1층 </t>
  </si>
  <si>
    <t>서울특별시 도봉구 도봉로 681, 지하1층 (방학동)</t>
  </si>
  <si>
    <t>01340</t>
  </si>
  <si>
    <t>팔도강산</t>
  </si>
  <si>
    <t>729</t>
  </si>
  <si>
    <t>142-871</t>
  </si>
  <si>
    <t xml:space="preserve">서울특별시 강북구 우이동 5-13번지 </t>
  </si>
  <si>
    <t>서울특별시 강북구 삼양로 657 (우이동)</t>
  </si>
  <si>
    <t>01002</t>
  </si>
  <si>
    <t>기찻길</t>
  </si>
  <si>
    <t>730</t>
  </si>
  <si>
    <t>150-814</t>
  </si>
  <si>
    <t xml:space="preserve">서울특별시 영등포구 대림동 710-9 </t>
  </si>
  <si>
    <t>서울특별시 영등포구 대림로27길 3 (대림동)</t>
  </si>
  <si>
    <t>07413</t>
  </si>
  <si>
    <t>731</t>
  </si>
  <si>
    <t>136-865</t>
  </si>
  <si>
    <t xml:space="preserve">서울특별시 성북구 하월곡동 17-5 </t>
  </si>
  <si>
    <t>서울특별시 성북구 화랑로 104 (하월곡동)</t>
  </si>
  <si>
    <t>02793</t>
  </si>
  <si>
    <t>허니 라이브</t>
  </si>
  <si>
    <t>732</t>
  </si>
  <si>
    <t>132-812</t>
  </si>
  <si>
    <t xml:space="preserve">서울특별시 도봉구 도봉동 556-19번지 </t>
  </si>
  <si>
    <t>서울특별시 도봉구 도봉산길 13 (도봉동)</t>
  </si>
  <si>
    <t>야호노래마을</t>
  </si>
  <si>
    <t>733</t>
  </si>
  <si>
    <t xml:space="preserve">서울특별시 은평구 불광동 310-20 (지층) </t>
  </si>
  <si>
    <t>서울특별시 은평구 연서로 253-11 (불광동,(지층))</t>
  </si>
  <si>
    <t>734</t>
  </si>
  <si>
    <t>120-825</t>
  </si>
  <si>
    <t xml:space="preserve">서울특별시 서대문구 연희동 188-88 지하1층 </t>
  </si>
  <si>
    <t>서울특별시 서대문구 연희로 87, 지하1층 (연희동)</t>
  </si>
  <si>
    <t>03708</t>
  </si>
  <si>
    <t>스타노래팡</t>
  </si>
  <si>
    <t>735</t>
  </si>
  <si>
    <t>121-900</t>
  </si>
  <si>
    <t xml:space="preserve">서울특별시 마포구 망원동 485-2 </t>
  </si>
  <si>
    <t>서울특별시 마포구 망원로 96-1 (망원동)</t>
  </si>
  <si>
    <t>04011</t>
  </si>
  <si>
    <t>대한민국라이브투</t>
  </si>
  <si>
    <t>736</t>
  </si>
  <si>
    <t>143-808</t>
  </si>
  <si>
    <t xml:space="preserve">서울특별시 광진구 광장동 323-2 </t>
  </si>
  <si>
    <t>서울특별시 광진구 아차산로78길 182 (광장동)</t>
  </si>
  <si>
    <t>리치노래주점</t>
  </si>
  <si>
    <t>737</t>
  </si>
  <si>
    <t>122-908</t>
  </si>
  <si>
    <t xml:space="preserve">서울특별시 은평구 응암동 98-15 지층 </t>
  </si>
  <si>
    <t>서울특별시 은평구 은평로 154 (응암동, 지층)</t>
  </si>
  <si>
    <t>03462</t>
  </si>
  <si>
    <t>길라이브</t>
  </si>
  <si>
    <t>738</t>
  </si>
  <si>
    <t>134-863</t>
  </si>
  <si>
    <t xml:space="preserve">서울특별시 강동구 천호동 394-1 </t>
  </si>
  <si>
    <t>서울특별시 강동구 구천면로36길 2 (천호동)</t>
  </si>
  <si>
    <t>05330</t>
  </si>
  <si>
    <t>찬스</t>
  </si>
  <si>
    <t>739</t>
  </si>
  <si>
    <t xml:space="preserve">서울특별시 강남구 도곡동 448-15번지 </t>
  </si>
  <si>
    <t>서울특별시 강남구 논현로 130 (도곡동)</t>
  </si>
  <si>
    <t>샐비어</t>
  </si>
  <si>
    <t>740</t>
  </si>
  <si>
    <t xml:space="preserve">서울특별시 마포구 서교동 403-16번지 </t>
  </si>
  <si>
    <t>서울특별시 마포구 어울마당로 47 (서교동)</t>
  </si>
  <si>
    <t>04048</t>
  </si>
  <si>
    <t>오디션</t>
  </si>
  <si>
    <t>741</t>
  </si>
  <si>
    <t>121-855</t>
  </si>
  <si>
    <t xml:space="preserve">서울특별시 마포구 신수동 105-2 </t>
  </si>
  <si>
    <t>서울특별시 마포구 창전로 66, 지1층 (신수동)</t>
  </si>
  <si>
    <t>04098</t>
  </si>
  <si>
    <t>742</t>
  </si>
  <si>
    <t xml:space="preserve">서울특별시 강남구 논현동 163-5번지 </t>
  </si>
  <si>
    <t>서울특별시 강남구 학동로2길 49 (논현동)</t>
  </si>
  <si>
    <t>소개팅</t>
  </si>
  <si>
    <t>743</t>
  </si>
  <si>
    <t xml:space="preserve">서울특별시 송파구 방이동 63-7 지하1층 </t>
  </si>
  <si>
    <t>서울특별시 송파구 올림픽로32길 18-17, 지하1층 (방이동)</t>
  </si>
  <si>
    <t>렌탈노래주점</t>
  </si>
  <si>
    <t>744</t>
  </si>
  <si>
    <t>156-839</t>
  </si>
  <si>
    <t xml:space="preserve">서울특별시 동작구 상도동 324-2번지 </t>
  </si>
  <si>
    <t>서울특별시 동작구 상도로 88 (상도동)</t>
  </si>
  <si>
    <t>07041</t>
  </si>
  <si>
    <t>야간열차</t>
  </si>
  <si>
    <t>745</t>
  </si>
  <si>
    <t>122-810</t>
  </si>
  <si>
    <t xml:space="preserve">서울특별시 은평구 갈현동 403-15 지층 </t>
  </si>
  <si>
    <t>서울특별시 은평구 통일로83길 9 (갈현동, 지층)</t>
  </si>
  <si>
    <t>지프</t>
  </si>
  <si>
    <t>746</t>
  </si>
  <si>
    <t>132-850</t>
  </si>
  <si>
    <t xml:space="preserve">서울특별시 도봉구 방학동 689-16 지하1층 </t>
  </si>
  <si>
    <t>서울특별시 도봉구 방학로 110 (방학동, 지하1층)</t>
  </si>
  <si>
    <t>01345</t>
  </si>
  <si>
    <t>747</t>
  </si>
  <si>
    <t xml:space="preserve">서울특별시 은평구 갈현동 392-28 (지층) </t>
  </si>
  <si>
    <t>서울특별시 은평구 통일로89길 5-9 (갈현동, 지층)</t>
  </si>
  <si>
    <t>03328</t>
  </si>
  <si>
    <t>748</t>
  </si>
  <si>
    <t>152-801</t>
  </si>
  <si>
    <t xml:space="preserve">서울특별시 구로구 가리봉동 125-4 </t>
  </si>
  <si>
    <t>서울특별시 구로구 우마길 22 (가리봉동)</t>
  </si>
  <si>
    <t>08386</t>
  </si>
  <si>
    <t>탑</t>
  </si>
  <si>
    <t>749</t>
  </si>
  <si>
    <t xml:space="preserve">서울특별시 성북구 동선동1가 121-7번지 </t>
  </si>
  <si>
    <t>서울특별시 성북구 동소문로20가길 50 (동선동1가)</t>
  </si>
  <si>
    <t>오아시스</t>
  </si>
  <si>
    <t>750</t>
  </si>
  <si>
    <t>140-823</t>
  </si>
  <si>
    <t xml:space="preserve">서울특별시 용산구 보광동 217-10번지 (지하1층) </t>
  </si>
  <si>
    <t>서울특별시 용산구 장문로 83-1 (보광동,(지하1층))</t>
  </si>
  <si>
    <t>04394</t>
  </si>
  <si>
    <t>모리(森)</t>
  </si>
  <si>
    <t>751</t>
  </si>
  <si>
    <t xml:space="preserve">서울특별시 광진구 화양동 114-5 </t>
  </si>
  <si>
    <t>서울특별시 광진구 능동로19길 41 (화양동)</t>
  </si>
  <si>
    <t>님프</t>
  </si>
  <si>
    <t>752</t>
  </si>
  <si>
    <t xml:space="preserve">서울특별시 동대문구 답십리동 490-123 (전농로 21) </t>
  </si>
  <si>
    <t>서울특별시 동대문구 전농로 21 (답십리동,(전농로 21))</t>
  </si>
  <si>
    <t>02605</t>
  </si>
  <si>
    <t>명월</t>
  </si>
  <si>
    <t>753</t>
  </si>
  <si>
    <t>143-200</t>
  </si>
  <si>
    <t xml:space="preserve">서울특별시 광진구 구의동 252-3 ,51 </t>
  </si>
  <si>
    <t>서울특별시 광진구 아차산로51길 49 (구의동,,51)</t>
  </si>
  <si>
    <t>05043</t>
  </si>
  <si>
    <t>수노래주점</t>
  </si>
  <si>
    <t>754</t>
  </si>
  <si>
    <t>143-825</t>
  </si>
  <si>
    <t xml:space="preserve">서울특별시 광진구 구의동 246-8 지하1층 </t>
  </si>
  <si>
    <t>서울특별시 광진구 자양로18길 26, 지하1층 (구의동)</t>
  </si>
  <si>
    <t>05044</t>
  </si>
  <si>
    <t>벤틀리</t>
  </si>
  <si>
    <t>755</t>
  </si>
  <si>
    <t>122-813</t>
  </si>
  <si>
    <t xml:space="preserve">서울특별시 은평구 갈현동 460-1 (지층) </t>
  </si>
  <si>
    <t>서울특별시 은평구 연서로27길 5 (갈현동,(지층))</t>
  </si>
  <si>
    <t>03333</t>
  </si>
  <si>
    <t>벤츠 노래팡</t>
  </si>
  <si>
    <t>756</t>
  </si>
  <si>
    <t>138-812</t>
  </si>
  <si>
    <t xml:space="preserve">서울특별시 송파구 가락동 197-16 지하1층 </t>
  </si>
  <si>
    <t>서울특별시 송파구 동남로18길 32, 지하1층 (가락동)</t>
  </si>
  <si>
    <t>05785</t>
  </si>
  <si>
    <t>에이스</t>
  </si>
  <si>
    <t>757</t>
  </si>
  <si>
    <t>157-850</t>
  </si>
  <si>
    <t xml:space="preserve">서울특별시 강서구 방화동 559-1 (지상 2층) </t>
  </si>
  <si>
    <t>서울특별시 강서구 양천로14길 10, 2층 (방화동, 2동)</t>
  </si>
  <si>
    <t>07602</t>
  </si>
  <si>
    <t>맨하탄느래방</t>
  </si>
  <si>
    <t>758</t>
  </si>
  <si>
    <t>121-819</t>
  </si>
  <si>
    <t xml:space="preserve">서울특별시 마포구 동교동 205-9 </t>
  </si>
  <si>
    <t>서울특별시 마포구 월드컵북로 20, 지1층 (동교동)</t>
  </si>
  <si>
    <t>03992</t>
  </si>
  <si>
    <t>옛사랑</t>
  </si>
  <si>
    <t>759</t>
  </si>
  <si>
    <t>139-804</t>
  </si>
  <si>
    <t xml:space="preserve">서울특별시 노원구 공릉동 441-59 </t>
  </si>
  <si>
    <t>서울특별시 노원구 동일로192길 80 (공릉동)</t>
  </si>
  <si>
    <t>01834</t>
  </si>
  <si>
    <t>에쿠스 가요장</t>
  </si>
  <si>
    <t>760</t>
  </si>
  <si>
    <t>153-868</t>
  </si>
  <si>
    <t xml:space="preserve">서울특별시 금천구 독산동 960-15 지하1층 </t>
  </si>
  <si>
    <t>서울특별시 금천구 독산로 358, 지하1층 (독산동)</t>
  </si>
  <si>
    <t>별노래바</t>
  </si>
  <si>
    <t>761</t>
  </si>
  <si>
    <t xml:space="preserve">서울특별시 성북구 보문동4가 74번지 </t>
  </si>
  <si>
    <t>서울특별시 성북구 보문로 82 (보문동4가)</t>
  </si>
  <si>
    <t>02852</t>
  </si>
  <si>
    <t>개그맨</t>
  </si>
  <si>
    <t>762</t>
  </si>
  <si>
    <t>122-844</t>
  </si>
  <si>
    <t xml:space="preserve">서울특별시 은평구 대조동 222-4번지 지하1층 </t>
  </si>
  <si>
    <t>서울특별시 은평구 연서로 170-1, 지하1층 (대조동)</t>
  </si>
  <si>
    <t>03388</t>
  </si>
  <si>
    <t>착한 7080</t>
  </si>
  <si>
    <t>763</t>
  </si>
  <si>
    <t>151-843</t>
  </si>
  <si>
    <t xml:space="preserve">서울특별시 관악구 봉천동 958-1번지 </t>
  </si>
  <si>
    <t>서울특별시 관악구 봉천로 334 (봉천동)</t>
  </si>
  <si>
    <t>08756</t>
  </si>
  <si>
    <t>꼬망</t>
  </si>
  <si>
    <t>764</t>
  </si>
  <si>
    <t>150-070</t>
  </si>
  <si>
    <t xml:space="preserve">서울특별시 영등포구 대림동 1055-1 </t>
  </si>
  <si>
    <t>서울특별시 영등포구 도림로 126 (대림동)</t>
  </si>
  <si>
    <t>북경</t>
  </si>
  <si>
    <t>765</t>
  </si>
  <si>
    <t>138-809</t>
  </si>
  <si>
    <t xml:space="preserve">서울특별시 송파구 가락동 160-7번지 지하1층 </t>
  </si>
  <si>
    <t>서울특별시 송파구 중대로 220, 지하1층 (가락동)</t>
  </si>
  <si>
    <t>05818</t>
  </si>
  <si>
    <t>오아시스 라이브</t>
  </si>
  <si>
    <t>766</t>
  </si>
  <si>
    <t xml:space="preserve">서울특별시 송파구 방이동 62-14번지 지하1층 </t>
  </si>
  <si>
    <t>서울특별시 송파구 올림픽로32길 22-17, 지하1층 (방이동)</t>
  </si>
  <si>
    <t>킹 노래주점</t>
  </si>
  <si>
    <t>767</t>
  </si>
  <si>
    <t>153-821</t>
  </si>
  <si>
    <t xml:space="preserve">서울특별시 금천구 독산동 1027-18 지하1층 </t>
  </si>
  <si>
    <t>서울특별시 금천구 범안로 1239, 지하1층 (독산동)</t>
  </si>
  <si>
    <t>08580</t>
  </si>
  <si>
    <t>하프 1/2</t>
  </si>
  <si>
    <t>768</t>
  </si>
  <si>
    <t xml:space="preserve">서울특별시 구로구 구로동 726-1 </t>
  </si>
  <si>
    <t>서울특별시 구로구 구로동로 125-4 (구로동)</t>
  </si>
  <si>
    <t>구구아리랑</t>
  </si>
  <si>
    <t>769</t>
  </si>
  <si>
    <t xml:space="preserve">서울특별시 중랑구 면목동 607-6번지 </t>
  </si>
  <si>
    <t>서울특별시 중랑구 사가정로 359 (면목동)</t>
  </si>
  <si>
    <t>02227</t>
  </si>
  <si>
    <t>770</t>
  </si>
  <si>
    <t xml:space="preserve">서울특별시 강남구 논현동 112-14 </t>
  </si>
  <si>
    <t>서울특별시 강남구 선릉로131길 18 (논현동)</t>
  </si>
  <si>
    <t>06059</t>
  </si>
  <si>
    <t>디데이(D-day)</t>
  </si>
  <si>
    <t>771</t>
  </si>
  <si>
    <t>138-849</t>
  </si>
  <si>
    <t xml:space="preserve">서울특별시 송파구 송파동 58-7 지하1층 </t>
  </si>
  <si>
    <t>서울특별시 송파구 오금로 130, 지하1층 (송파동)</t>
  </si>
  <si>
    <t>05618</t>
  </si>
  <si>
    <t>올레</t>
  </si>
  <si>
    <t>772</t>
  </si>
  <si>
    <t>140-887</t>
  </si>
  <si>
    <t xml:space="preserve">서울특별시 용산구 한남동 657-174 (지층) </t>
  </si>
  <si>
    <t>서울특별시 용산구 대사관로31길 29 (한남동,(지층))</t>
  </si>
  <si>
    <t>04401</t>
  </si>
  <si>
    <t>엘피</t>
  </si>
  <si>
    <t>773</t>
  </si>
  <si>
    <t xml:space="preserve">서울특별시 용산구 이태원동 131-3 (지하1층) </t>
  </si>
  <si>
    <t>서울특별시 용산구 보광로 124 (이태원동,(지하1층))</t>
  </si>
  <si>
    <t>04406</t>
  </si>
  <si>
    <t>퀸(QUEEN)</t>
  </si>
  <si>
    <t>774</t>
  </si>
  <si>
    <t>140-818</t>
  </si>
  <si>
    <t xml:space="preserve">서울특별시 용산구 동자동 11-12번지 (지상3층) </t>
  </si>
  <si>
    <t>서울특별시 용산구 후암로 101 (동자동,(지상3층))</t>
  </si>
  <si>
    <t>04324</t>
  </si>
  <si>
    <t>뉴서울가요주점</t>
  </si>
  <si>
    <t>775</t>
  </si>
  <si>
    <t xml:space="preserve">서울특별시 용산구 보광동 260-16 (지층) </t>
  </si>
  <si>
    <t>서울특별시 용산구 보광로 37-1 (보광동,(지층))</t>
  </si>
  <si>
    <t>타임</t>
  </si>
  <si>
    <t>776</t>
  </si>
  <si>
    <t xml:space="preserve">서울특별시 용산구 한강로2가 93-3 (지하1층) </t>
  </si>
  <si>
    <t>서울특별시 용산구 한강대로 144 (한강로2가,(지하1층))</t>
  </si>
  <si>
    <t>777</t>
  </si>
  <si>
    <t>140-090</t>
  </si>
  <si>
    <t xml:space="preserve">서울특별시 용산구 신계동 25-10번지 (지하1층) </t>
  </si>
  <si>
    <t>서울특별시 용산구 원효로58길 31 (신계동,(지하1층))</t>
  </si>
  <si>
    <t>04367</t>
  </si>
  <si>
    <t>스카이노래주점</t>
  </si>
  <si>
    <t>778</t>
  </si>
  <si>
    <t xml:space="preserve">서울특별시 강동구 명일동 312-58 </t>
  </si>
  <si>
    <t>서울특별시 강동구 양재대로 1637 (명일동)</t>
  </si>
  <si>
    <t>05257</t>
  </si>
  <si>
    <t>돈방석</t>
  </si>
  <si>
    <t>779</t>
  </si>
  <si>
    <t xml:space="preserve">서울특별시 은평구 불광동 310-30번지 (지층) </t>
  </si>
  <si>
    <t>서울특별시 은평구 연서로 251 (불광동,(지층))</t>
  </si>
  <si>
    <t>780</t>
  </si>
  <si>
    <t>157-864</t>
  </si>
  <si>
    <t xml:space="preserve">서울특별시 강서구 염창동 282-22번지 (지하 1층) </t>
  </si>
  <si>
    <t>서울특별시 강서구 공항대로 629, 지하 1층 (염창동)</t>
  </si>
  <si>
    <t>07558</t>
  </si>
  <si>
    <t>수노래빠</t>
  </si>
  <si>
    <t>781</t>
  </si>
  <si>
    <t>121-816</t>
  </si>
  <si>
    <t xml:space="preserve">서울특별시 마포구 동교동 155-15번지 지1층 </t>
  </si>
  <si>
    <t>서울특별시 마포구 양화로 177 (동교동,지1층)</t>
  </si>
  <si>
    <t>03994</t>
  </si>
  <si>
    <t>이차는노래빠</t>
  </si>
  <si>
    <t>782</t>
  </si>
  <si>
    <t xml:space="preserve">서울특별시 강북구 수유동 2-39번지 (쌍문동길 19) </t>
  </si>
  <si>
    <t>서울특별시 강북구 노해로 17 (수유동,(쌍문동길 19))</t>
  </si>
  <si>
    <t>휘파람</t>
  </si>
  <si>
    <t>783</t>
  </si>
  <si>
    <t xml:space="preserve">서울특별시 서초구 방배동 769-5 (지하1층) </t>
  </si>
  <si>
    <t>서울특별시 서초구 방배중앙로 178 (방배동,(지하1층))</t>
  </si>
  <si>
    <t>06556</t>
  </si>
  <si>
    <t>봄 가을</t>
  </si>
  <si>
    <t>784</t>
  </si>
  <si>
    <t xml:space="preserve">서울특별시 구로구 구로동 1130-1번지 </t>
  </si>
  <si>
    <t>서울특별시 구로구 시흥대로163길 15 (구로동)</t>
  </si>
  <si>
    <t>08392</t>
  </si>
  <si>
    <t>785</t>
  </si>
  <si>
    <t>150-899</t>
  </si>
  <si>
    <t xml:space="preserve">서울특별시 영등포구 영등포동 618-38번지 </t>
  </si>
  <si>
    <t>서울특별시 영등포구 영신로 29 (영등포동)</t>
  </si>
  <si>
    <t>07366</t>
  </si>
  <si>
    <t>투투노래바</t>
  </si>
  <si>
    <t>786</t>
  </si>
  <si>
    <t>134-867</t>
  </si>
  <si>
    <t xml:space="preserve">서울특별시 강동구 천호동 293-10 </t>
  </si>
  <si>
    <t>서울특별시 강동구 구천면로 297 (천호동)</t>
  </si>
  <si>
    <t>05320</t>
  </si>
  <si>
    <t>술시</t>
  </si>
  <si>
    <t>787</t>
  </si>
  <si>
    <t>121-896</t>
  </si>
  <si>
    <t xml:space="preserve">서울특별시 마포구 서교동 476-19번지 </t>
  </si>
  <si>
    <t>서울특별시 마포구 월드컵로 58 (서교동)</t>
  </si>
  <si>
    <t>04004</t>
  </si>
  <si>
    <t>브이아이피</t>
  </si>
  <si>
    <t>788</t>
  </si>
  <si>
    <t xml:space="preserve">서울특별시 송파구 방이동 59-8 (지하1층) </t>
  </si>
  <si>
    <t>서울특별시 송파구 올림픽로32길 19-7 (방이동,(지하1층))</t>
  </si>
  <si>
    <t>05547</t>
  </si>
  <si>
    <t>루나노래홀</t>
  </si>
  <si>
    <t>789</t>
  </si>
  <si>
    <t xml:space="preserve">서울특별시 강북구 수유동 2-2 지하1층 </t>
  </si>
  <si>
    <t>서울특별시 강북구 노해로 21 (수유동, 지하1층)</t>
  </si>
  <si>
    <t>790</t>
  </si>
  <si>
    <t xml:space="preserve">서울특별시 송파구 가락동 49-6 (지1층) </t>
  </si>
  <si>
    <t>서울특별시 송파구 송이로 101 (가락동,(지1층))</t>
  </si>
  <si>
    <t>연예인 콘서트</t>
  </si>
  <si>
    <t>791</t>
  </si>
  <si>
    <t>138-813</t>
  </si>
  <si>
    <t xml:space="preserve">서울특별시 송파구 거여동 129-73번지 지하1층 </t>
  </si>
  <si>
    <t>서울특별시 송파구 마천로 254, 지하1층 (거여동)</t>
  </si>
  <si>
    <t>05735</t>
  </si>
  <si>
    <t>그린 7080 라이브</t>
  </si>
  <si>
    <t>792</t>
  </si>
  <si>
    <t>152-858</t>
  </si>
  <si>
    <t xml:space="preserve">서울특별시 구로구 구로동 495-9 </t>
  </si>
  <si>
    <t>서울특별시 구로구 구로중앙로 135-3 (구로동)</t>
  </si>
  <si>
    <t>08280</t>
  </si>
  <si>
    <t>불야성</t>
  </si>
  <si>
    <t>793</t>
  </si>
  <si>
    <t xml:space="preserve">서울특별시 강남구 논현동 91-26번지 </t>
  </si>
  <si>
    <t>서울특별시 강남구 언주로150길 9 (논현동)</t>
  </si>
  <si>
    <t>불꽃</t>
  </si>
  <si>
    <t>794</t>
  </si>
  <si>
    <t xml:space="preserve">서울특별시 은평구 응암동 126-37번지 (지하1층) </t>
  </si>
  <si>
    <t>서울특별시 은평구 응암로21길 18-1 (응암동,(지하1층))</t>
  </si>
  <si>
    <t>03456</t>
  </si>
  <si>
    <t>별천지</t>
  </si>
  <si>
    <t>795</t>
  </si>
  <si>
    <t xml:space="preserve">서울특별시 마포구 서교동 403-1번지 </t>
  </si>
  <si>
    <t>서울특별시 마포구 어울마당로 55 (서교동)</t>
  </si>
  <si>
    <t>웰빙노래주점</t>
  </si>
  <si>
    <t>796</t>
  </si>
  <si>
    <t>143-828</t>
  </si>
  <si>
    <t xml:space="preserve">서울특별시 광진구 구의동 257-123 </t>
  </si>
  <si>
    <t>서울특별시 광진구 자양로18길 49 (구의동)</t>
  </si>
  <si>
    <t>05042</t>
  </si>
  <si>
    <t>투투7080라이브</t>
  </si>
  <si>
    <t>797</t>
  </si>
  <si>
    <t>130-812</t>
  </si>
  <si>
    <t xml:space="preserve">서울특별시 동대문구 신설동 102-37 </t>
  </si>
  <si>
    <t>서울특별시 동대문구 왕산로2길 32, 지하1층 (신설동)</t>
  </si>
  <si>
    <t>파랑새</t>
  </si>
  <si>
    <t>798</t>
  </si>
  <si>
    <t xml:space="preserve">서울특별시 은평구 갈현동 400-1 (지층) </t>
  </si>
  <si>
    <t>서울특별시 은평구 통일로 863-13 (갈현동,(지층))</t>
  </si>
  <si>
    <t>브라보</t>
  </si>
  <si>
    <t>799</t>
  </si>
  <si>
    <t xml:space="preserve">서울특별시 노원구 공릉동 424-3 </t>
  </si>
  <si>
    <t>서울특별시 노원구 공릉로 201 (공릉동)</t>
  </si>
  <si>
    <t>구길팡팡</t>
  </si>
  <si>
    <t>800</t>
  </si>
  <si>
    <t xml:space="preserve">서울특별시 마포구 서교동 403-17 </t>
  </si>
  <si>
    <t>서울특별시 마포구 어울마당로 45-1 (서교동, 지하1층)</t>
  </si>
  <si>
    <t>젬</t>
  </si>
  <si>
    <t>801</t>
  </si>
  <si>
    <t>143-842</t>
  </si>
  <si>
    <t xml:space="preserve">서울특별시 광진구 자양동 24-30 </t>
  </si>
  <si>
    <t>서울특별시 광진구 동일로 88 (자양동)</t>
  </si>
  <si>
    <t>05071</t>
  </si>
  <si>
    <t>테스</t>
  </si>
  <si>
    <t>802</t>
  </si>
  <si>
    <t>140-884</t>
  </si>
  <si>
    <t xml:space="preserve">서울특별시 용산구 한남동 28-12번지 (지하1층) </t>
  </si>
  <si>
    <t>서울특별시 용산구 독서당로 84 (한남동,(지하1층))</t>
  </si>
  <si>
    <t>04420</t>
  </si>
  <si>
    <t>파티스테이션(P.S)</t>
  </si>
  <si>
    <t>803</t>
  </si>
  <si>
    <t xml:space="preserve">서울특별시 강서구 화곡동 998-16번지 (지하 1층) </t>
  </si>
  <si>
    <t>서울특별시 강서구 화곡로55길 5, 지하 1층 (화곡동, 6동)</t>
  </si>
  <si>
    <t>원탁</t>
  </si>
  <si>
    <t>804</t>
  </si>
  <si>
    <t>150-040</t>
  </si>
  <si>
    <t xml:space="preserve">서울특별시 영등포구 당산동 171-18 지하1층 </t>
  </si>
  <si>
    <t>서울특별시 영등포구 버드나루로19길 9 (당산동, 지하1층)</t>
  </si>
  <si>
    <t>07229</t>
  </si>
  <si>
    <t>이벤트</t>
  </si>
  <si>
    <t>805</t>
  </si>
  <si>
    <t>135-913</t>
  </si>
  <si>
    <t xml:space="preserve">서울특별시 강남구 역삼동 656-26 </t>
  </si>
  <si>
    <t>서울특별시 강남구 테헤란로39길 75 (역삼동)</t>
  </si>
  <si>
    <t>06137</t>
  </si>
  <si>
    <t>째즈(JAZZ)</t>
  </si>
  <si>
    <t>806</t>
  </si>
  <si>
    <t xml:space="preserve">서울특별시 마포구 동교동 154-20 </t>
  </si>
  <si>
    <t>서울특별시 마포구 양화로19길 18 (동교동, 지하1층)</t>
  </si>
  <si>
    <t>마이노래시대</t>
  </si>
  <si>
    <t>807</t>
  </si>
  <si>
    <t>120-854</t>
  </si>
  <si>
    <t xml:space="preserve">서울특별시 서대문구 홍제동 139-7 /139-5 외2필지 나동(2021.8.20.직권변경) </t>
  </si>
  <si>
    <t>서울특별시 서대문구 통일로 402-1, 지하1층 (홍제동)</t>
  </si>
  <si>
    <t>03632</t>
  </si>
  <si>
    <t>음악창고</t>
  </si>
  <si>
    <t>808</t>
  </si>
  <si>
    <t>152-800</t>
  </si>
  <si>
    <t xml:space="preserve">서울특별시 구로구 가리봉동 122-19번지 </t>
  </si>
  <si>
    <t>서울특별시 구로구 구로동로 10 (가리봉동)</t>
  </si>
  <si>
    <t>08384</t>
  </si>
  <si>
    <t>싱싱</t>
  </si>
  <si>
    <t>809</t>
  </si>
  <si>
    <t xml:space="preserve">서울특별시 중랑구 묵동 237-127 </t>
  </si>
  <si>
    <t>서울특별시 중랑구 중랑역로 211 (묵동)</t>
  </si>
  <si>
    <t>별</t>
  </si>
  <si>
    <t>810</t>
  </si>
  <si>
    <t xml:space="preserve">서울특별시 은평구 갈현동 394-3 지층 </t>
  </si>
  <si>
    <t>서울특별시 은평구 통일로 881-1 (갈현동, 지층)</t>
  </si>
  <si>
    <t>03329</t>
  </si>
  <si>
    <t>행복놀이터</t>
  </si>
  <si>
    <t>811</t>
  </si>
  <si>
    <t xml:space="preserve">서울특별시 금천구 독산동 296-16 지하1층 </t>
  </si>
  <si>
    <t>서울특별시 금천구 가산로 53, 지하1층 (독산동)</t>
  </si>
  <si>
    <t>08523</t>
  </si>
  <si>
    <t>백상</t>
  </si>
  <si>
    <t>812</t>
  </si>
  <si>
    <t>137-828</t>
  </si>
  <si>
    <t xml:space="preserve">서울특별시 서초구 방배동 751-3번지 </t>
  </si>
  <si>
    <t>서울특별시 서초구 방배중앙로 210 (방배동)</t>
  </si>
  <si>
    <t>06552</t>
  </si>
  <si>
    <t>앨리스</t>
  </si>
  <si>
    <t>813</t>
  </si>
  <si>
    <t xml:space="preserve">서울특별시 강북구 수유동 222-66 </t>
  </si>
  <si>
    <t>서울특별시 강북구 도봉로87길 40 (수유동)</t>
  </si>
  <si>
    <t>01072</t>
  </si>
  <si>
    <t>짱노래주점</t>
  </si>
  <si>
    <t>814</t>
  </si>
  <si>
    <t xml:space="preserve">서울특별시 송파구 송파동 57-6 지하1층 </t>
  </si>
  <si>
    <t>서울특별시 송파구 백제고분로45길 36, 지하1층 (송파동)</t>
  </si>
  <si>
    <t>카튼노래</t>
  </si>
  <si>
    <t>815</t>
  </si>
  <si>
    <t>135-962</t>
  </si>
  <si>
    <t xml:space="preserve">서울특별시 강남구 개포동 1217번지 </t>
  </si>
  <si>
    <t>서울특별시 강남구 개포로 228 (개포동)</t>
  </si>
  <si>
    <t>06308</t>
  </si>
  <si>
    <t>816</t>
  </si>
  <si>
    <t xml:space="preserve">서울특별시 강동구 천호동 163-8 금정빌딩 </t>
  </si>
  <si>
    <t>서울특별시 강동구 진황도로 53, 금정빌딩 지1층 (천호동)</t>
  </si>
  <si>
    <t>05337</t>
  </si>
  <si>
    <t>만남</t>
  </si>
  <si>
    <t>817</t>
  </si>
  <si>
    <t xml:space="preserve">서울특별시 광진구 광장동 322-7 </t>
  </si>
  <si>
    <t>서울특별시 광진구 아차산로76가길 11 (광장동)</t>
  </si>
  <si>
    <t>리버</t>
  </si>
  <si>
    <t>818</t>
  </si>
  <si>
    <t xml:space="preserve">서울특별시 종로구 돈의동 43-5번지 </t>
  </si>
  <si>
    <t>서울특별시 종로구 수표로26길 27 (돈의동)</t>
  </si>
  <si>
    <t>뉴파고다</t>
  </si>
  <si>
    <t>819</t>
  </si>
  <si>
    <t>139-827</t>
  </si>
  <si>
    <t>서울특별시 노원구 상계동 693번지 지하4호</t>
  </si>
  <si>
    <t>서울특별시 노원구 동일로 1426, 지하4호 (상계동)</t>
  </si>
  <si>
    <t>01694</t>
  </si>
  <si>
    <t>사랑의종J라이브</t>
  </si>
  <si>
    <t>820</t>
  </si>
  <si>
    <t xml:space="preserve">서울특별시 양천구 신정동 89-26 지하 1층 </t>
  </si>
  <si>
    <t>서울특별시 양천구 신목로 72, 지하 1층 (신정동)</t>
  </si>
  <si>
    <t>08015</t>
  </si>
  <si>
    <t>821</t>
  </si>
  <si>
    <t>122-900</t>
  </si>
  <si>
    <t xml:space="preserve">서울특별시 은평구 역촌동 45-59번지 (지하1층) </t>
  </si>
  <si>
    <t>서울특별시 은평구 역말로 41 (역촌동,(지하1층))</t>
  </si>
  <si>
    <t>03416</t>
  </si>
  <si>
    <t>스타관광메들리</t>
  </si>
  <si>
    <t>822</t>
  </si>
  <si>
    <t>131-811</t>
  </si>
  <si>
    <t xml:space="preserve">서울특별시 중랑구 면목동 23-35 </t>
  </si>
  <si>
    <t>서울특별시 중랑구 겸재로 250-1, 지하1층 (면목동)</t>
  </si>
  <si>
    <t>02200</t>
  </si>
  <si>
    <t>킹스노래장</t>
  </si>
  <si>
    <t>823</t>
  </si>
  <si>
    <t>134-858</t>
  </si>
  <si>
    <t xml:space="preserve">서울특별시 강동구 암사동 476-30 </t>
  </si>
  <si>
    <t>서울특별시 강동구 구천면로 347, 지1층 (암사동)</t>
  </si>
  <si>
    <t>05259</t>
  </si>
  <si>
    <t>824</t>
  </si>
  <si>
    <t>152-815</t>
  </si>
  <si>
    <t xml:space="preserve">서울특별시 구로구 개봉동 353-26번지 </t>
  </si>
  <si>
    <t>서울특별시 구로구 개봉로 123 (개봉동)</t>
  </si>
  <si>
    <t>08274</t>
  </si>
  <si>
    <t>그랑프리</t>
  </si>
  <si>
    <t>825</t>
  </si>
  <si>
    <t>122-881</t>
  </si>
  <si>
    <t xml:space="preserve">서울특별시 은평구 신사동 20-4번지 지층 </t>
  </si>
  <si>
    <t>서울특별시 은평구 은평로 25 (신사동, 지층)</t>
  </si>
  <si>
    <t>03423</t>
  </si>
  <si>
    <t>홀인원</t>
  </si>
  <si>
    <t>826</t>
  </si>
  <si>
    <t>122-922</t>
  </si>
  <si>
    <t xml:space="preserve">서울특별시 은평구 응암동 576-16번지 지층 </t>
  </si>
  <si>
    <t>서울특별시 은평구 응암로 236 (응암동, 지층)</t>
  </si>
  <si>
    <t>03467</t>
  </si>
  <si>
    <t>노래하는 황금마차</t>
  </si>
  <si>
    <t>827</t>
  </si>
  <si>
    <t xml:space="preserve">서울특별시 양천구 신정동 991-7 지하 1층 </t>
  </si>
  <si>
    <t>서울특별시 양천구 오목로48길 2, 지하 1층 (신정동)</t>
  </si>
  <si>
    <t>알라딘</t>
  </si>
  <si>
    <t>828</t>
  </si>
  <si>
    <t xml:space="preserve">서울특별시 광진구 구의동 246-70번지 </t>
  </si>
  <si>
    <t>서울특별시 광진구 자양로18길 34 (구의동)</t>
  </si>
  <si>
    <t>퀸 노래장</t>
  </si>
  <si>
    <t>829</t>
  </si>
  <si>
    <t xml:space="preserve">서울특별시 도봉구 방학동 703-65번지 </t>
  </si>
  <si>
    <t>서울특별시 도봉구 도봉로 675 (방학동)</t>
  </si>
  <si>
    <t>백악관</t>
  </si>
  <si>
    <t>830</t>
  </si>
  <si>
    <t>142-890</t>
  </si>
  <si>
    <t xml:space="preserve">서울특별시 강북구 수유동 1-60 </t>
  </si>
  <si>
    <t>서울특별시 강북구 수유로 79, 지하1층 (수유동)</t>
  </si>
  <si>
    <t>에버그린</t>
  </si>
  <si>
    <t>831</t>
  </si>
  <si>
    <t>138-879</t>
  </si>
  <si>
    <t xml:space="preserve">서울특별시 송파구 풍납동 400-8 (지하1층) </t>
  </si>
  <si>
    <t>서울특별시 송파구 강동대로9길 16 (풍납동,(지하1층))</t>
  </si>
  <si>
    <t>05538</t>
  </si>
  <si>
    <t>공감라이브7080</t>
  </si>
  <si>
    <t>832</t>
  </si>
  <si>
    <t>140-011</t>
  </si>
  <si>
    <t xml:space="preserve">서울특별시 용산구 한강로1가 243-7번지 지하1층 </t>
  </si>
  <si>
    <t>서울특별시 용산구 한강대로 168-2 (한강로1가, 243-7 지하1층)</t>
  </si>
  <si>
    <t>발리</t>
  </si>
  <si>
    <t>833</t>
  </si>
  <si>
    <t xml:space="preserve">서울특별시 구로구 신도림동 291-43번지 </t>
  </si>
  <si>
    <t>서울특별시 구로구 신도림로11다길 16 (신도림동)</t>
  </si>
  <si>
    <t>08205</t>
  </si>
  <si>
    <t>834</t>
  </si>
  <si>
    <t>153-856</t>
  </si>
  <si>
    <t xml:space="preserve">서울특별시 금천구 시흥동 848-34 </t>
  </si>
  <si>
    <t>서울특별시 금천구 독산로 111, 지하1층 (시흥동)</t>
  </si>
  <si>
    <t>08625</t>
  </si>
  <si>
    <t>꾼</t>
  </si>
  <si>
    <t>835</t>
  </si>
  <si>
    <t xml:space="preserve">서울특별시 강남구 역삼동 646-11번지 </t>
  </si>
  <si>
    <t>서울특별시 강남구 테헤란로21길 8 (역삼동)</t>
  </si>
  <si>
    <t>미(美)</t>
  </si>
  <si>
    <t>836</t>
  </si>
  <si>
    <t xml:space="preserve">서울특별시 강남구 역삼동 677-15 </t>
  </si>
  <si>
    <t>서울특별시 강남구 테헤란로37길 13-7 (역삼동)</t>
  </si>
  <si>
    <t>메이드인헤븐</t>
  </si>
  <si>
    <t>837</t>
  </si>
  <si>
    <t xml:space="preserve">서울특별시 은평구 갈현동 395-13 지층 </t>
  </si>
  <si>
    <t>서울특별시 은평구 통일로 863-16 (갈현동, 지층)</t>
  </si>
  <si>
    <t>라이브락</t>
  </si>
  <si>
    <t>838</t>
  </si>
  <si>
    <t>135-996</t>
  </si>
  <si>
    <t xml:space="preserve">서울특별시 강남구 논현동 210-3번지 </t>
  </si>
  <si>
    <t>서울특별시 강남구 언주로129길 6 (논현동)</t>
  </si>
  <si>
    <t>06104</t>
  </si>
  <si>
    <t>디데이</t>
  </si>
  <si>
    <t>839</t>
  </si>
  <si>
    <t xml:space="preserve">서울특별시 종로구 낙원동 92번지 (지하1층) </t>
  </si>
  <si>
    <t>서울특별시 종로구 삼일대로26길 10 (낙원동,(지하1층))</t>
  </si>
  <si>
    <t>840</t>
  </si>
  <si>
    <t xml:space="preserve">서울특별시 송파구 석촌동 4-6 지하1층 </t>
  </si>
  <si>
    <t>서울특별시 송파구 백제고분로33길 29, 지하1층 (석촌동)</t>
  </si>
  <si>
    <t>에코라이브7090</t>
  </si>
  <si>
    <t>841</t>
  </si>
  <si>
    <t xml:space="preserve">서울특별시 구로구 오류동 81-9 </t>
  </si>
  <si>
    <t>서울특별시 구로구 경인로 163 (오류동)</t>
  </si>
  <si>
    <t>08255</t>
  </si>
  <si>
    <t>축제라이브7080</t>
  </si>
  <si>
    <t>842</t>
  </si>
  <si>
    <t>137-895</t>
  </si>
  <si>
    <t xml:space="preserve">서울특별시 서초구 양재동 274 (지하층) </t>
  </si>
  <si>
    <t>서울특별시 서초구 마방로10길 18-1 (양재동)</t>
  </si>
  <si>
    <t>06776</t>
  </si>
  <si>
    <t>843</t>
  </si>
  <si>
    <t xml:space="preserve">서울특별시 강서구 화곡동 997-1 (지하 1층) </t>
  </si>
  <si>
    <t>서울특별시 강서구 우장산로16길 26 (화곡동,(지하 1층))</t>
  </si>
  <si>
    <t>새미</t>
  </si>
  <si>
    <t>844</t>
  </si>
  <si>
    <t xml:space="preserve">서울특별시 강서구 화곡동 1118-6번지 (지하 1층) </t>
  </si>
  <si>
    <t>서울특별시 강서구 화곡로56길 21, 지하 1층 (화곡동, 6동)</t>
  </si>
  <si>
    <t>07657</t>
  </si>
  <si>
    <t>신호등단란주점 7080</t>
  </si>
  <si>
    <t>845</t>
  </si>
  <si>
    <t xml:space="preserve">서울특별시 서초구 양재동 273-3 </t>
  </si>
  <si>
    <t>서울특별시 서초구 마방로10길 46 (양재동)</t>
  </si>
  <si>
    <t>가로수</t>
  </si>
  <si>
    <t>846</t>
  </si>
  <si>
    <t>131-853</t>
  </si>
  <si>
    <t xml:space="preserve">서울특별시 중랑구 묵동 245-8 </t>
  </si>
  <si>
    <t>서울특별시 중랑구 동일로 855 (묵동)</t>
  </si>
  <si>
    <t>02010</t>
  </si>
  <si>
    <t>엠파이어 응답하라 7080</t>
  </si>
  <si>
    <t>847</t>
  </si>
  <si>
    <t>143-900</t>
  </si>
  <si>
    <t xml:space="preserve">서울특별시 광진구 중곡동 172-59번지 </t>
  </si>
  <si>
    <t>서울특별시 광진구 면목로 156 (중곡동)</t>
  </si>
  <si>
    <t>04908</t>
  </si>
  <si>
    <t>스타단란주점</t>
  </si>
  <si>
    <t>848</t>
  </si>
  <si>
    <t xml:space="preserve">서울특별시 영등포구 당산동3가 214-0번지 지하1층 </t>
  </si>
  <si>
    <t>서울특별시 영등포구 당산로 136, 지하1층 (당산동3가)</t>
  </si>
  <si>
    <t>올래올래노래주점</t>
  </si>
  <si>
    <t>849</t>
  </si>
  <si>
    <t xml:space="preserve">서울특별시 광진구 구의동 257-122번지 </t>
  </si>
  <si>
    <t>서울특별시 광진구 자양로18길 53 (구의동)</t>
  </si>
  <si>
    <t>라이브7080백마강</t>
  </si>
  <si>
    <t>850</t>
  </si>
  <si>
    <t>100-895</t>
  </si>
  <si>
    <t xml:space="preserve">서울특별시 중구 신당동 309-18번지 </t>
  </si>
  <si>
    <t>서울특별시 중구 다산로 181-2, 지하 1층 (신당동)</t>
  </si>
  <si>
    <t>04608</t>
  </si>
  <si>
    <t>모모라이브</t>
  </si>
  <si>
    <t>851</t>
  </si>
  <si>
    <t>110-300</t>
  </si>
  <si>
    <t xml:space="preserve">서울특별시 종로구 관훈동 197-24번지 </t>
  </si>
  <si>
    <t>서울특별시 종로구 인사동7길 6 (관훈동)</t>
  </si>
  <si>
    <t>03149</t>
  </si>
  <si>
    <t>아리랑 단란주점</t>
  </si>
  <si>
    <t>852</t>
  </si>
  <si>
    <t xml:space="preserve">서울특별시 광진구 화양동 45-82 </t>
  </si>
  <si>
    <t>서울특별시 광진구 아차산로25길 13 (화양동)</t>
  </si>
  <si>
    <t>05019</t>
  </si>
  <si>
    <t>슈퍼스타2</t>
  </si>
  <si>
    <t>853</t>
  </si>
  <si>
    <t>158-826</t>
  </si>
  <si>
    <t xml:space="preserve">서울특별시 양천구 신월동 96-1 지하 1층 </t>
  </si>
  <si>
    <t>서울특별시 양천구 가로공원로 128, 지하1층 (신월동)</t>
  </si>
  <si>
    <t>07917</t>
  </si>
  <si>
    <t>황실</t>
  </si>
  <si>
    <t>854</t>
  </si>
  <si>
    <t>135-879</t>
  </si>
  <si>
    <t xml:space="preserve">서울특별시 강남구 삼성동 154-15 </t>
  </si>
  <si>
    <t>서울특별시 강남구 삼성로96길 27 (삼성동)</t>
  </si>
  <si>
    <t>06167</t>
  </si>
  <si>
    <t>855</t>
  </si>
  <si>
    <t xml:space="preserve">서울특별시 도봉구 방학동 680-37 </t>
  </si>
  <si>
    <t>서울특별시 도봉구 도봉로 663-28 (방학동)</t>
  </si>
  <si>
    <t>01346</t>
  </si>
  <si>
    <t>856</t>
  </si>
  <si>
    <t>100-823</t>
  </si>
  <si>
    <t xml:space="preserve">서울특별시 중구 신당동 247-2 (지하1층) </t>
  </si>
  <si>
    <t>서울특별시 중구 퇴계로 388-1 (신당동,(지하1층))</t>
  </si>
  <si>
    <t>04611</t>
  </si>
  <si>
    <t>무한질주</t>
  </si>
  <si>
    <t>857</t>
  </si>
  <si>
    <t>131-861</t>
  </si>
  <si>
    <t xml:space="preserve">서울특별시 중랑구 상봉동 130-87 </t>
  </si>
  <si>
    <t>서울특별시 중랑구 중랑천로12길 34 (상봉동)</t>
  </si>
  <si>
    <t>02120</t>
  </si>
  <si>
    <t>스캔들</t>
  </si>
  <si>
    <t>858</t>
  </si>
  <si>
    <t>143-888</t>
  </si>
  <si>
    <t xml:space="preserve">서울특별시 광진구 중곡동 80-11 </t>
  </si>
  <si>
    <t>서울특별시 광진구 용마산로 40 (중곡동)</t>
  </si>
  <si>
    <t>04949</t>
  </si>
  <si>
    <t>캉캉노래짱</t>
  </si>
  <si>
    <t>859</t>
  </si>
  <si>
    <t>136-800</t>
  </si>
  <si>
    <t xml:space="preserve">서울특별시 성북구 길음동 877-197번지 </t>
  </si>
  <si>
    <t>서울특별시 성북구 동소문로 225-15 (길음동)</t>
  </si>
  <si>
    <t>02721</t>
  </si>
  <si>
    <t>서광노래주점</t>
  </si>
  <si>
    <t>860</t>
  </si>
  <si>
    <t>139-813</t>
  </si>
  <si>
    <t xml:space="preserve">서울특별시 노원구 상계동 156-119번지 지하1층 </t>
  </si>
  <si>
    <t>서울특별시 노원구 한글비석로24길 52 (상계동,지하1층)</t>
  </si>
  <si>
    <t>01663</t>
  </si>
  <si>
    <t>태평양</t>
  </si>
  <si>
    <t>861</t>
  </si>
  <si>
    <t>140-854</t>
  </si>
  <si>
    <t xml:space="preserve">서울특별시 용산구 이촌동 302-46번지 (지하1층) </t>
  </si>
  <si>
    <t>서울특별시 용산구 이촌로64길 26 (이촌동,(지하1층))</t>
  </si>
  <si>
    <t>04427</t>
  </si>
  <si>
    <t>더클럽바</t>
  </si>
  <si>
    <t>862</t>
  </si>
  <si>
    <t xml:space="preserve">서울특별시 송파구 방이동 206-4 지하1층 </t>
  </si>
  <si>
    <t>서울특별시 송파구 위례성대로18길 27-4, 지하1층 (방이동)</t>
  </si>
  <si>
    <t>정 노래</t>
  </si>
  <si>
    <t>863</t>
  </si>
  <si>
    <t xml:space="preserve">서울특별시 영등포구 당산동3가 328-0번지 </t>
  </si>
  <si>
    <t>서울특별시 영등포구 양산로 127 (당산동3가)</t>
  </si>
  <si>
    <t>휴(休)</t>
  </si>
  <si>
    <t>864</t>
  </si>
  <si>
    <t>143-841</t>
  </si>
  <si>
    <t xml:space="preserve">서울특별시 광진구 자양동 1-20 </t>
  </si>
  <si>
    <t>서울특별시 광진구 동일로20길 113 (자양동)</t>
  </si>
  <si>
    <t>05073</t>
  </si>
  <si>
    <t>건대노래방</t>
  </si>
  <si>
    <t>865</t>
  </si>
  <si>
    <t>133-871</t>
  </si>
  <si>
    <t xml:space="preserve">서울특별시 성동구 행당동 4-20 </t>
  </si>
  <si>
    <t>서울특별시 성동구 마조로5길 12 (행당동)</t>
  </si>
  <si>
    <t>04760</t>
  </si>
  <si>
    <t>헤븐(HEAVEN)</t>
  </si>
  <si>
    <t>866</t>
  </si>
  <si>
    <t>158-806</t>
  </si>
  <si>
    <t xml:space="preserve">서울특별시 양천구 목동 405-280 지하 1층 </t>
  </si>
  <si>
    <t>서울특별시 양천구 오목로 318, 지하 1층 (목동)</t>
  </si>
  <si>
    <t>08005</t>
  </si>
  <si>
    <t>황금단란주점</t>
  </si>
  <si>
    <t>867</t>
  </si>
  <si>
    <t xml:space="preserve">서울특별시 강북구 번동 448-11 (화계사길 78)(지하1층) </t>
  </si>
  <si>
    <t>서울특별시 강북구 덕릉로 101 (번동,(화계사길 78)(지하1층))</t>
  </si>
  <si>
    <t>868</t>
  </si>
  <si>
    <t>152-816</t>
  </si>
  <si>
    <t xml:space="preserve">서울특별시 구로구 개봉동 403-58 </t>
  </si>
  <si>
    <t>서울특별시 구로구 개봉로 51-1 (개봉동)</t>
  </si>
  <si>
    <t>08347</t>
  </si>
  <si>
    <t>둥지노래바</t>
  </si>
  <si>
    <t>869</t>
  </si>
  <si>
    <t xml:space="preserve">서울특별시 강동구 명일동 353-4 </t>
  </si>
  <si>
    <t>서울특별시 강동구 양재대로 1564 (명일동)</t>
  </si>
  <si>
    <t>05296</t>
  </si>
  <si>
    <t>870</t>
  </si>
  <si>
    <t>138-829</t>
  </si>
  <si>
    <t xml:space="preserve">서울특별시 송파구 방이동 98-7 지하1층 </t>
  </si>
  <si>
    <t>서울특별시 송파구 올림픽로32길 37, 지하1층 (방이동)</t>
  </si>
  <si>
    <t>캣츠 노래</t>
  </si>
  <si>
    <t>871</t>
  </si>
  <si>
    <t>150-898</t>
  </si>
  <si>
    <t xml:space="preserve">서울특별시 영등포구 영등포동 580-8번지 </t>
  </si>
  <si>
    <t>크리스탈</t>
  </si>
  <si>
    <t>872</t>
  </si>
  <si>
    <t>152-854</t>
  </si>
  <si>
    <t xml:space="preserve">서울특별시 구로구 구로동 414-7 </t>
  </si>
  <si>
    <t>서울특별시 구로구 구로동로 165 (구로동)</t>
  </si>
  <si>
    <t>08286</t>
  </si>
  <si>
    <t>오렌지노래바</t>
  </si>
  <si>
    <t>873</t>
  </si>
  <si>
    <t>134-884</t>
  </si>
  <si>
    <t xml:space="preserve">서울특별시 강동구 성내동 434-50 </t>
  </si>
  <si>
    <t>서울특별시 강동구 성안로 41, 지1층 (성내동)</t>
  </si>
  <si>
    <t>05396</t>
  </si>
  <si>
    <t>뽕라이브</t>
  </si>
  <si>
    <t>874</t>
  </si>
  <si>
    <t>136-140</t>
  </si>
  <si>
    <t xml:space="preserve">서울특별시 성북구 장위동 64-123번지 ,124,128 </t>
  </si>
  <si>
    <t>서울특별시 성북구 돌곶이로 91 (장위동,,124,128)</t>
  </si>
  <si>
    <t>02772</t>
  </si>
  <si>
    <t>무학성</t>
  </si>
  <si>
    <t>875</t>
  </si>
  <si>
    <t>131-852</t>
  </si>
  <si>
    <t xml:space="preserve">서울특별시 중랑구 묵동 239-1 신한은행 </t>
  </si>
  <si>
    <t>서울특별시 중랑구 동일로 911, 신한은행 지하1층 (묵동)</t>
  </si>
  <si>
    <t>02006</t>
  </si>
  <si>
    <t>안도트</t>
  </si>
  <si>
    <t>876</t>
  </si>
  <si>
    <t>130-828</t>
  </si>
  <si>
    <t xml:space="preserve">서울특별시 동대문구 이문동 237-116번지 </t>
  </si>
  <si>
    <t>서울특별시 동대문구 신이문로 34, 지하1층 (이문동)</t>
  </si>
  <si>
    <t>02410</t>
  </si>
  <si>
    <t>가왕</t>
  </si>
  <si>
    <t>877</t>
  </si>
  <si>
    <t>130-836</t>
  </si>
  <si>
    <t xml:space="preserve">서울특별시 동대문구 장안동 119-18 (한천로 174) </t>
  </si>
  <si>
    <t>서울특별시 동대문구 한천로 174 (장안동,(한천로 174))</t>
  </si>
  <si>
    <t>02525</t>
  </si>
  <si>
    <t>수7080라이브</t>
  </si>
  <si>
    <t>878</t>
  </si>
  <si>
    <t>136-044</t>
  </si>
  <si>
    <t xml:space="preserve">서울특별시 성북구 삼선동4가 343 </t>
  </si>
  <si>
    <t>서울특별시 성북구 보문로 189 (삼선동4가)</t>
  </si>
  <si>
    <t>02861</t>
  </si>
  <si>
    <t>879</t>
  </si>
  <si>
    <t>133-826</t>
  </si>
  <si>
    <t xml:space="preserve">서울특별시 성동구 성수동2가 230-8번지 </t>
  </si>
  <si>
    <t>서울특별시 성동구 뚝섬로 440 (성수동2가)</t>
  </si>
  <si>
    <t>04777</t>
  </si>
  <si>
    <t>나래울</t>
  </si>
  <si>
    <t>880</t>
  </si>
  <si>
    <t xml:space="preserve">서울특별시 은평구 녹번동 117-15 (지층) </t>
  </si>
  <si>
    <t>서울특별시 은평구 통일로 681 (녹번동,(지층))</t>
  </si>
  <si>
    <t>03382</t>
  </si>
  <si>
    <t>881</t>
  </si>
  <si>
    <t xml:space="preserve">서울특별시 영등포구 당산동3가 398-2 </t>
  </si>
  <si>
    <t>서울특별시 영등포구 양산로19길 13 (당산동3가)</t>
  </si>
  <si>
    <t>공원</t>
  </si>
  <si>
    <t>882</t>
  </si>
  <si>
    <t>122-927</t>
  </si>
  <si>
    <t xml:space="preserve">서울특별시 은평구 응암동 602-31번지 지층 </t>
  </si>
  <si>
    <t>서울특별시 은평구 응암로 174-1 (응암동,지층)</t>
  </si>
  <si>
    <t>7080</t>
  </si>
  <si>
    <t>883</t>
  </si>
  <si>
    <t>132-849</t>
  </si>
  <si>
    <t xml:space="preserve">서울특별시 도봉구 방학동 672-27번지 </t>
  </si>
  <si>
    <t>서울특별시 도봉구 방학로 135 (방학동)</t>
  </si>
  <si>
    <t>01389</t>
  </si>
  <si>
    <t>884</t>
  </si>
  <si>
    <t xml:space="preserve">서울특별시 노원구 상계동 717-0 </t>
  </si>
  <si>
    <t>서울특별시 노원구 노해로 495 (상계동)</t>
  </si>
  <si>
    <t>885</t>
  </si>
  <si>
    <t>138-856</t>
  </si>
  <si>
    <t xml:space="preserve">서울특별시 송파구 오금동 42-12번지 지하1층 </t>
  </si>
  <si>
    <t>서울특별시 송파구 마천로 68, 지하1층 (오금동)</t>
  </si>
  <si>
    <t>05659</t>
  </si>
  <si>
    <t>피아노</t>
  </si>
  <si>
    <t>886</t>
  </si>
  <si>
    <t xml:space="preserve">서울특별시 종로구 낙원동 213-4 지상2층 </t>
  </si>
  <si>
    <t>서울특별시 종로구 종로17길 30 (낙원동,지상2층)</t>
  </si>
  <si>
    <t>상공</t>
  </si>
  <si>
    <t>887</t>
  </si>
  <si>
    <t xml:space="preserve">서울특별시 은평구 불광동 281-136번지 (지층) </t>
  </si>
  <si>
    <t>서울특별시 은평구 통일로66길 8 (불광동,(지층))</t>
  </si>
  <si>
    <t>묻지마관광</t>
  </si>
  <si>
    <t>888</t>
  </si>
  <si>
    <t xml:space="preserve">서울특별시 마포구 합정동 387-23 </t>
  </si>
  <si>
    <t>서울특별시 마포구 월드컵로1길 30 (합정동)</t>
  </si>
  <si>
    <t>04025</t>
  </si>
  <si>
    <t>쑝쑝</t>
  </si>
  <si>
    <t>889</t>
  </si>
  <si>
    <t>157-876</t>
  </si>
  <si>
    <t xml:space="preserve">서울특별시 강서구 화곡동 159-40번지 (지하 1층) </t>
  </si>
  <si>
    <t>서울특별시 강서구 곰달래로 159, 지하 1층 (화곡동, 8동)</t>
  </si>
  <si>
    <t>07759</t>
  </si>
  <si>
    <t>러브콜</t>
  </si>
  <si>
    <t>890</t>
  </si>
  <si>
    <t xml:space="preserve">서울특별시 은평구 응암동 598-5 (지1층) </t>
  </si>
  <si>
    <t>서울특별시 은평구 응암로 175-1 (응암동,(지1층))</t>
  </si>
  <si>
    <t>로얄클럽</t>
  </si>
  <si>
    <t>891</t>
  </si>
  <si>
    <t xml:space="preserve">서울특별시 서초구 서초동 1555-3 (지하 1층) </t>
  </si>
  <si>
    <t>서울특별시 서초구 반포대로30길 34 (서초동)</t>
  </si>
  <si>
    <t>얼라이브(Alive)</t>
  </si>
  <si>
    <t>892</t>
  </si>
  <si>
    <t>135-890</t>
  </si>
  <si>
    <t xml:space="preserve">서울특별시 강남구 신사동 562-9번지 </t>
  </si>
  <si>
    <t>서울특별시 강남구 도산대로25길 15 (신사동)</t>
  </si>
  <si>
    <t>06037</t>
  </si>
  <si>
    <t>벨루티</t>
  </si>
  <si>
    <t>893</t>
  </si>
  <si>
    <t xml:space="preserve">서울특별시 금천구 시흥동 884-1 지상2층 </t>
  </si>
  <si>
    <t>서울특별시 금천구 금하로 636 (시흥동, 지상2층)</t>
  </si>
  <si>
    <t>아리수노래바</t>
  </si>
  <si>
    <t>894</t>
  </si>
  <si>
    <t xml:space="preserve">서울특별시 중랑구 묵동 239-169 </t>
  </si>
  <si>
    <t>서울특별시 중랑구 동일로 909 (묵동)</t>
  </si>
  <si>
    <t>7080쎄시봉</t>
  </si>
  <si>
    <t>895</t>
  </si>
  <si>
    <t xml:space="preserve">서울특별시 성북구 하월곡동 67-29번지 67-29,30,31, 96-222 </t>
  </si>
  <si>
    <t>서울특별시 성북구 오패산로 10 (하월곡동, 67-29,30,31, 96-222)</t>
  </si>
  <si>
    <t>02751</t>
  </si>
  <si>
    <t>와노래짱</t>
  </si>
  <si>
    <t>896</t>
  </si>
  <si>
    <t>120-806</t>
  </si>
  <si>
    <t xml:space="preserve">서울특별시 서대문구 남가좌동 329-7번지 </t>
  </si>
  <si>
    <t>서울특별시 서대문구 모래내로 247 (남가좌동)</t>
  </si>
  <si>
    <t>03693</t>
  </si>
  <si>
    <t>미스트롯(7080)</t>
  </si>
  <si>
    <t>897</t>
  </si>
  <si>
    <t xml:space="preserve">서울특별시 관악구 신림동 569-27번지 </t>
  </si>
  <si>
    <t>서울특별시 관악구 조원중앙로 44 (신림동)</t>
  </si>
  <si>
    <t>두리노래마당</t>
  </si>
  <si>
    <t>898</t>
  </si>
  <si>
    <t>135-812</t>
  </si>
  <si>
    <t xml:space="preserve">서울특별시 강남구 논현동 10-6번지 </t>
  </si>
  <si>
    <t>서울특별시 강남구 논현로149길 35 (논현동)</t>
  </si>
  <si>
    <t>06040</t>
  </si>
  <si>
    <t>이메진</t>
  </si>
  <si>
    <t>899</t>
  </si>
  <si>
    <t xml:space="preserve">서울특별시 동대문구 신설동 98-38번지 (신설2길 5) </t>
  </si>
  <si>
    <t>서울특별시 동대문구 하정로3길 10 (신설동,(신설2길 5))</t>
  </si>
  <si>
    <t>아마란스</t>
  </si>
  <si>
    <t>900</t>
  </si>
  <si>
    <t>152-836</t>
  </si>
  <si>
    <t xml:space="preserve">서울특별시 구로구 고척동 269-18 </t>
  </si>
  <si>
    <t>서울특별시 구로구 경인로33길 75 (고척동)</t>
  </si>
  <si>
    <t>08235</t>
  </si>
  <si>
    <t>노래하는 청춘열차</t>
  </si>
  <si>
    <t>901</t>
  </si>
  <si>
    <t>143-912</t>
  </si>
  <si>
    <t xml:space="preserve">서울특별시 광진구 중곡동 647-19 </t>
  </si>
  <si>
    <t>서울특별시 광진구 능동로 327-1 (중곡동)</t>
  </si>
  <si>
    <t>04918</t>
  </si>
  <si>
    <t>스윙7080라이브</t>
  </si>
  <si>
    <t>902</t>
  </si>
  <si>
    <t>132-854</t>
  </si>
  <si>
    <t xml:space="preserve">서울특별시 도봉구 방학동 706 지하1층 </t>
  </si>
  <si>
    <t>서울특별시 도봉구 도봉로 700, 지하1층 (방학동)</t>
  </si>
  <si>
    <t>01333</t>
  </si>
  <si>
    <t>903</t>
  </si>
  <si>
    <t xml:space="preserve">서울특별시 강서구 화곡동 1115-26번지 </t>
  </si>
  <si>
    <t>지지</t>
  </si>
  <si>
    <t>904</t>
  </si>
  <si>
    <t>122-906</t>
  </si>
  <si>
    <t xml:space="preserve">서울특별시 은평구 응암동 74-6번지 </t>
  </si>
  <si>
    <t>서울특별시 은평구 은평로 204 (응암동)</t>
  </si>
  <si>
    <t>03472</t>
  </si>
  <si>
    <t>905</t>
  </si>
  <si>
    <t>143-826</t>
  </si>
  <si>
    <t xml:space="preserve">서울특별시 광진구 구의동 252-18 </t>
  </si>
  <si>
    <t>서울특별시 광진구 아차산로49길 29 (구의동)</t>
  </si>
  <si>
    <t>포썸</t>
  </si>
  <si>
    <t>906</t>
  </si>
  <si>
    <t>140-848</t>
  </si>
  <si>
    <t xml:space="preserve">서울특별시 용산구 원효로3가 32-3번지 지하1층 </t>
  </si>
  <si>
    <t>서울특별시 용산구 원효로41길 21-1 (원효로3가, 32-3 지하1층)</t>
  </si>
  <si>
    <t>04363</t>
  </si>
  <si>
    <t>아리랑</t>
  </si>
  <si>
    <t>907</t>
  </si>
  <si>
    <t>135-545</t>
  </si>
  <si>
    <t xml:space="preserve">서울특별시 강남구 논현동 204-3번지 </t>
  </si>
  <si>
    <t>서울특별시 강남구 봉은사로 137 (논현동)</t>
  </si>
  <si>
    <t>06121</t>
  </si>
  <si>
    <t>옥스포드</t>
  </si>
  <si>
    <t>908</t>
  </si>
  <si>
    <t>153-832</t>
  </si>
  <si>
    <t xml:space="preserve">서울특별시 금천구 독산동 1059-4 지하1층 </t>
  </si>
  <si>
    <t>서울특별시 금천구 시흥대로 310, 지하1층 (독산동)</t>
  </si>
  <si>
    <t>08619</t>
  </si>
  <si>
    <t>런던7080Live</t>
  </si>
  <si>
    <t>909</t>
  </si>
  <si>
    <t>135-907</t>
  </si>
  <si>
    <t xml:space="preserve">서울특별시 강남구 역삼동 601-12번지 </t>
  </si>
  <si>
    <t>서울특별시 강남구 강남대로110길 13 (역삼동)</t>
  </si>
  <si>
    <t>06123</t>
  </si>
  <si>
    <t>910</t>
  </si>
  <si>
    <t>110-410</t>
  </si>
  <si>
    <t xml:space="preserve">서울특별시 종로구 인의동 28-4번지 </t>
  </si>
  <si>
    <t>서울특별시 종로구 창경궁로 120 (인의동)</t>
  </si>
  <si>
    <t>911</t>
  </si>
  <si>
    <t xml:space="preserve">서울특별시 강남구 논현동 112-3 </t>
  </si>
  <si>
    <t>서울특별시 강남구 선릉로131길 24 (논현동)</t>
  </si>
  <si>
    <t>마당2(Madang2)</t>
  </si>
  <si>
    <t>912</t>
  </si>
  <si>
    <t>120-822</t>
  </si>
  <si>
    <t xml:space="preserve">서울특별시 서대문구 북아현동 220-14 지하1층 </t>
  </si>
  <si>
    <t>서울특별시 서대문구 신촌로 235, 지하1층 (북아현동)</t>
  </si>
  <si>
    <t>03774</t>
  </si>
  <si>
    <t>913</t>
  </si>
  <si>
    <t>120-816</t>
  </si>
  <si>
    <t xml:space="preserve">서울특별시 서대문구 북가좌동 351-2 </t>
  </si>
  <si>
    <t>서울특별시 서대문구 응암로 146 (북가좌동)</t>
  </si>
  <si>
    <t>03667</t>
  </si>
  <si>
    <t>달의뮤즈</t>
  </si>
  <si>
    <t>914</t>
  </si>
  <si>
    <t xml:space="preserve">서울특별시 구로구 가리봉동 121-30 </t>
  </si>
  <si>
    <t>서울특별시 구로구 구로동로 13 (가리봉동)</t>
  </si>
  <si>
    <t>08322</t>
  </si>
  <si>
    <t>스타노래마당단란주점</t>
  </si>
  <si>
    <t>915</t>
  </si>
  <si>
    <t>136-087</t>
  </si>
  <si>
    <t xml:space="preserve">서울특별시 성북구 보문동7가 22-5 </t>
  </si>
  <si>
    <t>서울특별시 성북구 보문로 58-1, B101호 (보문동7가, 한주빌딩)</t>
  </si>
  <si>
    <t>캔트</t>
  </si>
  <si>
    <t>916</t>
  </si>
  <si>
    <t xml:space="preserve">서울특별시 용산구 원효로2가 83-2번지 (지하1층) </t>
  </si>
  <si>
    <t>서울특별시 용산구 새창로 131 (원효로2가,(지하1층))</t>
  </si>
  <si>
    <t>04364</t>
  </si>
  <si>
    <t>대월</t>
  </si>
  <si>
    <t>917</t>
  </si>
  <si>
    <t>135-847</t>
  </si>
  <si>
    <t xml:space="preserve">서울특별시 강남구 대치동 957-1번지 </t>
  </si>
  <si>
    <t>서울특별시 강남구 삼성로86길 6 (대치동)</t>
  </si>
  <si>
    <t>06185</t>
  </si>
  <si>
    <t>쎄라비</t>
  </si>
  <si>
    <t>918</t>
  </si>
  <si>
    <t xml:space="preserve">서울특별시 송파구 방이동 67-10 </t>
  </si>
  <si>
    <t>서울특별시 송파구 오금로15길 7 (방이동)</t>
  </si>
  <si>
    <t>스크린 술마시는 노래</t>
  </si>
  <si>
    <t>919</t>
  </si>
  <si>
    <t xml:space="preserve">서울특별시 강동구 천호동 287-2 </t>
  </si>
  <si>
    <t>서울특별시 강동구 상암로 42 (천호동)</t>
  </si>
  <si>
    <t>05318</t>
  </si>
  <si>
    <t>오즈</t>
  </si>
  <si>
    <t>920</t>
  </si>
  <si>
    <t>138-840</t>
  </si>
  <si>
    <t xml:space="preserve">서울특별시 송파구 삼전동 132-13 지하1층 </t>
  </si>
  <si>
    <t>서울특별시 송파구 삼학사로 73, 지하1층 (삼전동)</t>
  </si>
  <si>
    <t>05603</t>
  </si>
  <si>
    <t>JJ(제이제이)</t>
  </si>
  <si>
    <t>921</t>
  </si>
  <si>
    <t xml:space="preserve">서울특별시 금천구 독산동 961-12 지하1층 </t>
  </si>
  <si>
    <t>서울특별시 금천구 독산로 342, 지하1층 (독산동)</t>
  </si>
  <si>
    <t>08550</t>
  </si>
  <si>
    <t>짱</t>
  </si>
  <si>
    <t>922</t>
  </si>
  <si>
    <t xml:space="preserve">서울특별시 송파구 거여동 21-9 </t>
  </si>
  <si>
    <t>서울특별시 송파구 오금로59길 3 (거여동)</t>
  </si>
  <si>
    <t>05744</t>
  </si>
  <si>
    <t>7080학창시절</t>
  </si>
  <si>
    <t>923</t>
  </si>
  <si>
    <t>143-838</t>
  </si>
  <si>
    <t xml:space="preserve">서울특별시 광진구 군자동 473-15 </t>
  </si>
  <si>
    <t>서울특별시 광진구 능동로35길 18 (군자동)</t>
  </si>
  <si>
    <t>04996</t>
  </si>
  <si>
    <t>산타페노래방주점</t>
  </si>
  <si>
    <t>924</t>
  </si>
  <si>
    <t xml:space="preserve">서울특별시 관악구 신림동 1484-6 </t>
  </si>
  <si>
    <t>서울특별시 관악구 남부순환로 1444, 지하1층 (신림동)</t>
  </si>
  <si>
    <t>주원7080</t>
  </si>
  <si>
    <t>925</t>
  </si>
  <si>
    <t xml:space="preserve">서울특별시 강서구 화곡동 1113-9번지 (지하 1층) </t>
  </si>
  <si>
    <t>서울특별시 강서구 공항대로46길 25-3, 지하 1층 (화곡동, 6동)</t>
  </si>
  <si>
    <t>926</t>
  </si>
  <si>
    <t>138-170</t>
  </si>
  <si>
    <t xml:space="preserve">서울특별시 송파구 송파동 135-0번지 ,18 </t>
  </si>
  <si>
    <t>서울특별시 송파구 백제고분로 426 (송파동,,18)</t>
  </si>
  <si>
    <t>05662</t>
  </si>
  <si>
    <t>코리아</t>
  </si>
  <si>
    <t>927</t>
  </si>
  <si>
    <t>140-832</t>
  </si>
  <si>
    <t xml:space="preserve">서울특별시 용산구 용문동 8-24번지 </t>
  </si>
  <si>
    <t>서울특별시 용산구 새창로 115 (용문동, 8-24 지하1층)</t>
  </si>
  <si>
    <t>청춘노래</t>
  </si>
  <si>
    <t>928</t>
  </si>
  <si>
    <t xml:space="preserve">서울특별시 영등포구 당산동3가 218-0번지 </t>
  </si>
  <si>
    <t>서울특별시 영등포구 당산로32길 3 (당산동3가)</t>
  </si>
  <si>
    <t>월드</t>
  </si>
  <si>
    <t>929</t>
  </si>
  <si>
    <t xml:space="preserve">서울특별시 중랑구 망우동 470-1 </t>
  </si>
  <si>
    <t>서울특별시 중랑구 망우로 426 (망우동)</t>
  </si>
  <si>
    <t>02164</t>
  </si>
  <si>
    <t>일번지차차차</t>
  </si>
  <si>
    <t>930</t>
  </si>
  <si>
    <t>135-513</t>
  </si>
  <si>
    <t xml:space="preserve">서울특별시 강남구 역삼동 700-15 </t>
  </si>
  <si>
    <t>서울특별시 강남구 언주로98길 8-1 (역삼동)</t>
  </si>
  <si>
    <t>06147</t>
  </si>
  <si>
    <t>가을 겨울</t>
  </si>
  <si>
    <t>931</t>
  </si>
  <si>
    <t>136-041</t>
  </si>
  <si>
    <t xml:space="preserve">서울특별시 성북구 삼선동1가 17 </t>
  </si>
  <si>
    <t>서울특별시 성북구 삼선교로 10 (삼선동1가)</t>
  </si>
  <si>
    <t>02866</t>
  </si>
  <si>
    <t>로망스</t>
  </si>
  <si>
    <t>932</t>
  </si>
  <si>
    <t xml:space="preserve">서울특별시 강서구 공항동 73-7번지 </t>
  </si>
  <si>
    <t>다저스</t>
  </si>
  <si>
    <t>933</t>
  </si>
  <si>
    <t>139-815</t>
  </si>
  <si>
    <t xml:space="preserve">서울특별시 노원구 상계동 169-169 공구나라 </t>
  </si>
  <si>
    <t>서울특별시 노원구 상계로 137, 공구나라 지하1층 (상계동)</t>
  </si>
  <si>
    <t>01684</t>
  </si>
  <si>
    <t>신바람</t>
  </si>
  <si>
    <t>934</t>
  </si>
  <si>
    <t>122-907</t>
  </si>
  <si>
    <t xml:space="preserve">서울특별시 은평구 응암동 85-2 지하1층 </t>
  </si>
  <si>
    <t>서울특별시 은평구 은평로13길 11-3 (응암동, 지하1층)</t>
  </si>
  <si>
    <t>03460</t>
  </si>
  <si>
    <t>엠 지 엠 (M G M)</t>
  </si>
  <si>
    <t>935</t>
  </si>
  <si>
    <t>143-817</t>
  </si>
  <si>
    <t xml:space="preserve">서울특별시 광진구 구의동 54-5번지 </t>
  </si>
  <si>
    <t>서울특별시 광진구 자양로 275 (구의동)</t>
  </si>
  <si>
    <t>04954</t>
  </si>
  <si>
    <t>꽃피는산골</t>
  </si>
  <si>
    <t>936</t>
  </si>
  <si>
    <t xml:space="preserve">서울특별시 광진구 군자동 476-18번지 </t>
  </si>
  <si>
    <t>서울특별시 광진구 능동로35길 9 (군자동)</t>
  </si>
  <si>
    <t>04997</t>
  </si>
  <si>
    <t>7080 라이브</t>
  </si>
  <si>
    <t>937</t>
  </si>
  <si>
    <t>150-815</t>
  </si>
  <si>
    <t xml:space="preserve">서울특별시 영등포구 대림동 756-6번지 </t>
  </si>
  <si>
    <t>서울특별시 영등포구 도림로 196 (대림동)</t>
  </si>
  <si>
    <t>07423</t>
  </si>
  <si>
    <t>938</t>
  </si>
  <si>
    <t>132-851</t>
  </si>
  <si>
    <t xml:space="preserve">서울특별시 도봉구 방학동 690-66번지 지하1층 </t>
  </si>
  <si>
    <t>서울특별시 도봉구 방학로 128, 지하1층 (방학동)</t>
  </si>
  <si>
    <t>01344</t>
  </si>
  <si>
    <t>맨하탄</t>
  </si>
  <si>
    <t>939</t>
  </si>
  <si>
    <t xml:space="preserve">서울특별시 용산구 한남동 638-5번지 (지하1층) </t>
  </si>
  <si>
    <t>서울특별시 용산구 대사관로 62 (한남동,(지하1층))</t>
  </si>
  <si>
    <t>04402</t>
  </si>
  <si>
    <t>블라인드피그</t>
  </si>
  <si>
    <t>940</t>
  </si>
  <si>
    <t>143-914</t>
  </si>
  <si>
    <t xml:space="preserve">서울특별시 광진구 화양동 5-73번지 </t>
  </si>
  <si>
    <t>서울특별시 광진구 아차산로33길 16 (화양동)</t>
  </si>
  <si>
    <t>05017</t>
  </si>
  <si>
    <t>락</t>
  </si>
  <si>
    <t>941</t>
  </si>
  <si>
    <t xml:space="preserve">서울특별시 은평구 녹번동 117-111 지층 </t>
  </si>
  <si>
    <t>서울특별시 은평구 진흥로 196 (녹번동, 지층)</t>
  </si>
  <si>
    <t>홀릭</t>
  </si>
  <si>
    <t>942</t>
  </si>
  <si>
    <t xml:space="preserve">서울특별시 서초구 방배동 444-16 </t>
  </si>
  <si>
    <t>서울특별시 서초구 동작대로 18, 지하1층 (방배동)</t>
  </si>
  <si>
    <t>또와</t>
  </si>
  <si>
    <t>943</t>
  </si>
  <si>
    <t>152-855</t>
  </si>
  <si>
    <t xml:space="preserve">서울특별시 구로구 구로동 437 </t>
  </si>
  <si>
    <t>서울특별시 구로구 가마산로 225 (구로동)</t>
  </si>
  <si>
    <t>08284</t>
  </si>
  <si>
    <t>K1코리아</t>
  </si>
  <si>
    <t>944</t>
  </si>
  <si>
    <t>131-817</t>
  </si>
  <si>
    <t xml:space="preserve">서울특별시 중랑구 면목동 89-7 </t>
  </si>
  <si>
    <t>서울특별시 중랑구 상봉로 89 (면목동)</t>
  </si>
  <si>
    <t>02156</t>
  </si>
  <si>
    <t>별들의행진</t>
  </si>
  <si>
    <t>945</t>
  </si>
  <si>
    <t xml:space="preserve">서울특별시 금천구 시흥동 852-31 지하1층 </t>
  </si>
  <si>
    <t>서울특별시 금천구 독산로 131, 지하1층 (시흥동)</t>
  </si>
  <si>
    <t>08622</t>
  </si>
  <si>
    <t>미팅</t>
  </si>
  <si>
    <t>946</t>
  </si>
  <si>
    <t>143-885</t>
  </si>
  <si>
    <t xml:space="preserve">서울특별시 광진구 중곡동 31-10 </t>
  </si>
  <si>
    <t>서울특별시 광진구 능동로 380 (중곡동)</t>
  </si>
  <si>
    <t>04934</t>
  </si>
  <si>
    <t>궁전노래주점</t>
  </si>
  <si>
    <t>947</t>
  </si>
  <si>
    <t xml:space="preserve">서울특별시 강남구 논현동 206-11 </t>
  </si>
  <si>
    <t>서울특별시 강남구 봉은사로 169 (논현동)</t>
  </si>
  <si>
    <t>06122</t>
  </si>
  <si>
    <t>레드</t>
  </si>
  <si>
    <t>948</t>
  </si>
  <si>
    <t xml:space="preserve">서울특별시 서초구 방배동 761-7 </t>
  </si>
  <si>
    <t>서울특별시 서초구 방배중앙로 185 (방배동)</t>
  </si>
  <si>
    <t>06554</t>
  </si>
  <si>
    <t>필굿</t>
  </si>
  <si>
    <t>949</t>
  </si>
  <si>
    <t>135-894</t>
  </si>
  <si>
    <t xml:space="preserve">서울특별시 강남구 신사동 612-1 </t>
  </si>
  <si>
    <t>서울특별시 강남구 논현로176길 14 (신사동)</t>
  </si>
  <si>
    <t>06022</t>
  </si>
  <si>
    <t>오렌지라이브 노래주점</t>
  </si>
  <si>
    <t>950</t>
  </si>
  <si>
    <t>157-842</t>
  </si>
  <si>
    <t xml:space="preserve">서울특별시 강서구 등촌동 655-37 (지하 1층) </t>
  </si>
  <si>
    <t>서울특별시 강서구 공항대로 423, 지하 1층 (등촌동, 1동)</t>
  </si>
  <si>
    <t>07571</t>
  </si>
  <si>
    <t>야후노래바</t>
  </si>
  <si>
    <t>951</t>
  </si>
  <si>
    <t xml:space="preserve">서울특별시 송파구 삼전동 22-1번지 </t>
  </si>
  <si>
    <t>서울특별시 송파구 석촌호수로 138 (삼전동)</t>
  </si>
  <si>
    <t>05600</t>
  </si>
  <si>
    <t>에뜨랑제</t>
  </si>
  <si>
    <t>952</t>
  </si>
  <si>
    <t>134-811</t>
  </si>
  <si>
    <t xml:space="preserve">서울특별시 강동구 길동 347-38번지 </t>
  </si>
  <si>
    <t>서울특별시 강동구 천중로 195 (길동)</t>
  </si>
  <si>
    <t>05303</t>
  </si>
  <si>
    <t>연예인</t>
  </si>
  <si>
    <t>953</t>
  </si>
  <si>
    <t xml:space="preserve">서울특별시 중랑구 묵동 166-37 </t>
  </si>
  <si>
    <t>서울특별시 중랑구 중랑역로 263-1 (묵동)</t>
  </si>
  <si>
    <t>02018</t>
  </si>
  <si>
    <t>와 노래 단란주점</t>
  </si>
  <si>
    <t>954</t>
  </si>
  <si>
    <t xml:space="preserve">서울특별시 금천구 독산동 159-1 지하1층 </t>
  </si>
  <si>
    <t>서울특별시 금천구 시흥대로138길 10 (독산동, 지하1층)</t>
  </si>
  <si>
    <t>대형노래밤</t>
  </si>
  <si>
    <t>955</t>
  </si>
  <si>
    <t xml:space="preserve">서울특별시 양천구 신정동 953-6 지하 1층 </t>
  </si>
  <si>
    <t>서울특별시 양천구 오목로 190-1, 지하 1층 (신정동)</t>
  </si>
  <si>
    <t>08020</t>
  </si>
  <si>
    <t>카사블랑카</t>
  </si>
  <si>
    <t>956</t>
  </si>
  <si>
    <t xml:space="preserve">서울특별시 영등포구 당산동3가 315-0 </t>
  </si>
  <si>
    <t>서울특별시 영등포구 당산로 110 (당산동3가)</t>
  </si>
  <si>
    <t>뮤지컬</t>
  </si>
  <si>
    <t>957</t>
  </si>
  <si>
    <t xml:space="preserve">서울특별시 양천구 신정동 1028-25 지하 1층 </t>
  </si>
  <si>
    <t>서울특별시 양천구 신월로 312-1, 지하 1층 (신정동)</t>
  </si>
  <si>
    <t>좋은친구들</t>
  </si>
  <si>
    <t>958</t>
  </si>
  <si>
    <t xml:space="preserve">서울특별시 송파구 송파동 21-6번지 </t>
  </si>
  <si>
    <t>서울특별시 송파구 백제고분로41길 6 (송파동)</t>
  </si>
  <si>
    <t>05621</t>
  </si>
  <si>
    <t>윙크</t>
  </si>
  <si>
    <t>959</t>
  </si>
  <si>
    <t>131-857</t>
  </si>
  <si>
    <t xml:space="preserve">서울특별시 중랑구 상봉동 74-6 </t>
  </si>
  <si>
    <t>서울특별시 중랑구 망우로 379 (상봉동)</t>
  </si>
  <si>
    <t>02086</t>
  </si>
  <si>
    <t>쿨노래주점</t>
  </si>
  <si>
    <t>960</t>
  </si>
  <si>
    <t xml:space="preserve">서울특별시 은평구 대조동 2-1번지 (지층) </t>
  </si>
  <si>
    <t>서울특별시 은평구 통일로71길 28 (대조동,(지층))</t>
  </si>
  <si>
    <t>03391</t>
  </si>
  <si>
    <t>애몽</t>
  </si>
  <si>
    <t>961</t>
  </si>
  <si>
    <t>131-823</t>
  </si>
  <si>
    <t xml:space="preserve">서울특별시 중랑구 면목동 183-24 </t>
  </si>
  <si>
    <t>서울특별시 중랑구 봉우재로 41 (면목동)</t>
  </si>
  <si>
    <t>02129</t>
  </si>
  <si>
    <t>가야단란주점</t>
  </si>
  <si>
    <t>962</t>
  </si>
  <si>
    <t>132-842</t>
  </si>
  <si>
    <t xml:space="preserve">서울특별시 도봉구 방학동 632-53번지 </t>
  </si>
  <si>
    <t>서울특별시 도봉구 도당로13길 29 (방학동)</t>
  </si>
  <si>
    <t>01357</t>
  </si>
  <si>
    <t>불티모아</t>
  </si>
  <si>
    <t>963</t>
  </si>
  <si>
    <t>135-877</t>
  </si>
  <si>
    <t xml:space="preserve">서울특별시 강남구 삼성동 143-21번지 지하1층 </t>
  </si>
  <si>
    <t>서울특별시 강남구 테헤란로77길 11-15, 지하1층 (삼성동)</t>
  </si>
  <si>
    <t>06159</t>
  </si>
  <si>
    <t>지세븐(G7)</t>
  </si>
  <si>
    <t>964</t>
  </si>
  <si>
    <t>132-846</t>
  </si>
  <si>
    <t xml:space="preserve">서울특별시 도봉구 방학동 654-19번지 </t>
  </si>
  <si>
    <t>서울특별시 도봉구 도당로 145 (방학동)</t>
  </si>
  <si>
    <t>01351</t>
  </si>
  <si>
    <t>토끼와 여우</t>
  </si>
  <si>
    <t>965</t>
  </si>
  <si>
    <t xml:space="preserve">서울특별시 중랑구 묵동 239-166 </t>
  </si>
  <si>
    <t>서울특별시 중랑구 중랑역로 196-1 (묵동)</t>
  </si>
  <si>
    <t>966</t>
  </si>
  <si>
    <t>153-823</t>
  </si>
  <si>
    <t xml:space="preserve">서울특별시 금천구 독산동 959-9 지하1층 </t>
  </si>
  <si>
    <t>서울특별시 금천구 독산로 351 (독산동,지하1층)</t>
  </si>
  <si>
    <t>08537</t>
  </si>
  <si>
    <t>황금노래하는곳</t>
  </si>
  <si>
    <t>967</t>
  </si>
  <si>
    <t xml:space="preserve">서울특별시 송파구 거여동 26-3 지하1층 </t>
  </si>
  <si>
    <t>서울특별시 송파구 오금로 495, 지하1층 (거여동)</t>
  </si>
  <si>
    <t>쎄븐노래팡팡</t>
  </si>
  <si>
    <t>968</t>
  </si>
  <si>
    <t>152-872</t>
  </si>
  <si>
    <t xml:space="preserve">서울특별시 구로구 구로동 734-15 </t>
  </si>
  <si>
    <t>서울특별시 구로구 구로동로26길 36 (구로동)</t>
  </si>
  <si>
    <t>08311</t>
  </si>
  <si>
    <t>금마차</t>
  </si>
  <si>
    <t>969</t>
  </si>
  <si>
    <t xml:space="preserve">서울특별시 중랑구 망우동 469-76번지 </t>
  </si>
  <si>
    <t>서울특별시 중랑구 용마산로115길 43 (망우동)</t>
  </si>
  <si>
    <t>02166</t>
  </si>
  <si>
    <t>씨스타노래</t>
  </si>
  <si>
    <t>970</t>
  </si>
  <si>
    <t>135-569</t>
  </si>
  <si>
    <t xml:space="preserve">서울특별시 강남구 역삼동 834-45 </t>
  </si>
  <si>
    <t>서울특별시 강남구 역삼로 138 (역삼동)</t>
  </si>
  <si>
    <t>06250</t>
  </si>
  <si>
    <t>헤롱헤롱</t>
  </si>
  <si>
    <t>971</t>
  </si>
  <si>
    <t>130-866</t>
  </si>
  <si>
    <t xml:space="preserve">서울특별시 동대문구 청량리동 30-1 </t>
  </si>
  <si>
    <t>서울특별시 동대문구 왕산로 273, 지하1층 (청량리동)</t>
  </si>
  <si>
    <t>도레미 큐</t>
  </si>
  <si>
    <t>972</t>
  </si>
  <si>
    <t xml:space="preserve">서울특별시 강북구 미아동 162-50번지 </t>
  </si>
  <si>
    <t>서울특별시 강북구 덕릉로28길 33 (미아동)</t>
  </si>
  <si>
    <t>01129</t>
  </si>
  <si>
    <t>아스피린</t>
  </si>
  <si>
    <t>973</t>
  </si>
  <si>
    <t>156-831</t>
  </si>
  <si>
    <t xml:space="preserve">서울특별시 동작구 상도동 26-36번지 </t>
  </si>
  <si>
    <t>서울특별시 동작구 상도로 210 (상도동)</t>
  </si>
  <si>
    <t>06964</t>
  </si>
  <si>
    <t>샤방샤방</t>
  </si>
  <si>
    <t>974</t>
  </si>
  <si>
    <t xml:space="preserve">서울특별시 강남구 역삼동 656-33 </t>
  </si>
  <si>
    <t>서울특별시 강남구 테헤란로39길 73 (역삼동)</t>
  </si>
  <si>
    <t>비긴</t>
  </si>
  <si>
    <t>975</t>
  </si>
  <si>
    <t>142-868</t>
  </si>
  <si>
    <t xml:space="preserve">서울특별시 강북구 번동 464-6 (지하1층) </t>
  </si>
  <si>
    <t>서울특별시 강북구 도봉로 386-4 (번동,(지하1층))</t>
  </si>
  <si>
    <t>01056</t>
  </si>
  <si>
    <t>젊은미소 단란주점</t>
  </si>
  <si>
    <t>976</t>
  </si>
  <si>
    <t>135-860</t>
  </si>
  <si>
    <t xml:space="preserve">서울특별시 강남구 도곡동 943-4 </t>
  </si>
  <si>
    <t>서울특별시 강남구 도곡로4길 6 (도곡동)</t>
  </si>
  <si>
    <t>06258</t>
  </si>
  <si>
    <t>썬파워노래밤</t>
  </si>
  <si>
    <t>977</t>
  </si>
  <si>
    <t xml:space="preserve">서울특별시 서초구 잠원동 14-8번지 </t>
  </si>
  <si>
    <t>서울특별시 서초구 나루터로15길 13 (잠원동)</t>
  </si>
  <si>
    <t>06525</t>
  </si>
  <si>
    <t>라이브 잼</t>
  </si>
  <si>
    <t>978</t>
  </si>
  <si>
    <t xml:space="preserve">서울특별시 노원구 상계동 169-463 </t>
  </si>
  <si>
    <t>서울특별시 노원구 한글비석로 407 (상계동)</t>
  </si>
  <si>
    <t>01682</t>
  </si>
  <si>
    <t>도날드</t>
  </si>
  <si>
    <t>979</t>
  </si>
  <si>
    <t>157-884</t>
  </si>
  <si>
    <t xml:space="preserve">서울특별시 강서구 화곡동 379-86번지 (지하 1층) </t>
  </si>
  <si>
    <t>서울특별시 강서구 가로공원로 199, 지하 1층 (화곡동, 1동)</t>
  </si>
  <si>
    <t>07719</t>
  </si>
  <si>
    <t>친구들</t>
  </si>
  <si>
    <t>980</t>
  </si>
  <si>
    <t xml:space="preserve">서울특별시 강서구 화곡동 1121-1 (지하 1층) </t>
  </si>
  <si>
    <t>서울특별시 강서구 화곡로58길 36, 지하 1층 (화곡동, 6동)</t>
  </si>
  <si>
    <t>쇼노래클럽</t>
  </si>
  <si>
    <t>981</t>
  </si>
  <si>
    <t xml:space="preserve">서울특별시 강동구 암사동 477-22 </t>
  </si>
  <si>
    <t>서울특별시 강동구 구천면로 345-1 (암사동)</t>
  </si>
  <si>
    <t>또오쇼</t>
  </si>
  <si>
    <t>982</t>
  </si>
  <si>
    <t xml:space="preserve">서울특별시 강서구 방화동 562-6 (지상 2층) </t>
  </si>
  <si>
    <t>서울특별시 강서구 양천로16길 12, 2층 (방화동, 2동)</t>
  </si>
  <si>
    <t>07603</t>
  </si>
  <si>
    <t>애니씽노래바</t>
  </si>
  <si>
    <t>983</t>
  </si>
  <si>
    <t>138-830</t>
  </si>
  <si>
    <t xml:space="preserve">서울특별시 송파구 방이동 115-20 지하1층 </t>
  </si>
  <si>
    <t>서울특별시 송파구 오금로 183, 지하1층 (방이동)</t>
  </si>
  <si>
    <t>05642</t>
  </si>
  <si>
    <t>퀸(Queen)라이브</t>
  </si>
  <si>
    <t>984</t>
  </si>
  <si>
    <t>152-840</t>
  </si>
  <si>
    <t xml:space="preserve">서울특별시 구로구 구로동 85-22 </t>
  </si>
  <si>
    <t>서울특별시 구로구 구로중앙로19나길 4 (구로동)</t>
  </si>
  <si>
    <t>08306</t>
  </si>
  <si>
    <t>백야</t>
  </si>
  <si>
    <t>985</t>
  </si>
  <si>
    <t>136-819</t>
  </si>
  <si>
    <t xml:space="preserve">서울특별시 성북구 석관동 304-26 </t>
  </si>
  <si>
    <t>서울특별시 성북구 돌곶이로 43 (석관동)</t>
  </si>
  <si>
    <t>02788</t>
  </si>
  <si>
    <t>호랑나비</t>
  </si>
  <si>
    <t>986</t>
  </si>
  <si>
    <t xml:space="preserve">서울특별시 송파구 가락동 75-14 지하1층 </t>
  </si>
  <si>
    <t>서울특별시 송파구 양재대로62길 39, 지하1층 (가락동)</t>
  </si>
  <si>
    <t>05713</t>
  </si>
  <si>
    <t>더라이브노래방</t>
  </si>
  <si>
    <t>987</t>
  </si>
  <si>
    <t xml:space="preserve">서울특별시 구로구 구로동 500-17 </t>
  </si>
  <si>
    <t>서울특별시 구로구 구로중앙로31길 2 (구로동)</t>
  </si>
  <si>
    <t>988</t>
  </si>
  <si>
    <t xml:space="preserve">서울특별시 종로구 종로5가 493-1번지 </t>
  </si>
  <si>
    <t>서울특별시 종로구 종로40가길 27 (종로5가)</t>
  </si>
  <si>
    <t>월드컵 2002년</t>
  </si>
  <si>
    <t>989</t>
  </si>
  <si>
    <t>150-859</t>
  </si>
  <si>
    <t xml:space="preserve">서울특별시 영등포구 신길동 4326-0 지하1층 </t>
  </si>
  <si>
    <t>서울특별시 영등포구 여의대방로 87 (신길동, 지하1층)</t>
  </si>
  <si>
    <t>07434</t>
  </si>
  <si>
    <t>보물섬</t>
  </si>
  <si>
    <t>990</t>
  </si>
  <si>
    <t xml:space="preserve">서울특별시 강서구 화곡동 914-18 (지하 1층) </t>
  </si>
  <si>
    <t>서울특별시 강서구 강서로5나길 66, 지하 1층 (화곡동, 1동)</t>
  </si>
  <si>
    <t>991</t>
  </si>
  <si>
    <t xml:space="preserve">서울특별시 중랑구 상봉동 130-89번지 </t>
  </si>
  <si>
    <t>서울특별시 중랑구 망우로30길 21 (상봉동)</t>
  </si>
  <si>
    <t>투맨2</t>
  </si>
  <si>
    <t>992</t>
  </si>
  <si>
    <t>130-857</t>
  </si>
  <si>
    <t xml:space="preserve">서울특별시 동대문구 전농동 497-44번지 지하1층 </t>
  </si>
  <si>
    <t>서울특별시 동대문구 서울시립대로 64, 지하1층 (전농동)</t>
  </si>
  <si>
    <t>02551</t>
  </si>
  <si>
    <t>993</t>
  </si>
  <si>
    <t xml:space="preserve">서울특별시 광진구 화양동 47-5번지 </t>
  </si>
  <si>
    <t>서울특별시 광진구 아차산로29길 33 (화양동)</t>
  </si>
  <si>
    <t>05018</t>
  </si>
  <si>
    <t>994</t>
  </si>
  <si>
    <t xml:space="preserve">서울특별시 도봉구 방학동 676 지하1층 </t>
  </si>
  <si>
    <t>서울특별시 도봉구 방학로 117 (방학동, 지하1층)</t>
  </si>
  <si>
    <t>01390</t>
  </si>
  <si>
    <t>빌보드</t>
  </si>
  <si>
    <t>995</t>
  </si>
  <si>
    <t>133-834</t>
  </si>
  <si>
    <t xml:space="preserve">서울특별시 성동구 성수동2가 300-87 </t>
  </si>
  <si>
    <t>서울특별시 성동구 아차산로 87 (성수동2가)</t>
  </si>
  <si>
    <t>04793</t>
  </si>
  <si>
    <t>7080라이브 딴따라</t>
  </si>
  <si>
    <t>996</t>
  </si>
  <si>
    <t xml:space="preserve">서울특별시 강남구 청담동 78-10 </t>
  </si>
  <si>
    <t>서울특별시 강남구 압구정로60길 8 (청담동)</t>
  </si>
  <si>
    <t>06014</t>
  </si>
  <si>
    <t>베네시안</t>
  </si>
  <si>
    <t>997</t>
  </si>
  <si>
    <t xml:space="preserve">서울특별시 양천구 신정동 1190-5 지하 1층 </t>
  </si>
  <si>
    <t>서울특별시 양천구 중앙로 273, 지하 1층 (신정동)</t>
  </si>
  <si>
    <t>썸노래주점</t>
  </si>
  <si>
    <t>998</t>
  </si>
  <si>
    <t>135-854</t>
  </si>
  <si>
    <t xml:space="preserve">서울특별시 강남구 도곡동 416-1번지 </t>
  </si>
  <si>
    <t>서울특별시 강남구 논현로38길 26 (도곡동)</t>
  </si>
  <si>
    <t>06296</t>
  </si>
  <si>
    <t>휴 노래장</t>
  </si>
  <si>
    <t>999</t>
  </si>
  <si>
    <t>158-846</t>
  </si>
  <si>
    <t xml:space="preserve">서울특별시 양천구 신월동 961-2 지하 1층 </t>
  </si>
  <si>
    <t>서울특별시 양천구 지양로 66, 지하 1층 (신월동)</t>
  </si>
  <si>
    <t>08039</t>
  </si>
  <si>
    <t>1000</t>
  </si>
  <si>
    <t>122-834</t>
  </si>
  <si>
    <t xml:space="preserve">서울특별시 은평구 녹번동 155-30번지 </t>
  </si>
  <si>
    <t>서울특별시 은평구 서오릉로 23 (녹번동)</t>
  </si>
  <si>
    <t>03459</t>
  </si>
  <si>
    <t>현라이브</t>
  </si>
  <si>
    <t>1001</t>
  </si>
  <si>
    <t>132-917</t>
  </si>
  <si>
    <t xml:space="preserve">서울특별시 도봉구 창동 557-100 </t>
  </si>
  <si>
    <t>서울특별시 도봉구 덕릉로 230, 지층 (창동)</t>
  </si>
  <si>
    <t>01473</t>
  </si>
  <si>
    <t>너랑나랑 7080</t>
  </si>
  <si>
    <t>1002</t>
  </si>
  <si>
    <t>133-815</t>
  </si>
  <si>
    <t xml:space="preserve">서울특별시 성동구 마장동 771-8번지 </t>
  </si>
  <si>
    <t>서울특별시 성동구 마장로 309 (마장동)</t>
  </si>
  <si>
    <t>04756</t>
  </si>
  <si>
    <t>1003</t>
  </si>
  <si>
    <t xml:space="preserve">서울특별시 광진구 자양동 1-3번지 </t>
  </si>
  <si>
    <t>서울특별시 광진구 아차산로 242 (자양동)</t>
  </si>
  <si>
    <t>펌프</t>
  </si>
  <si>
    <t>1004</t>
  </si>
  <si>
    <t>121-865</t>
  </si>
  <si>
    <t xml:space="preserve">서울특별시 마포구 연남동 229-64번지 </t>
  </si>
  <si>
    <t>서울특별시 마포구 동교로 253 (연남동)</t>
  </si>
  <si>
    <t>03983</t>
  </si>
  <si>
    <t>귀빈</t>
  </si>
  <si>
    <t>1005</t>
  </si>
  <si>
    <t>122-896</t>
  </si>
  <si>
    <t xml:space="preserve">서울특별시 은평구 역촌동 20-49 (지층) </t>
  </si>
  <si>
    <t>서울특별시 은평구 역말로 54 (역촌동,(지층))</t>
  </si>
  <si>
    <t>03402</t>
  </si>
  <si>
    <t>아리조나메들리</t>
  </si>
  <si>
    <t>1006</t>
  </si>
  <si>
    <t xml:space="preserve">서울특별시 구로구 구로동 413-68 지층 </t>
  </si>
  <si>
    <t>서울특별시 구로구 구로동로 163, 지층 (구로동)</t>
  </si>
  <si>
    <t>양파</t>
  </si>
  <si>
    <t>1007</t>
  </si>
  <si>
    <t xml:space="preserve">서울특별시 영등포구 당산동3가 278-2번지 </t>
  </si>
  <si>
    <t>서울특별시 영등포구 당산로28길 5 (당산동3가)</t>
  </si>
  <si>
    <t>가왕7080라이브</t>
  </si>
  <si>
    <t>1008</t>
  </si>
  <si>
    <t>152-864</t>
  </si>
  <si>
    <t xml:space="preserve">서울특별시 구로구 구로동 600-6 </t>
  </si>
  <si>
    <t>샤인노래바</t>
  </si>
  <si>
    <t>1009</t>
  </si>
  <si>
    <t xml:space="preserve">서울특별시 도봉구 방학동 704-49 </t>
  </si>
  <si>
    <t>서울특별시 도봉구 도봉로 697 (방학동)</t>
  </si>
  <si>
    <t>유토피아</t>
  </si>
  <si>
    <t>1010</t>
  </si>
  <si>
    <t>121-818</t>
  </si>
  <si>
    <t xml:space="preserve">서울특별시 마포구 동교동 182-5번지 </t>
  </si>
  <si>
    <t>서울특별시 마포구 와우산로 169-1 (동교동)</t>
  </si>
  <si>
    <t>04056</t>
  </si>
  <si>
    <t>리오</t>
  </si>
  <si>
    <t>1011</t>
  </si>
  <si>
    <t>152-823</t>
  </si>
  <si>
    <t xml:space="preserve">서울특별시 구로구 고척동 50-48 </t>
  </si>
  <si>
    <t>랄랄라 노래호프</t>
  </si>
  <si>
    <t>1012</t>
  </si>
  <si>
    <t xml:space="preserve">서울특별시 종로구 관수동 4-4번지 </t>
  </si>
  <si>
    <t>서울특별시 종로구 종로16길 11 (관수동)</t>
  </si>
  <si>
    <t>삐에로</t>
  </si>
  <si>
    <t>1013</t>
  </si>
  <si>
    <t xml:space="preserve">서울특별시 송파구 거여동 26-2 </t>
  </si>
  <si>
    <t>서울특별시 송파구 오금로 497, 지하1층 (거여동)</t>
  </si>
  <si>
    <t>생방송</t>
  </si>
  <si>
    <t>1014</t>
  </si>
  <si>
    <t>133-020</t>
  </si>
  <si>
    <t xml:space="preserve">서울특별시 성동구 하왕십리동 966-14 , 행당동 286-1번지 </t>
  </si>
  <si>
    <t>서울특별시 성동구 왕십리로 327 (하왕십리동)</t>
  </si>
  <si>
    <t>04715</t>
  </si>
  <si>
    <t>똥파리</t>
  </si>
  <si>
    <t>1015</t>
  </si>
  <si>
    <t xml:space="preserve">서울특별시 영등포구 당산동3가 228-6 </t>
  </si>
  <si>
    <t>서울특별시 영등포구 당산로32길 6-1 (당산동3가)</t>
  </si>
  <si>
    <t>토마토</t>
  </si>
  <si>
    <t>1016</t>
  </si>
  <si>
    <t xml:space="preserve">서울특별시 중랑구 상봉동 130-17 </t>
  </si>
  <si>
    <t>서울특별시 중랑구 중랑천로12길 58 (상봉동)</t>
  </si>
  <si>
    <t>1017</t>
  </si>
  <si>
    <t xml:space="preserve">서울특별시 용산구 한남동 638-4번지 지하1층 </t>
  </si>
  <si>
    <t>서울특별시 용산구 대사관로 60 (한남동, 638-4 지하1층)</t>
  </si>
  <si>
    <t>궁</t>
  </si>
  <si>
    <t>1018</t>
  </si>
  <si>
    <t xml:space="preserve">서울특별시 은평구 갈현동 402-1 </t>
  </si>
  <si>
    <t>서울특별시 은평구 통일로83길 5-9 (갈현동)</t>
  </si>
  <si>
    <t>스타티비</t>
  </si>
  <si>
    <t>1019</t>
  </si>
  <si>
    <t xml:space="preserve">서울특별시 영등포구 대림동 693-3 지하1층 </t>
  </si>
  <si>
    <t>서울특별시 영등포구 대림로 174 (대림동, 지하1층)</t>
  </si>
  <si>
    <t>가인노래주점</t>
  </si>
  <si>
    <t>1020</t>
  </si>
  <si>
    <t xml:space="preserve">서울특별시 중랑구 면목동 90-39 </t>
  </si>
  <si>
    <t>서울특별시 중랑구 봉우재로 148-1, 지하1층 (면목동)</t>
  </si>
  <si>
    <t>파트너</t>
  </si>
  <si>
    <t>1021</t>
  </si>
  <si>
    <t xml:space="preserve">서울특별시 서초구 잠원동 11-1 </t>
  </si>
  <si>
    <t>서울특별시 서초구 나루터로15길 30-8 (잠원동)</t>
  </si>
  <si>
    <t>조아</t>
  </si>
  <si>
    <t>1022</t>
  </si>
  <si>
    <t xml:space="preserve">서울특별시 도봉구 창동 569-85 지하1층 </t>
  </si>
  <si>
    <t>서울특별시 도봉구 덕릉로 238, 지하1층 (창동)</t>
  </si>
  <si>
    <t>제니</t>
  </si>
  <si>
    <t>1023</t>
  </si>
  <si>
    <t>138-844</t>
  </si>
  <si>
    <t xml:space="preserve">서울특별시 송파구 석촌동 178-5번지 지하1층 </t>
  </si>
  <si>
    <t>서울특별시 송파구 송파대로45길 12, 지하1층 (석촌동)</t>
  </si>
  <si>
    <t>05609</t>
  </si>
  <si>
    <t>쥬얼리</t>
  </si>
  <si>
    <t>1024</t>
  </si>
  <si>
    <t>139-816</t>
  </si>
  <si>
    <t xml:space="preserve">서울특별시 노원구 상계동 349-28 지하1층 </t>
  </si>
  <si>
    <t>서울특별시 노원구 노해로85길 15-7, 지하층 (상계동)</t>
  </si>
  <si>
    <t>썸</t>
  </si>
  <si>
    <t>1025</t>
  </si>
  <si>
    <t>158-811</t>
  </si>
  <si>
    <t xml:space="preserve">서울특별시 양천구 목동 613-9 지하 1층 </t>
  </si>
  <si>
    <t>서울특별시 양천구 등촌로 224, 지하 1층 (목동)</t>
  </si>
  <si>
    <t>07946</t>
  </si>
  <si>
    <t>보이스</t>
  </si>
  <si>
    <t>1026</t>
  </si>
  <si>
    <t>135-818</t>
  </si>
  <si>
    <t xml:space="preserve">서울특별시 강남구 논현동 88-0 </t>
  </si>
  <si>
    <t>서울특별시 강남구 논현로132길 12 (논현동)</t>
  </si>
  <si>
    <t>06052</t>
  </si>
  <si>
    <t>자부</t>
  </si>
  <si>
    <t>1027</t>
  </si>
  <si>
    <t xml:space="preserve">서울특별시 송파구 석촌동 23-4 경호빌딩 </t>
  </si>
  <si>
    <t>서울특별시 송파구 송파대로49길 49, 경호빌딩 지하1층 (석촌동)</t>
  </si>
  <si>
    <t>05611</t>
  </si>
  <si>
    <t>호수 노래방</t>
  </si>
  <si>
    <t>1028</t>
  </si>
  <si>
    <t xml:space="preserve">서울특별시 강서구 화곡동 1067-20 (지하 1층) </t>
  </si>
  <si>
    <t>서울특별시 강서구 화곡로 133, 지하 1층 (화곡동, 3동)</t>
  </si>
  <si>
    <t>07712</t>
  </si>
  <si>
    <t>보스 7080</t>
  </si>
  <si>
    <t>1029</t>
  </si>
  <si>
    <t xml:space="preserve">서울특별시 강서구 등촌동 654-44 (지하 1층) </t>
  </si>
  <si>
    <t>서울특별시 강서구 공항대로 지하 437, 1층 (등촌동, 1동)</t>
  </si>
  <si>
    <t>디올라이브 7090</t>
  </si>
  <si>
    <t>1030</t>
  </si>
  <si>
    <t xml:space="preserve">서울특별시 노원구 상계동 369-5번지 </t>
  </si>
  <si>
    <t>서울특별시 노원구 상계로 104 (상계동, 지하1층)</t>
  </si>
  <si>
    <t>1031</t>
  </si>
  <si>
    <t>142-816</t>
  </si>
  <si>
    <t xml:space="preserve">서울특별시 강북구 미아동 703-148번지 </t>
  </si>
  <si>
    <t>서울특별시 강북구 삼양로 185, 지하1층 (미아동)</t>
  </si>
  <si>
    <t>01189</t>
  </si>
  <si>
    <t>1032</t>
  </si>
  <si>
    <t xml:space="preserve">서울특별시 강남구 삼성동 143-4 </t>
  </si>
  <si>
    <t>서울특별시 강남구 삼성로95길 31 (삼성동)</t>
  </si>
  <si>
    <t>리치</t>
  </si>
  <si>
    <t>1033</t>
  </si>
  <si>
    <t>135-917</t>
  </si>
  <si>
    <t xml:space="preserve">서울특별시 강남구 역삼동 689-34 </t>
  </si>
  <si>
    <t>서울특별시 강남구 언주로104길 6 (역삼동)</t>
  </si>
  <si>
    <t>ANDANTE(안단테)</t>
  </si>
  <si>
    <t>1034</t>
  </si>
  <si>
    <t xml:space="preserve">서울특별시 금천구 독산동 1037-0 지하1층 (독산역길 3) </t>
  </si>
  <si>
    <t>서울특별시 금천구 범안로 1254, 지하1층 (독산동)</t>
  </si>
  <si>
    <t>08617</t>
  </si>
  <si>
    <t>1035</t>
  </si>
  <si>
    <t xml:space="preserve">서울특별시 중랑구 면목동 71-41 </t>
  </si>
  <si>
    <t>서울특별시 중랑구 상봉로 17, 지하1층 (면목동)</t>
  </si>
  <si>
    <t>02202</t>
  </si>
  <si>
    <t>은하단란주점</t>
  </si>
  <si>
    <t>1036</t>
  </si>
  <si>
    <t xml:space="preserve">서울특별시 구로구 개봉동 353-4 </t>
  </si>
  <si>
    <t>서울특별시 구로구 개봉로 124 (개봉동)</t>
  </si>
  <si>
    <t>08277</t>
  </si>
  <si>
    <t>봉주류7080</t>
  </si>
  <si>
    <t>1037</t>
  </si>
  <si>
    <t>143-918</t>
  </si>
  <si>
    <t xml:space="preserve">서울특별시 광진구 구의동 244-19 </t>
  </si>
  <si>
    <t>서울특별시 광진구 아차산로 421 (구의동)</t>
  </si>
  <si>
    <t>05045</t>
  </si>
  <si>
    <t>체리</t>
  </si>
  <si>
    <t>1038</t>
  </si>
  <si>
    <t xml:space="preserve">서울특별시 성북구 동선동1가 3-3번지 </t>
  </si>
  <si>
    <t>서울특별시 성북구 동소문로20나길 16 (동선동1가)</t>
  </si>
  <si>
    <t>1039</t>
  </si>
  <si>
    <t xml:space="preserve">서울특별시 강동구 명일동 324-1 </t>
  </si>
  <si>
    <t>서울특별시 강동구 양재대로 1626, 지층 1-가호 (명일동)</t>
  </si>
  <si>
    <t>아바(ABBA)</t>
  </si>
  <si>
    <t>1040</t>
  </si>
  <si>
    <t>131-814</t>
  </si>
  <si>
    <t xml:space="preserve">서울특별시 중랑구 면목동 412-1 </t>
  </si>
  <si>
    <t>서울특별시 중랑구 면목로 372 (면목동)</t>
  </si>
  <si>
    <t>02205</t>
  </si>
  <si>
    <t>M 7080라이브</t>
  </si>
  <si>
    <t>1041</t>
  </si>
  <si>
    <t xml:space="preserve">서울특별시 중랑구 묵동 238-104 </t>
  </si>
  <si>
    <t>서울특별시 중랑구 동일로163길 12 (묵동)</t>
  </si>
  <si>
    <t>02005</t>
  </si>
  <si>
    <t>멜론노래</t>
  </si>
  <si>
    <t>1042</t>
  </si>
  <si>
    <t>135-826</t>
  </si>
  <si>
    <t xml:space="preserve">서울특별시 강남구 논현동 191-12 </t>
  </si>
  <si>
    <t>서울특별시 강남구 논현로 621 (논현동)</t>
  </si>
  <si>
    <t>투데이</t>
  </si>
  <si>
    <t>1043</t>
  </si>
  <si>
    <t>지포(ZIPPO)</t>
  </si>
  <si>
    <t>1044</t>
  </si>
  <si>
    <t xml:space="preserve">서울특별시 강서구 화곡동 1073-3번지 외 1필지 (지하 1층) </t>
  </si>
  <si>
    <t>서울특별시 강서구 화곡로 134, 지하 1층 (화곡동, 1동)</t>
  </si>
  <si>
    <t>07715</t>
  </si>
  <si>
    <t>1045</t>
  </si>
  <si>
    <t xml:space="preserve">서울특별시 은평구 불광동 281-86번지 지층 </t>
  </si>
  <si>
    <t>서울특별시 은평구 불광로 40-7 (불광동, 지층)</t>
  </si>
  <si>
    <t>아바</t>
  </si>
  <si>
    <t>1046</t>
  </si>
  <si>
    <t xml:space="preserve">서울특별시 금천구 시흥동 891-6 </t>
  </si>
  <si>
    <t>서울특별시 금천구 시흥대로50길 17, 지하1층 (시흥동)</t>
  </si>
  <si>
    <t>08629</t>
  </si>
  <si>
    <t>사랑초7080생음악</t>
  </si>
  <si>
    <t>1047</t>
  </si>
  <si>
    <t xml:space="preserve">서울특별시 은평구 응암동 85-5 지층 </t>
  </si>
  <si>
    <t>서울특별시 은평구 은평로13길 11-11 (응암동, 지층)</t>
  </si>
  <si>
    <t>D.D짱</t>
  </si>
  <si>
    <t>1048</t>
  </si>
  <si>
    <t xml:space="preserve">서울특별시 용산구 이태원동 131-36 지하1층 </t>
  </si>
  <si>
    <t>서울특별시 용산구 보광로60길 10 (이태원동, 131-36 지하1층)</t>
  </si>
  <si>
    <t>블랙다이아(Black dia)</t>
  </si>
  <si>
    <t>1049</t>
  </si>
  <si>
    <t xml:space="preserve">서울특별시 송파구 석촌동 52-1번지 </t>
  </si>
  <si>
    <t>서울특별시 송파구 석촌호수로18길 6 (석촌동)</t>
  </si>
  <si>
    <t>레이크</t>
  </si>
  <si>
    <t>1050</t>
  </si>
  <si>
    <t>150-862</t>
  </si>
  <si>
    <t xml:space="preserve">서울특별시 영등포구 양평동1가 89-5 </t>
  </si>
  <si>
    <t>서울특별시 영등포구 선유동1로 21-1 (양평동1가)</t>
  </si>
  <si>
    <t>07262</t>
  </si>
  <si>
    <t>예진나</t>
  </si>
  <si>
    <t>1051</t>
  </si>
  <si>
    <t>134-885</t>
  </si>
  <si>
    <t xml:space="preserve">서울특별시 강동구 성내동 447-9 </t>
  </si>
  <si>
    <t>서울특별시 강동구 성안로 9 (성내동)</t>
  </si>
  <si>
    <t>05402</t>
  </si>
  <si>
    <t>무랑루즈</t>
  </si>
  <si>
    <t>1052</t>
  </si>
  <si>
    <t xml:space="preserve">서울특별시 강서구 방화동 562-10번지 (지하 1층) </t>
  </si>
  <si>
    <t>서울특별시 강서구 양천로14길 3, 지하 1층 (방화동, 2동)</t>
  </si>
  <si>
    <t>오케이(O-K)노래바</t>
  </si>
  <si>
    <t>1053</t>
  </si>
  <si>
    <t xml:space="preserve">서울특별시 용산구 원효로3가 39-0번지 (지하1층) </t>
  </si>
  <si>
    <t>서울특별시 용산구 원효로41길 16 (원효로3가,(지하1층))</t>
  </si>
  <si>
    <t>힐탑</t>
  </si>
  <si>
    <t>1054</t>
  </si>
  <si>
    <t>122-807</t>
  </si>
  <si>
    <t xml:space="preserve">서울특별시 은평구 구산동 321-98 지하1층 </t>
  </si>
  <si>
    <t>서울특별시 은평구 서오릉로 227 (구산동, 지하1층)</t>
  </si>
  <si>
    <t>03425</t>
  </si>
  <si>
    <t>왓따7080</t>
  </si>
  <si>
    <t>1055</t>
  </si>
  <si>
    <t xml:space="preserve">서울특별시 용산구 원효로3가 37-2 지하1층 </t>
  </si>
  <si>
    <t>서울특별시 용산구 원효로41길 15 (원효로3가, 37-2 지하1층)</t>
  </si>
  <si>
    <t>1056</t>
  </si>
  <si>
    <t xml:space="preserve">서울특별시 종로구 종로5가 182-22번지 </t>
  </si>
  <si>
    <t>서울특별시 종로구 종로 224 (종로5가)</t>
  </si>
  <si>
    <t>03196</t>
  </si>
  <si>
    <t>1057</t>
  </si>
  <si>
    <t>138-836</t>
  </si>
  <si>
    <t xml:space="preserve">서울특별시 송파구 방이동 224-11 지하1층 </t>
  </si>
  <si>
    <t>서울특별시 송파구 오금로31길 10 (방이동,지하1층)</t>
  </si>
  <si>
    <t>05646</t>
  </si>
  <si>
    <t>다섯시 노래방</t>
  </si>
  <si>
    <t>1058</t>
  </si>
  <si>
    <t xml:space="preserve">서울특별시 강북구 미아동 49-165 </t>
  </si>
  <si>
    <t>서울특별시 강북구 오패산로 112 (미아동)</t>
  </si>
  <si>
    <t>01237</t>
  </si>
  <si>
    <t>갈마지 차차차</t>
  </si>
  <si>
    <t>1059</t>
  </si>
  <si>
    <t>150-042</t>
  </si>
  <si>
    <t xml:space="preserve">서울특별시 영등포구 당산동2가 56-0번지 </t>
  </si>
  <si>
    <t>서울특별시 영등포구 선유동1로 6 (당산동2가)</t>
  </si>
  <si>
    <t>07263</t>
  </si>
  <si>
    <t>유림</t>
  </si>
  <si>
    <t>1060</t>
  </si>
  <si>
    <t xml:space="preserve">서울특별시 강서구 공항동 57-14번지 (지하 1층) </t>
  </si>
  <si>
    <t>서울특별시 강서구 송정로 23, 지하 1층 (공항동)</t>
  </si>
  <si>
    <t>07627</t>
  </si>
  <si>
    <t>1061</t>
  </si>
  <si>
    <t>150-102</t>
  </si>
  <si>
    <t xml:space="preserve">서울특별시 영등포구 양평동2가 29-4 </t>
  </si>
  <si>
    <t>서울특별시 영등포구 영등포로 25 (양평동2가)</t>
  </si>
  <si>
    <t>07275</t>
  </si>
  <si>
    <t>비타민단란주점</t>
  </si>
  <si>
    <t>1062</t>
  </si>
  <si>
    <t xml:space="preserve">서울특별시 강서구 염창동 282-20번지 </t>
  </si>
  <si>
    <t>서울특별시 강서구 공항대로 635 (염창동)</t>
  </si>
  <si>
    <t>1063</t>
  </si>
  <si>
    <t>151-809</t>
  </si>
  <si>
    <t xml:space="preserve">서울특별시 관악구 봉천동 62-17번지 </t>
  </si>
  <si>
    <t>서울특별시 관악구 관악로 208 (봉천동)</t>
  </si>
  <si>
    <t>열린마당</t>
  </si>
  <si>
    <t>1064</t>
  </si>
  <si>
    <t xml:space="preserve">서울특별시 종로구 구기동 58-1번지 </t>
  </si>
  <si>
    <t>서울특별시 종로구 진흥로 458 (구기동)</t>
  </si>
  <si>
    <t>톨레도</t>
  </si>
  <si>
    <t>1065</t>
  </si>
  <si>
    <t xml:space="preserve">서울특별시 성북구 종암동 84-33 </t>
  </si>
  <si>
    <t>서울특별시 성북구 종암로21길 37 (종암동)</t>
  </si>
  <si>
    <t>비엠더블유(BMW)</t>
  </si>
  <si>
    <t>1066</t>
  </si>
  <si>
    <t xml:space="preserve">서울특별시 광진구 자양동 249-5 </t>
  </si>
  <si>
    <t>서울특별시 광진구 동일로12길 2 (자양동)</t>
  </si>
  <si>
    <t>05079</t>
  </si>
  <si>
    <t>엠비씨노래방단란주점</t>
  </si>
  <si>
    <t>1067</t>
  </si>
  <si>
    <t xml:space="preserve">서울특별시 송파구 삼전동 131-2번지 </t>
  </si>
  <si>
    <t>서울특별시 송파구 삼학사로 91 (삼전동)</t>
  </si>
  <si>
    <t>05602</t>
  </si>
  <si>
    <t>1068</t>
  </si>
  <si>
    <t xml:space="preserve">서울특별시 노원구 공릉동 419-16번지 </t>
  </si>
  <si>
    <t>서울특별시 노원구 공릉로 188 (공릉동)</t>
  </si>
  <si>
    <t>01815</t>
  </si>
  <si>
    <t>명노래방단란주점</t>
  </si>
  <si>
    <t>1069</t>
  </si>
  <si>
    <t>100-834</t>
  </si>
  <si>
    <t xml:space="preserve">서울특별시 중구 신당동 374-15번지 </t>
  </si>
  <si>
    <t>서울특별시 중구 동호로12길 6 (신당동)</t>
  </si>
  <si>
    <t>04607</t>
  </si>
  <si>
    <t>1070</t>
  </si>
  <si>
    <t xml:space="preserve">서울특별시 동대문구 청량리동 728 지하1층 </t>
  </si>
  <si>
    <t>서울특별시 동대문구 홍릉로5길 7, 지하1층 (청량리동)</t>
  </si>
  <si>
    <t>1071</t>
  </si>
  <si>
    <t>150-034</t>
  </si>
  <si>
    <t xml:space="preserve">서울특별시 영등포구 영등포동4가 75-3 </t>
  </si>
  <si>
    <t>서울특별시 영등포구 영신로32길 29, 지하1층 (영등포동4가)</t>
  </si>
  <si>
    <t>07301</t>
  </si>
  <si>
    <t>베니스</t>
  </si>
  <si>
    <t>1072</t>
  </si>
  <si>
    <t xml:space="preserve">서울특별시 중랑구 묵동 237-48 </t>
  </si>
  <si>
    <t>서울특별시 중랑구 중랑역로 207 (묵동)</t>
  </si>
  <si>
    <t>썸노래</t>
  </si>
  <si>
    <t>1073</t>
  </si>
  <si>
    <t xml:space="preserve">서울특별시 양천구 신정동 1027-6 지하 1층 </t>
  </si>
  <si>
    <t>서울특별시 양천구 신월로 332, 지하 1층 (신정동)</t>
  </si>
  <si>
    <t>유미라이브</t>
  </si>
  <si>
    <t>1074</t>
  </si>
  <si>
    <t xml:space="preserve">서울특별시 서초구 서초동 1577-2 </t>
  </si>
  <si>
    <t>서울특별시 서초구 서초대로50길 75 (서초동)</t>
  </si>
  <si>
    <t>06650</t>
  </si>
  <si>
    <t>솜</t>
  </si>
  <si>
    <t>1075</t>
  </si>
  <si>
    <t>151-891</t>
  </si>
  <si>
    <t xml:space="preserve">서울특별시 관악구 신림동 1429-1번지 지하1층 </t>
  </si>
  <si>
    <t>서울특별시 관악구 신림로 391 (신림동,지하1층)</t>
  </si>
  <si>
    <t>08707</t>
  </si>
  <si>
    <t>수애리</t>
  </si>
  <si>
    <t>1076</t>
  </si>
  <si>
    <t>100-824</t>
  </si>
  <si>
    <t xml:space="preserve">서울특별시 중구 신당동 292-149 지하1층 </t>
  </si>
  <si>
    <t>서울특별시 중구 퇴계로78길 43 (신당동, 지하1층)</t>
  </si>
  <si>
    <t>04585</t>
  </si>
  <si>
    <t>1077</t>
  </si>
  <si>
    <t xml:space="preserve">서울특별시 중구 신당동 292-152 </t>
  </si>
  <si>
    <t>서울특별시 중구 다산로38길 11 (신당동)</t>
  </si>
  <si>
    <t>화음열린라이브</t>
  </si>
  <si>
    <t>1078</t>
  </si>
  <si>
    <t>136-844</t>
  </si>
  <si>
    <t xml:space="preserve">서울특별시 성북구 정릉동 110-26번지 </t>
  </si>
  <si>
    <t>서울특별시 성북구 정릉로36길 78 (정릉동)</t>
  </si>
  <si>
    <t>02815</t>
  </si>
  <si>
    <t>수정</t>
  </si>
  <si>
    <t>1079</t>
  </si>
  <si>
    <t>150-094</t>
  </si>
  <si>
    <t xml:space="preserve">서울특별시 영등포구 문래동4가 8-3번지 지하1층 </t>
  </si>
  <si>
    <t>서울특별시 영등포구 도림로 485 (문래동4가, 지하1층)</t>
  </si>
  <si>
    <t>07288</t>
  </si>
  <si>
    <t>화려한외출</t>
  </si>
  <si>
    <t>1080</t>
  </si>
  <si>
    <t>153-841</t>
  </si>
  <si>
    <t xml:space="preserve">서울특별시 금천구 시흥동 837-37 지하1층 </t>
  </si>
  <si>
    <t>서울특별시 금천구 독산로 58, 지하1층 (시흥동)</t>
  </si>
  <si>
    <t>08573</t>
  </si>
  <si>
    <t>금빛</t>
  </si>
  <si>
    <t>1081</t>
  </si>
  <si>
    <t>137-905</t>
  </si>
  <si>
    <t xml:space="preserve">서울특별시 서초구 잠원동 39-1 지하1층 </t>
  </si>
  <si>
    <t>서울특별시 서초구 신반포로45길 26, 동화빌딩 지하1층 (잠원동)</t>
  </si>
  <si>
    <t>06531</t>
  </si>
  <si>
    <t>볼륨(Volume)</t>
  </si>
  <si>
    <t>1082</t>
  </si>
  <si>
    <t>122-833</t>
  </si>
  <si>
    <t xml:space="preserve">서울특별시 은평구 녹번동 144-1 지하1층 </t>
  </si>
  <si>
    <t>서울특별시 은평구 진흥로 112 (녹번동,지하1층)</t>
  </si>
  <si>
    <t>03378</t>
  </si>
  <si>
    <t>그집앞</t>
  </si>
  <si>
    <t>1083</t>
  </si>
  <si>
    <t>110-845</t>
  </si>
  <si>
    <t xml:space="preserve">서울특별시 종로구 충신동 136-7번지 </t>
  </si>
  <si>
    <t>서울특별시 종로구 율곡로20길 11 (충신동)</t>
  </si>
  <si>
    <t>03123</t>
  </si>
  <si>
    <t>1084</t>
  </si>
  <si>
    <t xml:space="preserve">서울특별시 도봉구 방학동 692-23 지하1층 </t>
  </si>
  <si>
    <t>서울특별시 도봉구 방학로 146, 지하1층 (방학동)</t>
  </si>
  <si>
    <t>01343</t>
  </si>
  <si>
    <t>보물성</t>
  </si>
  <si>
    <t>1085</t>
  </si>
  <si>
    <t xml:space="preserve">서울특별시 중구 충무로4가 132-5 </t>
  </si>
  <si>
    <t>서울특별시 중구 퇴계로 207 (충무로4가)</t>
  </si>
  <si>
    <t>1086</t>
  </si>
  <si>
    <t xml:space="preserve">서울특별시 강북구 번동 461-114 </t>
  </si>
  <si>
    <t>서울특별시 강북구 한천로 1008 (번동)</t>
  </si>
  <si>
    <t>01058</t>
  </si>
  <si>
    <t>애나</t>
  </si>
  <si>
    <t>1087</t>
  </si>
  <si>
    <t>138-859</t>
  </si>
  <si>
    <t xml:space="preserve">서울특별시 송파구 오금동 134-0번지 </t>
  </si>
  <si>
    <t>서울특별시 송파구 마천로 206 (오금동)</t>
  </si>
  <si>
    <t>05738</t>
  </si>
  <si>
    <t>홍진</t>
  </si>
  <si>
    <t>1088</t>
  </si>
  <si>
    <t xml:space="preserve">서울특별시 강서구 화곡동 934-23번지 (지하 1층) </t>
  </si>
  <si>
    <t>서울특별시 강서구 월정로 96, 지하 1층 (화곡동, 1동)</t>
  </si>
  <si>
    <t>07780</t>
  </si>
  <si>
    <t>불루노래방</t>
  </si>
  <si>
    <t>1089</t>
  </si>
  <si>
    <t xml:space="preserve">서울특별시 관악구 봉천동 1601-7번지 </t>
  </si>
  <si>
    <t>서울특별시 관악구 남부순환로 1844 (봉천동)</t>
  </si>
  <si>
    <t>7080가요무대</t>
  </si>
  <si>
    <t>1090</t>
  </si>
  <si>
    <t xml:space="preserve">서울특별시 강북구 번동 448-6 </t>
  </si>
  <si>
    <t>서울특별시 강북구 덕릉로 93-10 (번동)</t>
  </si>
  <si>
    <t>별빛 단란주점</t>
  </si>
  <si>
    <t>1091</t>
  </si>
  <si>
    <t>156-030</t>
  </si>
  <si>
    <t xml:space="preserve">서울특별시 동작구 상도동 492-14 </t>
  </si>
  <si>
    <t>서울특별시 동작구 상도로62길 35 (상도동)</t>
  </si>
  <si>
    <t>07040</t>
  </si>
  <si>
    <t>개구리</t>
  </si>
  <si>
    <t>1092</t>
  </si>
  <si>
    <t>120-834</t>
  </si>
  <si>
    <t xml:space="preserve">서울특별시 서대문구 창천동 33-32 </t>
  </si>
  <si>
    <t>서울특별시 서대문구 연세로7안길 8 (창천동)</t>
  </si>
  <si>
    <t>03788</t>
  </si>
  <si>
    <t>캔</t>
  </si>
  <si>
    <t>1093</t>
  </si>
  <si>
    <t xml:space="preserve">서울특별시 중랑구 망우동 470-28번지 </t>
  </si>
  <si>
    <t>서울특별시 중랑구 용마산로115길 46 (망우동)</t>
  </si>
  <si>
    <t>붐</t>
  </si>
  <si>
    <t>1094</t>
  </si>
  <si>
    <t>122-895</t>
  </si>
  <si>
    <t xml:space="preserve">서울특별시 은평구 역촌동 3-1번지 지층 </t>
  </si>
  <si>
    <t>서울특별시 은평구 역말로 97 (역촌동,지층)</t>
  </si>
  <si>
    <t>03400</t>
  </si>
  <si>
    <t>킹 라이브</t>
  </si>
  <si>
    <t>1095</t>
  </si>
  <si>
    <t>142-877</t>
  </si>
  <si>
    <t xml:space="preserve">서울특별시 강북구 수유동 185-19 </t>
  </si>
  <si>
    <t>서울특별시 강북구 한천로 1091 (수유동)</t>
  </si>
  <si>
    <t>01043</t>
  </si>
  <si>
    <t>카리스마</t>
  </si>
  <si>
    <t>1096</t>
  </si>
  <si>
    <t xml:space="preserve">서울특별시 은평구 역촌동 48-3 지층 </t>
  </si>
  <si>
    <t>서울특별시 은평구 역말로 35, 지층 (역촌동)</t>
  </si>
  <si>
    <t>1097</t>
  </si>
  <si>
    <t xml:space="preserve">서울특별시 성북구 보문동7가 96번지 </t>
  </si>
  <si>
    <t>서울특별시 성북구 보문로 43-4 (보문동7가)</t>
  </si>
  <si>
    <t>02873</t>
  </si>
  <si>
    <t>하이트일번지</t>
  </si>
  <si>
    <t>1098</t>
  </si>
  <si>
    <t xml:space="preserve">서울특별시 강남구 논현동 8-6 </t>
  </si>
  <si>
    <t>서울특별시 강남구 도산대로28길 18 (논현동)</t>
  </si>
  <si>
    <t>백오</t>
  </si>
  <si>
    <t>1099</t>
  </si>
  <si>
    <t>131-882</t>
  </si>
  <si>
    <t xml:space="preserve">서울특별시 중랑구 중화동 308-3번지 </t>
  </si>
  <si>
    <t>서울특별시 중랑구 중랑역로 123-1 (중화동)</t>
  </si>
  <si>
    <t>02015</t>
  </si>
  <si>
    <t>현숙이 노래주점</t>
  </si>
  <si>
    <t>1100</t>
  </si>
  <si>
    <t>132-918</t>
  </si>
  <si>
    <t xml:space="preserve">서울특별시 도봉구 창동 581-76번지 </t>
  </si>
  <si>
    <t>서울특별시 도봉구 덕릉로 239 (창동)</t>
  </si>
  <si>
    <t>01470</t>
  </si>
  <si>
    <t>동경노래주점</t>
  </si>
  <si>
    <t>1101</t>
  </si>
  <si>
    <t>135-515</t>
  </si>
  <si>
    <t xml:space="preserve">서울특별시 강남구 역삼동 788-33번지 </t>
  </si>
  <si>
    <t>서울특별시 강남구 도곡로27길 3 (역삼동)</t>
  </si>
  <si>
    <t>06231</t>
  </si>
  <si>
    <t>1102</t>
  </si>
  <si>
    <t>100-420</t>
  </si>
  <si>
    <t xml:space="preserve">서울특별시 중구 무학동 32-1번지 </t>
  </si>
  <si>
    <t>서울특별시 중구 퇴계로76길 24 (무학동)</t>
  </si>
  <si>
    <t>벅시</t>
  </si>
  <si>
    <t>1103</t>
  </si>
  <si>
    <t xml:space="preserve">서울특별시 광진구 구의동 252-116 </t>
  </si>
  <si>
    <t>서울특별시 광진구 자양로18길 17 (구의동)</t>
  </si>
  <si>
    <t>벤츠노래주점</t>
  </si>
  <si>
    <t>1104</t>
  </si>
  <si>
    <t xml:space="preserve">서울특별시 강남구 역삼동 647-12 </t>
  </si>
  <si>
    <t>서울특별시 강남구 테헤란로19길 7 (역삼동)</t>
  </si>
  <si>
    <t>별 노래밤</t>
  </si>
  <si>
    <t>1105</t>
  </si>
  <si>
    <t xml:space="preserve">서울특별시 은평구 응암동 585-4 (지층) </t>
  </si>
  <si>
    <t>서울특별시 은평구 가좌로 253, 지층 (응암동)</t>
  </si>
  <si>
    <t>블루 노래밤</t>
  </si>
  <si>
    <t>1106</t>
  </si>
  <si>
    <t xml:space="preserve">서울특별시 성북구 삼선동1가 22-1 </t>
  </si>
  <si>
    <t>서울특별시 성북구 삼선교로 4-1 (삼선동1가)</t>
  </si>
  <si>
    <t>딱노래주점</t>
  </si>
  <si>
    <t>1107</t>
  </si>
  <si>
    <t xml:space="preserve">서울특별시 중랑구 면목동 87-8 </t>
  </si>
  <si>
    <t>서울특별시 중랑구 상봉로 51 (면목동)</t>
  </si>
  <si>
    <t>02158</t>
  </si>
  <si>
    <t>1108</t>
  </si>
  <si>
    <t xml:space="preserve">서울특별시 노원구 공릉동 661-9번지 </t>
  </si>
  <si>
    <t>서울특별시 노원구 화랑로 459 (공릉동, 661-9)</t>
  </si>
  <si>
    <t>별난단란주점</t>
  </si>
  <si>
    <t>1109</t>
  </si>
  <si>
    <t>143-821</t>
  </si>
  <si>
    <t xml:space="preserve">서울특별시 광진구 구의동 200-2 </t>
  </si>
  <si>
    <t>서울특별시 광진구 광나루로 608 (구의동)</t>
  </si>
  <si>
    <t>05034</t>
  </si>
  <si>
    <t>제일</t>
  </si>
  <si>
    <t>1110</t>
  </si>
  <si>
    <t xml:space="preserve">서울특별시 종로구 돈의동 34 </t>
  </si>
  <si>
    <t>서울특별시 종로구 돈화문로11길 24 (돈의동)</t>
  </si>
  <si>
    <t>1111</t>
  </si>
  <si>
    <t xml:space="preserve">서울특별시 마포구 서교동 370-5 </t>
  </si>
  <si>
    <t>서울특별시 마포구 홍익로5길 45 (서교동)</t>
  </si>
  <si>
    <t>04039</t>
  </si>
  <si>
    <t>바바(BaBa)</t>
  </si>
  <si>
    <t>1112</t>
  </si>
  <si>
    <t xml:space="preserve">서울특별시 중랑구 상봉동 106-5 </t>
  </si>
  <si>
    <t>서울특별시 중랑구 봉우재로 139 (상봉동)</t>
  </si>
  <si>
    <t>02153</t>
  </si>
  <si>
    <t>씽단란주점</t>
  </si>
  <si>
    <t>1113</t>
  </si>
  <si>
    <t xml:space="preserve">서울특별시 강북구 수유동 189-1 </t>
  </si>
  <si>
    <t>서울특별시 강북구 한천로 1073 (수유동)</t>
  </si>
  <si>
    <t>전원노래방식단란주점</t>
  </si>
  <si>
    <t>1114</t>
  </si>
  <si>
    <t xml:space="preserve">서울특별시 종로구 인사동 37번지 지하1층 </t>
  </si>
  <si>
    <t>서울특별시 종로구 인사동길 16 (인사동,지하1층)</t>
  </si>
  <si>
    <t>03163</t>
  </si>
  <si>
    <t>청춘열차</t>
  </si>
  <si>
    <t>1115</t>
  </si>
  <si>
    <t>136-830</t>
  </si>
  <si>
    <t xml:space="preserve">서울특별시 성북구 장위동 74-248번지 </t>
  </si>
  <si>
    <t>서울특별시 성북구 돌곶이로 127 (장위동)</t>
  </si>
  <si>
    <t>02770</t>
  </si>
  <si>
    <t>1116</t>
  </si>
  <si>
    <t>138-873</t>
  </si>
  <si>
    <t xml:space="preserve">서울특별시 송파구 풍납동 481-1번지 지하1층 </t>
  </si>
  <si>
    <t>서울특별시 송파구 올림픽로 607, 지하1층 (풍납동)</t>
  </si>
  <si>
    <t>05519</t>
  </si>
  <si>
    <t>체리7080</t>
  </si>
  <si>
    <t>1117</t>
  </si>
  <si>
    <t xml:space="preserve">서울특별시 강북구 수유동 279-126 </t>
  </si>
  <si>
    <t>서울특별시 강북구 4.19로 8 (수유동)</t>
  </si>
  <si>
    <t>01011</t>
  </si>
  <si>
    <t>밤밤 단란주점</t>
  </si>
  <si>
    <t>1118</t>
  </si>
  <si>
    <t xml:space="preserve">서울특별시 중랑구 상봉동 107-27 </t>
  </si>
  <si>
    <t>서울특별시 중랑구 면목로 478, 지층 (상봉동)</t>
  </si>
  <si>
    <t>02154</t>
  </si>
  <si>
    <t>하이킥 노래장</t>
  </si>
  <si>
    <t>1119</t>
  </si>
  <si>
    <t xml:space="preserve">서울특별시 중구 무학동 65번지 지하1층 </t>
  </si>
  <si>
    <t>서울특별시 중구 다산로39길 19, 지하1층 (무학동)</t>
  </si>
  <si>
    <t>로얄노래타운</t>
  </si>
  <si>
    <t>1120</t>
  </si>
  <si>
    <t xml:space="preserve">서울특별시 강남구 삼성동 158-26번지 </t>
  </si>
  <si>
    <t>서울특별시 강남구 삼성로96길 26-6 (삼성동)</t>
  </si>
  <si>
    <t>06169</t>
  </si>
  <si>
    <t>1121</t>
  </si>
  <si>
    <t>134-838</t>
  </si>
  <si>
    <t xml:space="preserve">서울특별시 강동구 상일동 457-3 </t>
  </si>
  <si>
    <t>서울특별시 강동구 천호대로 1459 (상일동)</t>
  </si>
  <si>
    <t>05284</t>
  </si>
  <si>
    <t>가고파</t>
  </si>
  <si>
    <t>1122</t>
  </si>
  <si>
    <t xml:space="preserve">서울특별시 관악구 봉천동 923-3번지 </t>
  </si>
  <si>
    <t>서울특별시 관악구 남부순환로 1749, 지하1층 (봉천동)</t>
  </si>
  <si>
    <t>08757</t>
  </si>
  <si>
    <t>푸마네</t>
  </si>
  <si>
    <t>1123</t>
  </si>
  <si>
    <t xml:space="preserve">서울특별시 노원구 상계동 349-2번지 </t>
  </si>
  <si>
    <t>서울특별시 노원구 상계로 91 (상계동)</t>
  </si>
  <si>
    <t>01692</t>
  </si>
  <si>
    <t>엠(M)노래</t>
  </si>
  <si>
    <t>1124</t>
  </si>
  <si>
    <t xml:space="preserve">서울특별시 용산구 원효로2가 91-20 (지하1층) </t>
  </si>
  <si>
    <t>서울특별시 용산구 원효로41길 62 (원효로2가,(지하1층))</t>
  </si>
  <si>
    <t>1125</t>
  </si>
  <si>
    <t>110-045</t>
  </si>
  <si>
    <t xml:space="preserve">서울특별시 종로구 체부동 52번지 </t>
  </si>
  <si>
    <t>서울특별시 종로구 자하문로 5 (체부동)</t>
  </si>
  <si>
    <t>03041</t>
  </si>
  <si>
    <t>폼노래주점</t>
  </si>
  <si>
    <t>1126</t>
  </si>
  <si>
    <t>156-857</t>
  </si>
  <si>
    <t xml:space="preserve">서울특별시 동작구 흑석동 52-26번지 </t>
  </si>
  <si>
    <t>서울특별시 동작구 서달로14길 8 (흑석동)</t>
  </si>
  <si>
    <t>06979</t>
  </si>
  <si>
    <t>파티파티 노래주점</t>
  </si>
  <si>
    <t>1127</t>
  </si>
  <si>
    <t>143-899</t>
  </si>
  <si>
    <t xml:space="preserve">서울특별시 광진구 중곡동 162-10 </t>
  </si>
  <si>
    <t>서울특별시 광진구 능동로 347-1 (중곡동)</t>
  </si>
  <si>
    <t>04915</t>
  </si>
  <si>
    <t>진라이브</t>
  </si>
  <si>
    <t>1128</t>
  </si>
  <si>
    <t>143-846</t>
  </si>
  <si>
    <t xml:space="preserve">서울특별시 광진구 자양동 203-5 </t>
  </si>
  <si>
    <t>서울특별시 광진구 동일로 36 (자양동)</t>
  </si>
  <si>
    <t>05081</t>
  </si>
  <si>
    <t>에이스단란주점</t>
  </si>
  <si>
    <t>1129</t>
  </si>
  <si>
    <t xml:space="preserve">서울특별시 강남구 논현동 164-16 </t>
  </si>
  <si>
    <t>서울특별시 강남구 학동로2길 50, 지하1층 (논현동)</t>
  </si>
  <si>
    <t>탑스타</t>
  </si>
  <si>
    <t>1130</t>
  </si>
  <si>
    <t>138-866</t>
  </si>
  <si>
    <t xml:space="preserve">서울특별시 송파구 잠실동 314-4 지하1층 </t>
  </si>
  <si>
    <t>서울특별시 송파구 백제고분로14길 3, 지하1층 (잠실동)</t>
  </si>
  <si>
    <t>05576</t>
  </si>
  <si>
    <t>야화</t>
  </si>
  <si>
    <t>1131</t>
  </si>
  <si>
    <t>135-931</t>
  </si>
  <si>
    <t xml:space="preserve">서울특별시 강남구 역삼동 810-8번지 지하1층 </t>
  </si>
  <si>
    <t>서울특별시 강남구 강남대로106길 7, 지하1층 (역삼동)</t>
  </si>
  <si>
    <t>한잔비어</t>
  </si>
  <si>
    <t>1132</t>
  </si>
  <si>
    <t>100-855</t>
  </si>
  <si>
    <t xml:space="preserve">서울특별시 중구 장충동2가 7-1번지 </t>
  </si>
  <si>
    <t>서울특별시 중구 퇴계로56길 51 (장충동2가)</t>
  </si>
  <si>
    <t>04616</t>
  </si>
  <si>
    <t>수 노래팡팡</t>
  </si>
  <si>
    <t>1133</t>
  </si>
  <si>
    <t>133-801</t>
  </si>
  <si>
    <t xml:space="preserve">서울특별시 성동구 금호동1가 1756-0 </t>
  </si>
  <si>
    <t>서울특별시 성동구 금호로 90 (금호동1가)</t>
  </si>
  <si>
    <t>04718</t>
  </si>
  <si>
    <t>카스카스</t>
  </si>
  <si>
    <t>1134</t>
  </si>
  <si>
    <t>136-130</t>
  </si>
  <si>
    <t xml:space="preserve">서울특별시 성북구 하월곡동 104-17번지 ,18 </t>
  </si>
  <si>
    <t>미인촌</t>
  </si>
  <si>
    <t>1135</t>
  </si>
  <si>
    <t xml:space="preserve">서울특별시 은평구 대조동 26-17 지층 </t>
  </si>
  <si>
    <t>서울특별시 은평구 진흥로13길 2 (대조동, 지층)</t>
  </si>
  <si>
    <t>1136</t>
  </si>
  <si>
    <t xml:space="preserve">서울특별시 성북구 동선동1가 94번지 </t>
  </si>
  <si>
    <t>서울특별시 성북구 동소문로20가길 28, 지하1층 (동선동1가)</t>
  </si>
  <si>
    <t>쎄시봉7080</t>
  </si>
  <si>
    <t>1137</t>
  </si>
  <si>
    <t xml:space="preserve">서울특별시 은평구 갈현동 410-6 (지하1층) </t>
  </si>
  <si>
    <t>서울특별시 은평구 통일로87길 15-1 (갈현동,(지하1층))</t>
  </si>
  <si>
    <t>1138</t>
  </si>
  <si>
    <t xml:space="preserve">서울특별시 강동구 길동 345-6번지 </t>
  </si>
  <si>
    <t>서울특별시 강동구 천중로 205 (길동)</t>
  </si>
  <si>
    <t>S 라이브</t>
  </si>
  <si>
    <t>1139</t>
  </si>
  <si>
    <t xml:space="preserve">서울특별시 중랑구 묵동 239-128 </t>
  </si>
  <si>
    <t>서울특별시 중랑구 중랑역로 196, B1층 (묵동)</t>
  </si>
  <si>
    <t>1140</t>
  </si>
  <si>
    <t xml:space="preserve">서울특별시 광진구 광장동 325-4 </t>
  </si>
  <si>
    <t>서울특별시 광진구 아차산로76가길 4 (광장동)</t>
  </si>
  <si>
    <t>중일단란주점</t>
  </si>
  <si>
    <t>1141</t>
  </si>
  <si>
    <t xml:space="preserve">서울특별시 강동구 명일동 346-5 </t>
  </si>
  <si>
    <t>서울특별시 강동구 상암로 198 (명일동)</t>
  </si>
  <si>
    <t>라이브가수의집</t>
  </si>
  <si>
    <t>1142</t>
  </si>
  <si>
    <t>121-801</t>
  </si>
  <si>
    <t xml:space="preserve">서울특별시 마포구 공덕동 118-29 </t>
  </si>
  <si>
    <t>서울특별시 마포구 마포대로14길 18 (공덕동)</t>
  </si>
  <si>
    <t>04210</t>
  </si>
  <si>
    <t>미래</t>
  </si>
  <si>
    <t>1143</t>
  </si>
  <si>
    <t>132-926</t>
  </si>
  <si>
    <t xml:space="preserve">서울특별시 도봉구 창동 715-7 지하1층 </t>
  </si>
  <si>
    <t>서울특별시 도봉구 도봉로 572, 지하1층 (창동)</t>
  </si>
  <si>
    <t>01426</t>
  </si>
  <si>
    <t>람바다</t>
  </si>
  <si>
    <t>1144</t>
  </si>
  <si>
    <t xml:space="preserve">서울특별시 영등포구 대림동 739-1 지하1층 </t>
  </si>
  <si>
    <t>서울특별시 영등포구 대림로 191 (대림동, 지하1층)</t>
  </si>
  <si>
    <t>07412</t>
  </si>
  <si>
    <t>코코스단란주점</t>
  </si>
  <si>
    <t>1145</t>
  </si>
  <si>
    <t xml:space="preserve">서울특별시 양천구 목동 612-6 지하 1층 </t>
  </si>
  <si>
    <t>서울특별시 양천구 목동중앙북로7가길 55, 지하 1층 (목동)</t>
  </si>
  <si>
    <t>1146</t>
  </si>
  <si>
    <t>132-813</t>
  </si>
  <si>
    <t xml:space="preserve">서울특별시 도봉구 도봉동 560-19 </t>
  </si>
  <si>
    <t>서울특별시 도봉구 도봉로 909, 지하2층 (도봉동)</t>
  </si>
  <si>
    <t>01303</t>
  </si>
  <si>
    <t>베이스 캠프</t>
  </si>
  <si>
    <t>1147</t>
  </si>
  <si>
    <t xml:space="preserve">서울특별시 은평구 불광동 281-82번지 (지하1층) </t>
  </si>
  <si>
    <t>서울특별시 은평구 통일로66길 5-1 (불광동,(지하1층))</t>
  </si>
  <si>
    <t>킹왕짱</t>
  </si>
  <si>
    <t>1148</t>
  </si>
  <si>
    <t xml:space="preserve">서울특별시 마포구 서교동 402-19 </t>
  </si>
  <si>
    <t>서울특별시 마포구 어울마당로 37 (서교동, 지층)</t>
  </si>
  <si>
    <t>스카이(SKY)</t>
  </si>
  <si>
    <t>1149</t>
  </si>
  <si>
    <t>131-822</t>
  </si>
  <si>
    <t xml:space="preserve">서울특별시 중랑구 면목동 174-96 </t>
  </si>
  <si>
    <t>서울특별시 중랑구 겸재로 84 (면목동)</t>
  </si>
  <si>
    <t>02230</t>
  </si>
  <si>
    <t>럭셔리방</t>
  </si>
  <si>
    <t>1150</t>
  </si>
  <si>
    <t xml:space="preserve">서울특별시 은평구 응암동 126-38 </t>
  </si>
  <si>
    <t>서울특별시 은평구 응암로21길 22 (응암동)</t>
  </si>
  <si>
    <t>1151</t>
  </si>
  <si>
    <t xml:space="preserve">서울특별시 강동구 명일동 325-20 </t>
  </si>
  <si>
    <t>서울특별시 강동구 상암로47길 90, 지1층 (명일동)</t>
  </si>
  <si>
    <t>가요무대</t>
  </si>
  <si>
    <t>1152</t>
  </si>
  <si>
    <t xml:space="preserve">서울특별시 동대문구 장안동 285-6번지 </t>
  </si>
  <si>
    <t>서울특별시 동대문구 사가정로 235, 지하1층 (장안동)</t>
  </si>
  <si>
    <t>02515</t>
  </si>
  <si>
    <t>나들이7080</t>
  </si>
  <si>
    <t>1153</t>
  </si>
  <si>
    <t>151-871</t>
  </si>
  <si>
    <t xml:space="preserve">서울특별시 관악구 신림동 499-50 </t>
  </si>
  <si>
    <t>서울특별시 관악구 신사로 110, 지하1층 (신림동)</t>
  </si>
  <si>
    <t>08702</t>
  </si>
  <si>
    <t>파티 라이브</t>
  </si>
  <si>
    <t>1154</t>
  </si>
  <si>
    <t xml:space="preserve">서울특별시 노원구 상계동 707 지하1층 </t>
  </si>
  <si>
    <t>서울특별시 노원구 노해로75길 14-17, 지하1층 (상계동)</t>
  </si>
  <si>
    <t>1155</t>
  </si>
  <si>
    <t xml:space="preserve">서울특별시 강서구 화곡동 362-92 (지하 1층) </t>
  </si>
  <si>
    <t>서울특별시 강서구 가로공원로76길 95, 지하 1층 (화곡동, 1동)</t>
  </si>
  <si>
    <t>07767</t>
  </si>
  <si>
    <t>그랑프리 노래바</t>
  </si>
  <si>
    <t>1156</t>
  </si>
  <si>
    <t xml:space="preserve">서울특별시 강서구 화곡동 372-42 (지하 1층) </t>
  </si>
  <si>
    <t>서울특별시 강서구 가로공원로 184-2, 지하 1층 (화곡동, 1동)</t>
  </si>
  <si>
    <t>07761</t>
  </si>
  <si>
    <t>1157</t>
  </si>
  <si>
    <t xml:space="preserve">서울특별시 은평구 갈현동 400-12 지층 </t>
  </si>
  <si>
    <t>서울특별시 은평구 연서로29길 14-17 (갈현동, 지층)</t>
  </si>
  <si>
    <t>크림노래밤</t>
  </si>
  <si>
    <t>1158</t>
  </si>
  <si>
    <t>121-859</t>
  </si>
  <si>
    <t xml:space="preserve">서울특별시 마포구 아현동 347-1번지 </t>
  </si>
  <si>
    <t>서울특별시 마포구 신촌로 236-1 (아현동)</t>
  </si>
  <si>
    <t>04114</t>
  </si>
  <si>
    <t>올인단란주점</t>
  </si>
  <si>
    <t>1159</t>
  </si>
  <si>
    <t>100-021</t>
  </si>
  <si>
    <t xml:space="preserve">서울특별시 중구 명동1가 34-1 </t>
  </si>
  <si>
    <t>서울특별시 중구 명동9길 13 (명동1가)</t>
  </si>
  <si>
    <t>04534</t>
  </si>
  <si>
    <t>앤디</t>
  </si>
  <si>
    <t>1160</t>
  </si>
  <si>
    <t xml:space="preserve">서울특별시 강북구 번동 461-91 </t>
  </si>
  <si>
    <t>서울특별시 강북구 한천로 1012 (번동)</t>
  </si>
  <si>
    <t>7080 놀이터</t>
  </si>
  <si>
    <t>1161</t>
  </si>
  <si>
    <t>136-849</t>
  </si>
  <si>
    <t xml:space="preserve">서울특별시 성북구 정릉동 286-17번지 </t>
  </si>
  <si>
    <t>서울특별시 성북구 보국문로 76, 지층 (정릉동)</t>
  </si>
  <si>
    <t>02711</t>
  </si>
  <si>
    <t>보진노래짱</t>
  </si>
  <si>
    <t>1162</t>
  </si>
  <si>
    <t xml:space="preserve">서울특별시 서초구 방배동 769-9 지하1층 </t>
  </si>
  <si>
    <t>서울특별시 서초구 방배중앙로 176, 지하1층 (방배동)</t>
  </si>
  <si>
    <t>美(미)</t>
  </si>
  <si>
    <t>1163</t>
  </si>
  <si>
    <t xml:space="preserve">서울특별시 중구 초동 21-12 </t>
  </si>
  <si>
    <t>서울특별시 중구 을지로14길 28 (초동)</t>
  </si>
  <si>
    <t>04550</t>
  </si>
  <si>
    <t>안나</t>
  </si>
  <si>
    <t>1164</t>
  </si>
  <si>
    <t xml:space="preserve">서울특별시 강남구 대치동 945-15번지 </t>
  </si>
  <si>
    <t>서울특별시 강남구 테헤란로98길 16 (대치동)</t>
  </si>
  <si>
    <t>씨마</t>
  </si>
  <si>
    <t>1165</t>
  </si>
  <si>
    <t>서울특별시 영등포구 여의도동 43-0 미원빌딩 302호</t>
  </si>
  <si>
    <t>서울특별시 영등포구 국제금융로 70, 302호 (여의도동,미원빌딩)</t>
  </si>
  <si>
    <t>딥(dip)</t>
  </si>
  <si>
    <t>1166</t>
  </si>
  <si>
    <t xml:space="preserve">서울특별시 노원구 상계동 169-6 </t>
  </si>
  <si>
    <t>서울특별시 노원구 한글비석로24길 15 (상계동)</t>
  </si>
  <si>
    <t>01668</t>
  </si>
  <si>
    <t>꽐라타임</t>
  </si>
  <si>
    <t>1167</t>
  </si>
  <si>
    <t>135-957</t>
  </si>
  <si>
    <t xml:space="preserve">서울특별시 강남구 청담동 132-3 </t>
  </si>
  <si>
    <t>서울특별시 강남구 학동로101길 33 (청담동)</t>
  </si>
  <si>
    <t>06075</t>
  </si>
  <si>
    <t>아이비(IVY)</t>
  </si>
  <si>
    <t>1168</t>
  </si>
  <si>
    <t>152-847</t>
  </si>
  <si>
    <t xml:space="preserve">서울특별시 구로구 구로동 153-3 </t>
  </si>
  <si>
    <t>서울특별시 구로구 도림로 104 (구로동)</t>
  </si>
  <si>
    <t>08369</t>
  </si>
  <si>
    <t>74K 노래빠</t>
  </si>
  <si>
    <t>1169</t>
  </si>
  <si>
    <t>135-887</t>
  </si>
  <si>
    <t xml:space="preserve">서울특별시 강남구 신사동 514-3 </t>
  </si>
  <si>
    <t>서울특별시 강남구 강남대로152길 24 (신사동)</t>
  </si>
  <si>
    <t>06035</t>
  </si>
  <si>
    <t>오케이노래빠(OK노래빠)</t>
  </si>
  <si>
    <t>1170</t>
  </si>
  <si>
    <t xml:space="preserve">서울특별시 강남구 역삼동 704-18번지 </t>
  </si>
  <si>
    <t>서울특별시 강남구 언주로98길 35 (역삼동)</t>
  </si>
  <si>
    <t>06148</t>
  </si>
  <si>
    <t>팡팡노래바 큐(Q)</t>
  </si>
  <si>
    <t>1171</t>
  </si>
  <si>
    <t>135-514</t>
  </si>
  <si>
    <t xml:space="preserve">서울특별시 강남구 역삼동 734-21번지 </t>
  </si>
  <si>
    <t>서울특별시 강남구 역삼로 207 (역삼동)</t>
  </si>
  <si>
    <t>06224</t>
  </si>
  <si>
    <t>하이힐</t>
  </si>
  <si>
    <t>1172</t>
  </si>
  <si>
    <t>156-823</t>
  </si>
  <si>
    <t xml:space="preserve">서울특별시 동작구 사당동 321-8번지 </t>
  </si>
  <si>
    <t>서울특별시 동작구 사당로 256 (사당동)</t>
  </si>
  <si>
    <t>07012</t>
  </si>
  <si>
    <t>필단란주점</t>
  </si>
  <si>
    <t>1173</t>
  </si>
  <si>
    <t xml:space="preserve">서울특별시 동대문구 신설동 98-14 (신설2길 1) </t>
  </si>
  <si>
    <t>서울특별시 동대문구 하정로3길 16 (신설동,(신설2길 1))</t>
  </si>
  <si>
    <t>구구생음악</t>
  </si>
  <si>
    <t>1174</t>
  </si>
  <si>
    <t>134-829</t>
  </si>
  <si>
    <t xml:space="preserve">서울특별시 강동구 명일동 289-15 </t>
  </si>
  <si>
    <t>서울특별시 강동구 구천면로 431, 지1층 (명일동)</t>
  </si>
  <si>
    <t>05267</t>
  </si>
  <si>
    <t>우림</t>
  </si>
  <si>
    <t>1175</t>
  </si>
  <si>
    <t xml:space="preserve">서울특별시 강남구 청담동 125-22번지 </t>
  </si>
  <si>
    <t>서울특별시 강남구 도산대로 521 (청담동)</t>
  </si>
  <si>
    <t>06013</t>
  </si>
  <si>
    <t>마이웨이</t>
  </si>
  <si>
    <t>1176</t>
  </si>
  <si>
    <t xml:space="preserve">서울특별시 은평구 불광동 281-67번지 </t>
  </si>
  <si>
    <t>서울특별시 은평구 통일로66길 7 (불광동)</t>
  </si>
  <si>
    <t>1177</t>
  </si>
  <si>
    <t xml:space="preserve">서울특별시 강북구 수유동 182-26번지 (강북중학길 6) </t>
  </si>
  <si>
    <t>서울특별시 강북구 한천로150길 10 (수유동,(강북중학길 6))</t>
  </si>
  <si>
    <t>01053</t>
  </si>
  <si>
    <t>1178</t>
  </si>
  <si>
    <t xml:space="preserve">서울특별시 종로구 익선동 56-3번지 </t>
  </si>
  <si>
    <t>마르샤</t>
  </si>
  <si>
    <t>1179</t>
  </si>
  <si>
    <t xml:space="preserve">서울특별시 은평구 응암동 579-42번지 (지층) </t>
  </si>
  <si>
    <t>서울특별시 은평구 응암로21길 13 (응암동,(지층))</t>
  </si>
  <si>
    <t>나고야</t>
  </si>
  <si>
    <t>1180</t>
  </si>
  <si>
    <t xml:space="preserve">서울특별시 서초구 양재동 267-3 </t>
  </si>
  <si>
    <t>서울특별시 서초구 마방로10길 18-13 (양재동)</t>
  </si>
  <si>
    <t>방울토마토</t>
  </si>
  <si>
    <t>1181</t>
  </si>
  <si>
    <t xml:space="preserve">서울특별시 강북구 수유동 182-1 </t>
  </si>
  <si>
    <t>서울특별시 강북구 한천로150길 12 (수유동)</t>
  </si>
  <si>
    <t>신화 단란주점</t>
  </si>
  <si>
    <t>1182</t>
  </si>
  <si>
    <t xml:space="preserve">서울특별시 강남구 역삼동 773-4번지 </t>
  </si>
  <si>
    <t>서울특별시 강남구 언주로 331 (역삼동)</t>
  </si>
  <si>
    <t>06226</t>
  </si>
  <si>
    <t>휘앙새</t>
  </si>
  <si>
    <t>1183</t>
  </si>
  <si>
    <t xml:space="preserve">서울특별시 강남구 논현동 114-13 </t>
  </si>
  <si>
    <t>서울특별시 강남구 학동로41길 14 (논현동)</t>
  </si>
  <si>
    <t>유앤미</t>
  </si>
  <si>
    <t>1184</t>
  </si>
  <si>
    <t>135-815</t>
  </si>
  <si>
    <t xml:space="preserve">서울특별시 강남구 논현동 58-5번지 </t>
  </si>
  <si>
    <t>서울특별시 강남구 논현로131길 7 (논현동)</t>
  </si>
  <si>
    <t>06046</t>
  </si>
  <si>
    <t>트레조 노래광장</t>
  </si>
  <si>
    <t>1185</t>
  </si>
  <si>
    <t>156-847</t>
  </si>
  <si>
    <t xml:space="preserve">서울특별시 동작구 신대방동 347-25번지 </t>
  </si>
  <si>
    <t>서울특별시 동작구 여의대방로24길 134 (신대방동)</t>
  </si>
  <si>
    <t>07056</t>
  </si>
  <si>
    <t>친한친구</t>
  </si>
  <si>
    <t>1186</t>
  </si>
  <si>
    <t xml:space="preserve">서울특별시 광진구 구의동 246-31 </t>
  </si>
  <si>
    <t>서울특별시 광진구 자양로18길 14 (구의동)</t>
  </si>
  <si>
    <t>1187</t>
  </si>
  <si>
    <t>121-843</t>
  </si>
  <si>
    <t xml:space="preserve">서울특별시 마포구 성산동 51-18번지 </t>
  </si>
  <si>
    <t>서울특별시 마포구 월드컵북로 126 (성산동)</t>
  </si>
  <si>
    <t>03972</t>
  </si>
  <si>
    <t>뒤뜰</t>
  </si>
  <si>
    <t>1188</t>
  </si>
  <si>
    <t>135-878</t>
  </si>
  <si>
    <t xml:space="preserve">서울특별시 강남구 삼성동 153-63 </t>
  </si>
  <si>
    <t>서울특별시 강남구 테헤란로87길 37 (삼성동)</t>
  </si>
  <si>
    <t>06166</t>
  </si>
  <si>
    <t>허브</t>
  </si>
  <si>
    <t>1189</t>
  </si>
  <si>
    <t xml:space="preserve">서울특별시 강남구 논현동 5-5번지 </t>
  </si>
  <si>
    <t>아마데우스</t>
  </si>
  <si>
    <t>1190</t>
  </si>
  <si>
    <t>서울특별시 강동구 천호대로175길 11, 지1층 (길동)</t>
  </si>
  <si>
    <t>프라스펄</t>
  </si>
  <si>
    <t>1191</t>
  </si>
  <si>
    <t>153-010</t>
  </si>
  <si>
    <t xml:space="preserve">서울특별시 금천구 독산동 974-0 지하1층 </t>
  </si>
  <si>
    <t>서울특별시 금천구 독산로 328, 지하1층 (독산동)</t>
  </si>
  <si>
    <t>08552</t>
  </si>
  <si>
    <t>우연노래마당</t>
  </si>
  <si>
    <t>1192</t>
  </si>
  <si>
    <t>130-831</t>
  </si>
  <si>
    <t xml:space="preserve">서울특별시 동대문구 이문동 305-73 (외대풍물길 3) </t>
  </si>
  <si>
    <t>서울특별시 동대문구 휘경로2길 3 (이문동,(외대풍물길 3))</t>
  </si>
  <si>
    <t>02441</t>
  </si>
  <si>
    <t>외대노래타운</t>
  </si>
  <si>
    <t>1193</t>
  </si>
  <si>
    <t xml:space="preserve">서울특별시 구로구 개봉동 403-191 </t>
  </si>
  <si>
    <t>서울특별시 구로구 개봉로 14 (개봉동)</t>
  </si>
  <si>
    <t>08334</t>
  </si>
  <si>
    <t>영진 라이브</t>
  </si>
  <si>
    <t>1194</t>
  </si>
  <si>
    <t xml:space="preserve">서울특별시 은평구 갈현동 425-4번지 </t>
  </si>
  <si>
    <t>서울특별시 은평구 통일로87길 21 (갈현동)</t>
  </si>
  <si>
    <t>잼</t>
  </si>
  <si>
    <t>1195</t>
  </si>
  <si>
    <t xml:space="preserve">서울특별시 용산구 한남동 28-11번지 (지하1층) </t>
  </si>
  <si>
    <t>서울특별시 용산구 독서당로 86 (한남동,(지하1층))</t>
  </si>
  <si>
    <t>화</t>
  </si>
  <si>
    <t>1196</t>
  </si>
  <si>
    <t>121-130</t>
  </si>
  <si>
    <t xml:space="preserve">서울특별시 마포구 구수동 68-24 </t>
  </si>
  <si>
    <t>서울특별시 마포구 토정로 190 (구수동)</t>
  </si>
  <si>
    <t>04093</t>
  </si>
  <si>
    <t>썸데이</t>
  </si>
  <si>
    <t>1197</t>
  </si>
  <si>
    <t xml:space="preserve">서울특별시 영등포구 여의도동 44-35번지 </t>
  </si>
  <si>
    <t>서울특별시 영등포구 여의대방로 379 (여의도동, 제일빌딩212호)</t>
  </si>
  <si>
    <t>산보</t>
  </si>
  <si>
    <t>1198</t>
  </si>
  <si>
    <t xml:space="preserve">서울특별시 송파구 송파동 47-3번지 지하1층 </t>
  </si>
  <si>
    <t>서울특별시 송파구 백제고분로 423, 지하1층 (송파동)</t>
  </si>
  <si>
    <t>고래고래</t>
  </si>
  <si>
    <t>1199</t>
  </si>
  <si>
    <t xml:space="preserve">서울특별시 강남구 역삼동 718-17 </t>
  </si>
  <si>
    <t>서울특별시 강남구 언주로87길 44 (역삼동)</t>
  </si>
  <si>
    <t>로망주점</t>
  </si>
  <si>
    <t>1200</t>
  </si>
  <si>
    <t xml:space="preserve">서울특별시 광진구 화양동 119-4 </t>
  </si>
  <si>
    <t>서울특별시 광진구 군자로 52 (화양동)</t>
  </si>
  <si>
    <t>투투</t>
  </si>
  <si>
    <t>1201</t>
  </si>
  <si>
    <t xml:space="preserve">서울특별시 중구 북창동 10-4 삼흥빌딩 지하1층 </t>
  </si>
  <si>
    <t>서울특별시 중구 남대문로5길 47, 삼흥빌딩 지하1층 (북창동)</t>
  </si>
  <si>
    <t>티파니노래팡</t>
  </si>
  <si>
    <t>1202</t>
  </si>
  <si>
    <t xml:space="preserve">서울특별시 중구 무학동 33-0번지 </t>
  </si>
  <si>
    <t>서울특별시 중구 퇴계로76길 30 (무학동)</t>
  </si>
  <si>
    <t>짱 7080</t>
  </si>
  <si>
    <t>1203</t>
  </si>
  <si>
    <t>152-888</t>
  </si>
  <si>
    <t xml:space="preserve">서울특별시 구로구 신도림동 426-26 </t>
  </si>
  <si>
    <t>서울특별시 구로구 경인로 622 (신도림동)</t>
  </si>
  <si>
    <t>1204</t>
  </si>
  <si>
    <t xml:space="preserve">서울특별시 송파구 석촌동 56-16번지 지하1층 </t>
  </si>
  <si>
    <t>서울특별시 송파구 석촌호수로18길 18, 지하1층 (석촌동)</t>
  </si>
  <si>
    <t>1205</t>
  </si>
  <si>
    <t xml:space="preserve">서울특별시 광진구 중곡동 163-1 </t>
  </si>
  <si>
    <t>서울특별시 광진구 긴고랑로 50 (중곡동)</t>
  </si>
  <si>
    <t>04914</t>
  </si>
  <si>
    <t>별과음악사이</t>
  </si>
  <si>
    <t>1206</t>
  </si>
  <si>
    <t xml:space="preserve">서울특별시 구로구 구로동 1124-7 </t>
  </si>
  <si>
    <t>서울특별시 구로구 디지털로32길 97-21 (구로동)</t>
  </si>
  <si>
    <t>티파니</t>
  </si>
  <si>
    <t>1207</t>
  </si>
  <si>
    <t xml:space="preserve">서울특별시 영등포구 당산동1가 40-2번지 지하1층 </t>
  </si>
  <si>
    <t>서울특별시 영등포구 영등포로 129 (당산동1가, 지하1층)</t>
  </si>
  <si>
    <t>07266</t>
  </si>
  <si>
    <t>하트노래</t>
  </si>
  <si>
    <t>1208</t>
  </si>
  <si>
    <t>133-883</t>
  </si>
  <si>
    <t xml:space="preserve">서울특별시 성동구 도선동 402-0번지 </t>
  </si>
  <si>
    <t>서울특별시 성동구 무학로 8 (도선동)</t>
  </si>
  <si>
    <t>04707</t>
  </si>
  <si>
    <t>7080 콘서트</t>
  </si>
  <si>
    <t>1209</t>
  </si>
  <si>
    <t>134-859</t>
  </si>
  <si>
    <t xml:space="preserve">서울특별시 강동구 암사동 488-16 </t>
  </si>
  <si>
    <t>서울특별시 강동구 구천면로 311 (암사동)</t>
  </si>
  <si>
    <t>05265</t>
  </si>
  <si>
    <t>바램</t>
  </si>
  <si>
    <t>1210</t>
  </si>
  <si>
    <t xml:space="preserve">서울특별시 강동구 명일동 312-80 </t>
  </si>
  <si>
    <t>서울특별시 강동구 양재대로143길 17 (명일동)</t>
  </si>
  <si>
    <t>봉우리</t>
  </si>
  <si>
    <t>1211</t>
  </si>
  <si>
    <t xml:space="preserve">서울특별시 은평구 녹번동 156-7 (지층) </t>
  </si>
  <si>
    <t>서울특별시 은평구 은평로13길 11-6 (녹번동,(지층))</t>
  </si>
  <si>
    <t>고급찐 라이브</t>
  </si>
  <si>
    <t>1212</t>
  </si>
  <si>
    <t xml:space="preserve">서울특별시 강서구 화곡동 1063-0 지하 1층 </t>
  </si>
  <si>
    <t>서울특별시 강서구 화곡로27가길 2, 지하 1층 (화곡동, 우장산동)</t>
  </si>
  <si>
    <t>07702</t>
  </si>
  <si>
    <t>럭키노래바</t>
  </si>
  <si>
    <t>1213</t>
  </si>
  <si>
    <t xml:space="preserve">서울특별시 중랑구 묵동 245-1 </t>
  </si>
  <si>
    <t>서울특별시 중랑구 동일로 869 (묵동)</t>
  </si>
  <si>
    <t>1214</t>
  </si>
  <si>
    <t xml:space="preserve">서울특별시 금천구 독산동 1030-2 ,3,6 지하1층 (시흥대로 311) </t>
  </si>
  <si>
    <t>서울특별시 금천구 시흥대로 376 (독산동,,3,6 지하1층 (시흥대로 311))</t>
  </si>
  <si>
    <t>사랑방</t>
  </si>
  <si>
    <t>1215</t>
  </si>
  <si>
    <t xml:space="preserve">서울특별시 강북구 수유동 30-42번지 </t>
  </si>
  <si>
    <t>서울특별시 강북구 노해로 53 (수유동)</t>
  </si>
  <si>
    <t>01077</t>
  </si>
  <si>
    <t>영주촌</t>
  </si>
  <si>
    <t>1216</t>
  </si>
  <si>
    <t xml:space="preserve">서울특별시 영등포구 당산동3가 222-0 지하1층 </t>
  </si>
  <si>
    <t>서울특별시 영등포구 당산로32길 7 (당산동3가, 지하1층)</t>
  </si>
  <si>
    <t>1217</t>
  </si>
  <si>
    <t xml:space="preserve">서울특별시 강남구 역삼동 637-35 </t>
  </si>
  <si>
    <t>서울특별시 강남구 강남대로94길 73 (역삼동)</t>
  </si>
  <si>
    <t>버스 라이브</t>
  </si>
  <si>
    <t>1218</t>
  </si>
  <si>
    <t xml:space="preserve">서울특별시 강동구 천호동 289-63 </t>
  </si>
  <si>
    <t>서울특별시 강동구 상암로 68-1, 지1층 (천호동)</t>
  </si>
  <si>
    <t>05319</t>
  </si>
  <si>
    <t>블루라이브</t>
  </si>
  <si>
    <t>1219</t>
  </si>
  <si>
    <t>143-866</t>
  </si>
  <si>
    <t xml:space="preserve">서울특별시 광진구 자양동 624-29 </t>
  </si>
  <si>
    <t>서울특별시 광진구 자양로13길 22 (자양동)</t>
  </si>
  <si>
    <t>05057</t>
  </si>
  <si>
    <t>가희</t>
  </si>
  <si>
    <t>1220</t>
  </si>
  <si>
    <t xml:space="preserve">서울특별시 송파구 방이동 58-22 지층 </t>
  </si>
  <si>
    <t>서울특별시 송파구 올림픽로34길 16 (방이동, 지층)</t>
  </si>
  <si>
    <t>올림픽</t>
  </si>
  <si>
    <t>1221</t>
  </si>
  <si>
    <t>138-851</t>
  </si>
  <si>
    <t xml:space="preserve">서울특별시 송파구 송파동 133-7 지하1층 </t>
  </si>
  <si>
    <t>서울특별시 송파구 백제고분로46길 8, 지하1층 (송파동)</t>
  </si>
  <si>
    <t>05665</t>
  </si>
  <si>
    <t>1222</t>
  </si>
  <si>
    <t xml:space="preserve">서울특별시 종로구 구기동 85-9 </t>
  </si>
  <si>
    <t>서울특별시 종로구 진흥로 439, 지하2층 (구기동)</t>
  </si>
  <si>
    <t>03007</t>
  </si>
  <si>
    <t>1223</t>
  </si>
  <si>
    <t>153-808</t>
  </si>
  <si>
    <t xml:space="preserve">서울특별시 금천구 독산동 193-31 지하1층 (독산동길 97) </t>
  </si>
  <si>
    <t>서울특별시 금천구 독산로 272 (독산동,지하1층 (독산동길 97))</t>
  </si>
  <si>
    <t>08557</t>
  </si>
  <si>
    <t>그린단란주점</t>
  </si>
  <si>
    <t>1224</t>
  </si>
  <si>
    <t xml:space="preserve">서울특별시 강서구 화곡동 1118-3 지하 1층 </t>
  </si>
  <si>
    <t>서울특별시 강서구 공항대로46길 97, 지하 1층 (화곡동, 6동)</t>
  </si>
  <si>
    <t>센스노래바</t>
  </si>
  <si>
    <t>1225</t>
  </si>
  <si>
    <t xml:space="preserve">서울특별시 강동구 천호동 315-25 </t>
  </si>
  <si>
    <t>서울특별시 강동구 올림픽로92길 16, 지1층 (천호동)</t>
  </si>
  <si>
    <t>05323</t>
  </si>
  <si>
    <t>1226</t>
  </si>
  <si>
    <t xml:space="preserve">서울특별시 광진구 광장동 322-3 </t>
  </si>
  <si>
    <t>서울특별시 광진구 아차산로76길 32 (광장동)</t>
  </si>
  <si>
    <t>한강썸라이브</t>
  </si>
  <si>
    <t>1227</t>
  </si>
  <si>
    <t xml:space="preserve">서울특별시 종로구 낙원동 127-3번지 </t>
  </si>
  <si>
    <t>서울특별시 종로구 돈화문로11길 34 (낙원동)</t>
  </si>
  <si>
    <t>상상</t>
  </si>
  <si>
    <t>1228</t>
  </si>
  <si>
    <t xml:space="preserve">서울특별시 동대문구 장안동 345-2 지하1층 </t>
  </si>
  <si>
    <t>서울특별시 동대문구 장한로24길 16, 지하1층 (장안동)</t>
  </si>
  <si>
    <t>쓰리빠7080</t>
  </si>
  <si>
    <t>1229</t>
  </si>
  <si>
    <t xml:space="preserve">서울특별시 강북구 수유동 190-32 </t>
  </si>
  <si>
    <t>서울특별시 강북구 한천로 1051 (수유동)</t>
  </si>
  <si>
    <t>1230</t>
  </si>
  <si>
    <t>136-033</t>
  </si>
  <si>
    <t xml:space="preserve">서울특별시 성북구 동소문동3가 11번지 </t>
  </si>
  <si>
    <t>서울특별시 성북구 동소문로 32 (동소문동3가)</t>
  </si>
  <si>
    <t>신바람7080</t>
  </si>
  <si>
    <t>1231</t>
  </si>
  <si>
    <t xml:space="preserve">서울특별시 강북구 수유동 182-34 지하1층 </t>
  </si>
  <si>
    <t>서울특별시 강북구 한천로 1078, 지하1층 (수유동)</t>
  </si>
  <si>
    <t>도킹노래주점</t>
  </si>
  <si>
    <t>1232</t>
  </si>
  <si>
    <t>139-818</t>
  </si>
  <si>
    <t xml:space="preserve">서울특별시 노원구 상계동 389-571번지 </t>
  </si>
  <si>
    <t>서울특별시 노원구 상계로23길 10, 지하1층 (상계동)</t>
  </si>
  <si>
    <t>개구쟁이</t>
  </si>
  <si>
    <t>1233</t>
  </si>
  <si>
    <t xml:space="preserve">서울특별시 영등포구 당산동3가 159 외1필지 </t>
  </si>
  <si>
    <t>서울특별시 영등포구 당산로32길 5-1 (당산동3가,외1필지)</t>
  </si>
  <si>
    <t>웰컴월드</t>
  </si>
  <si>
    <t>1234</t>
  </si>
  <si>
    <t xml:space="preserve">서울특별시 양천구 신정동 89-77 지하 1층 </t>
  </si>
  <si>
    <t>서울특별시 양천구 신목로 66-12, 지하 1층 (신정동)</t>
  </si>
  <si>
    <t>1235</t>
  </si>
  <si>
    <t xml:space="preserve">서울특별시 금천구 독산동 1043-57번지 지하1층 </t>
  </si>
  <si>
    <t>서울특별시 금천구 독산로 175, 지하1층 (독산동)</t>
  </si>
  <si>
    <t>08618</t>
  </si>
  <si>
    <t>따봉노래바</t>
  </si>
  <si>
    <t>1236</t>
  </si>
  <si>
    <t xml:space="preserve">서울특별시 구로구 구로동 84-1 </t>
  </si>
  <si>
    <t>서울특별시 구로구 구로중앙로19길 27 (구로동)</t>
  </si>
  <si>
    <t>1237</t>
  </si>
  <si>
    <t>152-838</t>
  </si>
  <si>
    <t xml:space="preserve">서울특별시 구로구 구로동 40-9 </t>
  </si>
  <si>
    <t>서울특별시 구로구 공원로8길 31 (구로동)</t>
  </si>
  <si>
    <t>08289</t>
  </si>
  <si>
    <t>미쉘</t>
  </si>
  <si>
    <t>1238</t>
  </si>
  <si>
    <t xml:space="preserve">서울특별시 서초구 양재동 10-3 지하1층 </t>
  </si>
  <si>
    <t>서울특별시 서초구 남부순환로356길 34, 지하1층 (양재동)</t>
  </si>
  <si>
    <t>06743</t>
  </si>
  <si>
    <t>1239</t>
  </si>
  <si>
    <t xml:space="preserve">서울특별시 강남구 역삼동 606-12번지 </t>
  </si>
  <si>
    <t>서울특별시 강남구 논현로105길 10 (역삼동)</t>
  </si>
  <si>
    <t>06125</t>
  </si>
  <si>
    <t>라임</t>
  </si>
  <si>
    <t>1240</t>
  </si>
  <si>
    <t>130-847</t>
  </si>
  <si>
    <t xml:space="preserve">서울특별시 동대문구 장안동 543 (한천로 142) </t>
  </si>
  <si>
    <t>서울특별시 동대문구 한천로 142, 지하1층 (장안동)</t>
  </si>
  <si>
    <t>02529</t>
  </si>
  <si>
    <t>명자</t>
  </si>
  <si>
    <t>1241</t>
  </si>
  <si>
    <t xml:space="preserve">서울특별시 강북구 번동 417-2번지 (한천로 1019) </t>
  </si>
  <si>
    <t>서울특별시 강북구 한천로 1015 (번동,(한천로 1019))</t>
  </si>
  <si>
    <t>01064</t>
  </si>
  <si>
    <t>신라노래뱅크</t>
  </si>
  <si>
    <t>1242</t>
  </si>
  <si>
    <t xml:space="preserve">서울특별시 은평구 대조동 220-33 지하1층 </t>
  </si>
  <si>
    <t>서울특별시 은평구 연서로 176, 지하1층 (대조동)</t>
  </si>
  <si>
    <t>03387</t>
  </si>
  <si>
    <t>조지아</t>
  </si>
  <si>
    <t>1243</t>
  </si>
  <si>
    <t xml:space="preserve">서울특별시 동대문구 청량리동 705-1번지 지하1층 </t>
  </si>
  <si>
    <t>서울특별시 동대문구 홍릉로 23, 지하1층 (청량리동)</t>
  </si>
  <si>
    <t>나비스타킹</t>
  </si>
  <si>
    <t>1244</t>
  </si>
  <si>
    <t xml:space="preserve">서울특별시 송파구 삼전동 111-7 지하1층 </t>
  </si>
  <si>
    <t>서울특별시 송파구 백제고분로31길 41, 지하1층 (삼전동)</t>
  </si>
  <si>
    <t>05601</t>
  </si>
  <si>
    <t>샾</t>
  </si>
  <si>
    <t>1245</t>
  </si>
  <si>
    <t xml:space="preserve">서울특별시 강서구 화곡동 1066-1 (지하 1층) </t>
  </si>
  <si>
    <t>서울특별시 강서구 화곡로 137, 지하 1층 (화곡동, 3동)</t>
  </si>
  <si>
    <t>킹 노래바</t>
  </si>
  <si>
    <t>1246</t>
  </si>
  <si>
    <t xml:space="preserve">서울특별시 강서구 등촌동 648 우현빌딩 지하 1층 </t>
  </si>
  <si>
    <t>서울특별시 강서구 공항대로59길 8, 우현빌딩 지하 1층 (등촌동)</t>
  </si>
  <si>
    <t>1247</t>
  </si>
  <si>
    <t xml:space="preserve">서울특별시 영등포구 당산동3가 228-3번지 지하1층 </t>
  </si>
  <si>
    <t>서울특별시 영등포구 당산로32길 2 (당산동3가, 지하1층)</t>
  </si>
  <si>
    <t>스타일</t>
  </si>
  <si>
    <t>1248</t>
  </si>
  <si>
    <t xml:space="preserve">서울특별시 강동구 명일동 312-79번지 </t>
  </si>
  <si>
    <t>서울특별시 강동구 양재대로143길 15 (명일동)</t>
  </si>
  <si>
    <t>다모아</t>
  </si>
  <si>
    <t>1249</t>
  </si>
  <si>
    <t>134-877</t>
  </si>
  <si>
    <t xml:space="preserve">서울특별시 강동구 암사동 512 </t>
  </si>
  <si>
    <t>서울특별시 강동구 상암로 28, 지1층 2호 (암사동)</t>
  </si>
  <si>
    <t>05242</t>
  </si>
  <si>
    <t>역전</t>
  </si>
  <si>
    <t>1250</t>
  </si>
  <si>
    <t xml:space="preserve">서울특별시 강동구 길동 383-1 </t>
  </si>
  <si>
    <t>서울특별시 강동구 성안로 186, 지1층 (길동)</t>
  </si>
  <si>
    <t>05341</t>
  </si>
  <si>
    <t>부킹7080라이브</t>
  </si>
  <si>
    <t>1251</t>
  </si>
  <si>
    <t xml:space="preserve">서울특별시 중구 무학동 22-0번지 </t>
  </si>
  <si>
    <t>서울특별시 중구 다산로 225 (무학동)</t>
  </si>
  <si>
    <t>라이브노래타운</t>
  </si>
  <si>
    <t>1252</t>
  </si>
  <si>
    <t xml:space="preserve">서울특별시 송파구 송파동 48-16 </t>
  </si>
  <si>
    <t>서울특별시 송파구 오금로 148, 지하1층 B02호 (송파동)</t>
  </si>
  <si>
    <t>05620</t>
  </si>
  <si>
    <t>가수의집</t>
  </si>
  <si>
    <t>1253</t>
  </si>
  <si>
    <t>134-815</t>
  </si>
  <si>
    <t xml:space="preserve">서울특별시 강동구 길동 252-113 </t>
  </si>
  <si>
    <t>서울특별시 강동구 명일로 196 (길동)</t>
  </si>
  <si>
    <t>05349</t>
  </si>
  <si>
    <t>1254</t>
  </si>
  <si>
    <t>157-883</t>
  </si>
  <si>
    <t xml:space="preserve">서울특별시 강서구 화곡동 357-22번지 (지하 1층) </t>
  </si>
  <si>
    <t>서울특별시 강서구 곰달래로 55-1, 지하 1층 (화곡동, 1동)</t>
  </si>
  <si>
    <t>07772</t>
  </si>
  <si>
    <t>123생음악메들리</t>
  </si>
  <si>
    <t>1255</t>
  </si>
  <si>
    <t xml:space="preserve">서울특별시 은평구 응암동 576-25 </t>
  </si>
  <si>
    <t>서울특별시 은평구 응암로 226 (응암동)</t>
  </si>
  <si>
    <t>1256</t>
  </si>
  <si>
    <t xml:space="preserve">서울특별시 구로구 고척동 273-11 </t>
  </si>
  <si>
    <t>서울특별시 구로구 경인로33길 66, 지하1층 (고척동)</t>
  </si>
  <si>
    <t>08238</t>
  </si>
  <si>
    <t>1257</t>
  </si>
  <si>
    <t xml:space="preserve">서울특별시 강남구 역삼동 603-3번지 </t>
  </si>
  <si>
    <t>서울특별시 강남구 봉은사로16길 16 (역삼동)</t>
  </si>
  <si>
    <t>06124</t>
  </si>
  <si>
    <t>1프로</t>
  </si>
  <si>
    <t>1258</t>
  </si>
  <si>
    <t xml:space="preserve">서울특별시 양천구 신월동 961-6 지하 1층 </t>
  </si>
  <si>
    <t>서울특별시 양천구 남부순환로66길 23, 지하 1층 (신월동)</t>
  </si>
  <si>
    <t>아싸단란주점</t>
  </si>
  <si>
    <t>1259</t>
  </si>
  <si>
    <t xml:space="preserve">서울특별시 중구 장충동2가 188-8 지하1층 </t>
  </si>
  <si>
    <t>서울특별시 중구 동호로24길 19-21 (장충동2가, 지하1층)</t>
  </si>
  <si>
    <t>04617</t>
  </si>
  <si>
    <t>마인</t>
  </si>
  <si>
    <t>1260</t>
  </si>
  <si>
    <t>100-858</t>
  </si>
  <si>
    <t xml:space="preserve">서울특별시 중구 중림동 128-33번지 </t>
  </si>
  <si>
    <t>서울특별시 중구 청파로 433 (중림동)</t>
  </si>
  <si>
    <t>04507</t>
  </si>
  <si>
    <t>카르멘가요주점</t>
  </si>
  <si>
    <t>1261</t>
  </si>
  <si>
    <t>156-090</t>
  </si>
  <si>
    <t xml:space="preserve">서울특별시 동작구 사당동 133-17 ,20 </t>
  </si>
  <si>
    <t>서울특별시 동작구 동작대로27길 6 (사당동)</t>
  </si>
  <si>
    <t>짝주점</t>
  </si>
  <si>
    <t>1262</t>
  </si>
  <si>
    <t xml:space="preserve">서울특별시 서초구 방배동 761-4번지 지하1층 </t>
  </si>
  <si>
    <t>서울특별시 서초구 방배중앙로 191, 지하1층 (방배동)</t>
  </si>
  <si>
    <t>솜사탕 노래바</t>
  </si>
  <si>
    <t>1263</t>
  </si>
  <si>
    <t xml:space="preserve">서울특별시 중랑구 망우동 487-2번지 </t>
  </si>
  <si>
    <t>서울특별시 중랑구 망우로 431 (망우동)</t>
  </si>
  <si>
    <t>02072</t>
  </si>
  <si>
    <t>엠비씨(MBC)가요주점</t>
  </si>
  <si>
    <t>1264</t>
  </si>
  <si>
    <t>135-888</t>
  </si>
  <si>
    <t xml:space="preserve">서울특별시 강남구 신사동 515-9번지 </t>
  </si>
  <si>
    <t>서울특별시 강남구 강남대로152길 35, 지하1층 102호 (신사동)</t>
  </si>
  <si>
    <t>뽕노래빠</t>
  </si>
  <si>
    <t>1265</t>
  </si>
  <si>
    <t xml:space="preserve">서울특별시 중랑구 망우동 486-9 </t>
  </si>
  <si>
    <t>서울특별시 중랑구 용마산로115길 10 (망우동)</t>
  </si>
  <si>
    <t>준노래짱</t>
  </si>
  <si>
    <t>1266</t>
  </si>
  <si>
    <t>143-865</t>
  </si>
  <si>
    <t xml:space="preserve">서울특별시 광진구 자양동 608-19번지 </t>
  </si>
  <si>
    <t>서울특별시 광진구 뚝섬로 596 (자양동)</t>
  </si>
  <si>
    <t>05098</t>
  </si>
  <si>
    <t>1267</t>
  </si>
  <si>
    <t>122-040</t>
  </si>
  <si>
    <t xml:space="preserve">서울특별시 은평구 불광동 314-3번지 ,309-25 (지층) </t>
  </si>
  <si>
    <t>서울특별시 은평구 연서로 269 (불광동,,309-25 (지층))</t>
  </si>
  <si>
    <t>03342</t>
  </si>
  <si>
    <t>고구려</t>
  </si>
  <si>
    <t>1268</t>
  </si>
  <si>
    <t xml:space="preserve">서울특별시 강서구 화곡동 782-13 (지하 1층) </t>
  </si>
  <si>
    <t>서울특별시 강서구 곰달래로60길 27, 지하 1층 (화곡동, 4동)</t>
  </si>
  <si>
    <t>07786</t>
  </si>
  <si>
    <t>1269</t>
  </si>
  <si>
    <t xml:space="preserve">서울특별시 영등포구 당산동3가 373 지하1층 </t>
  </si>
  <si>
    <t>서울특별시 영등포구 당산로27길 3 (당산동3가, 지하1층)</t>
  </si>
  <si>
    <t>07260</t>
  </si>
  <si>
    <t>1270</t>
  </si>
  <si>
    <t xml:space="preserve">서울특별시 송파구 방이동 111-15 지하1층 </t>
  </si>
  <si>
    <t>서울특별시 송파구 오금로19길 13, 지하1층 (방이동)</t>
  </si>
  <si>
    <t>05641</t>
  </si>
  <si>
    <t>1271</t>
  </si>
  <si>
    <t xml:space="preserve">서울특별시 강남구 논현동 106-18번지 </t>
  </si>
  <si>
    <t>서울특별시 강남구 언주로136길 7 (논현동)</t>
  </si>
  <si>
    <t>라이브 7080</t>
  </si>
  <si>
    <t>1272</t>
  </si>
  <si>
    <t xml:space="preserve">서울특별시 영등포구 양평동1가 13-31 </t>
  </si>
  <si>
    <t>서울특별시 영등포구 선유로 81 (양평동1가)</t>
  </si>
  <si>
    <t>07279</t>
  </si>
  <si>
    <t>1273</t>
  </si>
  <si>
    <t>134-822</t>
  </si>
  <si>
    <t xml:space="preserve">서울특별시 강동구 둔촌동 452 </t>
  </si>
  <si>
    <t>서울특별시 강동구 진황도로 154, 지1층 (둔촌동)</t>
  </si>
  <si>
    <t>05364</t>
  </si>
  <si>
    <t>아지트 7080</t>
  </si>
  <si>
    <t>1274</t>
  </si>
  <si>
    <t xml:space="preserve">서울특별시 송파구 석촌동 5-8 지하1층 </t>
  </si>
  <si>
    <t>서울특별시 송파구 백제고분로33길 25, 지하1층 (석촌동)</t>
  </si>
  <si>
    <t>1275</t>
  </si>
  <si>
    <t>135-811</t>
  </si>
  <si>
    <t xml:space="preserve">서울특별시 강남구 논현동 4-19번지 </t>
  </si>
  <si>
    <t>서울특별시 강남구 도산대로 132 (논현동)</t>
  </si>
  <si>
    <t>06039</t>
  </si>
  <si>
    <t>1276</t>
  </si>
  <si>
    <t xml:space="preserve">서울특별시 중구 신당동 110-13번지 </t>
  </si>
  <si>
    <t>서울특별시 중구 다산로44길 11 (신당동)</t>
  </si>
  <si>
    <t>프라다</t>
  </si>
  <si>
    <t>1277</t>
  </si>
  <si>
    <t>138-858</t>
  </si>
  <si>
    <t xml:space="preserve">서울특별시 송파구 오금동 79-0번지 </t>
  </si>
  <si>
    <t>서울특별시 송파구 마천로15길 3 (오금동)</t>
  </si>
  <si>
    <t>05724</t>
  </si>
  <si>
    <t>메들리 7080</t>
  </si>
  <si>
    <t>1278</t>
  </si>
  <si>
    <t xml:space="preserve">서울특별시 관악구 신림동 1429-2 </t>
  </si>
  <si>
    <t>서울특별시 관악구 봉천로 236 (신림동)</t>
  </si>
  <si>
    <t>앵콜</t>
  </si>
  <si>
    <t>1279</t>
  </si>
  <si>
    <t xml:space="preserve">서울특별시 은평구 응암동 595-1 (지층) </t>
  </si>
  <si>
    <t>서울특별시 은평구 응암로 169 (응암동,(지층))</t>
  </si>
  <si>
    <t>샤델</t>
  </si>
  <si>
    <t>1280</t>
  </si>
  <si>
    <t xml:space="preserve">서울특별시 금천구 독산동 1019-1번지 지하1층 </t>
  </si>
  <si>
    <t>서울특별시 금천구 독산로75길 7 (독산동, 지하1층)</t>
  </si>
  <si>
    <t>08578</t>
  </si>
  <si>
    <t>올래</t>
  </si>
  <si>
    <t>1281</t>
  </si>
  <si>
    <t xml:space="preserve">서울특별시 강서구 화곡동 894-17 (지하 1층) </t>
  </si>
  <si>
    <t>서울특별시 강서구 강서로 22, 지하 1층 (화곡동, 8동)</t>
  </si>
  <si>
    <t>하트</t>
  </si>
  <si>
    <t>1282</t>
  </si>
  <si>
    <t xml:space="preserve">서울특별시 중랑구 면목동 607-23 </t>
  </si>
  <si>
    <t>서울특별시 중랑구 사가정로 357, 지하1층 (면목동)</t>
  </si>
  <si>
    <t>세시봉 라이브</t>
  </si>
  <si>
    <t>1283</t>
  </si>
  <si>
    <t xml:space="preserve">서울특별시 양천구 신정동 1190-16 지하 1층 </t>
  </si>
  <si>
    <t>서울특별시 양천구 중앙로45길 8-30, 지하 1층 (신정동)</t>
  </si>
  <si>
    <t>1284</t>
  </si>
  <si>
    <t xml:space="preserve">서울특별시 양천구 신정동 973-32 지하 1층 </t>
  </si>
  <si>
    <t>서울특별시 양천구 신월로 297, 지하 1층 (신정동)</t>
  </si>
  <si>
    <t>08027</t>
  </si>
  <si>
    <t>일번지7080</t>
  </si>
  <si>
    <t>1285</t>
  </si>
  <si>
    <t>158-856</t>
  </si>
  <si>
    <t xml:space="preserve">서울특별시 양천구 신정동 887-8 지하 1층 </t>
  </si>
  <si>
    <t>서울특별시 양천구 신정중앙로 95, 지하 1층 (신정동)</t>
  </si>
  <si>
    <t>07938</t>
  </si>
  <si>
    <t>코코</t>
  </si>
  <si>
    <t>1286</t>
  </si>
  <si>
    <t xml:space="preserve">서울특별시 광진구 중곡동 92-9 </t>
  </si>
  <si>
    <t>서울특별시 광진구 용마산로 16 (중곡동)</t>
  </si>
  <si>
    <t>04950</t>
  </si>
  <si>
    <t>콜미</t>
  </si>
  <si>
    <t>1287</t>
  </si>
  <si>
    <t xml:space="preserve">서울특별시 강남구 신사동 666-7번지 </t>
  </si>
  <si>
    <t>서울특별시 강남구 선릉로 807 (신사동)</t>
  </si>
  <si>
    <t>06019</t>
  </si>
  <si>
    <t>1288</t>
  </si>
  <si>
    <t xml:space="preserve">서울특별시 영등포구 영등포동5가 46-2 </t>
  </si>
  <si>
    <t>서울특별시 영등포구 영중로24길 3 (영등포동5가)</t>
  </si>
  <si>
    <t>엠비씨</t>
  </si>
  <si>
    <t>1289</t>
  </si>
  <si>
    <t>140-738</t>
  </si>
  <si>
    <t xml:space="preserve">서울특별시 용산구 한남동 657-201 지하 </t>
  </si>
  <si>
    <t>서울특별시 용산구 한남대로21길 14 (한남동,지하)</t>
  </si>
  <si>
    <t>맘마미아</t>
  </si>
  <si>
    <t>1290</t>
  </si>
  <si>
    <t xml:space="preserve">서울특별시 용산구 한남동 657-70번지 지하1층 </t>
  </si>
  <si>
    <t>서울특별시 용산구 대사관로31길 19 (한남동, 657-70 지하1층)</t>
  </si>
  <si>
    <t>슈라이브</t>
  </si>
  <si>
    <t>1291</t>
  </si>
  <si>
    <t>138-839</t>
  </si>
  <si>
    <t xml:space="preserve">서울특별시 송파구 삼전동 102-9 </t>
  </si>
  <si>
    <t>서울특별시 송파구 백제고분로27길 6 (삼전동)</t>
  </si>
  <si>
    <t>05604</t>
  </si>
  <si>
    <t>1292</t>
  </si>
  <si>
    <t xml:space="preserve">서울특별시 송파구 석촌동 2-1 지하1층 </t>
  </si>
  <si>
    <t>서울특별시 송파구 송파대로49길 65, 지하1층 (석촌동)</t>
  </si>
  <si>
    <t>샤인 LIVE</t>
  </si>
  <si>
    <t>1293</t>
  </si>
  <si>
    <t xml:space="preserve">서울특별시 용산구 한강로1가 231-25번지 지하1층 </t>
  </si>
  <si>
    <t>서울특별시 용산구 한강대로62길 16 (한강로1가, 지하1층)</t>
  </si>
  <si>
    <t>탈렌트</t>
  </si>
  <si>
    <t>1294</t>
  </si>
  <si>
    <t xml:space="preserve">서울특별시 용산구 이촌동 302-65번지 </t>
  </si>
  <si>
    <t>서울특별시 용산구 이촌로54길 13 (이촌동, 302-65 지상2층)</t>
  </si>
  <si>
    <t>보스톤</t>
  </si>
  <si>
    <t>1295</t>
  </si>
  <si>
    <t xml:space="preserve">서울특별시 용산구 이태원동 132-4 (지하1층) </t>
  </si>
  <si>
    <t>서울특별시 용산구 우사단로 37 (이태원동,(지하1층))</t>
  </si>
  <si>
    <t>왕소라</t>
  </si>
  <si>
    <t>1296</t>
  </si>
  <si>
    <t xml:space="preserve">서울특별시 강남구 신사동 502-2 </t>
  </si>
  <si>
    <t>서울특별시 강남구 강남대로156길 8 (신사동)</t>
  </si>
  <si>
    <t>리버힐 노래</t>
  </si>
  <si>
    <t>1297</t>
  </si>
  <si>
    <t xml:space="preserve">서울특별시 중랑구 망우동 491-50 </t>
  </si>
  <si>
    <t>서울특별시 중랑구 용마산로115길 85 (망우동)</t>
  </si>
  <si>
    <t>02167</t>
  </si>
  <si>
    <t>애플</t>
  </si>
  <si>
    <t>1298</t>
  </si>
  <si>
    <t xml:space="preserve">서울특별시 영등포구 당산동3가 127-5번지 지하1층 </t>
  </si>
  <si>
    <t>서울특별시 영등포구 당산로32길 9, 지하1층 (당산동3가)</t>
  </si>
  <si>
    <t>씨티</t>
  </si>
  <si>
    <t>1299</t>
  </si>
  <si>
    <t xml:space="preserve">서울특별시 종로구 낙원동 93 </t>
  </si>
  <si>
    <t>서울특별시 종로구 삼일대로26길 6, 지하 1층 (낙원동)</t>
  </si>
  <si>
    <t>사운드(SOUND)</t>
  </si>
  <si>
    <t>1300</t>
  </si>
  <si>
    <t>143-867</t>
  </si>
  <si>
    <t xml:space="preserve">서울특별시 광진구 자양동 634-12 </t>
  </si>
  <si>
    <t>서울특별시 광진구 자양로13길 83 (자양동)</t>
  </si>
  <si>
    <t>05061</t>
  </si>
  <si>
    <t>7080라이브일번지</t>
  </si>
  <si>
    <t>1301</t>
  </si>
  <si>
    <t>157-896</t>
  </si>
  <si>
    <t xml:space="preserve">서울특별시 강서구 화곡동 772-71 지하 1층 </t>
  </si>
  <si>
    <t>서울특별시 강서구 등촌로 55, 지하 1층 (화곡동, 4동)</t>
  </si>
  <si>
    <t>07741</t>
  </si>
  <si>
    <t>골든벨노래바</t>
  </si>
  <si>
    <t>1302</t>
  </si>
  <si>
    <t>138-845</t>
  </si>
  <si>
    <t xml:space="preserve">서울특별시 송파구 석촌동 251-4번지 </t>
  </si>
  <si>
    <t>서울특별시 송파구 가락로 69 (석촌동)</t>
  </si>
  <si>
    <t>05690</t>
  </si>
  <si>
    <t>카네기</t>
  </si>
  <si>
    <t>1303</t>
  </si>
  <si>
    <t>150-851</t>
  </si>
  <si>
    <t xml:space="preserve">서울특별시 영등포구 신길동 436-26 지하1층 </t>
  </si>
  <si>
    <t>서울특별시 영등포구 도림로 220 (신길동, 지하1층)</t>
  </si>
  <si>
    <t>07424</t>
  </si>
  <si>
    <t>뱅뱅뱅노래바</t>
  </si>
  <si>
    <t>1304</t>
  </si>
  <si>
    <t>150-837</t>
  </si>
  <si>
    <t xml:space="preserve">서울특별시 영등포구 신길동 65-52 </t>
  </si>
  <si>
    <t>서울특별시 영등포구 영등포로 385 (신길동)</t>
  </si>
  <si>
    <t>07318</t>
  </si>
  <si>
    <t>뉴콘서트</t>
  </si>
  <si>
    <t>1305</t>
  </si>
  <si>
    <t>143-904</t>
  </si>
  <si>
    <t xml:space="preserve">서울특별시 광진구 중곡동 244-3번지 </t>
  </si>
  <si>
    <t>서울특별시 광진구 긴고랑로 34 (중곡동)</t>
  </si>
  <si>
    <t>탑노래바</t>
  </si>
  <si>
    <t>1306</t>
  </si>
  <si>
    <t xml:space="preserve">서울특별시 은평구 응암동 124-17 (지하1층) </t>
  </si>
  <si>
    <t>서울특별시 은평구 응암로 247 (응암동,(지하1층))</t>
  </si>
  <si>
    <t>카네기라이브</t>
  </si>
  <si>
    <t>1307</t>
  </si>
  <si>
    <t xml:space="preserve">서울특별시 은평구 불광동 281-52번지 </t>
  </si>
  <si>
    <t>서울특별시 은평구 통일로66길 11 (불광동)</t>
  </si>
  <si>
    <t>골목</t>
  </si>
  <si>
    <t>1308</t>
  </si>
  <si>
    <t>133-805</t>
  </si>
  <si>
    <t xml:space="preserve">서울특별시 성동구 금호동3가 421번지 </t>
  </si>
  <si>
    <t>서울특별시 성동구 장터길 49 (금호동3가)</t>
  </si>
  <si>
    <t>04730</t>
  </si>
  <si>
    <t>1309</t>
  </si>
  <si>
    <t>130-869</t>
  </si>
  <si>
    <t xml:space="preserve">서울특별시 동대문구 청량리동 519-0번지 (제기로 88) </t>
  </si>
  <si>
    <t>서울특별시 동대문구 홍릉로 71 (청량리동,(제기로 88))</t>
  </si>
  <si>
    <t>02483</t>
  </si>
  <si>
    <t>서울서울단란주점</t>
  </si>
  <si>
    <t>1310</t>
  </si>
  <si>
    <t>156-808</t>
  </si>
  <si>
    <t xml:space="preserve">서울특별시 동작구 대방동 336-12번지 </t>
  </si>
  <si>
    <t>서울특별시 동작구 상도로 78 (대방동)</t>
  </si>
  <si>
    <t>굿타임 노래짱</t>
  </si>
  <si>
    <t>1311</t>
  </si>
  <si>
    <t>151-830</t>
  </si>
  <si>
    <t xml:space="preserve">서울특별시 관악구 봉천동 971-4 </t>
  </si>
  <si>
    <t>서울특별시 관악구 보라매로 2 (봉천동)</t>
  </si>
  <si>
    <t>08722</t>
  </si>
  <si>
    <t>캠프(camp)7080</t>
  </si>
  <si>
    <t>1312</t>
  </si>
  <si>
    <t>158-833</t>
  </si>
  <si>
    <t xml:space="preserve">서울특별시 양천구 신월동 444-11 지하 1층 </t>
  </si>
  <si>
    <t>서울특별시 양천구 오목로 45, 지하 1층 (신월동)</t>
  </si>
  <si>
    <t>07930</t>
  </si>
  <si>
    <t>케이쓰리</t>
  </si>
  <si>
    <t>1313</t>
  </si>
  <si>
    <t xml:space="preserve">서울특별시 금천구 독산동 960-14 지하1층 </t>
  </si>
  <si>
    <t>서울특별시 금천구 독산로 360, 지하1층 (독산동)</t>
  </si>
  <si>
    <t>쿨노래빠</t>
  </si>
  <si>
    <t>1314</t>
  </si>
  <si>
    <t>156-811</t>
  </si>
  <si>
    <t xml:space="preserve">서울특별시 동작구 대방동 416-4 </t>
  </si>
  <si>
    <t>서울특별시 동작구 여의대방로24가길 22 (대방동)</t>
  </si>
  <si>
    <t>07055</t>
  </si>
  <si>
    <t>우주가요주점</t>
  </si>
  <si>
    <t>1315</t>
  </si>
  <si>
    <t xml:space="preserve">서울특별시 송파구 방이동 223-8 </t>
  </si>
  <si>
    <t>서울특별시 송파구 오금로31길 5 (방이동)</t>
  </si>
  <si>
    <t>05645</t>
  </si>
  <si>
    <t>블랙홀</t>
  </si>
  <si>
    <t>1316</t>
  </si>
  <si>
    <t xml:space="preserve">서울특별시 동작구 상도동 337-14번지 </t>
  </si>
  <si>
    <t>서울특별시 동작구 상도로 99-6 (상도동)</t>
  </si>
  <si>
    <t>06952</t>
  </si>
  <si>
    <t>1317</t>
  </si>
  <si>
    <t xml:space="preserve">서울특별시 은평구 녹번동 155-1번지 (지층) </t>
  </si>
  <si>
    <t>서울특별시 은평구 서오릉로 29 (녹번동,(지층))</t>
  </si>
  <si>
    <t>쉘부르</t>
  </si>
  <si>
    <t>1318</t>
  </si>
  <si>
    <t xml:space="preserve">서울특별시 구로구 구로동 416-25번지 </t>
  </si>
  <si>
    <t>서울특별시 구로구 구로동로 170 (구로동)</t>
  </si>
  <si>
    <t>08285</t>
  </si>
  <si>
    <t>가요 노래짱</t>
  </si>
  <si>
    <t>1319</t>
  </si>
  <si>
    <t>133-110</t>
  </si>
  <si>
    <t xml:space="preserve">서울특별시 성동구 성수동1가 289번지 ,290, 694-68 </t>
  </si>
  <si>
    <t>서울특별시 성동구 성덕정길 71 (성수동1가,,290, 694-68)</t>
  </si>
  <si>
    <t>1320</t>
  </si>
  <si>
    <t>150-801</t>
  </si>
  <si>
    <t xml:space="preserve">서울특별시 영등포구 당산동1가 267-0 </t>
  </si>
  <si>
    <t>서울특별시 영등포구 양산로 138 (당산동1가)</t>
  </si>
  <si>
    <t>07265</t>
  </si>
  <si>
    <t>늘봄</t>
  </si>
  <si>
    <t>1321</t>
  </si>
  <si>
    <t xml:space="preserve">서울특별시 광진구 군자동 476-1번지 </t>
  </si>
  <si>
    <t>서울특별시 광진구 군자로 182 (군자동)</t>
  </si>
  <si>
    <t>무지개</t>
  </si>
  <si>
    <t>1322</t>
  </si>
  <si>
    <t>142-879</t>
  </si>
  <si>
    <t xml:space="preserve">서울특별시 강북구 수유동 273-32 </t>
  </si>
  <si>
    <t>서울특별시 강북구 한천로 1167 (수유동)</t>
  </si>
  <si>
    <t>01037</t>
  </si>
  <si>
    <t>1323</t>
  </si>
  <si>
    <t xml:space="preserve">서울특별시 영등포구 신길동 215-5 </t>
  </si>
  <si>
    <t>서울특별시 영등포구 도신로 189, 지층 (신길동)</t>
  </si>
  <si>
    <t>07314</t>
  </si>
  <si>
    <t>1324</t>
  </si>
  <si>
    <t xml:space="preserve">서울특별시 성동구 금호동3가 303번지 </t>
  </si>
  <si>
    <t>서울특별시 성동구 독서당로 307-1 (금호동3가)</t>
  </si>
  <si>
    <t>지연단란주점</t>
  </si>
  <si>
    <t>1325</t>
  </si>
  <si>
    <t xml:space="preserve">서울특별시 강서구 화곡동 357-20 (지하 1층) </t>
  </si>
  <si>
    <t>서울특별시 강서구 곰달래로 59, 지하 1층 (화곡동, 1동)</t>
  </si>
  <si>
    <t>터널</t>
  </si>
  <si>
    <t>1326</t>
  </si>
  <si>
    <t xml:space="preserve">서울특별시 광진구 화양동 7-11 </t>
  </si>
  <si>
    <t>서울특별시 광진구 동일로22길 102 (화양동)</t>
  </si>
  <si>
    <t>엔젤</t>
  </si>
  <si>
    <t>1327</t>
  </si>
  <si>
    <t xml:space="preserve">서울특별시 관악구 봉천동 931-11 </t>
  </si>
  <si>
    <t>서울특별시 관악구 봉천로 372 (봉천동)</t>
  </si>
  <si>
    <t>프린스</t>
  </si>
  <si>
    <t>1328</t>
  </si>
  <si>
    <t xml:space="preserve">서울특별시 서대문구 남가좌동 268-15 26,27 </t>
  </si>
  <si>
    <t>올리브</t>
  </si>
  <si>
    <t>1329</t>
  </si>
  <si>
    <t xml:space="preserve">서울특별시 관악구 봉천동 923-2번지 </t>
  </si>
  <si>
    <t>서울특별시 관악구 남부순환로 1751 (봉천동)</t>
  </si>
  <si>
    <t>1330</t>
  </si>
  <si>
    <t xml:space="preserve">서울특별시 중랑구 상봉동 89-20 </t>
  </si>
  <si>
    <t>서울특별시 중랑구 망우로50길 23 (상봉동)</t>
  </si>
  <si>
    <t>스카이</t>
  </si>
  <si>
    <t>1331</t>
  </si>
  <si>
    <t xml:space="preserve">서울특별시 중랑구 면목동 91-65 </t>
  </si>
  <si>
    <t>서울특별시 중랑구 면목로 454 (면목동)</t>
  </si>
  <si>
    <t>02155</t>
  </si>
  <si>
    <t>휴7080</t>
  </si>
  <si>
    <t>1332</t>
  </si>
  <si>
    <t>122-832</t>
  </si>
  <si>
    <t xml:space="preserve">서울특별시 은평구 녹번동 131-77 (지층) </t>
  </si>
  <si>
    <t>서울특별시 은평구 진흥로 168 (녹번동,(지층))</t>
  </si>
  <si>
    <t>1333</t>
  </si>
  <si>
    <t>150-043</t>
  </si>
  <si>
    <t xml:space="preserve">서울특별시 영등포구 당산동3가 174-0번지 ,175-4 지하1층 </t>
  </si>
  <si>
    <t>서울특별시 영등포구 국회대로34길 8 (당산동3가, ,175-4 지하1층)</t>
  </si>
  <si>
    <t>지중해</t>
  </si>
  <si>
    <t>1334</t>
  </si>
  <si>
    <t xml:space="preserve">서울특별시 노원구 상계동 389-688 지하1층 </t>
  </si>
  <si>
    <t>서울특별시 노원구 상계로 143, 지하1층 (상계동)</t>
  </si>
  <si>
    <t>하나비</t>
  </si>
  <si>
    <t>1335</t>
  </si>
  <si>
    <t>133-040</t>
  </si>
  <si>
    <t xml:space="preserve">서울특별시 성동구 도선동 253-5 ,6,9 </t>
  </si>
  <si>
    <t>서울특별시 성동구 왕십리로24길 3 (도선동,,6,9)</t>
  </si>
  <si>
    <t>1336</t>
  </si>
  <si>
    <t>133-881</t>
  </si>
  <si>
    <t xml:space="preserve">서울특별시 성동구 홍익동 354 </t>
  </si>
  <si>
    <t>서울특별시 성동구 마장로 192-1 (홍익동)</t>
  </si>
  <si>
    <t>태양노래주점</t>
  </si>
  <si>
    <t>1337</t>
  </si>
  <si>
    <t xml:space="preserve">서울특별시 동대문구 용두동 118-82 (무학로 91) </t>
  </si>
  <si>
    <t>서울특별시 동대문구 무학로 112 (용두동,(무학로 91))</t>
  </si>
  <si>
    <t>02584</t>
  </si>
  <si>
    <t>1338</t>
  </si>
  <si>
    <t xml:space="preserve">서울특별시 서초구 서초동 1571-6 </t>
  </si>
  <si>
    <t>서울특별시 서초구 반포대로28길 65-4 (서초동)</t>
  </si>
  <si>
    <t>칸</t>
  </si>
  <si>
    <t>1339</t>
  </si>
  <si>
    <t>122-841</t>
  </si>
  <si>
    <t xml:space="preserve">서울특별시 은평구 대조동 179-49 (지하1층) </t>
  </si>
  <si>
    <t>서울특별시 은평구 서오릉로 72 (대조동,(지하1층))</t>
  </si>
  <si>
    <t>03395</t>
  </si>
  <si>
    <t>2번출구노래밤</t>
  </si>
  <si>
    <t>1340</t>
  </si>
  <si>
    <t xml:space="preserve">서울특별시 중랑구 묵동 168-18번지 </t>
  </si>
  <si>
    <t>서울특별시 중랑구 중랑역로 257 (묵동)</t>
  </si>
  <si>
    <t>무크단란주점</t>
  </si>
  <si>
    <t>1341</t>
  </si>
  <si>
    <t>143-822</t>
  </si>
  <si>
    <t xml:space="preserve">서울특별시 광진구 구의동 218-16 </t>
  </si>
  <si>
    <t>서울특별시 광진구 아차산로 442 (구의동)</t>
  </si>
  <si>
    <t>05047</t>
  </si>
  <si>
    <t>태평양7080</t>
  </si>
  <si>
    <t>1342</t>
  </si>
  <si>
    <t xml:space="preserve">서울특별시 영등포구 도림동 180-6번지 지하1층 </t>
  </si>
  <si>
    <t>서울특별시 영등포구 도림로 367 (도림동, 지하1층)</t>
  </si>
  <si>
    <t>홍진노래포차</t>
  </si>
  <si>
    <t>1343</t>
  </si>
  <si>
    <t>121-809</t>
  </si>
  <si>
    <t xml:space="preserve">서울특별시 마포구 대흥동 303번지 </t>
  </si>
  <si>
    <t>서울특별시 마포구 대흥로 82 (대흥동, 지하1층)</t>
  </si>
  <si>
    <t>04149</t>
  </si>
  <si>
    <t>미스미스노래짱</t>
  </si>
  <si>
    <t>1344</t>
  </si>
  <si>
    <t xml:space="preserve">서울특별시 금천구 시흥동 890-15 지하1층 </t>
  </si>
  <si>
    <t>서울특별시 금천구 시흥대로50길 9, 지하1층 (시흥동)</t>
  </si>
  <si>
    <t>1345</t>
  </si>
  <si>
    <t xml:space="preserve">서울특별시 구로구 구로동 600-14번지 </t>
  </si>
  <si>
    <t>서울특별시 구로구 경인로 556 (구로동)</t>
  </si>
  <si>
    <t>08278</t>
  </si>
  <si>
    <t>쿨</t>
  </si>
  <si>
    <t>1346</t>
  </si>
  <si>
    <t>135-881</t>
  </si>
  <si>
    <t xml:space="preserve">서울특별시 강남구 삼성동 165-4번지 </t>
  </si>
  <si>
    <t>서울특별시 강남구 봉은사로112길 16 (삼성동)</t>
  </si>
  <si>
    <t>06172</t>
  </si>
  <si>
    <t>텐프로 노래밤</t>
  </si>
  <si>
    <t>1347</t>
  </si>
  <si>
    <t xml:space="preserve">서울특별시 동대문구 신설동 102-12번지 </t>
  </si>
  <si>
    <t>서울특별시 동대문구 천호대로 15, 지하1층 (신설동)</t>
  </si>
  <si>
    <t>쉬리</t>
  </si>
  <si>
    <t>1348</t>
  </si>
  <si>
    <t>121-841</t>
  </si>
  <si>
    <t xml:space="preserve">서울특별시 마포구 서교동 449-35번지 </t>
  </si>
  <si>
    <t>서울특별시 마포구 월드컵북로 41 (서교동, 지하1층)</t>
  </si>
  <si>
    <t>04000</t>
  </si>
  <si>
    <t>노래바CEO</t>
  </si>
  <si>
    <t>1349</t>
  </si>
  <si>
    <t xml:space="preserve">서울특별시 강동구 암사동 505-11번지 </t>
  </si>
  <si>
    <t>서울특별시 강동구 올림픽로 823 (암사동)</t>
  </si>
  <si>
    <t>05241</t>
  </si>
  <si>
    <t>골든벨</t>
  </si>
  <si>
    <t>1350</t>
  </si>
  <si>
    <t xml:space="preserve">서울특별시 강동구 성내동 379-33 </t>
  </si>
  <si>
    <t>서울특별시 강동구 양재대로 1429 (성내동)</t>
  </si>
  <si>
    <t>도라도라주점</t>
  </si>
  <si>
    <t>1351</t>
  </si>
  <si>
    <t>서울특별시 양천구 신정동 1182-2 지하 1층 103~105호</t>
  </si>
  <si>
    <t>서울특별시 양천구 중앙로 251, 지하 1층 103~105호 (신정동)</t>
  </si>
  <si>
    <t>귀빈노래바</t>
  </si>
  <si>
    <t>1352</t>
  </si>
  <si>
    <t>143-824</t>
  </si>
  <si>
    <t xml:space="preserve">서울특별시 광진구 구의동 234-27 </t>
  </si>
  <si>
    <t>서울특별시 광진구 광나루로 508 (구의동)</t>
  </si>
  <si>
    <t>05031</t>
  </si>
  <si>
    <t>1353</t>
  </si>
  <si>
    <t xml:space="preserve">서울특별시 송파구 삼전동 119-22번지 지하1층 </t>
  </si>
  <si>
    <t>서울특별시 송파구 백제고분로31길 5, 지하1층 (삼전동)</t>
  </si>
  <si>
    <t>바비싱</t>
  </si>
  <si>
    <t>1354</t>
  </si>
  <si>
    <t xml:space="preserve">서울특별시 영등포구 당산동2가 30-13번지 지하1층 </t>
  </si>
  <si>
    <t>서울특별시 영등포구 영등포로 89, 지하1층 (당산동2가)</t>
  </si>
  <si>
    <t>붕가붕가</t>
  </si>
  <si>
    <t>1355</t>
  </si>
  <si>
    <t xml:space="preserve">서울특별시 은평구 대조동 219-28 (지층) </t>
  </si>
  <si>
    <t>서울특별시 은평구 연서로 190 (대조동,(지층))</t>
  </si>
  <si>
    <t>노래하는황금마차</t>
  </si>
  <si>
    <t>1356</t>
  </si>
  <si>
    <t xml:space="preserve">서울특별시 중랑구 묵동 239-144 </t>
  </si>
  <si>
    <t>서울특별시 중랑구 동일로163길 15 (묵동)</t>
  </si>
  <si>
    <t>행운별</t>
  </si>
  <si>
    <t>1357</t>
  </si>
  <si>
    <t xml:space="preserve">서울특별시 금천구 독산동 961-8 지하1층 </t>
  </si>
  <si>
    <t>서울특별시 금천구 독산로 346 (독산동, 지하1층)</t>
  </si>
  <si>
    <t>1358</t>
  </si>
  <si>
    <t>153-812</t>
  </si>
  <si>
    <t xml:space="preserve">서울특별시 금천구 독산동 289-6번지 지하1층 </t>
  </si>
  <si>
    <t>서울특별시 금천구 시흥대로123길 7, 지하1층 (독산동)</t>
  </si>
  <si>
    <t>썬</t>
  </si>
  <si>
    <t>1359</t>
  </si>
  <si>
    <t xml:space="preserve">서울특별시 서대문구 홍제동 326-38 3층 </t>
  </si>
  <si>
    <t>서울특별시 서대문구 통일로 477-1, 3층 (홍제동)</t>
  </si>
  <si>
    <t>불러</t>
  </si>
  <si>
    <t>1360</t>
  </si>
  <si>
    <t xml:space="preserve">서울특별시 금천구 독산동 289-11 지하1층 (두산길 6) </t>
  </si>
  <si>
    <t>서울특별시 금천구 두산로 83 (독산동,지하1층 (두산길 6))</t>
  </si>
  <si>
    <t>1361</t>
  </si>
  <si>
    <t>138-810</t>
  </si>
  <si>
    <t xml:space="preserve">서울특별시 송파구 가락동 167-7번지 </t>
  </si>
  <si>
    <t>서울특별시 송파구 오금로44가길 4 (가락동)</t>
  </si>
  <si>
    <t>05769</t>
  </si>
  <si>
    <t>GC라이브</t>
  </si>
  <si>
    <t>1362</t>
  </si>
  <si>
    <t xml:space="preserve">서울특별시 양천구 신정동 973-33 지하 1층 </t>
  </si>
  <si>
    <t>서울특별시 양천구 신월로 295, 지하 1층 (신정동)</t>
  </si>
  <si>
    <t>인경노래바</t>
  </si>
  <si>
    <t>1363</t>
  </si>
  <si>
    <t>151-822</t>
  </si>
  <si>
    <t xml:space="preserve">서울특별시 관악구 봉천동 871-65 </t>
  </si>
  <si>
    <t>서울특별시 관악구 봉천로 465 (봉천동)</t>
  </si>
  <si>
    <t>08745</t>
  </si>
  <si>
    <t>미소단란주점</t>
  </si>
  <si>
    <t>1364</t>
  </si>
  <si>
    <t>130-845</t>
  </si>
  <si>
    <t xml:space="preserve">서울특별시 동대문구 장안동 433-8번지 지하1층 </t>
  </si>
  <si>
    <t>서울특별시 동대문구 장한로2길 7, 지하1층 (장안동)</t>
  </si>
  <si>
    <t>투썸</t>
  </si>
  <si>
    <t>1365</t>
  </si>
  <si>
    <t xml:space="preserve">서울특별시 은평구 응암동 104-40번지 지하1층 </t>
  </si>
  <si>
    <t>서울특별시 은평구 응암로 296, 지하1층 (응암동)</t>
  </si>
  <si>
    <t>03464</t>
  </si>
  <si>
    <t>라이브메들리락</t>
  </si>
  <si>
    <t>1366</t>
  </si>
  <si>
    <t xml:space="preserve">서울특별시 용산구 한남동 627-5번지 (지층) </t>
  </si>
  <si>
    <t>서울특별시 용산구 대사관로34길 25 (한남동,(지층))</t>
  </si>
  <si>
    <t>도쿄라이브러리</t>
  </si>
  <si>
    <t>1367</t>
  </si>
  <si>
    <t xml:space="preserve">서울특별시 중랑구 상봉동 85-58 </t>
  </si>
  <si>
    <t>서울특별시 중랑구 봉우재로 173 (상봉동)</t>
  </si>
  <si>
    <t>02152</t>
  </si>
  <si>
    <t>1368</t>
  </si>
  <si>
    <t xml:space="preserve">서울특별시 송파구 거여동 133-19 </t>
  </si>
  <si>
    <t>서울특별시 송파구 거마로 49 (거여동)</t>
  </si>
  <si>
    <t>1369</t>
  </si>
  <si>
    <t xml:space="preserve">서울특별시 강서구 화곡동 794-12 외 2필지 (지하 1층) </t>
  </si>
  <si>
    <t>서울특별시 강서구 곰달래로 246, 지하 1층 (화곡동, 4동)</t>
  </si>
  <si>
    <t>달래야7080</t>
  </si>
  <si>
    <t>1370</t>
  </si>
  <si>
    <t>156-830</t>
  </si>
  <si>
    <t xml:space="preserve">서울특별시 동작구 상도1동 755-0 </t>
  </si>
  <si>
    <t>서울특별시 동작구 상도로 275 (상도1동)</t>
  </si>
  <si>
    <t>06968</t>
  </si>
  <si>
    <t>울리불리 7080</t>
  </si>
  <si>
    <t>1371</t>
  </si>
  <si>
    <t xml:space="preserve">서울특별시 도봉구 방학동 689-15 지하1층 </t>
  </si>
  <si>
    <t>서울특별시 도봉구 방학로 112, 지하1층 (방학동)</t>
  </si>
  <si>
    <t>제니스</t>
  </si>
  <si>
    <t>1372</t>
  </si>
  <si>
    <t xml:space="preserve">서울특별시 서대문구 창천동 72-5 (지하1층) </t>
  </si>
  <si>
    <t>서울특별시 서대문구 연세로5다길 5 (창천동,(지하1층))</t>
  </si>
  <si>
    <t>03789</t>
  </si>
  <si>
    <t>귀족</t>
  </si>
  <si>
    <t>1373</t>
  </si>
  <si>
    <t xml:space="preserve">서울특별시 마포구 공덕동 105-94번지 </t>
  </si>
  <si>
    <t>서울특별시 마포구 마포대로16길 8 (공덕동)</t>
  </si>
  <si>
    <t>04207</t>
  </si>
  <si>
    <t>러브노래큐</t>
  </si>
  <si>
    <t>1374</t>
  </si>
  <si>
    <t>158-840</t>
  </si>
  <si>
    <t xml:space="preserve">서울특별시 양천구 신월동 534-9 지하 1층 </t>
  </si>
  <si>
    <t>서울특별시 양천구 월정로 7, 지하 1층 (신월동)</t>
  </si>
  <si>
    <t>08030</t>
  </si>
  <si>
    <t>청기와</t>
  </si>
  <si>
    <t>1375</t>
  </si>
  <si>
    <t xml:space="preserve">서울특별시 관악구 신림동 1651-11번지 </t>
  </si>
  <si>
    <t>서울특별시 관악구 조원로 34 (신림동)</t>
  </si>
  <si>
    <t>구디(9D)</t>
  </si>
  <si>
    <t>1376</t>
  </si>
  <si>
    <t>138-820</t>
  </si>
  <si>
    <t xml:space="preserve">서울특별시 송파구 마천동 190-40 </t>
  </si>
  <si>
    <t>서울특별시 송파구 마천로51길 32-1 (마천동)</t>
  </si>
  <si>
    <t>05758</t>
  </si>
  <si>
    <t>막내노래포차</t>
  </si>
  <si>
    <t>1377</t>
  </si>
  <si>
    <t xml:space="preserve">서울특별시 구로구 구로동 1124-20 지하1층 </t>
  </si>
  <si>
    <t>서울특별시 구로구 디지털로32길 97-3, 지1층 (구로동)</t>
  </si>
  <si>
    <t>무쏘</t>
  </si>
  <si>
    <t>1378</t>
  </si>
  <si>
    <t xml:space="preserve">서울특별시 서초구 서초동 1302-43 </t>
  </si>
  <si>
    <t>서울특별시 서초구 사평대로56길 10 (서초동)</t>
  </si>
  <si>
    <t>06609</t>
  </si>
  <si>
    <t>스타노래뱅크</t>
  </si>
  <si>
    <t>1379</t>
  </si>
  <si>
    <t xml:space="preserve">서울특별시 강서구 화곡동 1117-0번지 지하1층 좌측 </t>
  </si>
  <si>
    <t>서울특별시 강서구 화곡로58길 8, 지하1층 (화곡동, 6동, 좌측)</t>
  </si>
  <si>
    <t>앵콜 노래클럽</t>
  </si>
  <si>
    <t>1380</t>
  </si>
  <si>
    <t>157-879</t>
  </si>
  <si>
    <t xml:space="preserve">서울특별시 강서구 화곡동 340-51 지하 1층 </t>
  </si>
  <si>
    <t>서울특별시 강서구 강서로 60, 지하 1층 (화곡동)</t>
  </si>
  <si>
    <t>07756</t>
  </si>
  <si>
    <t>친구</t>
  </si>
  <si>
    <t>1381</t>
  </si>
  <si>
    <t xml:space="preserve">서울특별시 구로구 고척동 269-8 </t>
  </si>
  <si>
    <t>서울특별시 구로구 경인로35길 131-42 (고척동)</t>
  </si>
  <si>
    <t>08234</t>
  </si>
  <si>
    <t>즐거운노래주점</t>
  </si>
  <si>
    <t>1382</t>
  </si>
  <si>
    <t>157-872</t>
  </si>
  <si>
    <t xml:space="preserve">서울특별시 강서구 화곡동 110-65 삼영빌딩 </t>
  </si>
  <si>
    <t>서울특별시 강서구 화곡로 206, 삼영빌딩 지하1층 (화곡동)</t>
  </si>
  <si>
    <t>07721</t>
  </si>
  <si>
    <t>수정라이브</t>
  </si>
  <si>
    <t>1383</t>
  </si>
  <si>
    <t xml:space="preserve">서울특별시 송파구 석촌동 178-0 </t>
  </si>
  <si>
    <t>서울특별시 송파구 백제고분로39길 22 (석촌동)</t>
  </si>
  <si>
    <t>1384</t>
  </si>
  <si>
    <t xml:space="preserve">서울특별시 성동구 성수동2가 230-9 우신빌딩 </t>
  </si>
  <si>
    <t>서울특별시 성동구 뚝섬로 442, 우신빌딩 지하1층 (성수동2가)</t>
  </si>
  <si>
    <t>1385</t>
  </si>
  <si>
    <t xml:space="preserve">서울특별시 종로구 묘동 24-1 </t>
  </si>
  <si>
    <t>서울특별시 종로구 돈화문로8길 26 (묘동)</t>
  </si>
  <si>
    <t>03138</t>
  </si>
  <si>
    <t>흥부</t>
  </si>
  <si>
    <t>1386</t>
  </si>
  <si>
    <t>서울특별시 강서구 공항동 45-18번지 (지하 1층) 3호</t>
  </si>
  <si>
    <t>서울특별시 강서구 공항대로 15, 지하 1층 3호 (공항동)</t>
  </si>
  <si>
    <t>07619</t>
  </si>
  <si>
    <t>1387</t>
  </si>
  <si>
    <t xml:space="preserve">서울특별시 구로구 구로동 706-3 제2호 지층 </t>
  </si>
  <si>
    <t>서울특별시 구로구 구로동로25길 21 (제2호) 지층 (구로동)</t>
  </si>
  <si>
    <t>궁전노래사랑</t>
  </si>
  <si>
    <t>1388</t>
  </si>
  <si>
    <t xml:space="preserve">서울특별시 용산구 남영동 127-1 (지층) </t>
  </si>
  <si>
    <t>서울특별시 용산구 한강대로 258 (남영동,(지층))</t>
  </si>
  <si>
    <t>보스노래</t>
  </si>
  <si>
    <t>1389</t>
  </si>
  <si>
    <t>142-823</t>
  </si>
  <si>
    <t xml:space="preserve">서울특별시 강북구 미아동 775-3번지 </t>
  </si>
  <si>
    <t>서울특별시 강북구 솔매로 57 (미아동)</t>
  </si>
  <si>
    <t>01127</t>
  </si>
  <si>
    <t>유780</t>
  </si>
  <si>
    <t>1390</t>
  </si>
  <si>
    <t>134-890</t>
  </si>
  <si>
    <t xml:space="preserve">서울특별시 강동구 성내동 429-18번지 </t>
  </si>
  <si>
    <t>서울특별시 강동구 양재대로89가길 10 (성내동)</t>
  </si>
  <si>
    <t>05405</t>
  </si>
  <si>
    <t>인생뭐있어</t>
  </si>
  <si>
    <t>1391</t>
  </si>
  <si>
    <t xml:space="preserve">서울특별시 은평구 응암동 109-1번지 지층 </t>
  </si>
  <si>
    <t>서울특별시 은평구 응암로 323 (응암동,지층)</t>
  </si>
  <si>
    <t>03454</t>
  </si>
  <si>
    <t>아마존</t>
  </si>
  <si>
    <t>1392</t>
  </si>
  <si>
    <t>137-872</t>
  </si>
  <si>
    <t xml:space="preserve">서울특별시 서초구 서초동 1535-1번지 (지하1층) </t>
  </si>
  <si>
    <t>서울특별시 서초구 효령로49길 38 (서초동,(지하1층))</t>
  </si>
  <si>
    <t>06670</t>
  </si>
  <si>
    <t>씨씨(C.C)</t>
  </si>
  <si>
    <t>1393</t>
  </si>
  <si>
    <t>130-854</t>
  </si>
  <si>
    <t xml:space="preserve">서울특별시 동대문구 전농동 295-60 지하1층 </t>
  </si>
  <si>
    <t>서울특별시 동대문구 사가정로 91, 지하1층 (전농동)</t>
  </si>
  <si>
    <t>02547</t>
  </si>
  <si>
    <t>낙원노래주점</t>
  </si>
  <si>
    <t>1394</t>
  </si>
  <si>
    <t xml:space="preserve">서울특별시 강서구 가양동 161-3번지 (지하 1층) </t>
  </si>
  <si>
    <t>서울특별시 강서구 강서로74길 8, 지하 1층 (가양동, 1동)</t>
  </si>
  <si>
    <t>휠링</t>
  </si>
  <si>
    <t>1395</t>
  </si>
  <si>
    <t xml:space="preserve">서울특별시 중랑구 면목동 182-4 </t>
  </si>
  <si>
    <t>서울특별시 중랑구 봉우재로 39, 지하1층 (면목동)</t>
  </si>
  <si>
    <t>02128</t>
  </si>
  <si>
    <t>궁 노래주점</t>
  </si>
  <si>
    <t>1396</t>
  </si>
  <si>
    <t>157-861</t>
  </si>
  <si>
    <t xml:space="preserve">서울특별시 강서구 염창동 248-2번지 </t>
  </si>
  <si>
    <t>서울특별시 강서구 양천로 669 (염창동)</t>
  </si>
  <si>
    <t>07542</t>
  </si>
  <si>
    <t>킹노래주점</t>
  </si>
  <si>
    <t>1397</t>
  </si>
  <si>
    <t xml:space="preserve">서울특별시 은평구 대조동 219-6 지하1층 </t>
  </si>
  <si>
    <t>서울특별시 은평구 연서로 198, 지하1층 (대조동)</t>
  </si>
  <si>
    <t>태양노래팡단란주점</t>
  </si>
  <si>
    <t>1398</t>
  </si>
  <si>
    <t>133-812</t>
  </si>
  <si>
    <t xml:space="preserve">서울특별시 성동구 마장동 478-39 </t>
  </si>
  <si>
    <t>서울특별시 성동구 고산자로 341 (마장동)</t>
  </si>
  <si>
    <t>04704</t>
  </si>
  <si>
    <t>야시단란주점</t>
  </si>
  <si>
    <t>1399</t>
  </si>
  <si>
    <t xml:space="preserve">서울특별시 중랑구 중화동 306-45 </t>
  </si>
  <si>
    <t>서울특별시 중랑구 중랑역로 92 (중화동)</t>
  </si>
  <si>
    <t>02017</t>
  </si>
  <si>
    <t>동그라미306라이브</t>
  </si>
  <si>
    <t>1400</t>
  </si>
  <si>
    <t>158-857</t>
  </si>
  <si>
    <t xml:space="preserve">서울특별시 양천구 신정동 902-9 지하 1층 </t>
  </si>
  <si>
    <t>서울특별시 양천구 신정중앙로 104, 지하 1층 (신정동)</t>
  </si>
  <si>
    <t>07945</t>
  </si>
  <si>
    <t>쏘냐</t>
  </si>
  <si>
    <t>1401</t>
  </si>
  <si>
    <t xml:space="preserve">서울특별시 강남구 삼성동 160-18번지 </t>
  </si>
  <si>
    <t>서울특별시 강남구 봉은사로 610 (삼성동)</t>
  </si>
  <si>
    <t>06170</t>
  </si>
  <si>
    <t>겨울나그네</t>
  </si>
  <si>
    <t>1402</t>
  </si>
  <si>
    <t xml:space="preserve">서울특별시 영등포구 문래동4가 8-1번지 </t>
  </si>
  <si>
    <t>서울특별시 영등포구 도림로 487-1 (문래동4가)</t>
  </si>
  <si>
    <t>1403</t>
  </si>
  <si>
    <t xml:space="preserve">서울특별시 광진구 군자동 473-17 </t>
  </si>
  <si>
    <t>서울특별시 광진구 군자로 183, 지층 (군자동)</t>
  </si>
  <si>
    <t>7080남행열차</t>
  </si>
  <si>
    <t>1404</t>
  </si>
  <si>
    <t xml:space="preserve">서울특별시 성북구 장위동 75-111 </t>
  </si>
  <si>
    <t>서울특별시 성북구 돌곶이로 143 (장위동)</t>
  </si>
  <si>
    <t>02768</t>
  </si>
  <si>
    <t>공간주점</t>
  </si>
  <si>
    <t>1405</t>
  </si>
  <si>
    <t xml:space="preserve">서울특별시 영등포구 당산동3가 167-0번지 </t>
  </si>
  <si>
    <t>서울특별시 영등포구 국회대로34길 7-1 (당산동3가)</t>
  </si>
  <si>
    <t>퀸노래타운</t>
  </si>
  <si>
    <t>1406</t>
  </si>
  <si>
    <t>100-859</t>
  </si>
  <si>
    <t xml:space="preserve">서울특별시 중구 중림동 398-6번지 </t>
  </si>
  <si>
    <t>서울특별시 중구 서소문로 12 (중림동)</t>
  </si>
  <si>
    <t>04503</t>
  </si>
  <si>
    <t>마당쇠</t>
  </si>
  <si>
    <t>1407</t>
  </si>
  <si>
    <t xml:space="preserve">서울특별시 관악구 신림동 1659-21 지하1층 </t>
  </si>
  <si>
    <t>서울특별시 관악구 조원중앙로 15 (신림동,지하1층)</t>
  </si>
  <si>
    <t>1408</t>
  </si>
  <si>
    <t xml:space="preserve">서울특별시 영등포구 양평동1가 28-1번지 </t>
  </si>
  <si>
    <t>서울특별시 영등포구 선유동1로 3 (양평동1가)</t>
  </si>
  <si>
    <t>케이투</t>
  </si>
  <si>
    <t>1409</t>
  </si>
  <si>
    <t>135-820</t>
  </si>
  <si>
    <t xml:space="preserve">서울특별시 강남구 논현동 111-28 </t>
  </si>
  <si>
    <t>서울특별시 강남구 선릉로133길 3 (논현동)</t>
  </si>
  <si>
    <t>풍금</t>
  </si>
  <si>
    <t>1410</t>
  </si>
  <si>
    <t xml:space="preserve">서울특별시 강남구 역삼동 700-16번지 </t>
  </si>
  <si>
    <t>서울특별시 강남구 언주로94길 7 (역삼동)</t>
  </si>
  <si>
    <t>70.80메들리(단란주점)</t>
  </si>
  <si>
    <t>1411</t>
  </si>
  <si>
    <t xml:space="preserve">서울특별시 강동구 천호동 410-13 </t>
  </si>
  <si>
    <t>서울특별시 강동구 천호대로157길 38 (천호동)</t>
  </si>
  <si>
    <t>소금강청학동</t>
  </si>
  <si>
    <t>1412</t>
  </si>
  <si>
    <t>133-833</t>
  </si>
  <si>
    <t xml:space="preserve">서울특별시 성동구 성수동2가 299-13번지 </t>
  </si>
  <si>
    <t>서울특별시 성동구 광나루로4가길 33 (성수동2가)</t>
  </si>
  <si>
    <t>04792</t>
  </si>
  <si>
    <t>스타노래주점</t>
  </si>
  <si>
    <t>1413</t>
  </si>
  <si>
    <t xml:space="preserve">서울특별시 강서구 공항동 42-22 지하 1층 </t>
  </si>
  <si>
    <t>서울특별시 강서구 공항대로 34, 지하 1층 (공항동)</t>
  </si>
  <si>
    <t>07623</t>
  </si>
  <si>
    <t>탑노래주점</t>
  </si>
  <si>
    <t>1414</t>
  </si>
  <si>
    <t>156-804</t>
  </si>
  <si>
    <t xml:space="preserve">서울특별시 동작구 노량진동 261-2 </t>
  </si>
  <si>
    <t>서울특별시 동작구 노량진로8길 26 (노량진동)</t>
  </si>
  <si>
    <t>06930</t>
  </si>
  <si>
    <t>가원</t>
  </si>
  <si>
    <t>1415</t>
  </si>
  <si>
    <t xml:space="preserve">서울특별시 은평구 응암동 126-39 지층 </t>
  </si>
  <si>
    <t>서울특별시 은평구 응암로21길 22-1 (응암동, 지층)</t>
  </si>
  <si>
    <t>리더스</t>
  </si>
  <si>
    <t>1416</t>
  </si>
  <si>
    <t xml:space="preserve">서울특별시 강남구 논현동 34-24 </t>
  </si>
  <si>
    <t>서울특별시 강남구 논현로 723 (논현동)</t>
  </si>
  <si>
    <t>06041</t>
  </si>
  <si>
    <t>오투</t>
  </si>
  <si>
    <t>1417</t>
  </si>
  <si>
    <t xml:space="preserve">서울특별시 금천구 독산동 297-1 미성빌딩 지하1층 </t>
  </si>
  <si>
    <t>서울특별시 금천구 가산로 85, 지하1층 (독산동, 미성빌딩)</t>
  </si>
  <si>
    <t>08522</t>
  </si>
  <si>
    <t>코리아나</t>
  </si>
  <si>
    <t>1418</t>
  </si>
  <si>
    <t xml:space="preserve">서울특별시 동작구 상도동 467번지 </t>
  </si>
  <si>
    <t>서울특별시 동작구 상도로 331 (상도동)</t>
  </si>
  <si>
    <t>06971</t>
  </si>
  <si>
    <t>1419</t>
  </si>
  <si>
    <t xml:space="preserve">서울특별시 중랑구 면목동 22-7번지 </t>
  </si>
  <si>
    <t>서울특별시 중랑구 용마산로 431 (면목동)</t>
  </si>
  <si>
    <t>요요단란주점</t>
  </si>
  <si>
    <t>1420</t>
  </si>
  <si>
    <t xml:space="preserve">서울특별시 구로구 구로동 85-1 </t>
  </si>
  <si>
    <t>서울특별시 구로구 구로중앙로19길 17, 2층 (구로동)</t>
  </si>
  <si>
    <t>1421</t>
  </si>
  <si>
    <t xml:space="preserve">서울특별시 마포구 동교동 174-14번지 외1필지 B1 </t>
  </si>
  <si>
    <t>서울특별시 마포구 신촌로 16 (동교동,외1필지 B1)</t>
  </si>
  <si>
    <t>1422</t>
  </si>
  <si>
    <t xml:space="preserve">서울특별시 은평구 응암동 591-10 (지하1층) </t>
  </si>
  <si>
    <t>서울특별시 은평구 응암로13길 24 (응암동,(지하1층))</t>
  </si>
  <si>
    <t>퓨전스탠드바</t>
  </si>
  <si>
    <t>1423</t>
  </si>
  <si>
    <t xml:space="preserve">서울특별시 강서구 등촌동 739 가양빌딩 지하 1층 </t>
  </si>
  <si>
    <t>서울특별시 강서구 강서로74길 3, 가양빌딩 지하 1층 (등촌동)</t>
  </si>
  <si>
    <t>세븐스타 노래바</t>
  </si>
  <si>
    <t>1424</t>
  </si>
  <si>
    <t>131-818</t>
  </si>
  <si>
    <t xml:space="preserve">서울특별시 중랑구 면목동 115-31 </t>
  </si>
  <si>
    <t>서울특별시 중랑구 면목로 395-1 (면목동)</t>
  </si>
  <si>
    <t>02219</t>
  </si>
  <si>
    <t>삐삐</t>
  </si>
  <si>
    <t>1425</t>
  </si>
  <si>
    <t>140-863</t>
  </si>
  <si>
    <t xml:space="preserve">서울특별시 용산구 이태원동 36-23 (지층) </t>
  </si>
  <si>
    <t>서울특별시 용산구 녹사평대로26길 24 (이태원동,(지층))</t>
  </si>
  <si>
    <t>04392</t>
  </si>
  <si>
    <t>퓨전</t>
  </si>
  <si>
    <t>1426</t>
  </si>
  <si>
    <t>151-820</t>
  </si>
  <si>
    <t xml:space="preserve">서울특별시 관악구 봉천동 945-1 지하1층 </t>
  </si>
  <si>
    <t>서울특별시 관악구 남부순환로 1702 (봉천동,지하1층)</t>
  </si>
  <si>
    <t>08782</t>
  </si>
  <si>
    <t>주주 노래바</t>
  </si>
  <si>
    <t>1427</t>
  </si>
  <si>
    <t xml:space="preserve">서울특별시 강남구 신사동 540-22 </t>
  </si>
  <si>
    <t>서울특별시 강남구 도산대로15길 8 (신사동)</t>
  </si>
  <si>
    <t>포인트</t>
  </si>
  <si>
    <t>1428</t>
  </si>
  <si>
    <t xml:space="preserve">서울특별시 송파구 가락동 19-7 지하1층 </t>
  </si>
  <si>
    <t>서울특별시 송파구 오금로36길 26-1, 지하1층 (가락동)</t>
  </si>
  <si>
    <t>짱투</t>
  </si>
  <si>
    <t>1429</t>
  </si>
  <si>
    <t xml:space="preserve">서울특별시 광진구 화양동 111-206번지 </t>
  </si>
  <si>
    <t>서울특별시 광진구 능동로 171 (화양동)</t>
  </si>
  <si>
    <t>피터팬노래하는소주방</t>
  </si>
  <si>
    <t>1430</t>
  </si>
  <si>
    <t xml:space="preserve">서울특별시 강남구 역삼동 788-12 </t>
  </si>
  <si>
    <t>서울특별시 강남구 논현로 310-1 (역삼동)</t>
  </si>
  <si>
    <t>골드클럽</t>
  </si>
  <si>
    <t>1431</t>
  </si>
  <si>
    <t>138-832</t>
  </si>
  <si>
    <t xml:space="preserve">서울특별시 송파구 방이동 149-20 지하1층 </t>
  </si>
  <si>
    <t>서울특별시 송파구 백제고분로48길 3, 지하1층 (방이동)</t>
  </si>
  <si>
    <t>05631</t>
  </si>
  <si>
    <t>다람쥐</t>
  </si>
  <si>
    <t>1432</t>
  </si>
  <si>
    <t xml:space="preserve">서울특별시 영등포구 영등포동5가 19-53 지하1층 </t>
  </si>
  <si>
    <t>1433</t>
  </si>
  <si>
    <t xml:space="preserve">서울특별시 강동구 암사동 490-20 </t>
  </si>
  <si>
    <t>서울특별시 강동구 상암로 81-1 (암사동)</t>
  </si>
  <si>
    <t>숲속의궁전</t>
  </si>
  <si>
    <t>1434</t>
  </si>
  <si>
    <t xml:space="preserve">서울특별시 중랑구 묵동 238-23 </t>
  </si>
  <si>
    <t>서울특별시 중랑구 동일로163길 18, 지하1층 (묵동)</t>
  </si>
  <si>
    <t>놀아노래주점</t>
  </si>
  <si>
    <t>1435</t>
  </si>
  <si>
    <t xml:space="preserve">서울특별시 중랑구 면목동 43-42 </t>
  </si>
  <si>
    <t>서울특별시 중랑구 상봉로 36 (면목동)</t>
  </si>
  <si>
    <t>02201</t>
  </si>
  <si>
    <t>티파니 노래주점</t>
  </si>
  <si>
    <t>1436</t>
  </si>
  <si>
    <t xml:space="preserve">서울특별시 강동구 둔촌동 448-0번지 </t>
  </si>
  <si>
    <t>서울특별시 강동구 진황도로 153 (둔촌동)</t>
  </si>
  <si>
    <t>05365</t>
  </si>
  <si>
    <t>위너스</t>
  </si>
  <si>
    <t>1437</t>
  </si>
  <si>
    <t>121-875</t>
  </si>
  <si>
    <t xml:space="preserve">서울특별시 마포구 용강동 51-1 </t>
  </si>
  <si>
    <t>서울특별시 마포구 토정로 314, 지층 (용강동)</t>
  </si>
  <si>
    <t>04165</t>
  </si>
  <si>
    <t>1438</t>
  </si>
  <si>
    <t xml:space="preserve">서울특별시 강서구 화곡동 914-15 지하 1층 </t>
  </si>
  <si>
    <t>서울특별시 강서구 강서로5나길 62, 지하 1층 (화곡동)</t>
  </si>
  <si>
    <t>쿨노래바</t>
  </si>
  <si>
    <t>1439</t>
  </si>
  <si>
    <t xml:space="preserve">서울특별시 마포구 서교동 352-16 지층 </t>
  </si>
  <si>
    <t>서울특별시 마포구 월드컵북로1길 20 (서교동,지층)</t>
  </si>
  <si>
    <t>도도 라이브(Do Do Live)</t>
  </si>
  <si>
    <t>1440</t>
  </si>
  <si>
    <t xml:space="preserve">서울특별시 동작구 대방동 400-3번지 </t>
  </si>
  <si>
    <t>서울특별시 동작구 여의대방로 140 (대방동)</t>
  </si>
  <si>
    <t>별밤노래바</t>
  </si>
  <si>
    <t>1441</t>
  </si>
  <si>
    <t xml:space="preserve">서울특별시 관악구 신림동 1658-21 </t>
  </si>
  <si>
    <t>서울특별시 관악구 조원중앙로 25, 지하1층 (신림동)</t>
  </si>
  <si>
    <t>장원 7080</t>
  </si>
  <si>
    <t>1442</t>
  </si>
  <si>
    <t xml:space="preserve">서울특별시 광진구 중곡동 37-4번지 </t>
  </si>
  <si>
    <t>서울특별시 광진구 긴고랑로 79 (중곡동)</t>
  </si>
  <si>
    <t>04937</t>
  </si>
  <si>
    <t>스타라이브</t>
  </si>
  <si>
    <t>1443</t>
  </si>
  <si>
    <t xml:space="preserve">서울특별시 용산구 원효로2가 91-1 지하1층 </t>
  </si>
  <si>
    <t>서울특별시 용산구 원효로41길 60 (원효로2가, 지하1층)</t>
  </si>
  <si>
    <t>1444</t>
  </si>
  <si>
    <t xml:space="preserve">서울특별시 영등포구 양평동4가 56 </t>
  </si>
  <si>
    <t>서울특별시 영등포구 양평로 85, 지하1층 (양평동4가)</t>
  </si>
  <si>
    <t>07208</t>
  </si>
  <si>
    <t>아지트노래</t>
  </si>
  <si>
    <t>1445</t>
  </si>
  <si>
    <t xml:space="preserve">서울특별시 종로구 묘동 148-1번지 지하1층 </t>
  </si>
  <si>
    <t>서울특별시 종로구 돈화문로 59 (묘동,지하1층)</t>
  </si>
  <si>
    <t>엑스라지</t>
  </si>
  <si>
    <t>1446</t>
  </si>
  <si>
    <t>135-908</t>
  </si>
  <si>
    <t xml:space="preserve">서울특별시 강남구 역삼동 628 </t>
  </si>
  <si>
    <t>서울특별시 강남구 논현로101길 7 (역삼동)</t>
  </si>
  <si>
    <t>06126</t>
  </si>
  <si>
    <t>슈퍼맨</t>
  </si>
  <si>
    <t>1447</t>
  </si>
  <si>
    <t xml:space="preserve">서울특별시 강남구 역삼동 836-25 </t>
  </si>
  <si>
    <t>서울특별시 강남구 도곡로3길 10 (역삼동)</t>
  </si>
  <si>
    <t>뱅뱅노래바Q</t>
  </si>
  <si>
    <t>1448</t>
  </si>
  <si>
    <t>152-856</t>
  </si>
  <si>
    <t xml:space="preserve">서울특별시 구로구 구로동 442-85 </t>
  </si>
  <si>
    <t>서울특별시 구로구 구로중앙로26길 6, 지하층 (구로동)</t>
  </si>
  <si>
    <t>08300</t>
  </si>
  <si>
    <t>1449</t>
  </si>
  <si>
    <t xml:space="preserve">서울특별시 강남구 논현동 211-19번지 </t>
  </si>
  <si>
    <t>서울특별시 강남구 언주로 645 (논현동)</t>
  </si>
  <si>
    <t>06105</t>
  </si>
  <si>
    <t>텐</t>
  </si>
  <si>
    <t>1450</t>
  </si>
  <si>
    <t xml:space="preserve">서울특별시 강남구 논현동 97-7번지 </t>
  </si>
  <si>
    <t>서울특별시 강남구 언주로148길 19 (논현동)</t>
  </si>
  <si>
    <t>와일드캣츠</t>
  </si>
  <si>
    <t>1451</t>
  </si>
  <si>
    <t xml:space="preserve">서울특별시 은평구 갈현동 392-3 (지하1층) </t>
  </si>
  <si>
    <t>서울특별시 은평구 통일로 907, 지하1층 (갈현동)</t>
  </si>
  <si>
    <t>뮤직아지트 음악창고</t>
  </si>
  <si>
    <t>1452</t>
  </si>
  <si>
    <t xml:space="preserve">서울특별시 강남구 신사동 590-20 </t>
  </si>
  <si>
    <t>서울특별시 강남구 논현로152길 5 (신사동)</t>
  </si>
  <si>
    <t>06025</t>
  </si>
  <si>
    <t>아게하</t>
  </si>
  <si>
    <t>1453</t>
  </si>
  <si>
    <t>135-870</t>
  </si>
  <si>
    <t xml:space="preserve">서울특별시 강남구 삼성동 65-0번지 </t>
  </si>
  <si>
    <t>서울특별시 강남구 삼성로 642 (삼성동)</t>
  </si>
  <si>
    <t>06084</t>
  </si>
  <si>
    <t>라포레</t>
  </si>
  <si>
    <t>1454</t>
  </si>
  <si>
    <t>135-891</t>
  </si>
  <si>
    <t xml:space="preserve">서울특별시 강남구 신사동 564-12번지 </t>
  </si>
  <si>
    <t>서울특별시 강남구 도산대로25길 16 (신사동)</t>
  </si>
  <si>
    <t>06032</t>
  </si>
  <si>
    <t>블리스(bliss)</t>
  </si>
  <si>
    <t>1455</t>
  </si>
  <si>
    <t xml:space="preserve">서울특별시 마포구 서교동 351-1 </t>
  </si>
  <si>
    <t>서울특별시 마포구 월드컵북로 9-1 (서교동, 지하1층)</t>
  </si>
  <si>
    <t>마징가</t>
  </si>
  <si>
    <t>1456</t>
  </si>
  <si>
    <t xml:space="preserve">서울특별시 강북구 수유동 30-25 </t>
  </si>
  <si>
    <t>서울특별시 강북구 노해로 55 (수유동)</t>
  </si>
  <si>
    <t>1457</t>
  </si>
  <si>
    <t xml:space="preserve">서울특별시 종로구 관철동 18-13 지상5층 </t>
  </si>
  <si>
    <t>서울특별시 종로구 우정국로2길 43 (관철동,지상5층)</t>
  </si>
  <si>
    <t>냥코 뮤직타운</t>
  </si>
  <si>
    <t>1458</t>
  </si>
  <si>
    <t xml:space="preserve">서울특별시 영등포구 양평동4가 97-0 </t>
  </si>
  <si>
    <t>서울특별시 영등포구 양평로19길 4 (양평동4가)</t>
  </si>
  <si>
    <t>대부</t>
  </si>
  <si>
    <t>1459</t>
  </si>
  <si>
    <t xml:space="preserve">서울특별시 영등포구 양평동4가 84-1번지 </t>
  </si>
  <si>
    <t>서울특별시 영등포구 양평로19길 10-1 (양평동4가)</t>
  </si>
  <si>
    <t>스크린</t>
  </si>
  <si>
    <t>1460</t>
  </si>
  <si>
    <t xml:space="preserve">서울특별시 강동구 성내동 421-31 (지하1층) </t>
  </si>
  <si>
    <t>서울특별시 강동구 성안로 55-1 (성내동,(지하1층))</t>
  </si>
  <si>
    <t>루비</t>
  </si>
  <si>
    <t>1461</t>
  </si>
  <si>
    <t xml:space="preserve">서울특별시 강남구 논현동 165-10 </t>
  </si>
  <si>
    <t>서울특별시 강남구 봉은사로1길 27 (논현동)</t>
  </si>
  <si>
    <t>06119</t>
  </si>
  <si>
    <t>썸타는 노래바</t>
  </si>
  <si>
    <t>1462</t>
  </si>
  <si>
    <t>135-948</t>
  </si>
  <si>
    <t xml:space="preserve">서울특별시 강남구 청담동 1-16 </t>
  </si>
  <si>
    <t>서울특별시 강남구 선릉로 752 (청담동)</t>
  </si>
  <si>
    <t>06062</t>
  </si>
  <si>
    <t>유앤아이</t>
  </si>
  <si>
    <t>1463</t>
  </si>
  <si>
    <t xml:space="preserve">서울특별시 강남구 도곡동 412 </t>
  </si>
  <si>
    <t>서울특별시 강남구 논현로38길 8, 지하1층 (도곡동)</t>
  </si>
  <si>
    <t>젠느</t>
  </si>
  <si>
    <t>1464</t>
  </si>
  <si>
    <t>135-896</t>
  </si>
  <si>
    <t xml:space="preserve">서울특별시 강남구 신사동 643 </t>
  </si>
  <si>
    <t>서울특별시 강남구 압구정로42길 21 (신사동)</t>
  </si>
  <si>
    <t>06017</t>
  </si>
  <si>
    <t>휘가로21</t>
  </si>
  <si>
    <t>1465</t>
  </si>
  <si>
    <t xml:space="preserve">서울특별시 강남구 논현동 97-20번지 </t>
  </si>
  <si>
    <t>서울특별시 강남구 언주로148길 7 (논현동)</t>
  </si>
  <si>
    <t>1466</t>
  </si>
  <si>
    <t xml:space="preserve">서울특별시 강남구 역삼동 830-27번지 </t>
  </si>
  <si>
    <t>서울특별시 강남구 역삼로3길 8 (역삼동)</t>
  </si>
  <si>
    <t>06243</t>
  </si>
  <si>
    <t>코리아 노래바</t>
  </si>
  <si>
    <t>1467</t>
  </si>
  <si>
    <t xml:space="preserve">서울특별시 금천구 독산동 293-19 지하1층 </t>
  </si>
  <si>
    <t>서울특별시 금천구 범안로 1207, 지하1층 (독산동)</t>
  </si>
  <si>
    <t>귀빈관</t>
  </si>
  <si>
    <t>1468</t>
  </si>
  <si>
    <t xml:space="preserve">서울특별시 영등포구 양평동2가 29-5번지 </t>
  </si>
  <si>
    <t>서울특별시 영등포구 영등포로 27 (양평동2가)</t>
  </si>
  <si>
    <t>즐거운노래랑단란주점</t>
  </si>
  <si>
    <t>1469</t>
  </si>
  <si>
    <t xml:space="preserve">서울특별시 구로구 구로동 1125-14번지 </t>
  </si>
  <si>
    <t>서울특별시 구로구 디지털로32길 97-16 (구로동)</t>
  </si>
  <si>
    <t>앙코르단란주점</t>
  </si>
  <si>
    <t>1470</t>
  </si>
  <si>
    <t>152-846</t>
  </si>
  <si>
    <t xml:space="preserve">서울특별시 구로구 구로동 144-15 </t>
  </si>
  <si>
    <t>서울특별시 구로구 도림로 79 (구로동)</t>
  </si>
  <si>
    <t>08312</t>
  </si>
  <si>
    <t>황제노래바</t>
  </si>
  <si>
    <t>1471</t>
  </si>
  <si>
    <t>158-805</t>
  </si>
  <si>
    <t xml:space="preserve">서울특별시 양천구 목동 324-233 지하 1층 </t>
  </si>
  <si>
    <t>서울특별시 양천구 등촌로 148, 지하 1층 (목동)</t>
  </si>
  <si>
    <t>07956</t>
  </si>
  <si>
    <t>태리(라이브)</t>
  </si>
  <si>
    <t>1472</t>
  </si>
  <si>
    <t xml:space="preserve">서울특별시 구로구 구로동 1125-10 지층 </t>
  </si>
  <si>
    <t>서울특별시 구로구 디지털로32길 97-6, 지층 (구로동)</t>
  </si>
  <si>
    <t>소풍 단란주점</t>
  </si>
  <si>
    <t>1473</t>
  </si>
  <si>
    <t>135-833</t>
  </si>
  <si>
    <t xml:space="preserve">서울특별시 강남구 논현동 268-14번지 </t>
  </si>
  <si>
    <t>서울특별시 강남구 선릉로 609 (논현동)</t>
  </si>
  <si>
    <t>06103</t>
  </si>
  <si>
    <t>조이</t>
  </si>
  <si>
    <t>1474</t>
  </si>
  <si>
    <t>152-831</t>
  </si>
  <si>
    <t xml:space="preserve">서울특별시 구로구 고척동 173-35번지 </t>
  </si>
  <si>
    <t>서울특별시 구로구 경서로 82-20 (고척동)</t>
  </si>
  <si>
    <t>08224</t>
  </si>
  <si>
    <t>민들레</t>
  </si>
  <si>
    <t>1475</t>
  </si>
  <si>
    <t xml:space="preserve">서울특별시 동대문구 전농동 493-71번지 </t>
  </si>
  <si>
    <t>서울특별시 동대문구 답십리로 55, 지하1층 (전농동)</t>
  </si>
  <si>
    <t>02558</t>
  </si>
  <si>
    <t>오케이(OK)</t>
  </si>
  <si>
    <t>1476</t>
  </si>
  <si>
    <t>152-812</t>
  </si>
  <si>
    <t xml:space="preserve">서울특별시 구로구 개봉동 290-5 삼영빌딩 </t>
  </si>
  <si>
    <t>서울특별시 구로구 개봉로 6, 삼영빌딩 2층 (개봉동)</t>
  </si>
  <si>
    <t>씨티라이브</t>
  </si>
  <si>
    <t>1477</t>
  </si>
  <si>
    <t xml:space="preserve">서울특별시 강서구 화곡동 1099-5 지하 1층 </t>
  </si>
  <si>
    <t>서울특별시 강서구 우장산로 121, 지하 1층 (화곡동, 6동)</t>
  </si>
  <si>
    <t>07650</t>
  </si>
  <si>
    <t>연출노래바</t>
  </si>
  <si>
    <t>1478</t>
  </si>
  <si>
    <t xml:space="preserve">서울특별시 강북구 수유동 178-16번지 (강북시장길 7) </t>
  </si>
  <si>
    <t>서울특별시 강북구 한천로144길 11 (수유동,(강북시장길 7))</t>
  </si>
  <si>
    <t>1479</t>
  </si>
  <si>
    <t xml:space="preserve">서울특별시 송파구 삼전동 101-10 </t>
  </si>
  <si>
    <t>서울특별시 송파구 백제고분로 243, 지하1층 (삼전동)</t>
  </si>
  <si>
    <t>소풍7080</t>
  </si>
  <si>
    <t>1480</t>
  </si>
  <si>
    <t>152-852</t>
  </si>
  <si>
    <t xml:space="preserve">서울특별시 구로구 구로동 403-4 </t>
  </si>
  <si>
    <t>서울특별시 구로구 가마산로 177 (구로동)</t>
  </si>
  <si>
    <t>08287</t>
  </si>
  <si>
    <t>시카고</t>
  </si>
  <si>
    <t>1481</t>
  </si>
  <si>
    <t xml:space="preserve">서울특별시 강북구 수유동 189-3 </t>
  </si>
  <si>
    <t>서울특별시 강북구 한천로 1067-1 (수유동)</t>
  </si>
  <si>
    <t>수(水)</t>
  </si>
  <si>
    <t>1482</t>
  </si>
  <si>
    <t xml:space="preserve">서울특별시 은평구 응암동 85-30 </t>
  </si>
  <si>
    <t>서울특별시 은평구 은평로11길 12-20, 지층 (응암동)</t>
  </si>
  <si>
    <t>미르</t>
  </si>
  <si>
    <t>1483</t>
  </si>
  <si>
    <t xml:space="preserve">서울특별시 광진구 구의동 246-24 </t>
  </si>
  <si>
    <t>서울특별시 광진구 아차산로49길 10 (구의동)</t>
  </si>
  <si>
    <t>카라</t>
  </si>
  <si>
    <t>1484</t>
  </si>
  <si>
    <t>135-816</t>
  </si>
  <si>
    <t xml:space="preserve">서울특별시 강남구 논현동 63-22 </t>
  </si>
  <si>
    <t>서울특별시 강남구 언주로147길 4 (논현동)</t>
  </si>
  <si>
    <t>06048</t>
  </si>
  <si>
    <t>순정</t>
  </si>
  <si>
    <t>1485</t>
  </si>
  <si>
    <t>157-927</t>
  </si>
  <si>
    <t xml:space="preserve">서울특별시 강서구 화곡동 1095-5번지 (지하 1층) </t>
  </si>
  <si>
    <t>서울특별시 강서구 화곡로 339 (화곡동,(지하 1층))</t>
  </si>
  <si>
    <t>07649</t>
  </si>
  <si>
    <t>엔와이(NY)</t>
  </si>
  <si>
    <t>1486</t>
  </si>
  <si>
    <t>140-132</t>
  </si>
  <si>
    <t xml:space="preserve">서울특별시 용산구 청파동2가 82-2번지 (지상2층) </t>
  </si>
  <si>
    <t>서울특별시 용산구 청파로47길 25 (청파동2가,(지상2층))</t>
  </si>
  <si>
    <t>04313</t>
  </si>
  <si>
    <t>스타노래짱</t>
  </si>
  <si>
    <t>1487</t>
  </si>
  <si>
    <t xml:space="preserve">서울특별시 구로구 개봉동 403-54 </t>
  </si>
  <si>
    <t>서울특별시 구로구 개봉로 59 (개봉동)</t>
  </si>
  <si>
    <t>즐거운</t>
  </si>
  <si>
    <t>1488</t>
  </si>
  <si>
    <t>122-814</t>
  </si>
  <si>
    <t xml:space="preserve">서울특별시 은평구 갈현동 496-4번지 </t>
  </si>
  <si>
    <t>서울특별시 은평구 갈현로 196 (갈현동)</t>
  </si>
  <si>
    <t>03335</t>
  </si>
  <si>
    <t>둥지단란주점</t>
  </si>
  <si>
    <t>1489</t>
  </si>
  <si>
    <t>135-925</t>
  </si>
  <si>
    <t xml:space="preserve">서울특별시 강남구 역삼동 747-22번지 .23 </t>
  </si>
  <si>
    <t>서울특별시 강남구 논현로 403 (역삼동,.23)</t>
  </si>
  <si>
    <t>갤러리</t>
  </si>
  <si>
    <t>1490</t>
  </si>
  <si>
    <t xml:space="preserve">서울특별시 송파구 석촌동 295-7 </t>
  </si>
  <si>
    <t>서울특별시 송파구 가락로 121, 지하1층 (석촌동)</t>
  </si>
  <si>
    <t>05687</t>
  </si>
  <si>
    <t>앗싸 노래주점</t>
  </si>
  <si>
    <t>1491</t>
  </si>
  <si>
    <t>143-901</t>
  </si>
  <si>
    <t xml:space="preserve">서울특별시 광진구 중곡동 193-52 </t>
  </si>
  <si>
    <t>서울특별시 광진구 면목로 132-1 (중곡동)</t>
  </si>
  <si>
    <t>오픈노래방</t>
  </si>
  <si>
    <t>1492</t>
  </si>
  <si>
    <t xml:space="preserve">서울특별시 강남구 역삼동 829-13번지 </t>
  </si>
  <si>
    <t>서울특별시 강남구 역삼로7길 2 (역삼동)</t>
  </si>
  <si>
    <t>06244</t>
  </si>
  <si>
    <t>파티 노래바큐</t>
  </si>
  <si>
    <t>1493</t>
  </si>
  <si>
    <t xml:space="preserve">서울특별시 금천구 시흥동 903-11 지하1층 (샘길 6) </t>
  </si>
  <si>
    <t>서울특별시 금천구 시흥대로50길 10 (시흥동,지하1층 (샘길 6))</t>
  </si>
  <si>
    <t>08630</t>
  </si>
  <si>
    <t>1494</t>
  </si>
  <si>
    <t xml:space="preserve">서울특별시 서대문구 홍제동 139-45 지하1층 </t>
  </si>
  <si>
    <t>서울특별시 서대문구 통일로 414, 지하1층 (홍제동)</t>
  </si>
  <si>
    <t>1495</t>
  </si>
  <si>
    <t xml:space="preserve">서울특별시 마포구 용강동 40-4번지 </t>
  </si>
  <si>
    <t>서울특별시 마포구 토정로 317 (용강동, 지하1층)</t>
  </si>
  <si>
    <t>04166</t>
  </si>
  <si>
    <t>미션노래바</t>
  </si>
  <si>
    <t>1496</t>
  </si>
  <si>
    <t>130-864</t>
  </si>
  <si>
    <t xml:space="preserve">서울특별시 동대문구 제기동 1131 지하1층 </t>
  </si>
  <si>
    <t>서울특별시 동대문구 약령중앙로2길 10, 지하1층 (제기동)</t>
  </si>
  <si>
    <t>02570</t>
  </si>
  <si>
    <t>1497</t>
  </si>
  <si>
    <t xml:space="preserve">서울특별시 송파구 가락동 48-12 </t>
  </si>
  <si>
    <t>서울특별시 송파구 송이로 87 (가락동)</t>
  </si>
  <si>
    <t>05706</t>
  </si>
  <si>
    <t>낭만 라이브</t>
  </si>
  <si>
    <t>1498</t>
  </si>
  <si>
    <t xml:space="preserve">서울특별시 강남구 논현동 116번지 </t>
  </si>
  <si>
    <t>서울특별시 강남구 학동로43길 8 (논현동)</t>
  </si>
  <si>
    <t>06061</t>
  </si>
  <si>
    <t>1499</t>
  </si>
  <si>
    <t>150-744</t>
  </si>
  <si>
    <t xml:space="preserve">서울특별시 영등포구 여의도동 44-23번지 하남빌딩 지하114호 </t>
  </si>
  <si>
    <t>서울특별시 영등포구 의사당대로1길 25 (여의도동,하남빌딩 지하114호)</t>
  </si>
  <si>
    <t>오드리</t>
  </si>
  <si>
    <t>1500</t>
  </si>
  <si>
    <t>136-826</t>
  </si>
  <si>
    <t xml:space="preserve">서울특별시 성북구 장위동 50-20 </t>
  </si>
  <si>
    <t>서울특별시 성북구 화랑로 277 (장위동)</t>
  </si>
  <si>
    <t>02775</t>
  </si>
  <si>
    <t>아로마</t>
  </si>
  <si>
    <t>1501</t>
  </si>
  <si>
    <t>138-819</t>
  </si>
  <si>
    <t xml:space="preserve">서울특별시 송파구 마천동 162-8번지 </t>
  </si>
  <si>
    <t>서울특별시 송파구 성내천로 228 (마천동)</t>
  </si>
  <si>
    <t>05750</t>
  </si>
  <si>
    <t>다래</t>
  </si>
  <si>
    <t>1502</t>
  </si>
  <si>
    <t>153-825</t>
  </si>
  <si>
    <t xml:space="preserve">서울특별시 금천구 독산동 988-13 </t>
  </si>
  <si>
    <t>서울특별시 금천구 시흥대로138길 13 (독산동)</t>
  </si>
  <si>
    <t>08544</t>
  </si>
  <si>
    <t>다성노래바</t>
  </si>
  <si>
    <t>1503</t>
  </si>
  <si>
    <t xml:space="preserve">서울특별시 강남구 논현동 116-1 </t>
  </si>
  <si>
    <t>서울특별시 강남구 언주로134길 24 (논현동)</t>
  </si>
  <si>
    <t>1504</t>
  </si>
  <si>
    <t>150-903</t>
  </si>
  <si>
    <t xml:space="preserve">서울특별시 영등포구 영등포동2가 309-0 </t>
  </si>
  <si>
    <t>서울특별시 영등포구 영등포로49길 7 (영등포동2가)</t>
  </si>
  <si>
    <t>07252</t>
  </si>
  <si>
    <t>1505</t>
  </si>
  <si>
    <t xml:space="preserve">서울특별시 영등포구 여의도동 43-0 미원빌딩301호 </t>
  </si>
  <si>
    <t>서울특별시 영등포구 국제금융로 70 (여의도동,미원빌딩301호)</t>
  </si>
  <si>
    <t>두인</t>
  </si>
  <si>
    <t>1506</t>
  </si>
  <si>
    <t xml:space="preserve">서울특별시 강남구 논현동 240-3 </t>
  </si>
  <si>
    <t>서울특별시 강남구 학동로 328 (논현동)</t>
  </si>
  <si>
    <t>1507</t>
  </si>
  <si>
    <t xml:space="preserve">서울특별시 강남구 도곡동 943-7 </t>
  </si>
  <si>
    <t>서울특별시 강남구 도곡로 112 (도곡동)</t>
  </si>
  <si>
    <t>뉴욕 노래밤</t>
  </si>
  <si>
    <t>1508</t>
  </si>
  <si>
    <t xml:space="preserve">서울특별시 강남구 논현동 114-26 </t>
  </si>
  <si>
    <t>서울특별시 강남구 언주로134길 15 (논현동)</t>
  </si>
  <si>
    <t>에이스 노래타운</t>
  </si>
  <si>
    <t>1509</t>
  </si>
  <si>
    <t xml:space="preserve">서울특별시 강서구 화곡동 1115-18 (지하 1층) </t>
  </si>
  <si>
    <t>서울특별시 강서구 화곡로58길 33, 지하 1층 (화곡동, 6동)</t>
  </si>
  <si>
    <t>1510</t>
  </si>
  <si>
    <t>122-835</t>
  </si>
  <si>
    <t xml:space="preserve">서울특별시 은평구 녹번동 183번지 </t>
  </si>
  <si>
    <t>서울특별시 은평구 서오릉로2길 10 (녹번동)</t>
  </si>
  <si>
    <t>03384</t>
  </si>
  <si>
    <t>1511</t>
  </si>
  <si>
    <t>135-930</t>
  </si>
  <si>
    <t xml:space="preserve">서울특별시 강남구 역삼동 798 </t>
  </si>
  <si>
    <t>서울특별시 강남구 논현로63길 7 (역삼동)</t>
  </si>
  <si>
    <t>06257</t>
  </si>
  <si>
    <t>소나무</t>
  </si>
  <si>
    <t>1512</t>
  </si>
  <si>
    <t xml:space="preserve">서울특별시 강남구 청담동 2-1번지 </t>
  </si>
  <si>
    <t>서울특별시 강남구 도산대로56길 3 (청담동)</t>
  </si>
  <si>
    <t>프라하</t>
  </si>
  <si>
    <t>1513</t>
  </si>
  <si>
    <t xml:space="preserve">서울특별시 강남구 역삼동 837-22 </t>
  </si>
  <si>
    <t>서울특별시 강남구 강남대로62길 13 (역삼동)</t>
  </si>
  <si>
    <t>쏭(SONG)7080</t>
  </si>
  <si>
    <t>1514</t>
  </si>
  <si>
    <t xml:space="preserve">서울특별시 구로구 가리봉동 121-21 </t>
  </si>
  <si>
    <t>서울특별시 구로구 구로동로 15-3 (가리봉동)</t>
  </si>
  <si>
    <t>베이징</t>
  </si>
  <si>
    <t>1515</t>
  </si>
  <si>
    <t xml:space="preserve">서울특별시 광진구 중곡동 169-30 </t>
  </si>
  <si>
    <t>서울특별시 광진구 면목로 170 (중곡동)</t>
  </si>
  <si>
    <t>04904</t>
  </si>
  <si>
    <t>무쏘 단란주점</t>
  </si>
  <si>
    <t>1516</t>
  </si>
  <si>
    <t>120-847</t>
  </si>
  <si>
    <t xml:space="preserve">서울특별시 서대문구 홍은동 277-75 </t>
  </si>
  <si>
    <t>서울특별시 서대문구 모래내로 359 (홍은동)</t>
  </si>
  <si>
    <t>03654</t>
  </si>
  <si>
    <t>피카소</t>
  </si>
  <si>
    <t>1517</t>
  </si>
  <si>
    <t>158-839</t>
  </si>
  <si>
    <t xml:space="preserve">서울특별시 양천구 신월동 514-2 지하 1층 </t>
  </si>
  <si>
    <t>서울특별시 양천구 오목로 48, 지하 1층 (신월동)</t>
  </si>
  <si>
    <t>08029</t>
  </si>
  <si>
    <t>1518</t>
  </si>
  <si>
    <t>135-910</t>
  </si>
  <si>
    <t xml:space="preserve">서울특별시 강남구 역삼동 645-21 </t>
  </si>
  <si>
    <t>서울특별시 강남구 테헤란로19길 10 (역삼동)</t>
  </si>
  <si>
    <t>오케이(OK)노래빠</t>
  </si>
  <si>
    <t>1519</t>
  </si>
  <si>
    <t xml:space="preserve">서울특별시 송파구 석촌동 276-7번지 </t>
  </si>
  <si>
    <t>서울특별시 송파구 가락로 110 (석촌동)</t>
  </si>
  <si>
    <t>나비</t>
  </si>
  <si>
    <t>1520</t>
  </si>
  <si>
    <t>150-858</t>
  </si>
  <si>
    <t xml:space="preserve">서울특별시 영등포구 신길동 3622-0번지 </t>
  </si>
  <si>
    <t>서울특별시 영등포구 신길로 80 (신길동)</t>
  </si>
  <si>
    <t>07430</t>
  </si>
  <si>
    <t>1521</t>
  </si>
  <si>
    <t>138-816</t>
  </si>
  <si>
    <t xml:space="preserve">서울특별시 송파구 거여동 562-3 </t>
  </si>
  <si>
    <t>서울특별시 송파구 오금로 496 (거여동)</t>
  </si>
  <si>
    <t>05772</t>
  </si>
  <si>
    <t>이정 라이브(7080)</t>
  </si>
  <si>
    <t>1522</t>
  </si>
  <si>
    <t>134-845</t>
  </si>
  <si>
    <t xml:space="preserve">서울특별시 강동구 성내동 420 </t>
  </si>
  <si>
    <t>서울특별시 강동구 성안로 72, 지1층 (성내동)</t>
  </si>
  <si>
    <t>05403</t>
  </si>
  <si>
    <t>필 라이브</t>
  </si>
  <si>
    <t>1523</t>
  </si>
  <si>
    <t xml:space="preserve">서울특별시 광진구 자양동 624-42 </t>
  </si>
  <si>
    <t>서울특별시 광진구 자양로13길 40 (자양동)</t>
  </si>
  <si>
    <t>더블류(W)</t>
  </si>
  <si>
    <t>1524</t>
  </si>
  <si>
    <t xml:space="preserve">서울특별시 송파구 방이동 58-6 무교낙지해물탕 </t>
  </si>
  <si>
    <t>서울특별시 송파구 오금로11길 32, 2층 (방이동)</t>
  </si>
  <si>
    <t>왕눈이</t>
  </si>
  <si>
    <t>1525</t>
  </si>
  <si>
    <t xml:space="preserve">서울특별시 도봉구 창동 333-2 지하1층 </t>
  </si>
  <si>
    <t>서울특별시 도봉구 노해로65길 11, 지하1층 (창동)</t>
  </si>
  <si>
    <t>1526</t>
  </si>
  <si>
    <t xml:space="preserve">서울특별시 강북구 수유동 182-44 </t>
  </si>
  <si>
    <t>서울특별시 강북구 한천로150길 6 (수유동)</t>
  </si>
  <si>
    <t>청춘7080</t>
  </si>
  <si>
    <t>1527</t>
  </si>
  <si>
    <t>137-878</t>
  </si>
  <si>
    <t xml:space="preserve">서울특별시 서초구 서초동 1624-9 </t>
  </si>
  <si>
    <t>서울특별시 서초구 서초중앙로12길 3 (서초동)</t>
  </si>
  <si>
    <t>06640</t>
  </si>
  <si>
    <t>우리</t>
  </si>
  <si>
    <t>1528</t>
  </si>
  <si>
    <t xml:space="preserve">서울특별시 구로구 구로동 339-64 </t>
  </si>
  <si>
    <t>서울특별시 구로구 구로동로28길 9 (구로동)</t>
  </si>
  <si>
    <t>08308</t>
  </si>
  <si>
    <t>대로 메들리</t>
  </si>
  <si>
    <t>1529</t>
  </si>
  <si>
    <t xml:space="preserve">서울특별시 동대문구 신설동 103-6 </t>
  </si>
  <si>
    <t>서울특별시 동대문구 천호대로 14, 지하1층 (신설동)</t>
  </si>
  <si>
    <t>02586</t>
  </si>
  <si>
    <t>써니라이브</t>
  </si>
  <si>
    <t>1530</t>
  </si>
  <si>
    <t>100-876</t>
  </si>
  <si>
    <t xml:space="preserve">서울특별시 중구 회현동2가 15-1 </t>
  </si>
  <si>
    <t>아시아나</t>
  </si>
  <si>
    <t>1531</t>
  </si>
  <si>
    <t>140-822</t>
  </si>
  <si>
    <t xml:space="preserve">서울특별시 용산구 보광동 71-10번지 지하1층 </t>
  </si>
  <si>
    <t>서울특별시 용산구 장문로 111-3 (보광동, 71-10 지하1층)</t>
  </si>
  <si>
    <t>04415</t>
  </si>
  <si>
    <t>울리불리</t>
  </si>
  <si>
    <t>1532</t>
  </si>
  <si>
    <t>133-867</t>
  </si>
  <si>
    <t xml:space="preserve">서울특별시 성동구 행당동 226-3번지 (지하1층) </t>
  </si>
  <si>
    <t>서울특별시 성동구 왕십리로 282 (행당동, 행당동 226-3 지하1층)</t>
  </si>
  <si>
    <t>04751</t>
  </si>
  <si>
    <t>쎄븐노래주점광장</t>
  </si>
  <si>
    <t>1533</t>
  </si>
  <si>
    <t>132-852</t>
  </si>
  <si>
    <t xml:space="preserve">서울특별시 도봉구 방학동 696-17 </t>
  </si>
  <si>
    <t>서울특별시 도봉구 도당로 90-1 (방학동)</t>
  </si>
  <si>
    <t>01342</t>
  </si>
  <si>
    <t>스카이단란주점</t>
  </si>
  <si>
    <t>1534</t>
  </si>
  <si>
    <t>135-827</t>
  </si>
  <si>
    <t xml:space="preserve">서울특별시 강남구 논현동 199-4 지하1층 </t>
  </si>
  <si>
    <t>서울특별시 강남구 강남대로 482 (논현동,지하1층)</t>
  </si>
  <si>
    <t>06120</t>
  </si>
  <si>
    <t>S 노래팡팡</t>
  </si>
  <si>
    <t>1535</t>
  </si>
  <si>
    <t xml:space="preserve">서울특별시 강남구 청담동 2-18번지 </t>
  </si>
  <si>
    <t>서울특별시 강남구 선릉로148길 21 (청담동)</t>
  </si>
  <si>
    <t>휘가로</t>
  </si>
  <si>
    <t>1536</t>
  </si>
  <si>
    <t>122-869</t>
  </si>
  <si>
    <t xml:space="preserve">서울특별시 은평구 불광동 494 495번지 </t>
  </si>
  <si>
    <t>서울특별시 은평구 통일로 928 (불광동,495번지)</t>
  </si>
  <si>
    <t>03340</t>
  </si>
  <si>
    <t>1537</t>
  </si>
  <si>
    <t xml:space="preserve">서울특별시 강남구 역삼동 732-23 </t>
  </si>
  <si>
    <t>서울특별시 강남구 역삼로 241 (역삼동)</t>
  </si>
  <si>
    <t>06225</t>
  </si>
  <si>
    <t>1538</t>
  </si>
  <si>
    <t>135-998</t>
  </si>
  <si>
    <t xml:space="preserve">서울특별시 강남구 대치동 936-16번지 </t>
  </si>
  <si>
    <t>서울특별시 강남구 선릉로64길 20 (대치동)</t>
  </si>
  <si>
    <t>06206</t>
  </si>
  <si>
    <t>텐텐노래밤</t>
  </si>
  <si>
    <t>1539</t>
  </si>
  <si>
    <t>130-872</t>
  </si>
  <si>
    <t xml:space="preserve">서울특별시 동대문구 회기동 60-42 </t>
  </si>
  <si>
    <t>서울특별시 동대문구 회기로 137, 지하1층 (회기동)</t>
  </si>
  <si>
    <t>02454</t>
  </si>
  <si>
    <t>1540</t>
  </si>
  <si>
    <t xml:space="preserve">서울특별시 구로구 구로동 414-28 </t>
  </si>
  <si>
    <t>서울특별시 구로구 구로동로 165-1 (구로동)</t>
  </si>
  <si>
    <t>펀 노래빠</t>
  </si>
  <si>
    <t>1541</t>
  </si>
  <si>
    <t xml:space="preserve">서울특별시 강남구 논현동 240-4번지 </t>
  </si>
  <si>
    <t>서울특별시 강남구 학동로 330 (논현동)</t>
  </si>
  <si>
    <t>샤롯데</t>
  </si>
  <si>
    <t>1542</t>
  </si>
  <si>
    <t xml:space="preserve">서울특별시 관악구 신림동 1430-4 </t>
  </si>
  <si>
    <t>서울특별시 관악구 신림로 383 (신림동)</t>
  </si>
  <si>
    <t>다나</t>
  </si>
  <si>
    <t>1543</t>
  </si>
  <si>
    <t xml:space="preserve">서울특별시 강남구 논현동 114-29번지 지하1층 </t>
  </si>
  <si>
    <t>서울특별시 강남구 언주로134길 21 (논현동,지하1층)</t>
  </si>
  <si>
    <t>노리터</t>
  </si>
  <si>
    <t>1544</t>
  </si>
  <si>
    <t xml:space="preserve">서울특별시 광진구 화양동 48-23번지 </t>
  </si>
  <si>
    <t>서울특별시 광진구 아차산로25길 8 (화양동)</t>
  </si>
  <si>
    <t>1545</t>
  </si>
  <si>
    <t>156-848</t>
  </si>
  <si>
    <t xml:space="preserve">서울특별시 동작구 신대방동 375-15 동일빌딩 </t>
  </si>
  <si>
    <t>서울특별시 동작구 여의대방로22길 4, 동일빌딩 지하1층 (신대방동)</t>
  </si>
  <si>
    <t>07057</t>
  </si>
  <si>
    <t>오빠</t>
  </si>
  <si>
    <t>1546</t>
  </si>
  <si>
    <t xml:space="preserve">서울특별시 양천구 목동 405-136 지하 1층 </t>
  </si>
  <si>
    <t>서울특별시 양천구 오목로 316, 지하 1층 (목동)</t>
  </si>
  <si>
    <t>드(de)헤바 노래주점</t>
  </si>
  <si>
    <t>1547</t>
  </si>
  <si>
    <t xml:space="preserve">서울특별시 노원구 상계동 156-94번지 </t>
  </si>
  <si>
    <t>서울특별시 노원구 한글비석로24길 37 (상계동)</t>
  </si>
  <si>
    <t>노래하는관광열차</t>
  </si>
  <si>
    <t>1548</t>
  </si>
  <si>
    <t xml:space="preserve">서울특별시 강남구 역삼동 786-24 </t>
  </si>
  <si>
    <t>서울특별시 강남구 도곡로 229 (역삼동)</t>
  </si>
  <si>
    <t>06230</t>
  </si>
  <si>
    <t>가인</t>
  </si>
  <si>
    <t>1549</t>
  </si>
  <si>
    <t>110-061</t>
  </si>
  <si>
    <t xml:space="preserve">서울특별시 종로구 신문로1가 31-0번지 </t>
  </si>
  <si>
    <t>서울특별시 종로구 새문안로 87 (신문로1가)</t>
  </si>
  <si>
    <t>03182</t>
  </si>
  <si>
    <t>나그랑</t>
  </si>
  <si>
    <t>1550</t>
  </si>
  <si>
    <t xml:space="preserve">서울특별시 양천구 신정동 902-12 지하 1층 </t>
  </si>
  <si>
    <t>서울특별시 양천구 오목로 229, 지하 1층 (신정동)</t>
  </si>
  <si>
    <t>1551</t>
  </si>
  <si>
    <t>100-826</t>
  </si>
  <si>
    <t xml:space="preserve">서울특별시 중구 신당동 340-77 </t>
  </si>
  <si>
    <t>서울특별시 중구 다산로 156 (신당동)</t>
  </si>
  <si>
    <t>04590</t>
  </si>
  <si>
    <t>1552</t>
  </si>
  <si>
    <t>120-812</t>
  </si>
  <si>
    <t xml:space="preserve">서울특별시 서대문구 북가좌동 293-5 </t>
  </si>
  <si>
    <t>서울특별시 서대문구 응암로 94 (북가좌동)</t>
  </si>
  <si>
    <t>03682</t>
  </si>
  <si>
    <t>1553</t>
  </si>
  <si>
    <t>121-821</t>
  </si>
  <si>
    <t xml:space="preserve">서울특별시 마포구 망원동 394-94번지 </t>
  </si>
  <si>
    <t>서울특별시 마포구 동교로 35 (망원동, 지하1층)</t>
  </si>
  <si>
    <t>04017</t>
  </si>
  <si>
    <t>무지개노래팡</t>
  </si>
  <si>
    <t>1554</t>
  </si>
  <si>
    <t xml:space="preserve">서울특별시 송파구 송파동 18-4 지하1층 </t>
  </si>
  <si>
    <t>서울특별시 송파구 백제고분로41길 5, 지하1층 (송파동)</t>
  </si>
  <si>
    <t>퀸(Queen) 구,영사운드</t>
  </si>
  <si>
    <t>1555</t>
  </si>
  <si>
    <t xml:space="preserve">서울특별시 서대문구 충정로2가 91-2번지 2층 </t>
  </si>
  <si>
    <t>서울특별시 서대문구 충정로 71, 2층 (충정로2가)</t>
  </si>
  <si>
    <t>03736</t>
  </si>
  <si>
    <t>1556</t>
  </si>
  <si>
    <t xml:space="preserve">서울특별시 광진구 화양동 225-0 </t>
  </si>
  <si>
    <t>서울특별시 광진구 광나루로 396 (화양동)</t>
  </si>
  <si>
    <t>1557</t>
  </si>
  <si>
    <t>140-133</t>
  </si>
  <si>
    <t xml:space="preserve">서울특별시 용산구 청파동3가 21-15 (지층) </t>
  </si>
  <si>
    <t>서울특별시 용산구 청파로47길 9 (청파동3가,(지층))</t>
  </si>
  <si>
    <t>1558</t>
  </si>
  <si>
    <t xml:space="preserve">서울특별시 광진구 구의동 243-19 </t>
  </si>
  <si>
    <t>서울특별시 광진구 아차산로 415 (구의동)</t>
  </si>
  <si>
    <t>1559</t>
  </si>
  <si>
    <t xml:space="preserve">서울특별시 종로구 낙원동 65-1 (지상2층) </t>
  </si>
  <si>
    <t>서울특별시 종로구 삼일대로 432 (낙원동,(지상2층))</t>
  </si>
  <si>
    <t>열애</t>
  </si>
  <si>
    <t>1560</t>
  </si>
  <si>
    <t>131-816</t>
  </si>
  <si>
    <t xml:space="preserve">서울특별시 중랑구 면목동 74-14 </t>
  </si>
  <si>
    <t>서울특별시 중랑구 겸재로 219 (면목동)</t>
  </si>
  <si>
    <t>02162</t>
  </si>
  <si>
    <t>콜포</t>
  </si>
  <si>
    <t>1561</t>
  </si>
  <si>
    <t>120-100</t>
  </si>
  <si>
    <t xml:space="preserve">서울특별시 서대문구 홍은동 48-173번지 </t>
  </si>
  <si>
    <t>서울특별시 서대문구 통일로42길 6 (홍은동)</t>
  </si>
  <si>
    <t>03615</t>
  </si>
  <si>
    <t>1562</t>
  </si>
  <si>
    <t xml:space="preserve">서울특별시 강북구 번동 463-33 </t>
  </si>
  <si>
    <t>서울특별시 강북구 한천로 1024 (번동)</t>
  </si>
  <si>
    <t>늘사랑</t>
  </si>
  <si>
    <t>1563</t>
  </si>
  <si>
    <t>152-842</t>
  </si>
  <si>
    <t xml:space="preserve">서울특별시 구로구 구로동 100 </t>
  </si>
  <si>
    <t>서울특별시 구로구 가마산로23길 27 (구로동)</t>
  </si>
  <si>
    <t>08301</t>
  </si>
  <si>
    <t>쌈바</t>
  </si>
  <si>
    <t>1564</t>
  </si>
  <si>
    <t xml:space="preserve">서울특별시 관악구 신림동 1428-6번지 </t>
  </si>
  <si>
    <t>서울특별시 관악구 봉천로 250 (신림동)</t>
  </si>
  <si>
    <t>08753</t>
  </si>
  <si>
    <t>카톡소주노래클럽</t>
  </si>
  <si>
    <t>1565</t>
  </si>
  <si>
    <t xml:space="preserve">서울특별시 광진구 광장동 185-2번지 </t>
  </si>
  <si>
    <t>서울특별시 광진구 아차산로78길 177 (광장동)</t>
  </si>
  <si>
    <t>1566</t>
  </si>
  <si>
    <t xml:space="preserve">서울특별시 노원구 상계동 389-293번지 청양빌딩 </t>
  </si>
  <si>
    <t>서울특별시 노원구 상계로 139, 청양빌딩 지하1층 101호 (상계동)</t>
  </si>
  <si>
    <t>7080나팔바지</t>
  </si>
  <si>
    <t>1567</t>
  </si>
  <si>
    <t xml:space="preserve">서울특별시 종로구 낙원동 232 지상2층 </t>
  </si>
  <si>
    <t>서울특별시 종로구 수표로 123-6 (낙원동,지상2층)</t>
  </si>
  <si>
    <t>남정</t>
  </si>
  <si>
    <t>1568</t>
  </si>
  <si>
    <t xml:space="preserve">서울특별시 강동구 천호동 397-70번지 </t>
  </si>
  <si>
    <t>서울특별시 강동구 구천면로 244 (천호동)</t>
  </si>
  <si>
    <t>끌어와포차</t>
  </si>
  <si>
    <t>1569</t>
  </si>
  <si>
    <t>134-851</t>
  </si>
  <si>
    <t xml:space="preserve">서울특별시 강동구 성내동 555-13 </t>
  </si>
  <si>
    <t>서울특별시 강동구 올림픽로48길 27, 지1층 (성내동)</t>
  </si>
  <si>
    <t>05398</t>
  </si>
  <si>
    <t>로빈</t>
  </si>
  <si>
    <t>1570</t>
  </si>
  <si>
    <t xml:space="preserve">서울특별시 강남구 논현동 232-5 </t>
  </si>
  <si>
    <t>서울특별시 강남구 봉은사로37길 13 (논현동)</t>
  </si>
  <si>
    <t>06109</t>
  </si>
  <si>
    <t>셀위</t>
  </si>
  <si>
    <t>1571</t>
  </si>
  <si>
    <t xml:space="preserve">서울특별시 은평구 녹번동 156-40 </t>
  </si>
  <si>
    <t>서울특별시 은평구 은평로11길 12-7, 지층 (녹번동)</t>
  </si>
  <si>
    <t>씨씨알 크럽</t>
  </si>
  <si>
    <t>1572</t>
  </si>
  <si>
    <t>140-140</t>
  </si>
  <si>
    <t xml:space="preserve">서울특별시 용산구 서계동 264-15번지 ,14(지층) </t>
  </si>
  <si>
    <t>서울특별시 용산구 만리재로 142-1 (서계동,,14(지층))</t>
  </si>
  <si>
    <t>04305</t>
  </si>
  <si>
    <t>세븐틴가요주점</t>
  </si>
  <si>
    <t>1573</t>
  </si>
  <si>
    <t>122-829</t>
  </si>
  <si>
    <t xml:space="preserve">서울특별시 은평구 녹번동 79-26 지층 </t>
  </si>
  <si>
    <t>서울특별시 은평구 은평로 201-2, 지층 (녹번동)</t>
  </si>
  <si>
    <t>앵콜7080</t>
  </si>
  <si>
    <t>1574</t>
  </si>
  <si>
    <t xml:space="preserve">서울특별시 송파구 석촌동 163-1 지하1층 </t>
  </si>
  <si>
    <t>서울특별시 송파구 백제고분로39길 29, 지하1층 (석촌동)</t>
  </si>
  <si>
    <t>05610</t>
  </si>
  <si>
    <t>벅스</t>
  </si>
  <si>
    <t>1575</t>
  </si>
  <si>
    <t>110-360</t>
  </si>
  <si>
    <t xml:space="preserve">서울특별시 종로구 와룡동 88-0번지 89-1,90-3 </t>
  </si>
  <si>
    <t>서울특별시 종로구 돈화문로 78 (와룡동,89-1,90-3)</t>
  </si>
  <si>
    <t>03134</t>
  </si>
  <si>
    <t>런(run)</t>
  </si>
  <si>
    <t>1576</t>
  </si>
  <si>
    <t xml:space="preserve">서울특별시 강남구 논현동 63-20 </t>
  </si>
  <si>
    <t>서울특별시 강남구 언주로147길 8 (논현동)</t>
  </si>
  <si>
    <t>팀</t>
  </si>
  <si>
    <t>1577</t>
  </si>
  <si>
    <t>135-822</t>
  </si>
  <si>
    <t xml:space="preserve">서울특별시 강남구 논현동 123-5번지 </t>
  </si>
  <si>
    <t>서울특별시 강남구 학동로6길 7 (논현동)</t>
  </si>
  <si>
    <t>06111</t>
  </si>
  <si>
    <t>샹스</t>
  </si>
  <si>
    <t>1578</t>
  </si>
  <si>
    <t>138-802</t>
  </si>
  <si>
    <t xml:space="preserve">서울특별시 송파구 가락동 50번지 지하1층 </t>
  </si>
  <si>
    <t>서울특별시 송파구 오금로36길 69, 지하1층 (가락동)</t>
  </si>
  <si>
    <t>엔담</t>
  </si>
  <si>
    <t>1579</t>
  </si>
  <si>
    <t xml:space="preserve">서울특별시 송파구 방이동 71-13 지하1층 </t>
  </si>
  <si>
    <t>서울특별시 송파구 오금로15길 6, 지하1층 (방이동)</t>
  </si>
  <si>
    <t>05549</t>
  </si>
  <si>
    <t>조은</t>
  </si>
  <si>
    <t>1580</t>
  </si>
  <si>
    <t>131-802</t>
  </si>
  <si>
    <t xml:space="preserve">서울특별시 중랑구 망우동 359-1 </t>
  </si>
  <si>
    <t>서울특별시 중랑구 망우로 440 (망우동)</t>
  </si>
  <si>
    <t>02176</t>
  </si>
  <si>
    <t>1581</t>
  </si>
  <si>
    <t>142-847</t>
  </si>
  <si>
    <t xml:space="preserve">서울특별시 강북구 수유동 220-34번지 (쌍문동길 64-1) </t>
  </si>
  <si>
    <t>서울특별시 강북구 노해로 64 (수유동,(쌍문동길 64-1))</t>
  </si>
  <si>
    <t>탑트롯 순심이</t>
  </si>
  <si>
    <t>1582</t>
  </si>
  <si>
    <t xml:space="preserve">서울특별시 강북구 수유동 176-72 </t>
  </si>
  <si>
    <t>서울특별시 강북구 한천로140길 17 (수유동, 지하)</t>
  </si>
  <si>
    <t>연가</t>
  </si>
  <si>
    <t>1583</t>
  </si>
  <si>
    <t xml:space="preserve">서울특별시 금천구 독산동 1023-17 지하1층 </t>
  </si>
  <si>
    <t>서울특별시 금천구 독산로 221 (독산동,지하1층)</t>
  </si>
  <si>
    <t>08581</t>
  </si>
  <si>
    <t>궁전메들리</t>
  </si>
  <si>
    <t>1584</t>
  </si>
  <si>
    <t xml:space="preserve">서울특별시 관악구 신림동 1433-141 </t>
  </si>
  <si>
    <t>서울특별시 관악구 관천로 52, 지하1층 (신림동)</t>
  </si>
  <si>
    <t>파티파티노래방</t>
  </si>
  <si>
    <t>1585</t>
  </si>
  <si>
    <t xml:space="preserve">서울특별시 송파구 가락동 190-1 지하1층 </t>
  </si>
  <si>
    <t>서울특별시 송파구 오금로46길 38, 지하1층 (가락동)</t>
  </si>
  <si>
    <t>05783</t>
  </si>
  <si>
    <t>별빛</t>
  </si>
  <si>
    <t>1586</t>
  </si>
  <si>
    <t>135-964</t>
  </si>
  <si>
    <t xml:space="preserve">서울특별시 강남구 개포동 1237-5번지 </t>
  </si>
  <si>
    <t>서울특별시 강남구 논현로20길 16 (개포동)</t>
  </si>
  <si>
    <t>06307</t>
  </si>
  <si>
    <t>피지엠(PGM)</t>
  </si>
  <si>
    <t>1587</t>
  </si>
  <si>
    <t xml:space="preserve">서울특별시 강남구 역삼동 830-35번지 </t>
  </si>
  <si>
    <t>서울특별시 강남구 역삼로3길 16 (역삼동)</t>
  </si>
  <si>
    <t>케이원노래바(K1노래바)</t>
  </si>
  <si>
    <t>1588</t>
  </si>
  <si>
    <t xml:space="preserve">서울특별시 송파구 마천동 185-4 </t>
  </si>
  <si>
    <t>서울특별시 송파구 마천로51길 26 (마천동)</t>
  </si>
  <si>
    <t>가락주점</t>
  </si>
  <si>
    <t>1589</t>
  </si>
  <si>
    <t xml:space="preserve">서울특별시 서대문구 홍제동 266-153 </t>
  </si>
  <si>
    <t>서울특별시 서대문구 세검정로 52 (홍제동)</t>
  </si>
  <si>
    <t>03624</t>
  </si>
  <si>
    <t>1590</t>
  </si>
  <si>
    <t xml:space="preserve">서울특별시 서초구 방배동 451-7 (지하 1층) </t>
  </si>
  <si>
    <t>서울특별시 서초구 방배천로4안길 6 (방배동)</t>
  </si>
  <si>
    <t>06692</t>
  </si>
  <si>
    <t>만선뮤직호프</t>
  </si>
  <si>
    <t>1591</t>
  </si>
  <si>
    <t xml:space="preserve">서울특별시 강남구 논현동 91-24번지 </t>
  </si>
  <si>
    <t>서울특별시 강남구 언주로150길 7 (논현동)</t>
  </si>
  <si>
    <t>얼바인</t>
  </si>
  <si>
    <t>1592</t>
  </si>
  <si>
    <t>134-866</t>
  </si>
  <si>
    <t xml:space="preserve">서울특별시 강동구 천호동 243-174번지 </t>
  </si>
  <si>
    <t>서울특별시 강동구 구천면로 344-1 (천호동)</t>
  </si>
  <si>
    <t>05309</t>
  </si>
  <si>
    <t>추억나누기</t>
  </si>
  <si>
    <t>1593</t>
  </si>
  <si>
    <t xml:space="preserve">서울특별시 은평구 대조동 196-20 </t>
  </si>
  <si>
    <t>서울특별시 은평구 연서로26길 9-1 (대조동)</t>
  </si>
  <si>
    <t>린 노래밤</t>
  </si>
  <si>
    <t>1594</t>
  </si>
  <si>
    <t xml:space="preserve">서울특별시 은평구 응암동 103-35 (지1층) </t>
  </si>
  <si>
    <t>서울특별시 은평구 응암로 324 (응암동,(지1층))</t>
  </si>
  <si>
    <t>1595</t>
  </si>
  <si>
    <t>100-865</t>
  </si>
  <si>
    <t xml:space="preserve">서울특별시 중구 태평로2가 331-0번지 </t>
  </si>
  <si>
    <t>서울특별시 중구 서소문로 134-5 (태평로2가)</t>
  </si>
  <si>
    <t>04514</t>
  </si>
  <si>
    <t>직장인을위한국민노래밤</t>
  </si>
  <si>
    <t>1596</t>
  </si>
  <si>
    <t xml:space="preserve">서울특별시 용산구 이태원동 124-5 (지하1층) </t>
  </si>
  <si>
    <t>서울특별시 용산구 이태원로 195 (이태원동,(지하1층))</t>
  </si>
  <si>
    <t>04349</t>
  </si>
  <si>
    <t>핑서울</t>
  </si>
  <si>
    <t>1597</t>
  </si>
  <si>
    <t xml:space="preserve">서울특별시 송파구 가락동 19-10번지 지하1층 </t>
  </si>
  <si>
    <t>서울특별시 송파구 오금로36길 30, 지하1층 (가락동)</t>
  </si>
  <si>
    <t>1598</t>
  </si>
  <si>
    <t xml:space="preserve">서울특별시 강남구 논현동 97-18번지 </t>
  </si>
  <si>
    <t>서울특별시 강남구 언주로148길 9 (논현동)</t>
  </si>
  <si>
    <t>부(BOO)</t>
  </si>
  <si>
    <t>1599</t>
  </si>
  <si>
    <t>136-835</t>
  </si>
  <si>
    <t xml:space="preserve">서울특별시 성북구 장위동 225-47번지 </t>
  </si>
  <si>
    <t>서울특별시 성북구 장위로 89 (장위동)</t>
  </si>
  <si>
    <t>02756</t>
  </si>
  <si>
    <t>21세기단란주점</t>
  </si>
  <si>
    <t>1600</t>
  </si>
  <si>
    <t xml:space="preserve">서울특별시 서대문구 연희동 188-5번지 지층 </t>
  </si>
  <si>
    <t>서울특별시 서대문구 연희로 89, 지층 (연희동)</t>
  </si>
  <si>
    <t>송송 노래팡</t>
  </si>
  <si>
    <t>1601</t>
  </si>
  <si>
    <t>157-898</t>
  </si>
  <si>
    <t xml:space="preserve">서울특별시 강서구 화곡동 800-10 외 1필지 (지하 1층) </t>
  </si>
  <si>
    <t>서울특별시 강서구 곰달래로 239, 지하 1층 (화곡동, 4동)</t>
  </si>
  <si>
    <t>07738</t>
  </si>
  <si>
    <t>노래하는곳에</t>
  </si>
  <si>
    <t>1602</t>
  </si>
  <si>
    <t>152-834</t>
  </si>
  <si>
    <t xml:space="preserve">서울특별시 구로구 고척동 256-6 </t>
  </si>
  <si>
    <t>서울특별시 구로구 고척로40길 30 (고척동)</t>
  </si>
  <si>
    <t>원</t>
  </si>
  <si>
    <t>1603</t>
  </si>
  <si>
    <t xml:space="preserve">서울특별시 성북구 삼선동5가 324번지 ,325 </t>
  </si>
  <si>
    <t>서울특별시 성북구 보문로 156-2 (삼선동5가,,325)</t>
  </si>
  <si>
    <t>02848</t>
  </si>
  <si>
    <t>블랙앤화이트</t>
  </si>
  <si>
    <t>1604</t>
  </si>
  <si>
    <t xml:space="preserve">서울특별시 강북구 수유동 178-2번지 (4.19길 42) </t>
  </si>
  <si>
    <t>서울특별시 강북구 한천로 1072 (수유동,(4.19길 42))</t>
  </si>
  <si>
    <t>1605</t>
  </si>
  <si>
    <t xml:space="preserve">서울특별시 서대문구 홍제동 305-1 </t>
  </si>
  <si>
    <t>서울특별시 서대문구 통일로 456 (홍제동)</t>
  </si>
  <si>
    <t>03629</t>
  </si>
  <si>
    <t>짱가</t>
  </si>
  <si>
    <t>1606</t>
  </si>
  <si>
    <t xml:space="preserve">서울특별시 중랑구 상봉동 136-2 </t>
  </si>
  <si>
    <t>서울특별시 중랑구 망우로 190, 지층 (상봉동)</t>
  </si>
  <si>
    <t>02119</t>
  </si>
  <si>
    <t>락7080</t>
  </si>
  <si>
    <t>1607</t>
  </si>
  <si>
    <t xml:space="preserve">서울특별시 중랑구 묵동 233-103번지 </t>
  </si>
  <si>
    <t>서울특별시 중랑구 중랑역로 249 (묵동)</t>
  </si>
  <si>
    <t>02001</t>
  </si>
  <si>
    <t>1608</t>
  </si>
  <si>
    <t xml:space="preserve">서울특별시 강남구 논현동 231-1 </t>
  </si>
  <si>
    <t>서울특별시 강남구 언주로115길 7 (논현동)</t>
  </si>
  <si>
    <t>06108</t>
  </si>
  <si>
    <t>1609</t>
  </si>
  <si>
    <t xml:space="preserve">서울특별시 노원구 상계동 389-570 지하1층 </t>
  </si>
  <si>
    <t>서울특별시 노원구 상계로23길 14 (상계동,지하1층)</t>
  </si>
  <si>
    <t>탤런트</t>
  </si>
  <si>
    <t>1610</t>
  </si>
  <si>
    <t>151-823</t>
  </si>
  <si>
    <t xml:space="preserve">서울특별시 관악구 봉천동 464-2번지 </t>
  </si>
  <si>
    <t>서울특별시 관악구 은천로 113 (봉천동)</t>
  </si>
  <si>
    <t>08729</t>
  </si>
  <si>
    <t>7080써니</t>
  </si>
  <si>
    <t>1611</t>
  </si>
  <si>
    <t xml:space="preserve">서울특별시 강남구 역삼동 607-16 </t>
  </si>
  <si>
    <t>서울특별시 강남구 논현로101길 8 (역삼동)</t>
  </si>
  <si>
    <t>1612</t>
  </si>
  <si>
    <t>135-843</t>
  </si>
  <si>
    <t xml:space="preserve">서울특별시 강남구 대치동 922-0번지 </t>
  </si>
  <si>
    <t>서울특별시 강남구 선릉로 326 (대치동)</t>
  </si>
  <si>
    <t>06205</t>
  </si>
  <si>
    <t>에피소드</t>
  </si>
  <si>
    <t>1613</t>
  </si>
  <si>
    <t>120-829</t>
  </si>
  <si>
    <t xml:space="preserve">서울특별시 서대문구 연희동 79-31 </t>
  </si>
  <si>
    <t>서울특별시 서대문구 연희로 166 (연희동)</t>
  </si>
  <si>
    <t>03723</t>
  </si>
  <si>
    <t>1614</t>
  </si>
  <si>
    <t xml:space="preserve">서울특별시 강남구 논현동 197-20 </t>
  </si>
  <si>
    <t>서울특별시 강남구 강남대로112길 33 (논현동)</t>
  </si>
  <si>
    <t>1615</t>
  </si>
  <si>
    <t xml:space="preserve">서울특별시 강남구 역삼동 650 </t>
  </si>
  <si>
    <t>서울특별시 강남구 논현로 570 (역삼동)</t>
  </si>
  <si>
    <t>06135</t>
  </si>
  <si>
    <t>로렌(Loren)</t>
  </si>
  <si>
    <t>1616</t>
  </si>
  <si>
    <t xml:space="preserve">서울특별시 서초구 서초동 1571-3 </t>
  </si>
  <si>
    <t>서울특별시 서초구 서초대로48길 19 (서초동)</t>
  </si>
  <si>
    <t>1617</t>
  </si>
  <si>
    <t xml:space="preserve">서울특별시 은평구 대조동 14-65 </t>
  </si>
  <si>
    <t>서울특별시 은평구 불광로 6 (대조동)</t>
  </si>
  <si>
    <t>맨하튼</t>
  </si>
  <si>
    <t>1618</t>
  </si>
  <si>
    <t>150-854</t>
  </si>
  <si>
    <t xml:space="preserve">서울특별시 영등포구 신길동 833-0번지 </t>
  </si>
  <si>
    <t>서울특별시 영등포구 여의대방로 197 (신길동)</t>
  </si>
  <si>
    <t>07360</t>
  </si>
  <si>
    <t>대박술마시는노래방</t>
  </si>
  <si>
    <t>1619</t>
  </si>
  <si>
    <t xml:space="preserve">서울특별시 은평구 응암동 579-40 (지하1층) </t>
  </si>
  <si>
    <t>서울특별시 은평구 응암로21길 11-12 (응암동,(지하1층))</t>
  </si>
  <si>
    <t>또오리</t>
  </si>
  <si>
    <t>1620</t>
  </si>
  <si>
    <t xml:space="preserve">서울특별시 영등포구 여의도동 43-0번지 미원빌딩319,320 </t>
  </si>
  <si>
    <t>서울특별시 영등포구 국제금융로 70 (여의도동,미원빌딩319,320)</t>
  </si>
  <si>
    <t>피아노 투</t>
  </si>
  <si>
    <t>1621</t>
  </si>
  <si>
    <t xml:space="preserve">서울특별시 강남구 논현동 185-1 </t>
  </si>
  <si>
    <t>서울특별시 강남구 강남대로118길 40 (논현동)</t>
  </si>
  <si>
    <t>애플노래타운</t>
  </si>
  <si>
    <t>1622</t>
  </si>
  <si>
    <t xml:space="preserve">서울특별시 서대문구 북아현동 221-13 </t>
  </si>
  <si>
    <t>서울특별시 서대문구 신촌로 227 (북아현동)</t>
  </si>
  <si>
    <t>1623</t>
  </si>
  <si>
    <t xml:space="preserve">서울특별시 양천구 신정동 890-16 지하 1층 </t>
  </si>
  <si>
    <t>서울특별시 양천구 목동로25길 5, 지하 1층 (신정동)</t>
  </si>
  <si>
    <t>로데오노래팡</t>
  </si>
  <si>
    <t>1624</t>
  </si>
  <si>
    <t xml:space="preserve">서울특별시 금천구 독산동 990-21 지하1층 </t>
  </si>
  <si>
    <t>서울특별시 금천구 독산로85길 6 (독산동, 지하1층)</t>
  </si>
  <si>
    <t>08543</t>
  </si>
  <si>
    <t>특급노래빠</t>
  </si>
  <si>
    <t>1625</t>
  </si>
  <si>
    <t xml:space="preserve">서울특별시 은평구 응암동 592-72 B1층 </t>
  </si>
  <si>
    <t>서울특별시 은평구 응암로13길 27, B1층 (응암동)</t>
  </si>
  <si>
    <t>1626</t>
  </si>
  <si>
    <t xml:space="preserve">서울특별시 구로구 가리봉동 123-38 </t>
  </si>
  <si>
    <t>서울특별시 구로구 우마길 13 (가리봉동)</t>
  </si>
  <si>
    <t>08387</t>
  </si>
  <si>
    <t>1627</t>
  </si>
  <si>
    <t>122-873</t>
  </si>
  <si>
    <t xml:space="preserve">서울특별시 은평구 수색동 105-2번지 </t>
  </si>
  <si>
    <t>서울특별시 은평구 은평터널로 8-6 (수색동)</t>
  </si>
  <si>
    <t>03502</t>
  </si>
  <si>
    <t>1628</t>
  </si>
  <si>
    <t xml:space="preserve">서울특별시 은평구 역촌동 14-10 지층 </t>
  </si>
  <si>
    <t>서울특별시 은평구 역말로 100 (역촌동,지층)</t>
  </si>
  <si>
    <t>03404</t>
  </si>
  <si>
    <t>나의20년</t>
  </si>
  <si>
    <t>1629</t>
  </si>
  <si>
    <t xml:space="preserve">서울특별시 도봉구 도봉동 623-103 </t>
  </si>
  <si>
    <t>서울특별시 도봉구 마들로 695 (도봉동)</t>
  </si>
  <si>
    <t>해피타운</t>
  </si>
  <si>
    <t>1630</t>
  </si>
  <si>
    <t>120-819</t>
  </si>
  <si>
    <t xml:space="preserve">서울특별시 서대문구 북아현동 126-44 </t>
  </si>
  <si>
    <t>서울특별시 서대문구 신촌로 283 (북아현동)</t>
  </si>
  <si>
    <t>03758</t>
  </si>
  <si>
    <t>아마죤</t>
  </si>
  <si>
    <t>1631</t>
  </si>
  <si>
    <t xml:space="preserve">서울특별시 서초구 양재동 289-5 </t>
  </si>
  <si>
    <t>서울특별시 서초구 논현로11길 3 (양재동)</t>
  </si>
  <si>
    <t>06782</t>
  </si>
  <si>
    <t>콘서트7080미사리</t>
  </si>
  <si>
    <t>1632</t>
  </si>
  <si>
    <t xml:space="preserve">서울특별시 양천구 목동 791-7 지하 1층 </t>
  </si>
  <si>
    <t>서울특별시 양천구 목동중앙서로1길 8, 지하 1층 (목동)</t>
  </si>
  <si>
    <t>07965</t>
  </si>
  <si>
    <t>목동마당</t>
  </si>
  <si>
    <t>1633</t>
  </si>
  <si>
    <t xml:space="preserve">서울특별시 강서구 등촌동 646-4 (지하 1층) </t>
  </si>
  <si>
    <t>서울특별시 강서구 공항대로59길 45, 지하 1층 (등촌동, 1동)</t>
  </si>
  <si>
    <t>07564</t>
  </si>
  <si>
    <t>석류</t>
  </si>
  <si>
    <t>1634</t>
  </si>
  <si>
    <t>130-823</t>
  </si>
  <si>
    <t xml:space="preserve">서울특별시 동대문구 용두동 235-42번지 (무학로 86-1) </t>
  </si>
  <si>
    <t>서울특별시 동대문구 무학로 115-1 (용두동,(무학로 86-1))</t>
  </si>
  <si>
    <t>02583</t>
  </si>
  <si>
    <t>매니아</t>
  </si>
  <si>
    <t>1635</t>
  </si>
  <si>
    <t xml:space="preserve">서울특별시 서대문구 홍제동 139-3 </t>
  </si>
  <si>
    <t>서울특별시 서대문구 통일로 408 (홍제동)</t>
  </si>
  <si>
    <t>뉴욕메들리</t>
  </si>
  <si>
    <t>1636</t>
  </si>
  <si>
    <t xml:space="preserve">서울특별시 마포구 합정동 387-22 지하 </t>
  </si>
  <si>
    <t>서울특별시 마포구 월드컵로1길 28 (합정동,지하)</t>
  </si>
  <si>
    <t>예진아씨</t>
  </si>
  <si>
    <t>1637</t>
  </si>
  <si>
    <t xml:space="preserve">서울특별시 금천구 독산동 160-4 지하1층 </t>
  </si>
  <si>
    <t>서울특별시 금천구 시흥대로138길 32 (독산동, 지하1층)</t>
  </si>
  <si>
    <t>남문노래바</t>
  </si>
  <si>
    <t>1638</t>
  </si>
  <si>
    <t xml:space="preserve">서울특별시 강남구 논현동 199-24 </t>
  </si>
  <si>
    <t>서울특별시 강남구 봉은사로1길 9 (논현동)</t>
  </si>
  <si>
    <t>모이라</t>
  </si>
  <si>
    <t>1639</t>
  </si>
  <si>
    <t>139-810</t>
  </si>
  <si>
    <t xml:space="preserve">서울특별시 노원구 상계동 101-5번지 </t>
  </si>
  <si>
    <t>서울특별시 노원구 덕릉로 781-1 (상계동)</t>
  </si>
  <si>
    <t>01638</t>
  </si>
  <si>
    <t>돼지술이노래하는곳</t>
  </si>
  <si>
    <t>1640</t>
  </si>
  <si>
    <t xml:space="preserve">서울특별시 마포구 동교동 200-8 </t>
  </si>
  <si>
    <t>서울특별시 마포구 동교로 205 (동교동, 지하1층)</t>
  </si>
  <si>
    <t>03993</t>
  </si>
  <si>
    <t>바나나</t>
  </si>
  <si>
    <t>1641</t>
  </si>
  <si>
    <t>158-808</t>
  </si>
  <si>
    <t xml:space="preserve">서울특별시 양천구 목동 514-4 지하 1층 </t>
  </si>
  <si>
    <t>서울특별시 양천구 공항대로 626, 지하 1층 (목동)</t>
  </si>
  <si>
    <t>07968</t>
  </si>
  <si>
    <t>시즌노래</t>
  </si>
  <si>
    <t>1642</t>
  </si>
  <si>
    <t xml:space="preserve">서울특별시 중랑구 상봉동 85-39 </t>
  </si>
  <si>
    <t>서울특별시 중랑구 봉우재로43길 10 (상봉동)</t>
  </si>
  <si>
    <t>비엔비 506070라이브</t>
  </si>
  <si>
    <t>1643</t>
  </si>
  <si>
    <t>131-803</t>
  </si>
  <si>
    <t xml:space="preserve">서울특별시 중랑구 망우동 340-19 </t>
  </si>
  <si>
    <t>서울특별시 중랑구 망우로 445, 지층 (망우동)</t>
  </si>
  <si>
    <t>02059</t>
  </si>
  <si>
    <t>단짝노래방</t>
  </si>
  <si>
    <t>1644</t>
  </si>
  <si>
    <t>120-824</t>
  </si>
  <si>
    <t xml:space="preserve">서울특별시 서대문구 연희동 86-1번지 </t>
  </si>
  <si>
    <t>서울특별시 서대문구 연희로 151 (연희동)</t>
  </si>
  <si>
    <t>03699</t>
  </si>
  <si>
    <t>길</t>
  </si>
  <si>
    <t>1645</t>
  </si>
  <si>
    <t xml:space="preserve">서울특별시 서대문구 남가좌동 254-7 </t>
  </si>
  <si>
    <t>로마</t>
  </si>
  <si>
    <t>1646</t>
  </si>
  <si>
    <t xml:space="preserve">서울특별시 서대문구 북가좌동 293-7 </t>
  </si>
  <si>
    <t>서울특별시 서대문구 응암로 100 (북가좌동)</t>
  </si>
  <si>
    <t>스타노래바</t>
  </si>
  <si>
    <t>1647</t>
  </si>
  <si>
    <t>122-899</t>
  </si>
  <si>
    <t xml:space="preserve">서울특별시 은평구 역촌동 42-62번지 (지층) </t>
  </si>
  <si>
    <t>서울특별시 은평구 진흥로 33 (역촌동,(지층))</t>
  </si>
  <si>
    <t>03408</t>
  </si>
  <si>
    <t>참존</t>
  </si>
  <si>
    <t>1648</t>
  </si>
  <si>
    <t xml:space="preserve">서울특별시 강남구 논현동 163-4 </t>
  </si>
  <si>
    <t>서울특별시 강남구 학동로2길 47 (논현동)</t>
  </si>
  <si>
    <t>1649</t>
  </si>
  <si>
    <t xml:space="preserve">서울특별시 마포구 용강동 45-8 </t>
  </si>
  <si>
    <t>서울특별시 마포구 토정로 298 (용강동, 지하1층)</t>
  </si>
  <si>
    <t>여러분</t>
  </si>
  <si>
    <t>1650</t>
  </si>
  <si>
    <t xml:space="preserve">서울특별시 강북구 수유동 178-18 </t>
  </si>
  <si>
    <t>서울특별시 강북구 한천로 1060 (수유동)</t>
  </si>
  <si>
    <t>세븐노래주점</t>
  </si>
  <si>
    <t>1651</t>
  </si>
  <si>
    <t>136-874</t>
  </si>
  <si>
    <t xml:space="preserve">서울특별시 성북구 하월곡동 90-121 </t>
  </si>
  <si>
    <t>서울특별시 성북구 종암로 174 (하월곡동)</t>
  </si>
  <si>
    <t>02739</t>
  </si>
  <si>
    <t>1652</t>
  </si>
  <si>
    <t>131-807</t>
  </si>
  <si>
    <t xml:space="preserve">서울특별시 중랑구 망우동 531-40 </t>
  </si>
  <si>
    <t>서울특별시 중랑구 겸재로 265 (망우동)</t>
  </si>
  <si>
    <t>02175</t>
  </si>
  <si>
    <t>생음악차차차</t>
  </si>
  <si>
    <t>1653</t>
  </si>
  <si>
    <t>134-861</t>
  </si>
  <si>
    <t xml:space="preserve">서울특별시 강동구 천호동 34-21번지 </t>
  </si>
  <si>
    <t>서울특별시 강동구 상암로 175 (천호동)</t>
  </si>
  <si>
    <t>05307</t>
  </si>
  <si>
    <t>짱1노래주점</t>
  </si>
  <si>
    <t>1654</t>
  </si>
  <si>
    <t>132-866</t>
  </si>
  <si>
    <t xml:space="preserve">서울특별시 도봉구 쌍문동 88-144 </t>
  </si>
  <si>
    <t>서울특별시 도봉구 도봉로 479 (쌍문동)</t>
  </si>
  <si>
    <t>01443</t>
  </si>
  <si>
    <t>도레미</t>
  </si>
  <si>
    <t>1655</t>
  </si>
  <si>
    <t xml:space="preserve">서울특별시 강남구 청담동 5-9 </t>
  </si>
  <si>
    <t>서울특별시 강남구 도산대로 450 (청담동)</t>
  </si>
  <si>
    <t>모다모다</t>
  </si>
  <si>
    <t>1656</t>
  </si>
  <si>
    <t xml:space="preserve">서울특별시 도봉구 쌍문동 88-68번지 </t>
  </si>
  <si>
    <t>서울특별시 도봉구 도봉로 493 (쌍문동)</t>
  </si>
  <si>
    <t>01442</t>
  </si>
  <si>
    <t>프렌드</t>
  </si>
  <si>
    <t>1657</t>
  </si>
  <si>
    <t xml:space="preserve">서울특별시 광진구 구의동 243-22 </t>
  </si>
  <si>
    <t>서울특별시 광진구 아차산로 413 (구의동)</t>
  </si>
  <si>
    <t>하루노래주점</t>
  </si>
  <si>
    <t>1658</t>
  </si>
  <si>
    <t xml:space="preserve">서울특별시 강북구 번동 463-43 </t>
  </si>
  <si>
    <t>서울특별시 강북구 도봉로 376 (번동)</t>
  </si>
  <si>
    <t>풍차</t>
  </si>
  <si>
    <t>1659</t>
  </si>
  <si>
    <t xml:space="preserve">서울특별시 광진구 자양동 627-2 </t>
  </si>
  <si>
    <t>서울특별시 광진구 자양로 87 (자양동)</t>
  </si>
  <si>
    <t>05056</t>
  </si>
  <si>
    <t>평야7080</t>
  </si>
  <si>
    <t>1660</t>
  </si>
  <si>
    <t xml:space="preserve">서울특별시 강북구 수유동 1-61 </t>
  </si>
  <si>
    <t>서울특별시 강북구 수유로 77 (수유동)</t>
  </si>
  <si>
    <t>1661</t>
  </si>
  <si>
    <t>서울특별시 용산구 남영동 88-3번지 2층호</t>
  </si>
  <si>
    <t>서울특별시 용산구 한강대로 264 (남영동)</t>
  </si>
  <si>
    <t>명성</t>
  </si>
  <si>
    <t>1662</t>
  </si>
  <si>
    <t xml:space="preserve">서울특별시 강북구 수유동 173-1 </t>
  </si>
  <si>
    <t>서울특별시 강북구 도봉로97길 7 (수유동)</t>
  </si>
  <si>
    <t>찬찬찬7080</t>
  </si>
  <si>
    <t>1663</t>
  </si>
  <si>
    <t xml:space="preserve">서울특별시 관악구 신림동 1655-43 </t>
  </si>
  <si>
    <t>서울특별시 관악구 조원로2길 48 (신림동)</t>
  </si>
  <si>
    <t>오케이노래바</t>
  </si>
  <si>
    <t>1664</t>
  </si>
  <si>
    <t xml:space="preserve">서울특별시 서대문구 홍제동 326-12 지하1층 </t>
  </si>
  <si>
    <t>서울특별시 서대문구 통일로 475, 지하1층 (홍제동)</t>
  </si>
  <si>
    <t>1665</t>
  </si>
  <si>
    <t xml:space="preserve">서울특별시 강동구 명일동 325-1 </t>
  </si>
  <si>
    <t>서울특별시 강동구 구천면로 414, 지1층 (명일동)</t>
  </si>
  <si>
    <t>영</t>
  </si>
  <si>
    <t>1666</t>
  </si>
  <si>
    <t>132-925</t>
  </si>
  <si>
    <t xml:space="preserve">서울특별시 도봉구 창동 651-35번지 </t>
  </si>
  <si>
    <t>서울특별시 도봉구 도봉로110길 67 (창동)</t>
  </si>
  <si>
    <t>사이조케</t>
  </si>
  <si>
    <t>1667</t>
  </si>
  <si>
    <t>143-843</t>
  </si>
  <si>
    <t xml:space="preserve">서울특별시 광진구 자양동 45-34 </t>
  </si>
  <si>
    <t>서울특별시 광진구 뚝섬로 492 (자양동)</t>
  </si>
  <si>
    <t>05085</t>
  </si>
  <si>
    <t>라이브(술있는 노래방)</t>
  </si>
  <si>
    <t>1668</t>
  </si>
  <si>
    <t>142-815</t>
  </si>
  <si>
    <t xml:space="preserve">서울특별시 강북구 미아동 322-4 </t>
  </si>
  <si>
    <t>서울특별시 강북구 도봉로33길 9 (미아동)</t>
  </si>
  <si>
    <t>01176</t>
  </si>
  <si>
    <t>야성</t>
  </si>
  <si>
    <t>1669</t>
  </si>
  <si>
    <t>140-885</t>
  </si>
  <si>
    <t xml:space="preserve">서울특별시 용산구 한남동 32-17번지 (지상2층) </t>
  </si>
  <si>
    <t>서울특별시 용산구 독서당로 89 (한남동,(지상2층))</t>
  </si>
  <si>
    <t>04419</t>
  </si>
  <si>
    <t>니키타</t>
  </si>
  <si>
    <t>1670</t>
  </si>
  <si>
    <t xml:space="preserve">서울특별시 노원구 상계동 387-196번지 지하1층 </t>
  </si>
  <si>
    <t>서울특별시 노원구 상계로 136 (상계동,지하1층)</t>
  </si>
  <si>
    <t>01698</t>
  </si>
  <si>
    <t>여울목</t>
  </si>
  <si>
    <t>1671</t>
  </si>
  <si>
    <t xml:space="preserve">서울특별시 강북구 번동 448-9 (번문길 14 -1) </t>
  </si>
  <si>
    <t>서울특별시 강북구 도봉로82길 26 (번동,(번문길 14 -1))</t>
  </si>
  <si>
    <t>오케이 단란주점</t>
  </si>
  <si>
    <t>1672</t>
  </si>
  <si>
    <t xml:space="preserve">서울특별시 강남구 역삼동 831-36번지 </t>
  </si>
  <si>
    <t>서울특별시 강남구 역삼로3길 15 (역삼동)</t>
  </si>
  <si>
    <t>바리바리 노래바</t>
  </si>
  <si>
    <t>1673</t>
  </si>
  <si>
    <t xml:space="preserve">서울특별시 서대문구 북가좌동 279-12 </t>
  </si>
  <si>
    <t>서울특별시 서대문구 응암로 116 (북가좌동)</t>
  </si>
  <si>
    <t>1674</t>
  </si>
  <si>
    <t xml:space="preserve">서울특별시 강동구 명일동 289-14 </t>
  </si>
  <si>
    <t>서울특별시 강동구 구천면로 431-2, 지1층 (명일동)</t>
  </si>
  <si>
    <t>즐거운 인생</t>
  </si>
  <si>
    <t>1675</t>
  </si>
  <si>
    <t>142-821</t>
  </si>
  <si>
    <t xml:space="preserve">서울특별시 강북구 미아동 701-8 </t>
  </si>
  <si>
    <t>서울특별시 강북구 솔샘로 235 (미아동)</t>
  </si>
  <si>
    <t>1676</t>
  </si>
  <si>
    <t xml:space="preserve">서울특별시 송파구 석촌동 1-3번지 지하1층 </t>
  </si>
  <si>
    <t>서울특별시 송파구 석촌호수로 194, 지하1층 (석촌동)</t>
  </si>
  <si>
    <t>SBS(에스비에스)</t>
  </si>
  <si>
    <t>1677</t>
  </si>
  <si>
    <t xml:space="preserve">서울특별시 강남구 역삼동 646-6번지 </t>
  </si>
  <si>
    <t>서울특별시 강남구 테헤란로21길 5 (역삼동)</t>
  </si>
  <si>
    <t>먼훗날</t>
  </si>
  <si>
    <t>1678</t>
  </si>
  <si>
    <t>157-918</t>
  </si>
  <si>
    <t xml:space="preserve">서울특별시 강서구 화곡동 1006-13 지하 1층 </t>
  </si>
  <si>
    <t>서울특별시 강서구 강서로45가길 19, 지하 1층 (화곡동, 3동)</t>
  </si>
  <si>
    <t>07705</t>
  </si>
  <si>
    <t>빙고노래타운</t>
  </si>
  <si>
    <t>1679</t>
  </si>
  <si>
    <t xml:space="preserve">서울특별시 서대문구 홍은동 48-159번지 외 1필지(48-161) 지하1층 전체 </t>
  </si>
  <si>
    <t>서울특별시 서대문구 세검정로1길 13, 지하1층 (홍은동)</t>
  </si>
  <si>
    <t>노래하는밤열차</t>
  </si>
  <si>
    <t>1680</t>
  </si>
  <si>
    <t xml:space="preserve">서울특별시 용산구 한남동 642-15번지 지하1층 </t>
  </si>
  <si>
    <t>서울특별시 용산구 대사관로24길 30 (한남동, 642-15 지하1층)</t>
  </si>
  <si>
    <t>딜라일라</t>
  </si>
  <si>
    <t>1681</t>
  </si>
  <si>
    <t xml:space="preserve">서울특별시 강동구 천호동 35-28번지 </t>
  </si>
  <si>
    <t>서울특별시 강동구 상암로 169 (천호동)</t>
  </si>
  <si>
    <t>째즈</t>
  </si>
  <si>
    <t>1682</t>
  </si>
  <si>
    <t xml:space="preserve">서울특별시 동작구 흑석동 43-3 </t>
  </si>
  <si>
    <t>서울특별시 동작구 서달로14길 34 (흑석동)</t>
  </si>
  <si>
    <t>오케이(OK) 7090</t>
  </si>
  <si>
    <t>1683</t>
  </si>
  <si>
    <t>158-834</t>
  </si>
  <si>
    <t xml:space="preserve">서울특별시 양천구 신월동 445-1 지하 1층 </t>
  </si>
  <si>
    <t>서울특별시 양천구 월정로 40, 지하 1층 (신월동)</t>
  </si>
  <si>
    <t>07936</t>
  </si>
  <si>
    <t>OB타운</t>
  </si>
  <si>
    <t>1684</t>
  </si>
  <si>
    <t xml:space="preserve">서울특별시 종로구 낙원동 90-0 </t>
  </si>
  <si>
    <t>돈키호테</t>
  </si>
  <si>
    <t>1685</t>
  </si>
  <si>
    <t xml:space="preserve">서울특별시 중구 을지로5가 274-1번지 274-20 </t>
  </si>
  <si>
    <t>서울특별시 중구 동호로35길 5 (을지로5가,274-20)</t>
  </si>
  <si>
    <t>태양비지니스크럽</t>
  </si>
  <si>
    <t>1686</t>
  </si>
  <si>
    <t>158-822</t>
  </si>
  <si>
    <t xml:space="preserve">서울특별시 양천구 신월동 23-14 지하 1층 </t>
  </si>
  <si>
    <t>서울특별시 양천구 화곡로 105, 지하 1층 (신월동)</t>
  </si>
  <si>
    <t>07903</t>
  </si>
  <si>
    <t>로얄팡팡노래바</t>
  </si>
  <si>
    <t>1687</t>
  </si>
  <si>
    <t xml:space="preserve">서울특별시 강북구 수유동 134-60 </t>
  </si>
  <si>
    <t>서울특별시 강북구 수유로 55 (수유동)</t>
  </si>
  <si>
    <t>01079</t>
  </si>
  <si>
    <t>남행열차단란주점</t>
  </si>
  <si>
    <t>1688</t>
  </si>
  <si>
    <t>120-802</t>
  </si>
  <si>
    <t xml:space="preserve">서울특별시 서대문구 남가좌동 102-20번지 </t>
  </si>
  <si>
    <t>서울특별시 서대문구 수색로2길 12 (남가좌동)</t>
  </si>
  <si>
    <t>03712</t>
  </si>
  <si>
    <t>북치고 장구치고</t>
  </si>
  <si>
    <t>1689</t>
  </si>
  <si>
    <t>131-849</t>
  </si>
  <si>
    <t xml:space="preserve">서울특별시 중랑구 묵동 181-68 </t>
  </si>
  <si>
    <t>서울특별시 중랑구 동일로 856 (묵동)</t>
  </si>
  <si>
    <t>02045</t>
  </si>
  <si>
    <t>개구쟁이7080라이브</t>
  </si>
  <si>
    <t>1690</t>
  </si>
  <si>
    <t xml:space="preserve">서울특별시 성동구 성수동2가 346-4번지 </t>
  </si>
  <si>
    <t>서울특별시 성동구 성덕정길 76 (성수동2가)</t>
  </si>
  <si>
    <t>쫄랑이노래주점</t>
  </si>
  <si>
    <t>1691</t>
  </si>
  <si>
    <t xml:space="preserve">서울특별시 동대문구 청량리동 687번지 지하1층 </t>
  </si>
  <si>
    <t>서울특별시 동대문구 약령시로 123, 지하1층 (청량리동)</t>
  </si>
  <si>
    <t>산</t>
  </si>
  <si>
    <t>1692</t>
  </si>
  <si>
    <t xml:space="preserve">서울특별시 마포구 구수동 57-3번지 B1동 </t>
  </si>
  <si>
    <t>서울특별시 마포구 창전로 38 (구수동)</t>
  </si>
  <si>
    <t>04087</t>
  </si>
  <si>
    <t>가야노래타운</t>
  </si>
  <si>
    <t>1693</t>
  </si>
  <si>
    <t xml:space="preserve">서울특별시 노원구 상계동 169-147 </t>
  </si>
  <si>
    <t>서울특별시 노원구 한글비석로23길 34 (상계동, 169-147)</t>
  </si>
  <si>
    <t>황제 단란주점</t>
  </si>
  <si>
    <t>1694</t>
  </si>
  <si>
    <t xml:space="preserve">서울특별시 은평구 대조동 26-17번지 (지층) </t>
  </si>
  <si>
    <t>서울특별시 은평구 진흥로13길 2 (대조동,(지층))</t>
  </si>
  <si>
    <t>썸노래빠</t>
  </si>
  <si>
    <t>1695</t>
  </si>
  <si>
    <t>138-878</t>
  </si>
  <si>
    <t xml:space="preserve">서울특별시 송파구 풍납동 399-1 지하1층 </t>
  </si>
  <si>
    <t>서울특별시 송파구 올림픽로47길 19, 지하1층 (풍납동)</t>
  </si>
  <si>
    <t>05537</t>
  </si>
  <si>
    <t>스케치</t>
  </si>
  <si>
    <t>1696</t>
  </si>
  <si>
    <t xml:space="preserve">서울특별시 송파구 오금동 129-20번지 </t>
  </si>
  <si>
    <t>서울특별시 송파구 마천로26길 8 (오금동)</t>
  </si>
  <si>
    <t>05739</t>
  </si>
  <si>
    <t>대박노래주점</t>
  </si>
  <si>
    <t>1697</t>
  </si>
  <si>
    <t xml:space="preserve">서울특별시 동대문구 신설동 92-12번지 </t>
  </si>
  <si>
    <t>서울특별시 동대문구 하정로 42 (신설동)</t>
  </si>
  <si>
    <t>아리주</t>
  </si>
  <si>
    <t>1698</t>
  </si>
  <si>
    <t xml:space="preserve">서울특별시 광진구 자양동 628-33 </t>
  </si>
  <si>
    <t>서울특별시 광진구 자양로 71 (자양동)</t>
  </si>
  <si>
    <t>1699</t>
  </si>
  <si>
    <t xml:space="preserve">서울특별시 동작구 상도동 170-10 </t>
  </si>
  <si>
    <t>서울특별시 동작구 상도로 206, 지하1층 (상도동)</t>
  </si>
  <si>
    <t>일번지단란주점</t>
  </si>
  <si>
    <t>1700</t>
  </si>
  <si>
    <t xml:space="preserve">서울특별시 중구 신당동 120-16 </t>
  </si>
  <si>
    <t>서울특별시 중구 다산로44길 19 (신당동)</t>
  </si>
  <si>
    <t>또또짱</t>
  </si>
  <si>
    <t>1701</t>
  </si>
  <si>
    <t>158-828</t>
  </si>
  <si>
    <t xml:space="preserve">서울특별시 양천구 신월동 145-2 지하 1층 </t>
  </si>
  <si>
    <t>서울특별시 양천구 남부순환로 357-1, 지하 1층 (신월동)</t>
  </si>
  <si>
    <t>07920</t>
  </si>
  <si>
    <t>썬앤썬</t>
  </si>
  <si>
    <t>1702</t>
  </si>
  <si>
    <t>132-892</t>
  </si>
  <si>
    <t xml:space="preserve">서울특별시 도봉구 쌍문동 629번지 </t>
  </si>
  <si>
    <t>서울특별시 도봉구 해등로 158, 지하1층 (쌍문동)</t>
  </si>
  <si>
    <t>01395</t>
  </si>
  <si>
    <t>1703</t>
  </si>
  <si>
    <t>138-850</t>
  </si>
  <si>
    <t xml:space="preserve">서울특별시 송파구 송파동 96-6 창영빌딩 </t>
  </si>
  <si>
    <t>서울특별시 송파구 송파대로 388, 창영빌딩 지하1층 (송파동)</t>
  </si>
  <si>
    <t>05668</t>
  </si>
  <si>
    <t>채널24</t>
  </si>
  <si>
    <t>1704</t>
  </si>
  <si>
    <t xml:space="preserve">서울특별시 동대문구 장안동 463-3번지 지하 1층 </t>
  </si>
  <si>
    <t>서울특별시 동대문구 천호대로85길 10, 지하1층 (장안동)</t>
  </si>
  <si>
    <t>정희단란주점</t>
  </si>
  <si>
    <t>1705</t>
  </si>
  <si>
    <t>135-500</t>
  </si>
  <si>
    <t xml:space="preserve">서울특별시 강남구 대치동 1019-13번지 </t>
  </si>
  <si>
    <t>서울특별시 강남구 삼성로 231 (대치동)</t>
  </si>
  <si>
    <t>06279</t>
  </si>
  <si>
    <t>대치노래바하트</t>
  </si>
  <si>
    <t>1706</t>
  </si>
  <si>
    <t xml:space="preserve">서울특별시 광진구 구의동 219-28 </t>
  </si>
  <si>
    <t>서울특별시 광진구 아차산로 455 (구의동)</t>
  </si>
  <si>
    <t>05046</t>
  </si>
  <si>
    <t>1707</t>
  </si>
  <si>
    <t xml:space="preserve">서울특별시 강남구 신사동 512-0 </t>
  </si>
  <si>
    <t>서울특별시 강남구 강남대로154길 10 (신사동)</t>
  </si>
  <si>
    <t>1708</t>
  </si>
  <si>
    <t xml:space="preserve">서울특별시 용산구 청파동3가 24-24 (지층) </t>
  </si>
  <si>
    <t>서울특별시 용산구 청파로45길 20 (청파동3가,(지층))</t>
  </si>
  <si>
    <t>샵노래바</t>
  </si>
  <si>
    <t>1709</t>
  </si>
  <si>
    <t xml:space="preserve">서울특별시 양천구 목동 792-1 지하 1층 </t>
  </si>
  <si>
    <t>서울특별시 양천구 목동중앙서로7가길 39, 지하 1층 (목동)</t>
  </si>
  <si>
    <t>엠에스</t>
  </si>
  <si>
    <t>1710</t>
  </si>
  <si>
    <t>110-170</t>
  </si>
  <si>
    <t xml:space="preserve">서울특별시 종로구 견지동 110-7번지 </t>
  </si>
  <si>
    <t>1711</t>
  </si>
  <si>
    <t>136-845</t>
  </si>
  <si>
    <t xml:space="preserve">서울특별시 성북구 정릉동 416-2번지 </t>
  </si>
  <si>
    <t>서울특별시 성북구 보국문로 13-1 (정릉동)</t>
  </si>
  <si>
    <t>02710</t>
  </si>
  <si>
    <t>7080 마이웨이</t>
  </si>
  <si>
    <t>1712</t>
  </si>
  <si>
    <t xml:space="preserve">서울특별시 강서구 화곡동 357-27 (지하 1층) </t>
  </si>
  <si>
    <t>서울특별시 강서구 월정로 126, 지하 1층 (화곡동, 1동)</t>
  </si>
  <si>
    <t>스타 노래바</t>
  </si>
  <si>
    <t>1713</t>
  </si>
  <si>
    <t xml:space="preserve">서울특별시 서대문구 북가좌동 278-1 </t>
  </si>
  <si>
    <t>서울특별시 서대문구 응암로 126 (북가좌동)</t>
  </si>
  <si>
    <t>도너츠노래팡</t>
  </si>
  <si>
    <t>1714</t>
  </si>
  <si>
    <t xml:space="preserve">서울특별시 노원구 상계동 389-361 </t>
  </si>
  <si>
    <t>서울특별시 노원구 상계로27길 15 (상계동)</t>
  </si>
  <si>
    <t>1715</t>
  </si>
  <si>
    <t xml:space="preserve">서울특별시 구로구 개봉동 403-138 </t>
  </si>
  <si>
    <t>서울특별시 구로구 개봉로 50 (개봉동)</t>
  </si>
  <si>
    <t>08332</t>
  </si>
  <si>
    <t>진주</t>
  </si>
  <si>
    <t>1716</t>
  </si>
  <si>
    <t xml:space="preserve">서울특별시 관악구 신림동 566-7번지 </t>
  </si>
  <si>
    <t>서울특별시 관악구 남부순환로 지하 1405 (신림동)</t>
  </si>
  <si>
    <t>황실메들리</t>
  </si>
  <si>
    <t>1717</t>
  </si>
  <si>
    <t xml:space="preserve">서울특별시 서초구 서초동 1577-5 지하1층 </t>
  </si>
  <si>
    <t>서울특별시 서초구 서초대로50길 93 (서초동,지하1층)</t>
  </si>
  <si>
    <t>영웅노래바Q</t>
  </si>
  <si>
    <t>1718</t>
  </si>
  <si>
    <t xml:space="preserve">서울특별시 은평구 응암동 84-6 (지하1층) </t>
  </si>
  <si>
    <t>서울특별시 은평구 서오릉로 3 (응암동,(지하1층))</t>
  </si>
  <si>
    <t>1719</t>
  </si>
  <si>
    <t>136-833</t>
  </si>
  <si>
    <t xml:space="preserve">서울특별시 성북구 장위동 238-203번지 </t>
  </si>
  <si>
    <t>서울특별시 성북구 장위로 101-1 (장위동)</t>
  </si>
  <si>
    <t>오딧세이</t>
  </si>
  <si>
    <t>1720</t>
  </si>
  <si>
    <t xml:space="preserve">서울특별시 광진구 구의동 246-75 </t>
  </si>
  <si>
    <t>서울특별시 광진구 아차산로51길 4 (구의동)</t>
  </si>
  <si>
    <t>두루한</t>
  </si>
  <si>
    <t>1721</t>
  </si>
  <si>
    <t>151-886</t>
  </si>
  <si>
    <t xml:space="preserve">서울특별시 관악구 신림동 681-8 </t>
  </si>
  <si>
    <t>서울특별시 관악구 난곡로 103 (신림동)</t>
  </si>
  <si>
    <t>08859</t>
  </si>
  <si>
    <t>쎈스노래노래</t>
  </si>
  <si>
    <t>1722</t>
  </si>
  <si>
    <t xml:space="preserve">서울특별시 서초구 잠원동 13-11번지 지하1층 </t>
  </si>
  <si>
    <t>서울특별시 서초구 강남대로101안길 5, 지하1층 (잠원동)</t>
  </si>
  <si>
    <t>파파QLee</t>
  </si>
  <si>
    <t>1723</t>
  </si>
  <si>
    <t xml:space="preserve">서울특별시 광진구 자양동 607-17 </t>
  </si>
  <si>
    <t>서울특별시 광진구 뚝섬로 608 (자양동)</t>
  </si>
  <si>
    <t>05099</t>
  </si>
  <si>
    <t>쉘리단란주점</t>
  </si>
  <si>
    <t>1724</t>
  </si>
  <si>
    <t>137-867</t>
  </si>
  <si>
    <t xml:space="preserve">서울특별시 서초구 서초동 1458-3 </t>
  </si>
  <si>
    <t>서울특별시 서초구 효령로 264 (서초동)</t>
  </si>
  <si>
    <t>06716</t>
  </si>
  <si>
    <t>영심이 노래광장</t>
  </si>
  <si>
    <t>1725</t>
  </si>
  <si>
    <t xml:space="preserve">서울특별시 도봉구 도봉동 613-3번지 지하1층 </t>
  </si>
  <si>
    <t>서울특별시 도봉구 시루봉로 287, 지하1층 (도봉동)</t>
  </si>
  <si>
    <t>1726</t>
  </si>
  <si>
    <t xml:space="preserve">서울특별시 양천구 신정동 117-36 지하 1층 </t>
  </si>
  <si>
    <t>서울특별시 양천구 신목로 78-1, 지하 1층 (신정동)</t>
  </si>
  <si>
    <t>스마일</t>
  </si>
  <si>
    <t>1727</t>
  </si>
  <si>
    <t xml:space="preserve">서울특별시 강서구 화곡동 377-14 (지하 1층) </t>
  </si>
  <si>
    <t>서울특별시 강서구 가로공원로 181, 지하 1층 (화곡동, 1동)</t>
  </si>
  <si>
    <t>07718</t>
  </si>
  <si>
    <t>힐노래바</t>
  </si>
  <si>
    <t>1728</t>
  </si>
  <si>
    <t>135-892</t>
  </si>
  <si>
    <t xml:space="preserve">서울특별시 강남구 신사동 579-2번지 </t>
  </si>
  <si>
    <t>서울특별시 강남구 압구정로 160 (신사동)</t>
  </si>
  <si>
    <t>06030</t>
  </si>
  <si>
    <t>1729</t>
  </si>
  <si>
    <t xml:space="preserve">서울특별시 강서구 화곡동 1099-6 (지하 1층) </t>
  </si>
  <si>
    <t>서울특별시 강서구 우장산로 119, 지하 1층 (화곡동, 6동)</t>
  </si>
  <si>
    <t>추억속으로</t>
  </si>
  <si>
    <t>1730</t>
  </si>
  <si>
    <t xml:space="preserve">서울특별시 종로구 숭인동 318-9 지하1층 </t>
  </si>
  <si>
    <t>서울특별시 종로구 지봉로4길 11 (숭인동,지하1층)</t>
  </si>
  <si>
    <t>루카스</t>
  </si>
  <si>
    <t>1731</t>
  </si>
  <si>
    <t>156-860</t>
  </si>
  <si>
    <t xml:space="preserve">서울특별시 동작구 흑석동 101-4번지 </t>
  </si>
  <si>
    <t>서울특별시 동작구 서달로15길 17 (흑석동)</t>
  </si>
  <si>
    <t>06972</t>
  </si>
  <si>
    <t>1732</t>
  </si>
  <si>
    <t xml:space="preserve">서울특별시 도봉구 방학동 673-10 </t>
  </si>
  <si>
    <t>서울특별시 도봉구 방학로 125, 지하1층 (방학동)</t>
  </si>
  <si>
    <t>낙원7080</t>
  </si>
  <si>
    <t>1733</t>
  </si>
  <si>
    <t>137-865</t>
  </si>
  <si>
    <t xml:space="preserve">서울특별시 서초구 서초동 1443-6번지 지하1층 </t>
  </si>
  <si>
    <t>서울특별시 서초구 효령로 318, 지하1층 (서초동)</t>
  </si>
  <si>
    <t>06721</t>
  </si>
  <si>
    <t>포레스트(Forest)</t>
  </si>
  <si>
    <t>1734</t>
  </si>
  <si>
    <t>100-861</t>
  </si>
  <si>
    <t xml:space="preserve">서울특별시 중구 충무로2가 65-13번지 </t>
  </si>
  <si>
    <t>서울특별시 중구 퇴계로 123 (충무로2가)</t>
  </si>
  <si>
    <t>04536</t>
  </si>
  <si>
    <t>뮤직인터뷰</t>
  </si>
  <si>
    <t>1735</t>
  </si>
  <si>
    <t xml:space="preserve">서울특별시 강서구 화곡동 357-26 (지하 1층) </t>
  </si>
  <si>
    <t>서울특별시 강서구 월정로 124, 지하 1층 (화곡동, 1동)</t>
  </si>
  <si>
    <t>멜로디 라이브</t>
  </si>
  <si>
    <t>1736</t>
  </si>
  <si>
    <t xml:space="preserve">서울특별시 강남구 논현동 184-31번지 </t>
  </si>
  <si>
    <t>서울특별시 강남구 봉은사로1길 16 (논현동)</t>
  </si>
  <si>
    <t>럭셔리2 노래바</t>
  </si>
  <si>
    <t>1737</t>
  </si>
  <si>
    <t xml:space="preserve">서울특별시 마포구 용강동 38-2번지 </t>
  </si>
  <si>
    <t>서울특별시 마포구 토정로37길 13 (용강동)</t>
  </si>
  <si>
    <t>블룸(bloom)</t>
  </si>
  <si>
    <t>1738</t>
  </si>
  <si>
    <t>142-874</t>
  </si>
  <si>
    <t xml:space="preserve">서울특별시 강북구 수유동 57-16 </t>
  </si>
  <si>
    <t>서울특별시 강북구 수유로 2 (수유동)</t>
  </si>
  <si>
    <t>01112</t>
  </si>
  <si>
    <t>라스베가스</t>
  </si>
  <si>
    <t>1739</t>
  </si>
  <si>
    <t xml:space="preserve">서울특별시 은평구 대조동 219-27번지 </t>
  </si>
  <si>
    <t>서울특별시 은평구 연서로 190-1 (대조동)</t>
  </si>
  <si>
    <t>윈저</t>
  </si>
  <si>
    <t>1740</t>
  </si>
  <si>
    <t xml:space="preserve">서울특별시 노원구 상계동 389-486 </t>
  </si>
  <si>
    <t>서울특별시 노원구 상계로23길 11 (상계동)</t>
  </si>
  <si>
    <t>노다지단란주점</t>
  </si>
  <si>
    <t>1741</t>
  </si>
  <si>
    <t xml:space="preserve">서울특별시 중랑구 면목동 633-1번지 </t>
  </si>
  <si>
    <t>서울특별시 중랑구 면목로 303 (면목동)</t>
  </si>
  <si>
    <t>02239</t>
  </si>
  <si>
    <t>시대</t>
  </si>
  <si>
    <t>1742</t>
  </si>
  <si>
    <t xml:space="preserve">서울특별시 강동구 천호동 237-3 </t>
  </si>
  <si>
    <t>서울특별시 강동구 구천면로 284 (천호동)</t>
  </si>
  <si>
    <t>05310</t>
  </si>
  <si>
    <t>관광열차 가요주점</t>
  </si>
  <si>
    <t>1743</t>
  </si>
  <si>
    <t>135-840</t>
  </si>
  <si>
    <t xml:space="preserve">서울특별시 강남구 대치동 897-13 지하1층 </t>
  </si>
  <si>
    <t>서울특별시 강남구 선릉로86길 10, 지하1층 (대치동)</t>
  </si>
  <si>
    <t>06198</t>
  </si>
  <si>
    <t>블루셀</t>
  </si>
  <si>
    <t>1744</t>
  </si>
  <si>
    <t>157-904</t>
  </si>
  <si>
    <t xml:space="preserve">서울특별시 강서구 화곡동 858-7번지 (지하 1층) </t>
  </si>
  <si>
    <t>서울특별시 강서구 곰달래로 지하 190-1, 1층 (화곡동, 2동)</t>
  </si>
  <si>
    <t>오케이단란주점</t>
  </si>
  <si>
    <t>1745</t>
  </si>
  <si>
    <t xml:space="preserve">서울특별시 중랑구 망우동 486-5 </t>
  </si>
  <si>
    <t>서울특별시 중랑구 용마산로115길 4 (망우동)</t>
  </si>
  <si>
    <t>테스형노래빠</t>
  </si>
  <si>
    <t>1746</t>
  </si>
  <si>
    <t xml:space="preserve">서울특별시 강서구 화곡동 372-95 (지하 1층) </t>
  </si>
  <si>
    <t>서울특별시 강서구 가로공원로72길 3, 지하 1층 (화곡동, 1동)</t>
  </si>
  <si>
    <t>캡틴</t>
  </si>
  <si>
    <t>1747</t>
  </si>
  <si>
    <t xml:space="preserve">서울특별시 중구 신당동 131-11 </t>
  </si>
  <si>
    <t>서울특별시 중구 다산로44길 48 (신당동)</t>
  </si>
  <si>
    <t>55번지</t>
  </si>
  <si>
    <t>1748</t>
  </si>
  <si>
    <t xml:space="preserve">서울특별시 노원구 상계동 707-4 태성빌딩 </t>
  </si>
  <si>
    <t>서울특별시 노원구 노해로75길 14-27, 태성빌딩 지하 1층 (상계동)</t>
  </si>
  <si>
    <t>추억의라이브마이웨이</t>
  </si>
  <si>
    <t>1749</t>
  </si>
  <si>
    <t xml:space="preserve">서울특별시 중구 신당동 142-1 지하1층 </t>
  </si>
  <si>
    <t>서울특별시 중구 다산로44길 66, 지하1층 (신당동)</t>
  </si>
  <si>
    <t>친구야</t>
  </si>
  <si>
    <t>1750</t>
  </si>
  <si>
    <t xml:space="preserve">서울특별시 강남구 논현동 144-0 </t>
  </si>
  <si>
    <t>서울특별시 강남구 강남대로128길 10 (논현동)</t>
  </si>
  <si>
    <t>초이스 노래바</t>
  </si>
  <si>
    <t>1751</t>
  </si>
  <si>
    <t xml:space="preserve">서울특별시 금천구 독산동 950-2 지하1층 </t>
  </si>
  <si>
    <t>서울특별시 금천구 남부순환로 1384 (독산동, 지하1층)</t>
  </si>
  <si>
    <t>1752</t>
  </si>
  <si>
    <t xml:space="preserve">서울특별시 강서구 화곡동 377-42번지 (지하 1층) </t>
  </si>
  <si>
    <t>서울특별시 강서구 가로공원로 173, 지하 1층 (화곡동, 1동)</t>
  </si>
  <si>
    <t>1753</t>
  </si>
  <si>
    <t xml:space="preserve">서울특별시 종로구 낙원동 150-1번지 </t>
  </si>
  <si>
    <t>서울특별시 종로구 수표로26길 12, 1층 (낙원동)</t>
  </si>
  <si>
    <t>1754</t>
  </si>
  <si>
    <t xml:space="preserve">서울특별시 동대문구 답십리동 246-6번지 지하1층 </t>
  </si>
  <si>
    <t>서울특별시 동대문구 답십리로 148, 지하1층 (답십리동)</t>
  </si>
  <si>
    <t>02599</t>
  </si>
  <si>
    <t>뽀아7080</t>
  </si>
  <si>
    <t>1755</t>
  </si>
  <si>
    <t xml:space="preserve">서울특별시 광진구 구의동 54-20번지 </t>
  </si>
  <si>
    <t>서울특별시 광진구 천호대로 681 (구의동)</t>
  </si>
  <si>
    <t>1756</t>
  </si>
  <si>
    <t xml:space="preserve">서울특별시 강북구 번동 417-32 </t>
  </si>
  <si>
    <t>서울특별시 강북구 한천로 1019 (번동)</t>
  </si>
  <si>
    <t>큐피트</t>
  </si>
  <si>
    <t>1757</t>
  </si>
  <si>
    <t xml:space="preserve">서울특별시 강북구 수유동 174-29 </t>
  </si>
  <si>
    <t>서울특별시 강북구 한천로140길 10 (수유동)</t>
  </si>
  <si>
    <t>마야노래주점</t>
  </si>
  <si>
    <t>1758</t>
  </si>
  <si>
    <t xml:space="preserve">서울특별시 성동구 금호동1가 1756-1 금호연풍교회 </t>
  </si>
  <si>
    <t>서울특별시 성동구 금호로 86, 가동 지1층 1호 (금호동1가)</t>
  </si>
  <si>
    <t>1759</t>
  </si>
  <si>
    <t>서울특별시 송파구 석촌동 157 지상2층 201호</t>
  </si>
  <si>
    <t>서울특별시 송파구 송파대로49길 33, 지상2층 201호 (석촌동)</t>
  </si>
  <si>
    <t>1760</t>
  </si>
  <si>
    <t>153-861</t>
  </si>
  <si>
    <t xml:space="preserve">서울특별시 금천구 시흥동 940-8 지하1층 </t>
  </si>
  <si>
    <t>서울특별시 금천구 시흥대로 98-1, 지하1층 (시흥동)</t>
  </si>
  <si>
    <t>08651</t>
  </si>
  <si>
    <t>마녀가 탄 빗자루</t>
  </si>
  <si>
    <t>1761</t>
  </si>
  <si>
    <t xml:space="preserve">서울특별시 강동구 길동 252-130 신재빌딩 </t>
  </si>
  <si>
    <t>서울특별시 강동구 명일로 191, 신재빌딩 지1층 (길동)</t>
  </si>
  <si>
    <t>05350</t>
  </si>
  <si>
    <t>찐이야</t>
  </si>
  <si>
    <t>1762</t>
  </si>
  <si>
    <t xml:space="preserve">서울특별시 서초구 양재동 272-4 </t>
  </si>
  <si>
    <t>서울특별시 서초구 마방로10길 54-9 (양재동)</t>
  </si>
  <si>
    <t>1763</t>
  </si>
  <si>
    <t xml:space="preserve">서울특별시 강남구 역삼동 673-31 </t>
  </si>
  <si>
    <t>서울특별시 강남구 언주로93길 24 (역삼동)</t>
  </si>
  <si>
    <t>1764</t>
  </si>
  <si>
    <t xml:space="preserve">서울특별시 구로구 가리봉동 88-18 </t>
  </si>
  <si>
    <t>서울특별시 구로구 구로동로 25 (가리봉동)</t>
  </si>
  <si>
    <t>황금호프 광장단란</t>
  </si>
  <si>
    <t>1765</t>
  </si>
  <si>
    <t xml:space="preserve">서울특별시 도봉구 창동 552-13 </t>
  </si>
  <si>
    <t>서울특별시 도봉구 덕릉로54길 6, 지층 (창동)</t>
  </si>
  <si>
    <t>01477</t>
  </si>
  <si>
    <t>산타나</t>
  </si>
  <si>
    <t>1766</t>
  </si>
  <si>
    <t>135-950</t>
  </si>
  <si>
    <t xml:space="preserve">서울특별시 강남구 청담동 31-30번지 </t>
  </si>
  <si>
    <t>서울특별시 강남구 삼성로 721 (청담동)</t>
  </si>
  <si>
    <t>06067</t>
  </si>
  <si>
    <t>비</t>
  </si>
  <si>
    <t>1767</t>
  </si>
  <si>
    <t>142-810</t>
  </si>
  <si>
    <t xml:space="preserve">서울특별시 강북구 미아동 207-3 지하1층 </t>
  </si>
  <si>
    <t>서울특별시 강북구 도봉로 207, 지하1층 (미아동)</t>
  </si>
  <si>
    <t>01125</t>
  </si>
  <si>
    <t>나비단란주점</t>
  </si>
  <si>
    <t>1768</t>
  </si>
  <si>
    <t xml:space="preserve">서울특별시 은평구 녹번동 141-5 (지하1층) </t>
  </si>
  <si>
    <t>서울특별시 은평구 진흥로 146 (녹번동,(지하1층))</t>
  </si>
  <si>
    <t>불꽃뮤직</t>
  </si>
  <si>
    <t>1769</t>
  </si>
  <si>
    <t xml:space="preserve">서울특별시 노원구 상계동 389-680 지하1층 </t>
  </si>
  <si>
    <t>서울특별시 노원구 상계로27길 지하 11, 1층 (상계동)</t>
  </si>
  <si>
    <t>1770</t>
  </si>
  <si>
    <t xml:space="preserve">서울특별시 노원구 공릉동 661-6 </t>
  </si>
  <si>
    <t>서울특별시 노원구 화랑로 455 (공릉동)</t>
  </si>
  <si>
    <t>팡팡라이브주점</t>
  </si>
  <si>
    <t>1771</t>
  </si>
  <si>
    <t xml:space="preserve">서울특별시 강서구 화곡동 1118-4 (지하 1층) </t>
  </si>
  <si>
    <t>서울특별시 강서구 까치산로27길 지하 23, 1층 (화곡동, 6동)</t>
  </si>
  <si>
    <t>카네기7080</t>
  </si>
  <si>
    <t>1772</t>
  </si>
  <si>
    <t>122-861</t>
  </si>
  <si>
    <t xml:space="preserve">서울특별시 은평구 불광동 320-17번지 (지하1층) </t>
  </si>
  <si>
    <t>서울특별시 은평구 연서로 260, 지하1층 (불광동)</t>
  </si>
  <si>
    <t>03350</t>
  </si>
  <si>
    <t>공원벤치</t>
  </si>
  <si>
    <t>1773</t>
  </si>
  <si>
    <t xml:space="preserve">서울특별시 구로구 가리봉동 125-14 </t>
  </si>
  <si>
    <t>서울특별시 구로구 남부순환로105라길 5 (가리봉동)</t>
  </si>
  <si>
    <t>대박</t>
  </si>
  <si>
    <t>1774</t>
  </si>
  <si>
    <t xml:space="preserve">서울특별시 마포구 서교동 408-8번지 </t>
  </si>
  <si>
    <t>서울특별시 마포구 어울마당로 56 (서교동)</t>
  </si>
  <si>
    <t>04049</t>
  </si>
  <si>
    <t>1775</t>
  </si>
  <si>
    <t xml:space="preserve">서울특별시 서초구 서초동 1459-11번지 </t>
  </si>
  <si>
    <t>서울특별시 서초구 반포대로10길 7 (서초동)</t>
  </si>
  <si>
    <t>1776</t>
  </si>
  <si>
    <t xml:space="preserve">서울특별시 강북구 수유동 178-45번지 </t>
  </si>
  <si>
    <t>서울특별시 강북구 한천로 1064, 지하1층 (수유동)</t>
  </si>
  <si>
    <t>신세계</t>
  </si>
  <si>
    <t>1777</t>
  </si>
  <si>
    <t xml:space="preserve">서울특별시 성동구 마장동 470-5 한일빌딩 </t>
  </si>
  <si>
    <t>서울특별시 성동구 청계천로12가길 75-3, 한일빌딩 지하1층 (마장동)</t>
  </si>
  <si>
    <t>V노래주점</t>
  </si>
  <si>
    <t>1778</t>
  </si>
  <si>
    <t xml:space="preserve">서울특별시 성북구 하월곡동 60-109번지 ,-107 </t>
  </si>
  <si>
    <t>서울특별시 성북구 오패산로8길 4 (하월곡동)</t>
  </si>
  <si>
    <t>오케이(O.K)</t>
  </si>
  <si>
    <t>1779</t>
  </si>
  <si>
    <t xml:space="preserve">서울특별시 강남구 신사동 662-9 </t>
  </si>
  <si>
    <t>서울특별시 강남구 선릉로161길 19 (신사동)</t>
  </si>
  <si>
    <t>06018</t>
  </si>
  <si>
    <t>치토스</t>
  </si>
  <si>
    <t>1780</t>
  </si>
  <si>
    <t xml:space="preserve">서울특별시 영등포구 대림동 751-5번지 지하1층 </t>
  </si>
  <si>
    <t>서울특별시 영등포구 도림로 206, 지하1층 (대림동)</t>
  </si>
  <si>
    <t>1781</t>
  </si>
  <si>
    <t xml:space="preserve">서울특별시 강북구 미아동 42-117 (월계로 17) </t>
  </si>
  <si>
    <t>서울특별시 강북구 월계로 19 (미아동,(월계로 17))</t>
  </si>
  <si>
    <t>고래사냥 노래주점</t>
  </si>
  <si>
    <t>1782</t>
  </si>
  <si>
    <t xml:space="preserve">서울특별시 광진구 자양동 624-30 </t>
  </si>
  <si>
    <t>서울특별시 광진구 자양로13길 26, 지층 (자양동)</t>
  </si>
  <si>
    <t>1783</t>
  </si>
  <si>
    <t xml:space="preserve">서울특별시 송파구 석촌동 175-0번지 지하1층 </t>
  </si>
  <si>
    <t>서울특별시 송파구 백제고분로39길 10, 지하1층 (석촌동)</t>
  </si>
  <si>
    <t>05616</t>
  </si>
  <si>
    <t>코코(CoCo)</t>
  </si>
  <si>
    <t>1784</t>
  </si>
  <si>
    <t xml:space="preserve">서울특별시 도봉구 창동 661-33번지 </t>
  </si>
  <si>
    <t>서울특별시 도봉구 도봉로 492 (창동)</t>
  </si>
  <si>
    <t>1785</t>
  </si>
  <si>
    <t xml:space="preserve">서울특별시 강서구 등촌동 647-41 (지하 1층) </t>
  </si>
  <si>
    <t>서울특별시 강서구 공항대로59가길 1, 지하 1층 (등촌동, 1동)</t>
  </si>
  <si>
    <t>1786</t>
  </si>
  <si>
    <t xml:space="preserve">서울특별시 동대문구 청량리동 235-4 미주상가 지하9호 (망우로 19) </t>
  </si>
  <si>
    <t>서울특별시 동대문구 왕산로 225 (청량리동,미주상가 지하9호 (망우로 19))</t>
  </si>
  <si>
    <t>02490</t>
  </si>
  <si>
    <t>가요사랑 7080</t>
  </si>
  <si>
    <t>1787</t>
  </si>
  <si>
    <t xml:space="preserve">서울특별시 송파구 방이동 68-8번지 </t>
  </si>
  <si>
    <t>서울특별시 송파구 오금로15길 9 (방이동)</t>
  </si>
  <si>
    <t>1788</t>
  </si>
  <si>
    <t xml:space="preserve">서울특별시 양천구 신정동 1030-2 지하 1층 </t>
  </si>
  <si>
    <t>서울특별시 양천구 신월로 294, 지하 1층 (신정동)</t>
  </si>
  <si>
    <t>세인</t>
  </si>
  <si>
    <t>1789</t>
  </si>
  <si>
    <t>140-210</t>
  </si>
  <si>
    <t xml:space="preserve">서울특별시 용산구 한남동 6391 </t>
  </si>
  <si>
    <t>서울특별시 용산구 대사관로 66 (한남동, 639-1 지하1층)</t>
  </si>
  <si>
    <t>제우스</t>
  </si>
  <si>
    <t>1790</t>
  </si>
  <si>
    <t xml:space="preserve">서울특별시 서대문구 남가좌동 328-29번지 </t>
  </si>
  <si>
    <t>서울특별시 서대문구 증가로 104 (남가좌동)</t>
  </si>
  <si>
    <t>03666</t>
  </si>
  <si>
    <t>시간여행</t>
  </si>
  <si>
    <t>1791</t>
  </si>
  <si>
    <t>120-130</t>
  </si>
  <si>
    <t xml:space="preserve">서울특별시 서대문구 북가좌동 300-14 ,15,16 </t>
  </si>
  <si>
    <t>서울특별시 서대문구 응암로 78 (북가좌동,,15,16)</t>
  </si>
  <si>
    <t>03683</t>
  </si>
  <si>
    <t>황금매들리</t>
  </si>
  <si>
    <t>1792</t>
  </si>
  <si>
    <t xml:space="preserve">서울특별시 도봉구 방학동 690-54번지 </t>
  </si>
  <si>
    <t>서울특별시 도봉구 방학로 124, 지하1층 (방학동)</t>
  </si>
  <si>
    <t>공감라이브</t>
  </si>
  <si>
    <t>1793</t>
  </si>
  <si>
    <t xml:space="preserve">서울특별시 서초구 서초동 1577-6 </t>
  </si>
  <si>
    <t>서울특별시 서초구 반포대로24길 95 (서초동)</t>
  </si>
  <si>
    <t>JK 노래짱</t>
  </si>
  <si>
    <t>1794</t>
  </si>
  <si>
    <t>143-864</t>
  </si>
  <si>
    <t xml:space="preserve">서울특별시 광진구 자양동 581-4 </t>
  </si>
  <si>
    <t>서울특별시 광진구 자양번영로 31 (자양동)</t>
  </si>
  <si>
    <t>05092</t>
  </si>
  <si>
    <t>1795</t>
  </si>
  <si>
    <t>서울특별시 종로구 인사동 188-4번지 지하동 1층호</t>
  </si>
  <si>
    <t>서울특별시 종로구 인사동5길 11, 지하동 1층호 (인사동)</t>
  </si>
  <si>
    <t>03162</t>
  </si>
  <si>
    <t>진</t>
  </si>
  <si>
    <t>1796</t>
  </si>
  <si>
    <t>둘리노래주점</t>
  </si>
  <si>
    <t>1797</t>
  </si>
  <si>
    <t xml:space="preserve">서울특별시 중랑구 면목동 104-3 </t>
  </si>
  <si>
    <t>서울특별시 중랑구 겸재로 212 (면목동)</t>
  </si>
  <si>
    <t>02199</t>
  </si>
  <si>
    <t>황진이 노래장</t>
  </si>
  <si>
    <t>1798</t>
  </si>
  <si>
    <t xml:space="preserve">서울특별시 송파구 가락동 17-4 </t>
  </si>
  <si>
    <t>서울특별시 송파구 오금로36길 29 (가락동)</t>
  </si>
  <si>
    <t>05703</t>
  </si>
  <si>
    <t>붐라이브</t>
  </si>
  <si>
    <t>1799</t>
  </si>
  <si>
    <t xml:space="preserve">서울특별시 영등포구 대림동 756-4 </t>
  </si>
  <si>
    <t>서울특별시 영등포구 도림로 198, 지하1층 (대림동)</t>
  </si>
  <si>
    <t>상록수노래바</t>
  </si>
  <si>
    <t>1800</t>
  </si>
  <si>
    <t xml:space="preserve">서울특별시 강동구 명일동 312-37번지 </t>
  </si>
  <si>
    <t>서울특별시 강동구 양재대로147길 18 (명일동)</t>
  </si>
  <si>
    <t>1801</t>
  </si>
  <si>
    <t xml:space="preserve">서울특별시 강남구 대치동 1019-15번지 </t>
  </si>
  <si>
    <t>서울특별시 강남구 삼성로 225 (대치동)</t>
  </si>
  <si>
    <t>핑클</t>
  </si>
  <si>
    <t>1802</t>
  </si>
  <si>
    <t xml:space="preserve">서울특별시 송파구 석촌동 22-3 지하1층 </t>
  </si>
  <si>
    <t>서울특별시 송파구 백제고분로33길 30, 지하1층 (석촌동)</t>
  </si>
  <si>
    <t>S노래큐</t>
  </si>
  <si>
    <t>1803</t>
  </si>
  <si>
    <t xml:space="preserve">서울특별시 강남구 논현동 115-22번지 </t>
  </si>
  <si>
    <t>서울특별시 강남구 언주로134길 6 (논현동)</t>
  </si>
  <si>
    <t>마리</t>
  </si>
  <si>
    <t>1804</t>
  </si>
  <si>
    <t>131-878</t>
  </si>
  <si>
    <t xml:space="preserve">서울특별시 중랑구 중화동 207-24번지 </t>
  </si>
  <si>
    <t>서울특별시 중랑구 망우로 221 (중화동)</t>
  </si>
  <si>
    <t>02117</t>
  </si>
  <si>
    <t>7080고래사냥라이브주점</t>
  </si>
  <si>
    <t>1805</t>
  </si>
  <si>
    <t xml:space="preserve">서울특별시 성동구 도선동 253-3 지상1층 </t>
  </si>
  <si>
    <t>서울특별시 성동구 무학로2길 38 (도선동, 253-3 지하1층)</t>
  </si>
  <si>
    <t>베스트노래방</t>
  </si>
  <si>
    <t>1806</t>
  </si>
  <si>
    <t>137-903</t>
  </si>
  <si>
    <t xml:space="preserve">서울특별시 서초구 잠원동 27-11번지 </t>
  </si>
  <si>
    <t>서울특별시 서초구 강남대로95길 12 (잠원동)</t>
  </si>
  <si>
    <t>06526</t>
  </si>
  <si>
    <t>희야</t>
  </si>
  <si>
    <t>1807</t>
  </si>
  <si>
    <t xml:space="preserve">서울특별시 강남구 개포동 1231-23 </t>
  </si>
  <si>
    <t>서울특별시 강남구 개포로20길 5 (개포동)</t>
  </si>
  <si>
    <t>7080 라이브 딜라일라</t>
  </si>
  <si>
    <t>1808</t>
  </si>
  <si>
    <t xml:space="preserve">서울특별시 동대문구 답십리동 986-14 지하1층 </t>
  </si>
  <si>
    <t>서울특별시 동대문구 황물로 175, 지하1층 (답십리동)</t>
  </si>
  <si>
    <t>02620</t>
  </si>
  <si>
    <t>슈가</t>
  </si>
  <si>
    <t>1809</t>
  </si>
  <si>
    <t xml:space="preserve">서울특별시 은평구 대조동 220-28번지 (지층) </t>
  </si>
  <si>
    <t>서울특별시 은평구 연서로 178-1 (대조동,(지층))</t>
  </si>
  <si>
    <t>선라이브</t>
  </si>
  <si>
    <t>1810</t>
  </si>
  <si>
    <t xml:space="preserve">서울특별시 용산구 한남동 657-98번지 </t>
  </si>
  <si>
    <t>서울특별시 용산구 대사관로31길 12 (한남동, 657-98 지하1층)</t>
  </si>
  <si>
    <t>1811</t>
  </si>
  <si>
    <t>151-874</t>
  </si>
  <si>
    <t xml:space="preserve">서울특별시 관악구 신림동 518-2번지 </t>
  </si>
  <si>
    <t>서울특별시 관악구 신사로 94, 지하1층 (신림동)</t>
  </si>
  <si>
    <t>08701</t>
  </si>
  <si>
    <t>붕붕노래바</t>
  </si>
  <si>
    <t>1812</t>
  </si>
  <si>
    <t xml:space="preserve">서울특별시 강동구 암사동 501-12 </t>
  </si>
  <si>
    <t>서울특별시 강동구 올림픽로98길 10 (암사동)</t>
  </si>
  <si>
    <t>05264</t>
  </si>
  <si>
    <t>1813</t>
  </si>
  <si>
    <t xml:space="preserve">서울특별시 강남구 역삼동 604-11번지 </t>
  </si>
  <si>
    <t>서울특별시 강남구 봉은사로 150 (역삼동)</t>
  </si>
  <si>
    <t>웨이</t>
  </si>
  <si>
    <t>1814</t>
  </si>
  <si>
    <t xml:space="preserve">서울특별시 중랑구 묵동 169-21 </t>
  </si>
  <si>
    <t>서울특별시 중랑구 중랑역로 258 (묵동, 지하1층)</t>
  </si>
  <si>
    <t>와와노래주점</t>
  </si>
  <si>
    <t>1815</t>
  </si>
  <si>
    <t xml:space="preserve">서울특별시 노원구 상계동 169-86 </t>
  </si>
  <si>
    <t>서울특별시 노원구 한글비석로24길 16 (상계동)</t>
  </si>
  <si>
    <t>와와</t>
  </si>
  <si>
    <t>1816</t>
  </si>
  <si>
    <t xml:space="preserve">서울특별시 은평구 응암동 125-12번지 (지하1층) </t>
  </si>
  <si>
    <t>서울특별시 은평구 응암로21길 12 (응암동,(지하1층))</t>
  </si>
  <si>
    <t>레인보우 7090</t>
  </si>
  <si>
    <t>1817</t>
  </si>
  <si>
    <t xml:space="preserve">서울특별시 중랑구 상봉동 103-18 </t>
  </si>
  <si>
    <t>서울특별시 중랑구 봉우재로33길 65, 지하1층 (상봉동)</t>
  </si>
  <si>
    <t>딴따라아지트</t>
  </si>
  <si>
    <t>1818</t>
  </si>
  <si>
    <t>138-874</t>
  </si>
  <si>
    <t xml:space="preserve">서울특별시 송파구 풍납동 222-118 </t>
  </si>
  <si>
    <t>서울특별시 송파구 풍성로 36, 지하1층 (풍납동)</t>
  </si>
  <si>
    <t>05527</t>
  </si>
  <si>
    <t>1819</t>
  </si>
  <si>
    <t xml:space="preserve">서울특별시 송파구 송파동 47-5 </t>
  </si>
  <si>
    <t>서울특별시 송파구 백제고분로 421 (송파동)</t>
  </si>
  <si>
    <t>디올</t>
  </si>
  <si>
    <t>1820</t>
  </si>
  <si>
    <t xml:space="preserve">서울특별시 용산구 한남동 657-160 </t>
  </si>
  <si>
    <t>서울특별시 용산구 대사관로31길 17 (한남동, 657-160 지하1층)</t>
  </si>
  <si>
    <t>하몬드</t>
  </si>
  <si>
    <t>1821</t>
  </si>
  <si>
    <t>120-811</t>
  </si>
  <si>
    <t xml:space="preserve">서울특별시 서대문구 북가좌동 105-14 </t>
  </si>
  <si>
    <t>앵콜 메들리주점</t>
  </si>
  <si>
    <t>1822</t>
  </si>
  <si>
    <t xml:space="preserve">서울특별시 관악구 신림동 1666 </t>
  </si>
  <si>
    <t>서울특별시 관악구 시흥대로 548, 지하1층 (신림동)</t>
  </si>
  <si>
    <t>1823</t>
  </si>
  <si>
    <t xml:space="preserve">서울특별시 용산구 한남동 644-5 (지층) </t>
  </si>
  <si>
    <t>서울특별시 용산구 대사관로24길 6 (한남동,(지층))</t>
  </si>
  <si>
    <t>1차원</t>
  </si>
  <si>
    <t>1824</t>
  </si>
  <si>
    <t>131-805</t>
  </si>
  <si>
    <t xml:space="preserve">서울특별시 중랑구 망우동 403-18 </t>
  </si>
  <si>
    <t>서울특별시 중랑구 용마산로 512-1 (망우동)</t>
  </si>
  <si>
    <t>02181</t>
  </si>
  <si>
    <t>성관장라이브</t>
  </si>
  <si>
    <t>1825</t>
  </si>
  <si>
    <t xml:space="preserve">서울특별시 금천구 가산동 142-42 지하1층 (구로동길 267) </t>
  </si>
  <si>
    <t>서울특별시 금천구 가산로 146 (가산동,지하1층 (구로동길 267))</t>
  </si>
  <si>
    <t>멤버스 라이브</t>
  </si>
  <si>
    <t>1826</t>
  </si>
  <si>
    <t xml:space="preserve">서울특별시 송파구 가락동 7-9번지 지하1층 </t>
  </si>
  <si>
    <t>서울특별시 송파구 오금로36길 14, 지하1층 (가락동)</t>
  </si>
  <si>
    <t>썬 노래주점</t>
  </si>
  <si>
    <t>1827</t>
  </si>
  <si>
    <t xml:space="preserve">서울특별시 강남구 역삼동 785-13번지 </t>
  </si>
  <si>
    <t>서울특별시 강남구 언주로 301 (역삼동)</t>
  </si>
  <si>
    <t>조이라이브</t>
  </si>
  <si>
    <t>1828</t>
  </si>
  <si>
    <t xml:space="preserve">서울특별시 금천구 독산동 974-7 지하1층 </t>
  </si>
  <si>
    <t>서울특별시 금천구 독산로 326 (독산동, 지하1층)</t>
  </si>
  <si>
    <t>수피아노래바</t>
  </si>
  <si>
    <t>1829</t>
  </si>
  <si>
    <t>134-030</t>
  </si>
  <si>
    <t xml:space="preserve">서울특별시 강동구 성내동 416번지 ,416-1,2,3 </t>
  </si>
  <si>
    <t>서울특별시 강동구 양재대로 1371 (성내동,,416-1,2,3)</t>
  </si>
  <si>
    <t>05404</t>
  </si>
  <si>
    <t>금전초</t>
  </si>
  <si>
    <t>1830</t>
  </si>
  <si>
    <t xml:space="preserve">서울특별시 강서구 화곡동 934-15번지 (지하 1층) </t>
  </si>
  <si>
    <t>서울특별시 강서구 강서로5나길 133, 지하 1층 (화곡동, 1동)</t>
  </si>
  <si>
    <t>24시</t>
  </si>
  <si>
    <t>1831</t>
  </si>
  <si>
    <t>131-829</t>
  </si>
  <si>
    <t xml:space="preserve">서울특별시 중랑구 면목동 392-41 평화침례교회 </t>
  </si>
  <si>
    <t>서울특별시 중랑구 면목로 206, 평화침례교회 지층 (면목동)</t>
  </si>
  <si>
    <t>02255</t>
  </si>
  <si>
    <t>소풍라이브</t>
  </si>
  <si>
    <t>1832</t>
  </si>
  <si>
    <t xml:space="preserve">서울특별시 은평구 응암동 578-96 지하1층 </t>
  </si>
  <si>
    <t>서울특별시 은평구 응암로21길 1, 지하1층 (응암동)</t>
  </si>
  <si>
    <t>대서양</t>
  </si>
  <si>
    <t>1833</t>
  </si>
  <si>
    <t xml:space="preserve">서울특별시 중랑구 묵동 166-14 </t>
  </si>
  <si>
    <t>서울특별시 중랑구 중랑역로 265 (묵동)</t>
  </si>
  <si>
    <t>씽씽노래주점</t>
  </si>
  <si>
    <t>1834</t>
  </si>
  <si>
    <t xml:space="preserve">서울특별시 중랑구 상봉동 120-7번지 </t>
  </si>
  <si>
    <t>서울특별시 중랑구 동일로 704 (상봉동)</t>
  </si>
  <si>
    <t>02136</t>
  </si>
  <si>
    <t>스크린노래주점</t>
  </si>
  <si>
    <t>1835</t>
  </si>
  <si>
    <t xml:space="preserve">서울특별시 금천구 시흥동 884-3 지상2층 </t>
  </si>
  <si>
    <t>서울특별시 금천구 금하로 640, 지상2층 (시흥동)</t>
  </si>
  <si>
    <t>써니 7080</t>
  </si>
  <si>
    <t>1836</t>
  </si>
  <si>
    <t xml:space="preserve">서울특별시 송파구 가락동 18-7 태준빌딩 </t>
  </si>
  <si>
    <t>서울특별시 송파구 송이로17길 61, 태준빌딩 지하1층 (가락동)</t>
  </si>
  <si>
    <t>05702</t>
  </si>
  <si>
    <t>라라랜드</t>
  </si>
  <si>
    <t>1837</t>
  </si>
  <si>
    <t xml:space="preserve">서울특별시 서초구 방배동 778-11 </t>
  </si>
  <si>
    <t>서울특별시 서초구 방배중앙로 161 (방배동)</t>
  </si>
  <si>
    <t>06558</t>
  </si>
  <si>
    <t>가스트</t>
  </si>
  <si>
    <t>1838</t>
  </si>
  <si>
    <t xml:space="preserve">서울특별시 중구 신당동 110-10 </t>
  </si>
  <si>
    <t>서울특별시 중구 다산로44길 15 (신당동)</t>
  </si>
  <si>
    <t>나그네</t>
  </si>
  <si>
    <t>1839</t>
  </si>
  <si>
    <t xml:space="preserve">서울특별시 동대문구 전농동 597-2 지하1층 </t>
  </si>
  <si>
    <t>서울특별시 동대문구 왕산로 254, 지하1층 (전농동)</t>
  </si>
  <si>
    <t>쭌7080라이브</t>
  </si>
  <si>
    <t>1840</t>
  </si>
  <si>
    <t xml:space="preserve">서울특별시 마포구 서교동 355-29 </t>
  </si>
  <si>
    <t>서울특별시 마포구 홍익로5길 31, 지하1층 (서교동)</t>
  </si>
  <si>
    <t>몽</t>
  </si>
  <si>
    <t>1841</t>
  </si>
  <si>
    <t>100-893</t>
  </si>
  <si>
    <t xml:space="preserve">서울특별시 중구 신당동 370-29 </t>
  </si>
  <si>
    <t>서울특별시 중구 다산로 146 (신당동)</t>
  </si>
  <si>
    <t>보이스노래짱</t>
  </si>
  <si>
    <t>1842</t>
  </si>
  <si>
    <t xml:space="preserve">서울특별시 은평구 갈현동 392-7 지하1층 </t>
  </si>
  <si>
    <t>서울특별시 은평구 통일로 903 (갈현동, 지하1층)</t>
  </si>
  <si>
    <t>노부사</t>
  </si>
  <si>
    <t>1843</t>
  </si>
  <si>
    <t xml:space="preserve">서울특별시 송파구 방이동 206-3번지 지하1층 </t>
  </si>
  <si>
    <t>서울특별시 송파구 위례성대로18길 27-6, 지하1층 (방이동)</t>
  </si>
  <si>
    <t>1844</t>
  </si>
  <si>
    <t xml:space="preserve">서울특별시 성북구 정릉동 408-11 </t>
  </si>
  <si>
    <t>서울특별시 성북구 보국문로 27 (정릉동)</t>
  </si>
  <si>
    <t>찬찬찬</t>
  </si>
  <si>
    <t>1845</t>
  </si>
  <si>
    <t xml:space="preserve">서울특별시 강동구 천호동 315-0번지 </t>
  </si>
  <si>
    <t>서울특별시 강동구 올림픽로 746 (천호동)</t>
  </si>
  <si>
    <t>정든노래주점</t>
  </si>
  <si>
    <t>1846</t>
  </si>
  <si>
    <t xml:space="preserve">서울특별시 중랑구 묵동 162-4 </t>
  </si>
  <si>
    <t>서울특별시 중랑구 중랑역로 274 (묵동)</t>
  </si>
  <si>
    <t>7080너랑나랑</t>
  </si>
  <si>
    <t>1847</t>
  </si>
  <si>
    <t>134-840</t>
  </si>
  <si>
    <t xml:space="preserve">서울특별시 강동구 성내동 32-1 </t>
  </si>
  <si>
    <t>서울특별시 강동구 천호옛14길 20 (성내동)</t>
  </si>
  <si>
    <t>05384</t>
  </si>
  <si>
    <t>1848</t>
  </si>
  <si>
    <t xml:space="preserve">서울특별시 강남구 신사동 512-20 </t>
  </si>
  <si>
    <t>서울특별시 강남구 강남대로152길 9 (신사동)</t>
  </si>
  <si>
    <t>1849</t>
  </si>
  <si>
    <t>140-892</t>
  </si>
  <si>
    <t xml:space="preserve">서울특별시 용산구 한남동 683-105번지 지하1층 </t>
  </si>
  <si>
    <t>서울특별시 용산구 이태원로 234-1 (한남동, 지하1층)</t>
  </si>
  <si>
    <t>04400</t>
  </si>
  <si>
    <t>1850</t>
  </si>
  <si>
    <t xml:space="preserve">서울특별시 성북구 동소문동2가 227번지 </t>
  </si>
  <si>
    <t>서울특별시 성북구 동소문로 18-1 (동소문동2가)</t>
  </si>
  <si>
    <t>지지하우스</t>
  </si>
  <si>
    <t>1851</t>
  </si>
  <si>
    <t xml:space="preserve">서울특별시 은평구 응암동 87-22 지하1층 </t>
  </si>
  <si>
    <t>서울특별시 은평구 응암로 336 (응암동, 지하1층)</t>
  </si>
  <si>
    <t>1852</t>
  </si>
  <si>
    <t xml:space="preserve">서울특별시 동대문구 장안동 376-4번지 지하1층 </t>
  </si>
  <si>
    <t>서울특별시 동대문구 한천로14길 83, 지하1층 (장안동)</t>
  </si>
  <si>
    <t>02628</t>
  </si>
  <si>
    <t>6070</t>
  </si>
  <si>
    <t>1853</t>
  </si>
  <si>
    <t xml:space="preserve">서울특별시 송파구 오금동 129번지 지하1층 </t>
  </si>
  <si>
    <t>서울특별시 송파구 동남로 306, 지하1층 (오금동)</t>
  </si>
  <si>
    <t>노래하는 탑스타</t>
  </si>
  <si>
    <t>1854</t>
  </si>
  <si>
    <t xml:space="preserve">서울특별시 용산구 보광동 260-13번지 (지하1층) </t>
  </si>
  <si>
    <t>서울특별시 용산구 보광로 39 (보광동,(지하1층))</t>
  </si>
  <si>
    <t>체리바</t>
  </si>
  <si>
    <t>1855</t>
  </si>
  <si>
    <t xml:space="preserve">서울특별시 송파구 송파동 15-4 지하1층 </t>
  </si>
  <si>
    <t>서울특별시 송파구 송파대로 456, 지하1층 (송파동)</t>
  </si>
  <si>
    <t>05625</t>
  </si>
  <si>
    <t>1856</t>
  </si>
  <si>
    <t xml:space="preserve">서울특별시 성북구 장위동 237-278 </t>
  </si>
  <si>
    <t>서울특별시 성북구 장월로 117-1 (장위동)</t>
  </si>
  <si>
    <t>02754</t>
  </si>
  <si>
    <t>다함께차차차</t>
  </si>
  <si>
    <t>1857</t>
  </si>
  <si>
    <t>134-812</t>
  </si>
  <si>
    <t xml:space="preserve">서울특별시 강동구 길동 352-9 </t>
  </si>
  <si>
    <t>서울특별시 강동구 천중로 228 (길동)</t>
  </si>
  <si>
    <t>05344</t>
  </si>
  <si>
    <t>모비딕</t>
  </si>
  <si>
    <t>1858</t>
  </si>
  <si>
    <t xml:space="preserve">서울특별시 송파구 석촌동 180-5 지하1층 </t>
  </si>
  <si>
    <t>서울특별시 송파구 백제고분로39길 28, 지하1층 (석촌동)</t>
  </si>
  <si>
    <t>아쿠아</t>
  </si>
  <si>
    <t>1859</t>
  </si>
  <si>
    <t xml:space="preserve">서울특별시 종로구 낙원동 59-5번지 </t>
  </si>
  <si>
    <t>서울특별시 종로구 삼일대로28길 8 (낙원동)</t>
  </si>
  <si>
    <t>실버 파라다이스</t>
  </si>
  <si>
    <t>1860</t>
  </si>
  <si>
    <t>140-809</t>
  </si>
  <si>
    <t xml:space="preserve">서울특별시 용산구 동빙고동 7-19 (지하1층) </t>
  </si>
  <si>
    <t>서울특별시 용산구 장문로 18 (동빙고동,(지하1층))</t>
  </si>
  <si>
    <t>04393</t>
  </si>
  <si>
    <t>이태원힐즈(ITAEWON HILLS)</t>
  </si>
  <si>
    <t>1861</t>
  </si>
  <si>
    <t xml:space="preserve">서울특별시 영등포구 영등포동5가 19-0 </t>
  </si>
  <si>
    <t>1862</t>
  </si>
  <si>
    <t>156-810</t>
  </si>
  <si>
    <t xml:space="preserve">서울특별시 동작구 대방동 385-13번지 </t>
  </si>
  <si>
    <t>서울특별시 동작구 여의대방로36길 1 (대방동)</t>
  </si>
  <si>
    <t>06945</t>
  </si>
  <si>
    <t>1863</t>
  </si>
  <si>
    <t xml:space="preserve">서울특별시 송파구 가락동 19-6 </t>
  </si>
  <si>
    <t>서울특별시 송파구 오금로36길 26, 지하1층 (가락동)</t>
  </si>
  <si>
    <t>스타 노래방</t>
  </si>
  <si>
    <t>1864</t>
  </si>
  <si>
    <t xml:space="preserve">서울특별시 강서구 화곡동 904-11번지 (지하 1층) </t>
  </si>
  <si>
    <t>서울특별시 강서구 강서로5나길 지하 12, 1층 (화곡동, 1동)</t>
  </si>
  <si>
    <t>이화</t>
  </si>
  <si>
    <t>1865</t>
  </si>
  <si>
    <t xml:space="preserve">서울특별시 송파구 방이동 71-11 </t>
  </si>
  <si>
    <t>서울특별시 송파구 오금로15길 12 (방이동)</t>
  </si>
  <si>
    <t>1866</t>
  </si>
  <si>
    <t xml:space="preserve">서울특별시 종로구 관철동 43-5번지 </t>
  </si>
  <si>
    <t>서울특별시 종로구 종로10길 14 (관철동)</t>
  </si>
  <si>
    <t>1867</t>
  </si>
  <si>
    <t xml:space="preserve">서울특별시 중구 초동 19-4 </t>
  </si>
  <si>
    <t>서울특별시 중구 마른내로 41 (초동)</t>
  </si>
  <si>
    <t>일번지</t>
  </si>
  <si>
    <t>1868</t>
  </si>
  <si>
    <t xml:space="preserve">서울특별시 은평구 응암동 88-1 지1층 </t>
  </si>
  <si>
    <t>서울특별시 은평구 응암로 339, 지1층 (응암동)</t>
  </si>
  <si>
    <t>03461</t>
  </si>
  <si>
    <t>후0219라이브</t>
  </si>
  <si>
    <t>1869</t>
  </si>
  <si>
    <t xml:space="preserve">서울특별시 은평구 응암동 602-32 지하1층 </t>
  </si>
  <si>
    <t>서울특별시 은평구 응암로 174, 지하1층 (응암동)</t>
  </si>
  <si>
    <t>호박7080</t>
  </si>
  <si>
    <t>1870</t>
  </si>
  <si>
    <t xml:space="preserve">서울특별시 서초구 방배동 768-9 </t>
  </si>
  <si>
    <t>서울특별시 서초구 방배중앙로 177 (방배동)</t>
  </si>
  <si>
    <t>깜</t>
  </si>
  <si>
    <t>1871</t>
  </si>
  <si>
    <t>134-862</t>
  </si>
  <si>
    <t xml:space="preserve">서울특별시 강동구 천호동 51-12 </t>
  </si>
  <si>
    <t>서울특별시 강동구 양재대로 1521 (천호동)</t>
  </si>
  <si>
    <t>05316</t>
  </si>
  <si>
    <t>땡겨노래주점</t>
  </si>
  <si>
    <t>1872</t>
  </si>
  <si>
    <t xml:space="preserve">서울특별시 송파구 가락동 18-12 지하1층 </t>
  </si>
  <si>
    <t>서울특별시 송파구 오금로36길 17, 지하1층 (가락동)</t>
  </si>
  <si>
    <t>그루브</t>
  </si>
  <si>
    <t>1873</t>
  </si>
  <si>
    <t xml:space="preserve">서울특별시 은평구 대조동 185-10 (지층) </t>
  </si>
  <si>
    <t>서울특별시 은평구 통일로 833-4 (대조동,(지층))</t>
  </si>
  <si>
    <t>타임노래바</t>
  </si>
  <si>
    <t>1874</t>
  </si>
  <si>
    <t xml:space="preserve">서울특별시 종로구 와룡동 74 지하1층 </t>
  </si>
  <si>
    <t>서울특별시 종로구 돈화문로 72 (와룡동,지하1층)</t>
  </si>
  <si>
    <t>비트</t>
  </si>
  <si>
    <t>1875</t>
  </si>
  <si>
    <t xml:space="preserve">서울특별시 종로구 인사동 16-2 </t>
  </si>
  <si>
    <t>서울특별시 종로구 인사동4길 6 (인사동)</t>
  </si>
  <si>
    <t>그라미</t>
  </si>
  <si>
    <t>1876</t>
  </si>
  <si>
    <t xml:space="preserve">서울특별시 서초구 양재동 10-4 </t>
  </si>
  <si>
    <t>서울특별시 서초구 남부순환로356길 38-4 (양재동)</t>
  </si>
  <si>
    <t>즐거운노래팡팡</t>
  </si>
  <si>
    <t>1877</t>
  </si>
  <si>
    <t xml:space="preserve">서울특별시 송파구 방이동 69-4 유인빌딩 </t>
  </si>
  <si>
    <t>서울특별시 송파구 올림픽로32길 32, 유인빌딩 지하1층 (방이동)</t>
  </si>
  <si>
    <t>아리랑 노래밤</t>
  </si>
  <si>
    <t>1878</t>
  </si>
  <si>
    <t xml:space="preserve">서울특별시 종로구 낙원동 146-0번지 </t>
  </si>
  <si>
    <t>서울특별시 종로구 수표로 118 (낙원동)</t>
  </si>
  <si>
    <t>1879</t>
  </si>
  <si>
    <t>137-842</t>
  </si>
  <si>
    <t xml:space="preserve">서울특별시 서초구 방배동 911-18번지 </t>
  </si>
  <si>
    <t>서울특별시 서초구 효령로31길 19 (방배동)</t>
  </si>
  <si>
    <t>06686</t>
  </si>
  <si>
    <t>1880</t>
  </si>
  <si>
    <t xml:space="preserve">서울특별시 서초구 잠원동 23-1 (지하 1층) </t>
  </si>
  <si>
    <t>서울특별시 서초구 강남대로99길 61 (잠원동)</t>
  </si>
  <si>
    <t>06527</t>
  </si>
  <si>
    <t>팽고팽고</t>
  </si>
  <si>
    <t>1881</t>
  </si>
  <si>
    <t>140-886</t>
  </si>
  <si>
    <t xml:space="preserve">서울특별시 용산구 한남동 76-22 </t>
  </si>
  <si>
    <t>서울특별시 용산구 한남대로 55 (한남동, 76-22 지하1층)</t>
  </si>
  <si>
    <t>한</t>
  </si>
  <si>
    <t>1882</t>
  </si>
  <si>
    <t xml:space="preserve">서울특별시 은평구 갈현동 424-8 </t>
  </si>
  <si>
    <t>서울특별시 은평구 갈현로 302 (갈현동)</t>
  </si>
  <si>
    <t>남행열차</t>
  </si>
  <si>
    <t>1883</t>
  </si>
  <si>
    <t>서울특별시 용산구 이태원동 36-25번지 지하1층호</t>
  </si>
  <si>
    <t>서울특별시 용산구 녹사평대로26길 18 (이태원동)</t>
  </si>
  <si>
    <t>우미가라오케</t>
  </si>
  <si>
    <t>1884</t>
  </si>
  <si>
    <t xml:space="preserve">서울특별시 서대문구 남가좌동 102-16 (지하1층) </t>
  </si>
  <si>
    <t>서울특별시 서대문구 수색로2길 8 (남가좌동,(지하1층))</t>
  </si>
  <si>
    <t>로맨스</t>
  </si>
  <si>
    <t>1885</t>
  </si>
  <si>
    <t xml:space="preserve">서울특별시 강북구 번동 418-2 </t>
  </si>
  <si>
    <t>서울특별시 강북구 한천로 1023 (번동)</t>
  </si>
  <si>
    <t>앵두</t>
  </si>
  <si>
    <t>1886</t>
  </si>
  <si>
    <t>137-810</t>
  </si>
  <si>
    <t xml:space="preserve">서울특별시 서초구 반포동 746-5 지하1층 </t>
  </si>
  <si>
    <t>서울특별시 서초구 사평대로 353, 지하1층 (반포동)</t>
  </si>
  <si>
    <t>06542</t>
  </si>
  <si>
    <t>다이아나</t>
  </si>
  <si>
    <t>1887</t>
  </si>
  <si>
    <t xml:space="preserve">서울특별시 중구 황학동 641-0번지 </t>
  </si>
  <si>
    <t>서울특별시 중구 퇴계로87길 32 (황학동)</t>
  </si>
  <si>
    <t>영미단란주점</t>
  </si>
  <si>
    <t>1888</t>
  </si>
  <si>
    <t xml:space="preserve">서울특별시 강동구 길동 348-3 </t>
  </si>
  <si>
    <t>서울특별시 강동구 천중로 194 (길동)</t>
  </si>
  <si>
    <t>05343</t>
  </si>
  <si>
    <t>가랑비</t>
  </si>
  <si>
    <t>1889</t>
  </si>
  <si>
    <t xml:space="preserve">서울특별시 서대문구 홍은동 275-7번지 </t>
  </si>
  <si>
    <t>서울특별시 서대문구 연희로 261, 지층 (홍은동)</t>
  </si>
  <si>
    <t>03658</t>
  </si>
  <si>
    <t>청춘</t>
  </si>
  <si>
    <t>1890</t>
  </si>
  <si>
    <t xml:space="preserve">서울특별시 강서구 화곡동 1117-12번지 (지하 1층) </t>
  </si>
  <si>
    <t>서울특별시 강서구 공항대로46길 100, 지하 1층 (화곡동, 6동)</t>
  </si>
  <si>
    <t>1891</t>
  </si>
  <si>
    <t xml:space="preserve">서울특별시 광진구 구의동 252-90 </t>
  </si>
  <si>
    <t>서울특별시 광진구 자양로 112 (구의동)</t>
  </si>
  <si>
    <t>제이제이(JJ)노래주점</t>
  </si>
  <si>
    <t>1892</t>
  </si>
  <si>
    <t>서울특별시 종로구 당주동 41-0번지 지하동 1층호</t>
  </si>
  <si>
    <t>서울특별시 종로구 새문안로5길 11-1, 지하동 1층호 (당주동)</t>
  </si>
  <si>
    <t>1893</t>
  </si>
  <si>
    <t xml:space="preserve">서울특별시 강동구 명일동 345-1 </t>
  </si>
  <si>
    <t>서울특별시 강동구 양재대로 1594, 지1층 (명일동)</t>
  </si>
  <si>
    <t>05295</t>
  </si>
  <si>
    <t>블루문 라이브</t>
  </si>
  <si>
    <t>1894</t>
  </si>
  <si>
    <t xml:space="preserve">서울특별시 강남구 논현동 89-19 </t>
  </si>
  <si>
    <t>서울특별시 강남구 학동로 221 (논현동)</t>
  </si>
  <si>
    <t>06053</t>
  </si>
  <si>
    <t>에바다(Ephphata)</t>
  </si>
  <si>
    <t>1895</t>
  </si>
  <si>
    <t>120-845</t>
  </si>
  <si>
    <t xml:space="preserve">서울특별시 서대문구 홍은동 201-1번지 </t>
  </si>
  <si>
    <t>서울특별시 서대문구 연희로 353 (홍은동)</t>
  </si>
  <si>
    <t>03650</t>
  </si>
  <si>
    <t>칵테일바</t>
  </si>
  <si>
    <t>1896</t>
  </si>
  <si>
    <t xml:space="preserve">서울특별시 중구 황학동 30-1번지 </t>
  </si>
  <si>
    <t>사물놀이</t>
  </si>
  <si>
    <t>1897</t>
  </si>
  <si>
    <t xml:space="preserve">서울특별시 강남구 신사동 585-6 </t>
  </si>
  <si>
    <t>서울특별시 강남구 논현로155길 6 (신사동)</t>
  </si>
  <si>
    <t>줄리아나</t>
  </si>
  <si>
    <t>1898</t>
  </si>
  <si>
    <t>140-893</t>
  </si>
  <si>
    <t xml:space="preserve">서울특별시 용산구 한남동 747-7 (지층) </t>
  </si>
  <si>
    <t>서울특별시 용산구 소월로 322 (한남동,(지층))</t>
  </si>
  <si>
    <t>04347</t>
  </si>
  <si>
    <t>그랜드 하얏트 서울 파리스빠</t>
  </si>
  <si>
    <t>시</t>
    <phoneticPr fontId="2" type="noConversion"/>
  </si>
  <si>
    <t>구</t>
    <phoneticPr fontId="2" type="noConversion"/>
  </si>
  <si>
    <t>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</si>
</sst>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98EA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6"/>
  <sheetViews>
    <sheetView tabSelected="1" topLeftCell="A1879" workbookViewId="0">
      <selection activeCell="H1896" sqref="H1896"/>
    </sheetView>
  </sheetViews>
  <sheetFormatPr defaultRowHeight="17.399999999999999" x14ac:dyDescent="0.4"/>
  <cols>
    <col min="5" max="5" width="52.296875" customWidth="1"/>
    <col min="6" max="8" width="15.0976562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9014</v>
      </c>
      <c r="G1" s="2" t="s">
        <v>9015</v>
      </c>
      <c r="H1" s="2" t="s">
        <v>9016</v>
      </c>
      <c r="I1" s="1" t="s">
        <v>5</v>
      </c>
      <c r="J1" s="1" t="s">
        <v>6</v>
      </c>
      <c r="K1" s="1" t="s">
        <v>7</v>
      </c>
    </row>
    <row r="2" spans="1:11" x14ac:dyDescent="0.4">
      <c r="A2" t="s">
        <v>3982</v>
      </c>
      <c r="B2" t="s">
        <v>9</v>
      </c>
      <c r="C2" t="s">
        <v>10</v>
      </c>
      <c r="D2" t="s">
        <v>3983</v>
      </c>
      <c r="E2" t="s">
        <v>3984</v>
      </c>
      <c r="F2" t="str">
        <f>LEFT(E2,5)</f>
        <v>서울특별시</v>
      </c>
      <c r="G2" t="str">
        <f>MID(E2,7,4)</f>
        <v xml:space="preserve">강남구 </v>
      </c>
      <c r="H2" t="str">
        <f>MID(SUBSTITUTE(E2," ",""),9,3)</f>
        <v>개포동</v>
      </c>
      <c r="I2" t="s">
        <v>3985</v>
      </c>
      <c r="J2" t="s">
        <v>3986</v>
      </c>
      <c r="K2" t="s">
        <v>3876</v>
      </c>
    </row>
    <row r="3" spans="1:11" x14ac:dyDescent="0.4">
      <c r="A3" t="s">
        <v>8620</v>
      </c>
      <c r="B3" t="s">
        <v>9</v>
      </c>
      <c r="C3" t="s">
        <v>10</v>
      </c>
      <c r="D3" t="s">
        <v>7642</v>
      </c>
      <c r="E3" t="s">
        <v>8621</v>
      </c>
      <c r="F3" t="str">
        <f>LEFT(E3,5)</f>
        <v>서울특별시</v>
      </c>
      <c r="G3" t="str">
        <f t="shared" ref="G3:G66" si="0">MID(E3,7,4)</f>
        <v xml:space="preserve">강남구 </v>
      </c>
      <c r="H3" t="str">
        <f t="shared" ref="H3:H66" si="1">MID(SUBSTITUTE(E3," ",""),9,3)</f>
        <v>개포동</v>
      </c>
      <c r="I3" t="s">
        <v>8622</v>
      </c>
      <c r="J3" t="s">
        <v>7645</v>
      </c>
      <c r="K3" t="s">
        <v>8623</v>
      </c>
    </row>
    <row r="4" spans="1:11" x14ac:dyDescent="0.4">
      <c r="A4" t="s">
        <v>7641</v>
      </c>
      <c r="B4" t="s">
        <v>9</v>
      </c>
      <c r="C4" t="s">
        <v>10</v>
      </c>
      <c r="D4" t="s">
        <v>7642</v>
      </c>
      <c r="E4" t="s">
        <v>7643</v>
      </c>
      <c r="F4" t="str">
        <f>LEFT(E4,5)</f>
        <v>서울특별시</v>
      </c>
      <c r="G4" t="str">
        <f t="shared" si="0"/>
        <v xml:space="preserve">강남구 </v>
      </c>
      <c r="H4" t="str">
        <f t="shared" si="1"/>
        <v>개포동</v>
      </c>
      <c r="I4" t="s">
        <v>7644</v>
      </c>
      <c r="J4" t="s">
        <v>7645</v>
      </c>
      <c r="K4" t="s">
        <v>7646</v>
      </c>
    </row>
    <row r="5" spans="1:11" x14ac:dyDescent="0.4">
      <c r="A5" t="s">
        <v>6180</v>
      </c>
      <c r="B5" t="s">
        <v>9</v>
      </c>
      <c r="C5" t="s">
        <v>10</v>
      </c>
      <c r="D5" t="s">
        <v>2939</v>
      </c>
      <c r="E5" t="s">
        <v>6181</v>
      </c>
      <c r="F5" t="str">
        <f>LEFT(E5,5)</f>
        <v>서울특별시</v>
      </c>
      <c r="G5" t="str">
        <f t="shared" si="0"/>
        <v xml:space="preserve">강남구 </v>
      </c>
      <c r="H5" t="str">
        <f t="shared" si="1"/>
        <v>논현동</v>
      </c>
      <c r="I5" t="s">
        <v>6182</v>
      </c>
      <c r="J5" t="s">
        <v>2942</v>
      </c>
      <c r="K5" t="s">
        <v>6183</v>
      </c>
    </row>
    <row r="6" spans="1:11" x14ac:dyDescent="0.4">
      <c r="A6" t="s">
        <v>2938</v>
      </c>
      <c r="B6" t="s">
        <v>9</v>
      </c>
      <c r="C6" t="s">
        <v>10</v>
      </c>
      <c r="D6" t="s">
        <v>2939</v>
      </c>
      <c r="E6" t="s">
        <v>2940</v>
      </c>
      <c r="F6" t="str">
        <f>LEFT(E6,5)</f>
        <v>서울특별시</v>
      </c>
      <c r="G6" t="str">
        <f t="shared" si="0"/>
        <v xml:space="preserve">강남구 </v>
      </c>
      <c r="H6" t="str">
        <f t="shared" si="1"/>
        <v>논현동</v>
      </c>
      <c r="I6" t="s">
        <v>2941</v>
      </c>
      <c r="J6" t="s">
        <v>2942</v>
      </c>
      <c r="K6" t="s">
        <v>2943</v>
      </c>
    </row>
    <row r="7" spans="1:11" x14ac:dyDescent="0.4">
      <c r="A7" t="s">
        <v>4397</v>
      </c>
      <c r="B7" t="s">
        <v>9</v>
      </c>
      <c r="C7" t="s">
        <v>10</v>
      </c>
      <c r="D7" t="s">
        <v>4398</v>
      </c>
      <c r="E7" t="s">
        <v>4399</v>
      </c>
      <c r="F7" t="str">
        <f>LEFT(E7,5)</f>
        <v>서울특별시</v>
      </c>
      <c r="G7" t="str">
        <f t="shared" si="0"/>
        <v xml:space="preserve">강남구 </v>
      </c>
      <c r="H7" t="str">
        <f t="shared" si="1"/>
        <v>논현동</v>
      </c>
      <c r="I7" t="s">
        <v>4400</v>
      </c>
      <c r="J7" t="s">
        <v>4401</v>
      </c>
      <c r="K7" t="s">
        <v>4402</v>
      </c>
    </row>
    <row r="8" spans="1:11" x14ac:dyDescent="0.4">
      <c r="A8" t="s">
        <v>6818</v>
      </c>
      <c r="B8" t="s">
        <v>9</v>
      </c>
      <c r="C8" t="s">
        <v>10</v>
      </c>
      <c r="D8" t="s">
        <v>6819</v>
      </c>
      <c r="E8" t="s">
        <v>6820</v>
      </c>
      <c r="F8" t="str">
        <f>LEFT(E8,5)</f>
        <v>서울특별시</v>
      </c>
      <c r="G8" t="str">
        <f t="shared" si="0"/>
        <v xml:space="preserve">강남구 </v>
      </c>
      <c r="H8" t="str">
        <f t="shared" si="1"/>
        <v>논현동</v>
      </c>
      <c r="I8" t="s">
        <v>6821</v>
      </c>
      <c r="J8" t="s">
        <v>3760</v>
      </c>
      <c r="K8" t="s">
        <v>6822</v>
      </c>
    </row>
    <row r="9" spans="1:11" x14ac:dyDescent="0.4">
      <c r="A9" t="s">
        <v>3757</v>
      </c>
      <c r="B9" t="s">
        <v>9</v>
      </c>
      <c r="C9" t="s">
        <v>10</v>
      </c>
      <c r="D9" t="s">
        <v>2939</v>
      </c>
      <c r="E9" t="s">
        <v>3758</v>
      </c>
      <c r="F9" t="str">
        <f>LEFT(E9,5)</f>
        <v>서울특별시</v>
      </c>
      <c r="G9" t="str">
        <f t="shared" si="0"/>
        <v xml:space="preserve">강남구 </v>
      </c>
      <c r="H9" t="str">
        <f t="shared" si="1"/>
        <v>논현동</v>
      </c>
      <c r="I9" t="s">
        <v>3759</v>
      </c>
      <c r="J9" t="s">
        <v>3760</v>
      </c>
      <c r="K9" t="s">
        <v>3761</v>
      </c>
    </row>
    <row r="10" spans="1:11" x14ac:dyDescent="0.4">
      <c r="A10" t="s">
        <v>4464</v>
      </c>
      <c r="B10" t="s">
        <v>9</v>
      </c>
      <c r="C10" t="s">
        <v>10</v>
      </c>
      <c r="D10" t="s">
        <v>2939</v>
      </c>
      <c r="E10" t="s">
        <v>4465</v>
      </c>
      <c r="F10" t="str">
        <f>LEFT(E10,5)</f>
        <v>서울특별시</v>
      </c>
      <c r="G10" t="str">
        <f t="shared" si="0"/>
        <v xml:space="preserve">강남구 </v>
      </c>
      <c r="H10" t="str">
        <f t="shared" si="1"/>
        <v>논현동</v>
      </c>
      <c r="I10" t="s">
        <v>4466</v>
      </c>
      <c r="J10" t="s">
        <v>3760</v>
      </c>
      <c r="K10" t="s">
        <v>4467</v>
      </c>
    </row>
    <row r="11" spans="1:11" x14ac:dyDescent="0.4">
      <c r="A11" t="s">
        <v>5782</v>
      </c>
      <c r="B11" t="s">
        <v>9</v>
      </c>
      <c r="C11" t="s">
        <v>10</v>
      </c>
      <c r="D11" t="s">
        <v>2939</v>
      </c>
      <c r="E11" t="s">
        <v>5783</v>
      </c>
      <c r="F11" t="str">
        <f>LEFT(E11,5)</f>
        <v>서울특별시</v>
      </c>
      <c r="G11" t="str">
        <f t="shared" si="0"/>
        <v xml:space="preserve">강남구 </v>
      </c>
      <c r="H11" t="str">
        <f t="shared" si="1"/>
        <v>논현동</v>
      </c>
      <c r="I11" t="s">
        <v>5784</v>
      </c>
      <c r="J11" t="s">
        <v>2942</v>
      </c>
      <c r="K11" t="s">
        <v>5785</v>
      </c>
    </row>
    <row r="12" spans="1:11" x14ac:dyDescent="0.4">
      <c r="A12" t="s">
        <v>7275</v>
      </c>
      <c r="B12" t="s">
        <v>9</v>
      </c>
      <c r="C12" t="s">
        <v>10</v>
      </c>
      <c r="D12" t="s">
        <v>2939</v>
      </c>
      <c r="E12" t="s">
        <v>7276</v>
      </c>
      <c r="F12" t="str">
        <f>LEFT(E12,5)</f>
        <v>서울특별시</v>
      </c>
      <c r="G12" t="str">
        <f t="shared" si="0"/>
        <v xml:space="preserve">강남구 </v>
      </c>
      <c r="H12" t="str">
        <f t="shared" si="1"/>
        <v>논현동</v>
      </c>
      <c r="I12" t="s">
        <v>7277</v>
      </c>
      <c r="J12" t="s">
        <v>2942</v>
      </c>
      <c r="K12" t="s">
        <v>7278</v>
      </c>
    </row>
    <row r="13" spans="1:11" x14ac:dyDescent="0.4">
      <c r="A13" t="s">
        <v>7442</v>
      </c>
      <c r="B13" t="s">
        <v>9</v>
      </c>
      <c r="C13" t="s">
        <v>10</v>
      </c>
      <c r="D13" t="s">
        <v>2939</v>
      </c>
      <c r="E13" t="s">
        <v>7443</v>
      </c>
      <c r="F13" t="str">
        <f>LEFT(E13,5)</f>
        <v>서울특별시</v>
      </c>
      <c r="G13" t="str">
        <f t="shared" si="0"/>
        <v xml:space="preserve">강남구 </v>
      </c>
      <c r="H13" t="str">
        <f t="shared" si="1"/>
        <v>논현동</v>
      </c>
      <c r="I13" t="s">
        <v>7444</v>
      </c>
      <c r="J13" t="s">
        <v>2942</v>
      </c>
      <c r="K13" t="s">
        <v>7445</v>
      </c>
    </row>
    <row r="14" spans="1:11" x14ac:dyDescent="0.4">
      <c r="A14" t="s">
        <v>8600</v>
      </c>
      <c r="B14" t="s">
        <v>9</v>
      </c>
      <c r="C14" t="s">
        <v>10</v>
      </c>
      <c r="D14" t="s">
        <v>2939</v>
      </c>
      <c r="E14" t="s">
        <v>8601</v>
      </c>
      <c r="F14" t="str">
        <f>LEFT(E14,5)</f>
        <v>서울특별시</v>
      </c>
      <c r="G14" t="str">
        <f t="shared" si="0"/>
        <v xml:space="preserve">강남구 </v>
      </c>
      <c r="H14" t="str">
        <f t="shared" si="1"/>
        <v>논현동</v>
      </c>
      <c r="I14" t="s">
        <v>8602</v>
      </c>
      <c r="J14" t="s">
        <v>7232</v>
      </c>
      <c r="K14" t="s">
        <v>8603</v>
      </c>
    </row>
    <row r="15" spans="1:11" x14ac:dyDescent="0.4">
      <c r="A15" t="s">
        <v>7256</v>
      </c>
      <c r="B15" t="s">
        <v>9</v>
      </c>
      <c r="C15" t="s">
        <v>10</v>
      </c>
      <c r="D15" t="s">
        <v>2939</v>
      </c>
      <c r="E15" t="s">
        <v>7257</v>
      </c>
      <c r="F15" t="str">
        <f>LEFT(E15,5)</f>
        <v>서울특별시</v>
      </c>
      <c r="G15" t="str">
        <f t="shared" si="0"/>
        <v xml:space="preserve">강남구 </v>
      </c>
      <c r="H15" t="str">
        <f t="shared" si="1"/>
        <v>논현동</v>
      </c>
      <c r="I15" t="s">
        <v>7258</v>
      </c>
      <c r="J15" t="s">
        <v>7232</v>
      </c>
      <c r="K15" t="s">
        <v>1052</v>
      </c>
    </row>
    <row r="16" spans="1:11" x14ac:dyDescent="0.4">
      <c r="A16" t="s">
        <v>7229</v>
      </c>
      <c r="B16" t="s">
        <v>9</v>
      </c>
      <c r="C16" t="s">
        <v>10</v>
      </c>
      <c r="D16" t="s">
        <v>2939</v>
      </c>
      <c r="E16" t="s">
        <v>7230</v>
      </c>
      <c r="F16" t="str">
        <f>LEFT(E16,5)</f>
        <v>서울특별시</v>
      </c>
      <c r="G16" t="str">
        <f t="shared" si="0"/>
        <v xml:space="preserve">강남구 </v>
      </c>
      <c r="H16" t="str">
        <f t="shared" si="1"/>
        <v>논현동</v>
      </c>
      <c r="I16" t="s">
        <v>7231</v>
      </c>
      <c r="J16" t="s">
        <v>7232</v>
      </c>
      <c r="K16" t="s">
        <v>4266</v>
      </c>
    </row>
    <row r="17" spans="1:11" x14ac:dyDescent="0.4">
      <c r="A17" t="s">
        <v>7597</v>
      </c>
      <c r="B17" t="s">
        <v>9</v>
      </c>
      <c r="C17" t="s">
        <v>10</v>
      </c>
      <c r="D17" t="s">
        <v>7598</v>
      </c>
      <c r="E17" t="s">
        <v>7599</v>
      </c>
      <c r="F17" t="str">
        <f>LEFT(E17,5)</f>
        <v>서울특별시</v>
      </c>
      <c r="G17" t="str">
        <f t="shared" si="0"/>
        <v xml:space="preserve">강남구 </v>
      </c>
      <c r="H17" t="str">
        <f t="shared" si="1"/>
        <v>논현동</v>
      </c>
      <c r="I17" t="s">
        <v>7600</v>
      </c>
      <c r="J17" t="s">
        <v>7601</v>
      </c>
      <c r="K17" t="s">
        <v>7602</v>
      </c>
    </row>
    <row r="18" spans="1:11" x14ac:dyDescent="0.4">
      <c r="A18" t="s">
        <v>1600</v>
      </c>
      <c r="B18" t="s">
        <v>9</v>
      </c>
      <c r="C18" t="s">
        <v>10</v>
      </c>
      <c r="D18" t="s">
        <v>859</v>
      </c>
      <c r="E18" t="s">
        <v>1601</v>
      </c>
      <c r="F18" t="str">
        <f>LEFT(E18,5)</f>
        <v>서울특별시</v>
      </c>
      <c r="G18" t="str">
        <f t="shared" si="0"/>
        <v xml:space="preserve">강남구 </v>
      </c>
      <c r="H18" t="str">
        <f t="shared" si="1"/>
        <v>논현동</v>
      </c>
      <c r="I18" t="s">
        <v>1602</v>
      </c>
      <c r="J18" t="s">
        <v>862</v>
      </c>
      <c r="K18" t="s">
        <v>1603</v>
      </c>
    </row>
    <row r="19" spans="1:11" x14ac:dyDescent="0.4">
      <c r="A19" t="s">
        <v>8384</v>
      </c>
      <c r="B19" t="s">
        <v>9</v>
      </c>
      <c r="C19" t="s">
        <v>10</v>
      </c>
      <c r="D19" t="s">
        <v>859</v>
      </c>
      <c r="E19" t="s">
        <v>8385</v>
      </c>
      <c r="F19" t="str">
        <f>LEFT(E19,5)</f>
        <v>서울특별시</v>
      </c>
      <c r="G19" t="str">
        <f t="shared" si="0"/>
        <v xml:space="preserve">강남구 </v>
      </c>
      <c r="H19" t="str">
        <f t="shared" si="1"/>
        <v>논현동</v>
      </c>
      <c r="I19" t="s">
        <v>8386</v>
      </c>
      <c r="J19" t="s">
        <v>862</v>
      </c>
      <c r="K19" t="s">
        <v>8387</v>
      </c>
    </row>
    <row r="20" spans="1:11" x14ac:dyDescent="0.4">
      <c r="A20" t="s">
        <v>7925</v>
      </c>
      <c r="B20" t="s">
        <v>9</v>
      </c>
      <c r="C20" t="s">
        <v>10</v>
      </c>
      <c r="D20" t="s">
        <v>859</v>
      </c>
      <c r="E20" t="s">
        <v>7926</v>
      </c>
      <c r="F20" t="str">
        <f>LEFT(E20,5)</f>
        <v>서울특별시</v>
      </c>
      <c r="G20" t="str">
        <f t="shared" si="0"/>
        <v xml:space="preserve">강남구 </v>
      </c>
      <c r="H20" t="str">
        <f t="shared" si="1"/>
        <v>논현동</v>
      </c>
      <c r="I20" t="s">
        <v>7927</v>
      </c>
      <c r="J20" t="s">
        <v>862</v>
      </c>
      <c r="K20" t="s">
        <v>6440</v>
      </c>
    </row>
    <row r="21" spans="1:11" x14ac:dyDescent="0.4">
      <c r="A21" t="s">
        <v>3611</v>
      </c>
      <c r="B21" t="s">
        <v>9</v>
      </c>
      <c r="C21" t="s">
        <v>10</v>
      </c>
      <c r="D21" t="s">
        <v>859</v>
      </c>
      <c r="E21" t="s">
        <v>3612</v>
      </c>
      <c r="F21" t="str">
        <f>LEFT(E21,5)</f>
        <v>서울특별시</v>
      </c>
      <c r="G21" t="str">
        <f t="shared" si="0"/>
        <v xml:space="preserve">강남구 </v>
      </c>
      <c r="H21" t="str">
        <f t="shared" si="1"/>
        <v>논현동</v>
      </c>
      <c r="I21" t="s">
        <v>3613</v>
      </c>
      <c r="J21" t="s">
        <v>862</v>
      </c>
      <c r="K21" t="s">
        <v>3614</v>
      </c>
    </row>
    <row r="22" spans="1:11" x14ac:dyDescent="0.4">
      <c r="A22" t="s">
        <v>858</v>
      </c>
      <c r="B22" t="s">
        <v>9</v>
      </c>
      <c r="C22" t="s">
        <v>10</v>
      </c>
      <c r="D22" t="s">
        <v>859</v>
      </c>
      <c r="E22" t="s">
        <v>860</v>
      </c>
      <c r="F22" t="str">
        <f>LEFT(E22,5)</f>
        <v>서울특별시</v>
      </c>
      <c r="G22" t="str">
        <f t="shared" si="0"/>
        <v xml:space="preserve">강남구 </v>
      </c>
      <c r="H22" t="str">
        <f t="shared" si="1"/>
        <v>논현동</v>
      </c>
      <c r="I22" t="s">
        <v>861</v>
      </c>
      <c r="J22" t="s">
        <v>862</v>
      </c>
      <c r="K22" t="s">
        <v>863</v>
      </c>
    </row>
    <row r="23" spans="1:11" x14ac:dyDescent="0.4">
      <c r="A23" t="s">
        <v>5531</v>
      </c>
      <c r="B23" t="s">
        <v>9</v>
      </c>
      <c r="C23" t="s">
        <v>10</v>
      </c>
      <c r="D23" t="s">
        <v>859</v>
      </c>
      <c r="E23" t="s">
        <v>5532</v>
      </c>
      <c r="F23" t="str">
        <f>LEFT(E23,5)</f>
        <v>서울특별시</v>
      </c>
      <c r="G23" t="str">
        <f t="shared" si="0"/>
        <v xml:space="preserve">강남구 </v>
      </c>
      <c r="H23" t="str">
        <f t="shared" si="1"/>
        <v>논현동</v>
      </c>
      <c r="I23" t="s">
        <v>5533</v>
      </c>
      <c r="J23" t="s">
        <v>862</v>
      </c>
      <c r="K23" t="s">
        <v>5534</v>
      </c>
    </row>
    <row r="24" spans="1:11" x14ac:dyDescent="0.4">
      <c r="A24" t="s">
        <v>7050</v>
      </c>
      <c r="B24" t="s">
        <v>9</v>
      </c>
      <c r="C24" t="s">
        <v>10</v>
      </c>
      <c r="D24" t="s">
        <v>859</v>
      </c>
      <c r="E24" t="s">
        <v>7051</v>
      </c>
      <c r="F24" t="str">
        <f>LEFT(E24,5)</f>
        <v>서울특별시</v>
      </c>
      <c r="G24" t="str">
        <f t="shared" si="0"/>
        <v xml:space="preserve">강남구 </v>
      </c>
      <c r="H24" t="str">
        <f t="shared" si="1"/>
        <v>논현동</v>
      </c>
      <c r="I24" t="s">
        <v>7052</v>
      </c>
      <c r="J24" t="s">
        <v>7053</v>
      </c>
      <c r="K24" t="s">
        <v>7054</v>
      </c>
    </row>
    <row r="25" spans="1:11" x14ac:dyDescent="0.4">
      <c r="A25" t="s">
        <v>8321</v>
      </c>
      <c r="B25" t="s">
        <v>9</v>
      </c>
      <c r="C25" t="s">
        <v>10</v>
      </c>
      <c r="D25" t="s">
        <v>7401</v>
      </c>
      <c r="E25" t="s">
        <v>8322</v>
      </c>
      <c r="F25" t="str">
        <f>LEFT(E25,5)</f>
        <v>서울특별시</v>
      </c>
      <c r="G25" t="str">
        <f t="shared" si="0"/>
        <v xml:space="preserve">강남구 </v>
      </c>
      <c r="H25" t="str">
        <f t="shared" si="1"/>
        <v>논현동</v>
      </c>
      <c r="I25" t="s">
        <v>8323</v>
      </c>
      <c r="J25" t="s">
        <v>7404</v>
      </c>
      <c r="K25" t="s">
        <v>8324</v>
      </c>
    </row>
    <row r="26" spans="1:11" x14ac:dyDescent="0.4">
      <c r="A26" t="s">
        <v>7799</v>
      </c>
      <c r="B26" t="s">
        <v>9</v>
      </c>
      <c r="C26" t="s">
        <v>10</v>
      </c>
      <c r="D26" t="s">
        <v>7401</v>
      </c>
      <c r="E26" t="s">
        <v>7800</v>
      </c>
      <c r="F26" t="str">
        <f>LEFT(E26,5)</f>
        <v>서울특별시</v>
      </c>
      <c r="G26" t="str">
        <f t="shared" si="0"/>
        <v xml:space="preserve">강남구 </v>
      </c>
      <c r="H26" t="str">
        <f t="shared" si="1"/>
        <v>논현동</v>
      </c>
      <c r="I26" t="s">
        <v>7801</v>
      </c>
      <c r="J26" t="s">
        <v>7404</v>
      </c>
      <c r="K26" t="s">
        <v>7802</v>
      </c>
    </row>
    <row r="27" spans="1:11" x14ac:dyDescent="0.4">
      <c r="A27" t="s">
        <v>5114</v>
      </c>
      <c r="B27" t="s">
        <v>9</v>
      </c>
      <c r="C27" t="s">
        <v>10</v>
      </c>
      <c r="D27" t="s">
        <v>5115</v>
      </c>
      <c r="E27" t="s">
        <v>5116</v>
      </c>
      <c r="F27" t="str">
        <f>LEFT(E27,5)</f>
        <v>서울특별시</v>
      </c>
      <c r="G27" t="str">
        <f t="shared" si="0"/>
        <v xml:space="preserve">강남구 </v>
      </c>
      <c r="H27" t="str">
        <f t="shared" si="1"/>
        <v>논현동</v>
      </c>
      <c r="I27" t="s">
        <v>5117</v>
      </c>
      <c r="J27" t="s">
        <v>4652</v>
      </c>
      <c r="K27" t="s">
        <v>5118</v>
      </c>
    </row>
    <row r="28" spans="1:11" x14ac:dyDescent="0.4">
      <c r="A28" t="s">
        <v>7770</v>
      </c>
      <c r="B28" t="s">
        <v>9</v>
      </c>
      <c r="C28" t="s">
        <v>10</v>
      </c>
      <c r="D28" t="s">
        <v>7401</v>
      </c>
      <c r="E28" t="s">
        <v>7771</v>
      </c>
      <c r="F28" t="str">
        <f>LEFT(E28,5)</f>
        <v>서울특별시</v>
      </c>
      <c r="G28" t="str">
        <f t="shared" si="0"/>
        <v xml:space="preserve">강남구 </v>
      </c>
      <c r="H28" t="str">
        <f t="shared" si="1"/>
        <v>논현동</v>
      </c>
      <c r="I28" t="s">
        <v>7772</v>
      </c>
      <c r="J28" t="s">
        <v>7404</v>
      </c>
      <c r="K28" t="s">
        <v>6400</v>
      </c>
    </row>
    <row r="29" spans="1:11" x14ac:dyDescent="0.4">
      <c r="A29" t="s">
        <v>7875</v>
      </c>
      <c r="B29" t="s">
        <v>9</v>
      </c>
      <c r="C29" t="s">
        <v>10</v>
      </c>
      <c r="D29" t="s">
        <v>7401</v>
      </c>
      <c r="E29" t="s">
        <v>7876</v>
      </c>
      <c r="F29" t="str">
        <f>LEFT(E29,5)</f>
        <v>서울특별시</v>
      </c>
      <c r="G29" t="str">
        <f t="shared" si="0"/>
        <v xml:space="preserve">강남구 </v>
      </c>
      <c r="H29" t="str">
        <f t="shared" si="1"/>
        <v>논현동</v>
      </c>
      <c r="I29" t="s">
        <v>7877</v>
      </c>
      <c r="J29" t="s">
        <v>7404</v>
      </c>
      <c r="K29" t="s">
        <v>7878</v>
      </c>
    </row>
    <row r="30" spans="1:11" x14ac:dyDescent="0.4">
      <c r="A30" t="s">
        <v>7400</v>
      </c>
      <c r="B30" t="s">
        <v>9</v>
      </c>
      <c r="C30" t="s">
        <v>10</v>
      </c>
      <c r="D30" t="s">
        <v>7401</v>
      </c>
      <c r="E30" t="s">
        <v>7402</v>
      </c>
      <c r="F30" t="str">
        <f>LEFT(E30,5)</f>
        <v>서울특별시</v>
      </c>
      <c r="G30" t="str">
        <f t="shared" si="0"/>
        <v xml:space="preserve">강남구 </v>
      </c>
      <c r="H30" t="str">
        <f t="shared" si="1"/>
        <v>논현동</v>
      </c>
      <c r="I30" t="s">
        <v>7403</v>
      </c>
      <c r="J30" t="s">
        <v>7404</v>
      </c>
      <c r="K30" t="s">
        <v>7405</v>
      </c>
    </row>
    <row r="31" spans="1:11" x14ac:dyDescent="0.4">
      <c r="A31" t="s">
        <v>4443</v>
      </c>
      <c r="B31" t="s">
        <v>9</v>
      </c>
      <c r="C31" t="s">
        <v>10</v>
      </c>
      <c r="D31" t="s">
        <v>4444</v>
      </c>
      <c r="E31" t="s">
        <v>4445</v>
      </c>
      <c r="F31" t="str">
        <f>LEFT(E31,5)</f>
        <v>서울특별시</v>
      </c>
      <c r="G31" t="str">
        <f t="shared" si="0"/>
        <v xml:space="preserve">강남구 </v>
      </c>
      <c r="H31" t="str">
        <f t="shared" si="1"/>
        <v>논현동</v>
      </c>
      <c r="I31" t="s">
        <v>4446</v>
      </c>
      <c r="J31" t="s">
        <v>4447</v>
      </c>
      <c r="K31" t="s">
        <v>4448</v>
      </c>
    </row>
    <row r="32" spans="1:11" x14ac:dyDescent="0.4">
      <c r="A32" t="s">
        <v>4649</v>
      </c>
      <c r="B32" t="s">
        <v>9</v>
      </c>
      <c r="C32" t="s">
        <v>10</v>
      </c>
      <c r="D32" t="s">
        <v>4444</v>
      </c>
      <c r="E32" t="s">
        <v>4650</v>
      </c>
      <c r="F32" t="str">
        <f>LEFT(E32,5)</f>
        <v>서울특별시</v>
      </c>
      <c r="G32" t="str">
        <f t="shared" si="0"/>
        <v xml:space="preserve">강남구 </v>
      </c>
      <c r="H32" t="str">
        <f t="shared" si="1"/>
        <v>논현동</v>
      </c>
      <c r="I32" t="s">
        <v>4651</v>
      </c>
      <c r="J32" t="s">
        <v>4652</v>
      </c>
      <c r="K32" t="s">
        <v>4653</v>
      </c>
    </row>
    <row r="33" spans="1:11" x14ac:dyDescent="0.4">
      <c r="A33" t="s">
        <v>4095</v>
      </c>
      <c r="B33" t="s">
        <v>9</v>
      </c>
      <c r="C33" t="s">
        <v>10</v>
      </c>
      <c r="D33" t="s">
        <v>4096</v>
      </c>
      <c r="E33" t="s">
        <v>4097</v>
      </c>
      <c r="F33" t="str">
        <f>LEFT(E33,5)</f>
        <v>서울특별시</v>
      </c>
      <c r="G33" t="str">
        <f t="shared" si="0"/>
        <v xml:space="preserve">강남구 </v>
      </c>
      <c r="H33" t="str">
        <f t="shared" si="1"/>
        <v>논현동</v>
      </c>
      <c r="I33" t="s">
        <v>4098</v>
      </c>
      <c r="J33" t="s">
        <v>4099</v>
      </c>
      <c r="K33" t="s">
        <v>4100</v>
      </c>
    </row>
    <row r="34" spans="1:11" x14ac:dyDescent="0.4">
      <c r="A34" t="s">
        <v>6997</v>
      </c>
      <c r="B34" t="s">
        <v>9</v>
      </c>
      <c r="C34" t="s">
        <v>10</v>
      </c>
      <c r="D34" t="s">
        <v>4096</v>
      </c>
      <c r="E34" t="s">
        <v>6998</v>
      </c>
      <c r="F34" t="str">
        <f>LEFT(E34,5)</f>
        <v>서울특별시</v>
      </c>
      <c r="G34" t="str">
        <f t="shared" si="0"/>
        <v xml:space="preserve">강남구 </v>
      </c>
      <c r="H34" t="str">
        <f t="shared" si="1"/>
        <v>논현동</v>
      </c>
      <c r="I34" t="s">
        <v>6999</v>
      </c>
      <c r="J34" t="s">
        <v>7000</v>
      </c>
      <c r="K34" t="s">
        <v>7001</v>
      </c>
    </row>
    <row r="35" spans="1:11" x14ac:dyDescent="0.4">
      <c r="A35" t="s">
        <v>7742</v>
      </c>
      <c r="B35" t="s">
        <v>9</v>
      </c>
      <c r="C35" t="s">
        <v>10</v>
      </c>
      <c r="D35" t="s">
        <v>2552</v>
      </c>
      <c r="E35" t="s">
        <v>7743</v>
      </c>
      <c r="F35" t="str">
        <f>LEFT(E35,5)</f>
        <v>서울특별시</v>
      </c>
      <c r="G35" t="str">
        <f t="shared" si="0"/>
        <v xml:space="preserve">강남구 </v>
      </c>
      <c r="H35" t="str">
        <f t="shared" si="1"/>
        <v>논현동</v>
      </c>
      <c r="I35" t="s">
        <v>7744</v>
      </c>
      <c r="J35" t="s">
        <v>7745</v>
      </c>
      <c r="K35" t="s">
        <v>900</v>
      </c>
    </row>
    <row r="36" spans="1:11" x14ac:dyDescent="0.4">
      <c r="A36" t="s">
        <v>7562</v>
      </c>
      <c r="B36" t="s">
        <v>9</v>
      </c>
      <c r="C36" t="s">
        <v>10</v>
      </c>
      <c r="D36" t="s">
        <v>2552</v>
      </c>
      <c r="E36" t="s">
        <v>7563</v>
      </c>
      <c r="F36" t="str">
        <f>LEFT(E36,5)</f>
        <v>서울특별시</v>
      </c>
      <c r="G36" t="str">
        <f t="shared" si="0"/>
        <v xml:space="preserve">강남구 </v>
      </c>
      <c r="H36" t="str">
        <f t="shared" si="1"/>
        <v>논현동</v>
      </c>
      <c r="I36" t="s">
        <v>7564</v>
      </c>
      <c r="J36" t="s">
        <v>7565</v>
      </c>
      <c r="K36" t="s">
        <v>7566</v>
      </c>
    </row>
    <row r="37" spans="1:11" x14ac:dyDescent="0.4">
      <c r="A37" t="s">
        <v>7268</v>
      </c>
      <c r="B37" t="s">
        <v>9</v>
      </c>
      <c r="C37" t="s">
        <v>10</v>
      </c>
      <c r="D37" t="s">
        <v>2552</v>
      </c>
      <c r="E37" t="s">
        <v>7269</v>
      </c>
      <c r="F37" t="str">
        <f>LEFT(E37,5)</f>
        <v>서울특별시</v>
      </c>
      <c r="G37" t="str">
        <f t="shared" si="0"/>
        <v xml:space="preserve">강남구 </v>
      </c>
      <c r="H37" t="str">
        <f t="shared" si="1"/>
        <v>논현동</v>
      </c>
      <c r="I37" t="s">
        <v>7270</v>
      </c>
      <c r="J37" t="s">
        <v>2555</v>
      </c>
      <c r="K37" t="s">
        <v>6224</v>
      </c>
    </row>
    <row r="38" spans="1:11" x14ac:dyDescent="0.4">
      <c r="A38" t="s">
        <v>7434</v>
      </c>
      <c r="B38" t="s">
        <v>9</v>
      </c>
      <c r="C38" t="s">
        <v>10</v>
      </c>
      <c r="D38" t="s">
        <v>2552</v>
      </c>
      <c r="E38" t="s">
        <v>7435</v>
      </c>
      <c r="F38" t="str">
        <f>LEFT(E38,5)</f>
        <v>서울특별시</v>
      </c>
      <c r="G38" t="str">
        <f t="shared" si="0"/>
        <v xml:space="preserve">강남구 </v>
      </c>
      <c r="H38" t="str">
        <f t="shared" si="1"/>
        <v>논현동</v>
      </c>
      <c r="I38" t="s">
        <v>7436</v>
      </c>
      <c r="J38" t="s">
        <v>2555</v>
      </c>
      <c r="K38" t="s">
        <v>7437</v>
      </c>
    </row>
    <row r="39" spans="1:11" x14ac:dyDescent="0.4">
      <c r="A39" t="s">
        <v>2551</v>
      </c>
      <c r="B39" t="s">
        <v>9</v>
      </c>
      <c r="C39" t="s">
        <v>10</v>
      </c>
      <c r="D39" t="s">
        <v>2552</v>
      </c>
      <c r="E39" t="s">
        <v>2553</v>
      </c>
      <c r="F39" t="str">
        <f>LEFT(E39,5)</f>
        <v>서울특별시</v>
      </c>
      <c r="G39" t="str">
        <f t="shared" si="0"/>
        <v xml:space="preserve">강남구 </v>
      </c>
      <c r="H39" t="str">
        <f t="shared" si="1"/>
        <v>논현동</v>
      </c>
      <c r="I39" t="s">
        <v>2554</v>
      </c>
      <c r="J39" t="s">
        <v>2555</v>
      </c>
      <c r="K39" t="s">
        <v>2556</v>
      </c>
    </row>
    <row r="40" spans="1:11" x14ac:dyDescent="0.4">
      <c r="A40" t="s">
        <v>1895</v>
      </c>
      <c r="B40" t="s">
        <v>9</v>
      </c>
      <c r="C40" t="s">
        <v>10</v>
      </c>
      <c r="D40" t="s">
        <v>1896</v>
      </c>
      <c r="E40" t="s">
        <v>1897</v>
      </c>
      <c r="F40" t="str">
        <f>LEFT(E40,5)</f>
        <v>서울특별시</v>
      </c>
      <c r="G40" t="str">
        <f t="shared" si="0"/>
        <v xml:space="preserve">강남구 </v>
      </c>
      <c r="H40" t="str">
        <f t="shared" si="1"/>
        <v>논현동</v>
      </c>
      <c r="I40" t="s">
        <v>1898</v>
      </c>
      <c r="J40" t="s">
        <v>1899</v>
      </c>
      <c r="K40" t="s">
        <v>1900</v>
      </c>
    </row>
    <row r="41" spans="1:11" x14ac:dyDescent="0.4">
      <c r="A41" t="s">
        <v>7107</v>
      </c>
      <c r="B41" t="s">
        <v>9</v>
      </c>
      <c r="C41" t="s">
        <v>10</v>
      </c>
      <c r="D41" t="s">
        <v>7108</v>
      </c>
      <c r="E41" t="s">
        <v>7109</v>
      </c>
      <c r="F41" t="str">
        <f>LEFT(E41,5)</f>
        <v>서울특별시</v>
      </c>
      <c r="G41" t="str">
        <f t="shared" si="0"/>
        <v xml:space="preserve">강남구 </v>
      </c>
      <c r="H41" t="str">
        <f t="shared" si="1"/>
        <v>논현동</v>
      </c>
      <c r="I41" t="s">
        <v>7110</v>
      </c>
      <c r="J41" t="s">
        <v>7111</v>
      </c>
      <c r="K41" t="s">
        <v>7112</v>
      </c>
    </row>
    <row r="42" spans="1:11" x14ac:dyDescent="0.4">
      <c r="A42" t="s">
        <v>8573</v>
      </c>
      <c r="B42" t="s">
        <v>9</v>
      </c>
      <c r="C42" t="s">
        <v>10</v>
      </c>
      <c r="D42" t="s">
        <v>7108</v>
      </c>
      <c r="E42" t="s">
        <v>7109</v>
      </c>
      <c r="F42" t="str">
        <f>LEFT(E42,5)</f>
        <v>서울특별시</v>
      </c>
      <c r="G42" t="str">
        <f t="shared" si="0"/>
        <v xml:space="preserve">강남구 </v>
      </c>
      <c r="H42" t="str">
        <f t="shared" si="1"/>
        <v>논현동</v>
      </c>
      <c r="I42" t="s">
        <v>7110</v>
      </c>
      <c r="J42" t="s">
        <v>7111</v>
      </c>
      <c r="K42" t="s">
        <v>8574</v>
      </c>
    </row>
    <row r="43" spans="1:11" x14ac:dyDescent="0.4">
      <c r="A43" t="s">
        <v>6852</v>
      </c>
      <c r="B43" t="s">
        <v>9</v>
      </c>
      <c r="C43" t="s">
        <v>10</v>
      </c>
      <c r="D43" t="s">
        <v>5787</v>
      </c>
      <c r="E43" t="s">
        <v>6853</v>
      </c>
      <c r="F43" t="str">
        <f>LEFT(E43,5)</f>
        <v>서울특별시</v>
      </c>
      <c r="G43" t="str">
        <f t="shared" si="0"/>
        <v xml:space="preserve">강남구 </v>
      </c>
      <c r="H43" t="str">
        <f t="shared" si="1"/>
        <v>논현동</v>
      </c>
      <c r="I43" t="s">
        <v>6854</v>
      </c>
      <c r="J43" t="s">
        <v>6855</v>
      </c>
      <c r="K43" t="s">
        <v>6856</v>
      </c>
    </row>
    <row r="44" spans="1:11" x14ac:dyDescent="0.4">
      <c r="A44" t="s">
        <v>6197</v>
      </c>
      <c r="B44" t="s">
        <v>9</v>
      </c>
      <c r="C44" t="s">
        <v>10</v>
      </c>
      <c r="D44" t="s">
        <v>6198</v>
      </c>
      <c r="E44" t="s">
        <v>6199</v>
      </c>
      <c r="F44" t="str">
        <f>LEFT(E44,5)</f>
        <v>서울특별시</v>
      </c>
      <c r="G44" t="str">
        <f t="shared" si="0"/>
        <v xml:space="preserve">강남구 </v>
      </c>
      <c r="H44" t="str">
        <f t="shared" si="1"/>
        <v>논현동</v>
      </c>
      <c r="I44" t="s">
        <v>6200</v>
      </c>
      <c r="J44" t="s">
        <v>6201</v>
      </c>
      <c r="K44" t="s">
        <v>978</v>
      </c>
    </row>
    <row r="45" spans="1:11" x14ac:dyDescent="0.4">
      <c r="A45" t="s">
        <v>5813</v>
      </c>
      <c r="B45" t="s">
        <v>9</v>
      </c>
      <c r="C45" t="s">
        <v>10</v>
      </c>
      <c r="D45" t="s">
        <v>4398</v>
      </c>
      <c r="E45" t="s">
        <v>5814</v>
      </c>
      <c r="F45" t="str">
        <f>LEFT(E45,5)</f>
        <v>서울특별시</v>
      </c>
      <c r="G45" t="str">
        <f t="shared" si="0"/>
        <v xml:space="preserve">강남구 </v>
      </c>
      <c r="H45" t="str">
        <f t="shared" si="1"/>
        <v>논현동</v>
      </c>
      <c r="I45" t="s">
        <v>11</v>
      </c>
      <c r="J45" t="s">
        <v>11</v>
      </c>
      <c r="K45" t="s">
        <v>5815</v>
      </c>
    </row>
    <row r="46" spans="1:11" x14ac:dyDescent="0.4">
      <c r="A46" t="s">
        <v>5786</v>
      </c>
      <c r="B46" t="s">
        <v>9</v>
      </c>
      <c r="C46" t="s">
        <v>10</v>
      </c>
      <c r="D46" t="s">
        <v>5787</v>
      </c>
      <c r="E46" t="s">
        <v>5788</v>
      </c>
      <c r="F46" t="str">
        <f>LEFT(E46,5)</f>
        <v>서울특별시</v>
      </c>
      <c r="G46" t="str">
        <f t="shared" si="0"/>
        <v xml:space="preserve">강남구 </v>
      </c>
      <c r="H46" t="str">
        <f t="shared" si="1"/>
        <v>논현동</v>
      </c>
      <c r="I46" t="s">
        <v>5789</v>
      </c>
      <c r="J46" t="s">
        <v>5790</v>
      </c>
      <c r="K46" t="s">
        <v>5791</v>
      </c>
    </row>
    <row r="47" spans="1:11" x14ac:dyDescent="0.4">
      <c r="A47" t="s">
        <v>7593</v>
      </c>
      <c r="B47" t="s">
        <v>9</v>
      </c>
      <c r="C47" t="s">
        <v>10</v>
      </c>
      <c r="D47" t="s">
        <v>7160</v>
      </c>
      <c r="E47" t="s">
        <v>7594</v>
      </c>
      <c r="F47" t="str">
        <f>LEFT(E47,5)</f>
        <v>서울특별시</v>
      </c>
      <c r="G47" t="str">
        <f t="shared" si="0"/>
        <v xml:space="preserve">강남구 </v>
      </c>
      <c r="H47" t="str">
        <f t="shared" si="1"/>
        <v>논현동</v>
      </c>
      <c r="I47" t="s">
        <v>7595</v>
      </c>
      <c r="J47" t="s">
        <v>7163</v>
      </c>
      <c r="K47" t="s">
        <v>7596</v>
      </c>
    </row>
    <row r="48" spans="1:11" x14ac:dyDescent="0.4">
      <c r="A48" t="s">
        <v>7159</v>
      </c>
      <c r="B48" t="s">
        <v>9</v>
      </c>
      <c r="C48" t="s">
        <v>10</v>
      </c>
      <c r="D48" t="s">
        <v>7160</v>
      </c>
      <c r="E48" t="s">
        <v>7161</v>
      </c>
      <c r="F48" t="str">
        <f>LEFT(E48,5)</f>
        <v>서울특별시</v>
      </c>
      <c r="G48" t="str">
        <f t="shared" si="0"/>
        <v xml:space="preserve">강남구 </v>
      </c>
      <c r="H48" t="str">
        <f t="shared" si="1"/>
        <v>논현동</v>
      </c>
      <c r="I48" t="s">
        <v>7162</v>
      </c>
      <c r="J48" t="s">
        <v>7163</v>
      </c>
      <c r="K48" t="s">
        <v>7164</v>
      </c>
    </row>
    <row r="49" spans="1:11" x14ac:dyDescent="0.4">
      <c r="A49" t="s">
        <v>5381</v>
      </c>
      <c r="B49" t="s">
        <v>9</v>
      </c>
      <c r="C49" t="s">
        <v>10</v>
      </c>
      <c r="D49" t="s">
        <v>4398</v>
      </c>
      <c r="E49" t="s">
        <v>5382</v>
      </c>
      <c r="F49" t="str">
        <f>LEFT(E49,5)</f>
        <v>서울특별시</v>
      </c>
      <c r="G49" t="str">
        <f t="shared" si="0"/>
        <v xml:space="preserve">강남구 </v>
      </c>
      <c r="H49" t="str">
        <f t="shared" si="1"/>
        <v>논현동</v>
      </c>
      <c r="I49" t="s">
        <v>5383</v>
      </c>
      <c r="J49" t="s">
        <v>4401</v>
      </c>
      <c r="K49" t="s">
        <v>5384</v>
      </c>
    </row>
    <row r="50" spans="1:11" x14ac:dyDescent="0.4">
      <c r="A50" t="s">
        <v>5039</v>
      </c>
      <c r="B50" t="s">
        <v>9</v>
      </c>
      <c r="C50" t="s">
        <v>10</v>
      </c>
      <c r="D50" t="s">
        <v>5040</v>
      </c>
      <c r="E50" t="s">
        <v>5041</v>
      </c>
      <c r="F50" t="str">
        <f>LEFT(E50,5)</f>
        <v>서울특별시</v>
      </c>
      <c r="G50" t="str">
        <f t="shared" si="0"/>
        <v xml:space="preserve">강남구 </v>
      </c>
      <c r="H50" t="str">
        <f t="shared" si="1"/>
        <v>논현동</v>
      </c>
      <c r="I50" t="s">
        <v>5042</v>
      </c>
      <c r="J50" t="s">
        <v>5043</v>
      </c>
      <c r="K50" t="s">
        <v>5044</v>
      </c>
    </row>
    <row r="51" spans="1:11" x14ac:dyDescent="0.4">
      <c r="A51" t="s">
        <v>8990</v>
      </c>
      <c r="B51" t="s">
        <v>9</v>
      </c>
      <c r="C51" t="s">
        <v>10</v>
      </c>
      <c r="D51" t="s">
        <v>5040</v>
      </c>
      <c r="E51" t="s">
        <v>8991</v>
      </c>
      <c r="F51" t="str">
        <f>LEFT(E51,5)</f>
        <v>서울특별시</v>
      </c>
      <c r="G51" t="str">
        <f t="shared" si="0"/>
        <v xml:space="preserve">강남구 </v>
      </c>
      <c r="H51" t="str">
        <f t="shared" si="1"/>
        <v>논현동</v>
      </c>
      <c r="I51" t="s">
        <v>8992</v>
      </c>
      <c r="J51" t="s">
        <v>8993</v>
      </c>
      <c r="K51" t="s">
        <v>8994</v>
      </c>
    </row>
    <row r="52" spans="1:11" x14ac:dyDescent="0.4">
      <c r="A52" t="s">
        <v>7664</v>
      </c>
      <c r="B52" t="s">
        <v>9</v>
      </c>
      <c r="C52" t="s">
        <v>10</v>
      </c>
      <c r="D52" t="s">
        <v>3293</v>
      </c>
      <c r="E52" t="s">
        <v>7665</v>
      </c>
      <c r="F52" t="str">
        <f>LEFT(E52,5)</f>
        <v>서울특별시</v>
      </c>
      <c r="G52" t="str">
        <f t="shared" si="0"/>
        <v xml:space="preserve">강남구 </v>
      </c>
      <c r="H52" t="str">
        <f t="shared" si="1"/>
        <v>논현동</v>
      </c>
      <c r="I52" t="s">
        <v>7666</v>
      </c>
      <c r="J52" t="s">
        <v>3296</v>
      </c>
      <c r="K52" t="s">
        <v>7667</v>
      </c>
    </row>
    <row r="53" spans="1:11" x14ac:dyDescent="0.4">
      <c r="A53" t="s">
        <v>3873</v>
      </c>
      <c r="B53" t="s">
        <v>9</v>
      </c>
      <c r="C53" t="s">
        <v>10</v>
      </c>
      <c r="D53" t="s">
        <v>3293</v>
      </c>
      <c r="E53" t="s">
        <v>3874</v>
      </c>
      <c r="F53" t="str">
        <f>LEFT(E53,5)</f>
        <v>서울특별시</v>
      </c>
      <c r="G53" t="str">
        <f t="shared" si="0"/>
        <v xml:space="preserve">강남구 </v>
      </c>
      <c r="H53" t="str">
        <f t="shared" si="1"/>
        <v>논현동</v>
      </c>
      <c r="I53" t="s">
        <v>3875</v>
      </c>
      <c r="J53" t="s">
        <v>3296</v>
      </c>
      <c r="K53" t="s">
        <v>3876</v>
      </c>
    </row>
    <row r="54" spans="1:11" x14ac:dyDescent="0.4">
      <c r="A54" t="s">
        <v>3292</v>
      </c>
      <c r="B54" t="s">
        <v>9</v>
      </c>
      <c r="C54" t="s">
        <v>10</v>
      </c>
      <c r="D54" t="s">
        <v>3293</v>
      </c>
      <c r="E54" t="s">
        <v>3294</v>
      </c>
      <c r="F54" t="str">
        <f>LEFT(E54,5)</f>
        <v>서울특별시</v>
      </c>
      <c r="G54" t="str">
        <f t="shared" si="0"/>
        <v xml:space="preserve">강남구 </v>
      </c>
      <c r="H54" t="str">
        <f t="shared" si="1"/>
        <v>논현동</v>
      </c>
      <c r="I54" t="s">
        <v>3295</v>
      </c>
      <c r="J54" t="s">
        <v>3296</v>
      </c>
      <c r="K54" t="s">
        <v>3136</v>
      </c>
    </row>
    <row r="55" spans="1:11" x14ac:dyDescent="0.4">
      <c r="A55" t="s">
        <v>7695</v>
      </c>
      <c r="B55" t="s">
        <v>9</v>
      </c>
      <c r="C55" t="s">
        <v>10</v>
      </c>
      <c r="D55" t="s">
        <v>3293</v>
      </c>
      <c r="E55" t="s">
        <v>7696</v>
      </c>
      <c r="F55" t="str">
        <f>LEFT(E55,5)</f>
        <v>서울특별시</v>
      </c>
      <c r="G55" t="str">
        <f t="shared" si="0"/>
        <v xml:space="preserve">강남구 </v>
      </c>
      <c r="H55" t="str">
        <f t="shared" si="1"/>
        <v>논현동</v>
      </c>
      <c r="I55" t="s">
        <v>7697</v>
      </c>
      <c r="J55" t="s">
        <v>3296</v>
      </c>
      <c r="K55" t="s">
        <v>7698</v>
      </c>
    </row>
    <row r="56" spans="1:11" x14ac:dyDescent="0.4">
      <c r="A56" t="s">
        <v>7071</v>
      </c>
      <c r="B56" t="s">
        <v>9</v>
      </c>
      <c r="C56" t="s">
        <v>10</v>
      </c>
      <c r="D56" t="s">
        <v>3293</v>
      </c>
      <c r="E56" t="s">
        <v>7072</v>
      </c>
      <c r="F56" t="str">
        <f>LEFT(E56,5)</f>
        <v>서울특별시</v>
      </c>
      <c r="G56" t="str">
        <f t="shared" si="0"/>
        <v xml:space="preserve">강남구 </v>
      </c>
      <c r="H56" t="str">
        <f t="shared" si="1"/>
        <v>논현동</v>
      </c>
      <c r="I56" t="s">
        <v>7073</v>
      </c>
      <c r="J56" t="s">
        <v>3296</v>
      </c>
      <c r="K56" t="s">
        <v>6259</v>
      </c>
    </row>
    <row r="57" spans="1:11" x14ac:dyDescent="0.4">
      <c r="A57" t="s">
        <v>7002</v>
      </c>
      <c r="B57" t="s">
        <v>9</v>
      </c>
      <c r="C57" t="s">
        <v>10</v>
      </c>
      <c r="D57" t="s">
        <v>3293</v>
      </c>
      <c r="E57" t="s">
        <v>7003</v>
      </c>
      <c r="F57" t="str">
        <f>LEFT(E57,5)</f>
        <v>서울특별시</v>
      </c>
      <c r="G57" t="str">
        <f t="shared" si="0"/>
        <v xml:space="preserve">강남구 </v>
      </c>
      <c r="H57" t="str">
        <f t="shared" si="1"/>
        <v>논현동</v>
      </c>
      <c r="I57" t="s">
        <v>7004</v>
      </c>
      <c r="J57" t="s">
        <v>3296</v>
      </c>
      <c r="K57" t="s">
        <v>7005</v>
      </c>
    </row>
    <row r="58" spans="1:11" x14ac:dyDescent="0.4">
      <c r="A58" t="s">
        <v>8184</v>
      </c>
      <c r="B58" t="s">
        <v>9</v>
      </c>
      <c r="C58" t="s">
        <v>10</v>
      </c>
      <c r="D58" t="s">
        <v>8185</v>
      </c>
      <c r="E58" t="s">
        <v>8186</v>
      </c>
      <c r="F58" t="str">
        <f>LEFT(E58,5)</f>
        <v>서울특별시</v>
      </c>
      <c r="G58" t="str">
        <f t="shared" si="0"/>
        <v xml:space="preserve">강남구 </v>
      </c>
      <c r="H58" t="str">
        <f t="shared" si="1"/>
        <v>대치동</v>
      </c>
      <c r="I58" t="s">
        <v>8187</v>
      </c>
      <c r="J58" t="s">
        <v>8188</v>
      </c>
      <c r="K58" t="s">
        <v>8189</v>
      </c>
    </row>
    <row r="59" spans="1:11" x14ac:dyDescent="0.4">
      <c r="A59" t="s">
        <v>8592</v>
      </c>
      <c r="B59" t="s">
        <v>9</v>
      </c>
      <c r="C59" t="s">
        <v>10</v>
      </c>
      <c r="D59" t="s">
        <v>8185</v>
      </c>
      <c r="E59" t="s">
        <v>8593</v>
      </c>
      <c r="F59" t="str">
        <f>LEFT(E59,5)</f>
        <v>서울특별시</v>
      </c>
      <c r="G59" t="str">
        <f t="shared" si="0"/>
        <v xml:space="preserve">강남구 </v>
      </c>
      <c r="H59" t="str">
        <f t="shared" si="1"/>
        <v>대치동</v>
      </c>
      <c r="I59" t="s">
        <v>8594</v>
      </c>
      <c r="J59" t="s">
        <v>8188</v>
      </c>
      <c r="K59" t="s">
        <v>8595</v>
      </c>
    </row>
    <row r="60" spans="1:11" x14ac:dyDescent="0.4">
      <c r="A60" t="s">
        <v>8353</v>
      </c>
      <c r="B60" t="s">
        <v>9</v>
      </c>
      <c r="C60" t="s">
        <v>10</v>
      </c>
      <c r="D60" t="s">
        <v>8354</v>
      </c>
      <c r="E60" t="s">
        <v>8355</v>
      </c>
      <c r="F60" t="str">
        <f>LEFT(E60,5)</f>
        <v>서울특별시</v>
      </c>
      <c r="G60" t="str">
        <f t="shared" si="0"/>
        <v xml:space="preserve">강남구 </v>
      </c>
      <c r="H60" t="str">
        <f t="shared" si="1"/>
        <v>대치동</v>
      </c>
      <c r="I60" t="s">
        <v>8356</v>
      </c>
      <c r="J60" t="s">
        <v>8357</v>
      </c>
      <c r="K60" t="s">
        <v>8358</v>
      </c>
    </row>
    <row r="61" spans="1:11" x14ac:dyDescent="0.4">
      <c r="A61" t="s">
        <v>7759</v>
      </c>
      <c r="B61" t="s">
        <v>9</v>
      </c>
      <c r="C61" t="s">
        <v>10</v>
      </c>
      <c r="D61" t="s">
        <v>7760</v>
      </c>
      <c r="E61" t="s">
        <v>7761</v>
      </c>
      <c r="F61" t="str">
        <f>LEFT(E61,5)</f>
        <v>서울특별시</v>
      </c>
      <c r="G61" t="str">
        <f t="shared" si="0"/>
        <v xml:space="preserve">강남구 </v>
      </c>
      <c r="H61" t="str">
        <f t="shared" si="1"/>
        <v>대치동</v>
      </c>
      <c r="I61" t="s">
        <v>7762</v>
      </c>
      <c r="J61" t="s">
        <v>7763</v>
      </c>
      <c r="K61" t="s">
        <v>7764</v>
      </c>
    </row>
    <row r="62" spans="1:11" x14ac:dyDescent="0.4">
      <c r="A62" t="s">
        <v>7419</v>
      </c>
      <c r="B62" t="s">
        <v>9</v>
      </c>
      <c r="C62" t="s">
        <v>10</v>
      </c>
      <c r="D62" t="s">
        <v>7420</v>
      </c>
      <c r="E62" t="s">
        <v>7421</v>
      </c>
      <c r="F62" t="str">
        <f>LEFT(E62,5)</f>
        <v>서울특별시</v>
      </c>
      <c r="G62" t="str">
        <f t="shared" si="0"/>
        <v xml:space="preserve">강남구 </v>
      </c>
      <c r="H62" t="str">
        <f t="shared" si="1"/>
        <v>대치동</v>
      </c>
      <c r="I62" t="s">
        <v>7422</v>
      </c>
      <c r="J62" t="s">
        <v>7423</v>
      </c>
      <c r="K62" t="s">
        <v>7424</v>
      </c>
    </row>
    <row r="63" spans="1:11" x14ac:dyDescent="0.4">
      <c r="A63" t="s">
        <v>2944</v>
      </c>
      <c r="B63" t="s">
        <v>9</v>
      </c>
      <c r="C63" t="s">
        <v>10</v>
      </c>
      <c r="D63" t="s">
        <v>896</v>
      </c>
      <c r="E63" t="s">
        <v>2945</v>
      </c>
      <c r="F63" t="str">
        <f>LEFT(E63,5)</f>
        <v>서울특별시</v>
      </c>
      <c r="G63" t="str">
        <f t="shared" si="0"/>
        <v xml:space="preserve">강남구 </v>
      </c>
      <c r="H63" t="str">
        <f t="shared" si="1"/>
        <v>대치동</v>
      </c>
      <c r="I63" t="s">
        <v>2946</v>
      </c>
      <c r="J63" t="s">
        <v>899</v>
      </c>
      <c r="K63" t="s">
        <v>2947</v>
      </c>
    </row>
    <row r="64" spans="1:11" x14ac:dyDescent="0.4">
      <c r="A64" t="s">
        <v>895</v>
      </c>
      <c r="B64" t="s">
        <v>9</v>
      </c>
      <c r="C64" t="s">
        <v>10</v>
      </c>
      <c r="D64" t="s">
        <v>896</v>
      </c>
      <c r="E64" t="s">
        <v>897</v>
      </c>
      <c r="F64" t="str">
        <f>LEFT(E64,5)</f>
        <v>서울특별시</v>
      </c>
      <c r="G64" t="str">
        <f t="shared" si="0"/>
        <v xml:space="preserve">강남구 </v>
      </c>
      <c r="H64" t="str">
        <f t="shared" si="1"/>
        <v>대치동</v>
      </c>
      <c r="I64" t="s">
        <v>898</v>
      </c>
      <c r="J64" t="s">
        <v>899</v>
      </c>
      <c r="K64" t="s">
        <v>900</v>
      </c>
    </row>
    <row r="65" spans="1:11" x14ac:dyDescent="0.4">
      <c r="A65" t="s">
        <v>5692</v>
      </c>
      <c r="B65" t="s">
        <v>9</v>
      </c>
      <c r="C65" t="s">
        <v>10</v>
      </c>
      <c r="D65" t="s">
        <v>2593</v>
      </c>
      <c r="E65" t="s">
        <v>5693</v>
      </c>
      <c r="F65" t="str">
        <f>LEFT(E65,5)</f>
        <v>서울특별시</v>
      </c>
      <c r="G65" t="str">
        <f t="shared" si="0"/>
        <v xml:space="preserve">강남구 </v>
      </c>
      <c r="H65" t="str">
        <f t="shared" si="1"/>
        <v>대치동</v>
      </c>
      <c r="I65" t="s">
        <v>5694</v>
      </c>
      <c r="J65" t="s">
        <v>2596</v>
      </c>
      <c r="K65" t="s">
        <v>5695</v>
      </c>
    </row>
    <row r="66" spans="1:11" x14ac:dyDescent="0.4">
      <c r="A66" t="s">
        <v>2592</v>
      </c>
      <c r="B66" t="s">
        <v>9</v>
      </c>
      <c r="C66" t="s">
        <v>10</v>
      </c>
      <c r="D66" t="s">
        <v>2593</v>
      </c>
      <c r="E66" t="s">
        <v>2594</v>
      </c>
      <c r="F66" t="str">
        <f>LEFT(E66,5)</f>
        <v>서울특별시</v>
      </c>
      <c r="G66" t="str">
        <f t="shared" si="0"/>
        <v xml:space="preserve">강남구 </v>
      </c>
      <c r="H66" t="str">
        <f t="shared" si="1"/>
        <v>대치동</v>
      </c>
      <c r="I66" t="s">
        <v>2595</v>
      </c>
      <c r="J66" t="s">
        <v>2596</v>
      </c>
      <c r="K66" t="s">
        <v>2597</v>
      </c>
    </row>
    <row r="67" spans="1:11" x14ac:dyDescent="0.4">
      <c r="A67" t="s">
        <v>4494</v>
      </c>
      <c r="B67" t="s">
        <v>9</v>
      </c>
      <c r="C67" t="s">
        <v>10</v>
      </c>
      <c r="D67" t="s">
        <v>4495</v>
      </c>
      <c r="E67" t="s">
        <v>4496</v>
      </c>
      <c r="F67" t="str">
        <f>LEFT(E67,5)</f>
        <v>서울특별시</v>
      </c>
      <c r="G67" t="str">
        <f t="shared" ref="G67:G130" si="2">MID(E67,7,4)</f>
        <v xml:space="preserve">강남구 </v>
      </c>
      <c r="H67" t="str">
        <f t="shared" ref="H67:H130" si="3">MID(SUBSTITUTE(E67," ",""),9,3)</f>
        <v>대치동</v>
      </c>
      <c r="I67" t="s">
        <v>4497</v>
      </c>
      <c r="J67" t="s">
        <v>4498</v>
      </c>
      <c r="K67" t="s">
        <v>4499</v>
      </c>
    </row>
    <row r="68" spans="1:11" x14ac:dyDescent="0.4">
      <c r="A68" t="s">
        <v>7061</v>
      </c>
      <c r="B68" t="s">
        <v>9</v>
      </c>
      <c r="C68" t="s">
        <v>10</v>
      </c>
      <c r="D68" t="s">
        <v>4908</v>
      </c>
      <c r="E68" t="s">
        <v>7062</v>
      </c>
      <c r="F68" t="str">
        <f>LEFT(E68,5)</f>
        <v>서울특별시</v>
      </c>
      <c r="G68" t="str">
        <f t="shared" si="2"/>
        <v xml:space="preserve">강남구 </v>
      </c>
      <c r="H68" t="str">
        <f t="shared" si="3"/>
        <v>도곡동</v>
      </c>
      <c r="I68" t="s">
        <v>7063</v>
      </c>
      <c r="J68" t="s">
        <v>4911</v>
      </c>
      <c r="K68" t="s">
        <v>7064</v>
      </c>
    </row>
    <row r="69" spans="1:11" x14ac:dyDescent="0.4">
      <c r="A69" t="s">
        <v>4907</v>
      </c>
      <c r="B69" t="s">
        <v>9</v>
      </c>
      <c r="C69" t="s">
        <v>10</v>
      </c>
      <c r="D69" t="s">
        <v>4908</v>
      </c>
      <c r="E69" t="s">
        <v>4909</v>
      </c>
      <c r="F69" t="str">
        <f>LEFT(E69,5)</f>
        <v>서울특별시</v>
      </c>
      <c r="G69" t="str">
        <f t="shared" si="2"/>
        <v xml:space="preserve">강남구 </v>
      </c>
      <c r="H69" t="str">
        <f t="shared" si="3"/>
        <v>도곡동</v>
      </c>
      <c r="I69" t="s">
        <v>4910</v>
      </c>
      <c r="J69" t="s">
        <v>4911</v>
      </c>
      <c r="K69" t="s">
        <v>4912</v>
      </c>
    </row>
    <row r="70" spans="1:11" x14ac:dyDescent="0.4">
      <c r="A70" t="s">
        <v>3137</v>
      </c>
      <c r="B70" t="s">
        <v>9</v>
      </c>
      <c r="C70" t="s">
        <v>10</v>
      </c>
      <c r="D70" t="s">
        <v>3138</v>
      </c>
      <c r="E70" t="s">
        <v>3139</v>
      </c>
      <c r="F70" t="str">
        <f>LEFT(E70,5)</f>
        <v>서울특별시</v>
      </c>
      <c r="G70" t="str">
        <f t="shared" si="2"/>
        <v xml:space="preserve">강남구 </v>
      </c>
      <c r="H70" t="str">
        <f t="shared" si="3"/>
        <v>도곡동</v>
      </c>
      <c r="I70" t="s">
        <v>3140</v>
      </c>
      <c r="J70" t="s">
        <v>3141</v>
      </c>
      <c r="K70" t="s">
        <v>3142</v>
      </c>
    </row>
    <row r="71" spans="1:11" x14ac:dyDescent="0.4">
      <c r="A71" t="s">
        <v>3597</v>
      </c>
      <c r="B71" t="s">
        <v>9</v>
      </c>
      <c r="C71" t="s">
        <v>10</v>
      </c>
      <c r="D71" t="s">
        <v>3138</v>
      </c>
      <c r="E71" t="s">
        <v>3598</v>
      </c>
      <c r="F71" t="str">
        <f>LEFT(E71,5)</f>
        <v>서울특별시</v>
      </c>
      <c r="G71" t="str">
        <f t="shared" si="2"/>
        <v xml:space="preserve">강남구 </v>
      </c>
      <c r="H71" t="str">
        <f t="shared" si="3"/>
        <v>도곡동</v>
      </c>
      <c r="I71" t="s">
        <v>3599</v>
      </c>
      <c r="J71" t="s">
        <v>3141</v>
      </c>
      <c r="K71" t="s">
        <v>3600</v>
      </c>
    </row>
    <row r="72" spans="1:11" x14ac:dyDescent="0.4">
      <c r="A72" t="s">
        <v>4800</v>
      </c>
      <c r="B72" t="s">
        <v>9</v>
      </c>
      <c r="C72" t="s">
        <v>10</v>
      </c>
      <c r="D72" t="s">
        <v>4801</v>
      </c>
      <c r="E72" t="s">
        <v>4802</v>
      </c>
      <c r="F72" t="str">
        <f>LEFT(E72,5)</f>
        <v>서울특별시</v>
      </c>
      <c r="G72" t="str">
        <f t="shared" si="2"/>
        <v xml:space="preserve">강남구 </v>
      </c>
      <c r="H72" t="str">
        <f t="shared" si="3"/>
        <v>도곡동</v>
      </c>
      <c r="I72" t="s">
        <v>4803</v>
      </c>
      <c r="J72" t="s">
        <v>4804</v>
      </c>
      <c r="K72" t="s">
        <v>4805</v>
      </c>
    </row>
    <row r="73" spans="1:11" x14ac:dyDescent="0.4">
      <c r="A73" t="s">
        <v>7271</v>
      </c>
      <c r="B73" t="s">
        <v>9</v>
      </c>
      <c r="C73" t="s">
        <v>10</v>
      </c>
      <c r="D73" t="s">
        <v>4801</v>
      </c>
      <c r="E73" t="s">
        <v>7272</v>
      </c>
      <c r="F73" t="str">
        <f>LEFT(E73,5)</f>
        <v>서울특별시</v>
      </c>
      <c r="G73" t="str">
        <f t="shared" si="2"/>
        <v xml:space="preserve">강남구 </v>
      </c>
      <c r="H73" t="str">
        <f t="shared" si="3"/>
        <v>도곡동</v>
      </c>
      <c r="I73" t="s">
        <v>7273</v>
      </c>
      <c r="J73" t="s">
        <v>4804</v>
      </c>
      <c r="K73" t="s">
        <v>7274</v>
      </c>
    </row>
    <row r="74" spans="1:11" x14ac:dyDescent="0.4">
      <c r="A74" t="s">
        <v>3267</v>
      </c>
      <c r="B74" t="s">
        <v>9</v>
      </c>
      <c r="C74" t="s">
        <v>10</v>
      </c>
      <c r="D74" t="s">
        <v>3268</v>
      </c>
      <c r="E74" t="s">
        <v>3269</v>
      </c>
      <c r="F74" t="str">
        <f>LEFT(E74,5)</f>
        <v>서울특별시</v>
      </c>
      <c r="G74" t="str">
        <f t="shared" si="2"/>
        <v xml:space="preserve">강남구 </v>
      </c>
      <c r="H74" t="str">
        <f t="shared" si="3"/>
        <v>삼성동</v>
      </c>
      <c r="I74" t="s">
        <v>3270</v>
      </c>
      <c r="J74" t="s">
        <v>3271</v>
      </c>
      <c r="K74" t="s">
        <v>3272</v>
      </c>
    </row>
    <row r="75" spans="1:11" x14ac:dyDescent="0.4">
      <c r="A75" t="s">
        <v>2859</v>
      </c>
      <c r="B75" t="s">
        <v>9</v>
      </c>
      <c r="C75" t="s">
        <v>10</v>
      </c>
      <c r="D75" t="s">
        <v>2860</v>
      </c>
      <c r="E75" t="s">
        <v>2861</v>
      </c>
      <c r="F75" t="str">
        <f>LEFT(E75,5)</f>
        <v>서울특별시</v>
      </c>
      <c r="G75" t="str">
        <f t="shared" si="2"/>
        <v xml:space="preserve">강남구 </v>
      </c>
      <c r="H75" t="str">
        <f t="shared" si="3"/>
        <v>삼성동</v>
      </c>
      <c r="I75" t="s">
        <v>2862</v>
      </c>
      <c r="J75" t="s">
        <v>2863</v>
      </c>
      <c r="K75" t="s">
        <v>2864</v>
      </c>
    </row>
    <row r="76" spans="1:11" x14ac:dyDescent="0.4">
      <c r="A76" t="s">
        <v>4732</v>
      </c>
      <c r="B76" t="s">
        <v>9</v>
      </c>
      <c r="C76" t="s">
        <v>10</v>
      </c>
      <c r="D76" t="s">
        <v>4733</v>
      </c>
      <c r="E76" t="s">
        <v>4734</v>
      </c>
      <c r="F76" t="str">
        <f>LEFT(E76,5)</f>
        <v>서울특별시</v>
      </c>
      <c r="G76" t="str">
        <f t="shared" si="2"/>
        <v xml:space="preserve">강남구 </v>
      </c>
      <c r="H76" t="str">
        <f t="shared" si="3"/>
        <v>삼성동</v>
      </c>
      <c r="I76" t="s">
        <v>4735</v>
      </c>
      <c r="J76" t="s">
        <v>4736</v>
      </c>
      <c r="K76" t="s">
        <v>4737</v>
      </c>
    </row>
    <row r="77" spans="1:11" x14ac:dyDescent="0.4">
      <c r="A77" t="s">
        <v>5067</v>
      </c>
      <c r="B77" t="s">
        <v>9</v>
      </c>
      <c r="C77" t="s">
        <v>10</v>
      </c>
      <c r="D77" t="s">
        <v>4733</v>
      </c>
      <c r="E77" t="s">
        <v>5068</v>
      </c>
      <c r="F77" t="str">
        <f>LEFT(E77,5)</f>
        <v>서울특별시</v>
      </c>
      <c r="G77" t="str">
        <f t="shared" si="2"/>
        <v xml:space="preserve">강남구 </v>
      </c>
      <c r="H77" t="str">
        <f t="shared" si="3"/>
        <v>삼성동</v>
      </c>
      <c r="I77" t="s">
        <v>5069</v>
      </c>
      <c r="J77" t="s">
        <v>4736</v>
      </c>
      <c r="K77" t="s">
        <v>5070</v>
      </c>
    </row>
    <row r="78" spans="1:11" x14ac:dyDescent="0.4">
      <c r="A78" t="s">
        <v>5807</v>
      </c>
      <c r="B78" t="s">
        <v>9</v>
      </c>
      <c r="C78" t="s">
        <v>10</v>
      </c>
      <c r="D78" t="s">
        <v>5808</v>
      </c>
      <c r="E78" t="s">
        <v>5809</v>
      </c>
      <c r="F78" t="str">
        <f>LEFT(E78,5)</f>
        <v>서울특별시</v>
      </c>
      <c r="G78" t="str">
        <f t="shared" si="2"/>
        <v xml:space="preserve">강남구 </v>
      </c>
      <c r="H78" t="str">
        <f t="shared" si="3"/>
        <v>삼성동</v>
      </c>
      <c r="I78" t="s">
        <v>5810</v>
      </c>
      <c r="J78" t="s">
        <v>5811</v>
      </c>
      <c r="K78" t="s">
        <v>5812</v>
      </c>
    </row>
    <row r="79" spans="1:11" x14ac:dyDescent="0.4">
      <c r="A79" t="s">
        <v>4174</v>
      </c>
      <c r="B79" t="s">
        <v>9</v>
      </c>
      <c r="C79" t="s">
        <v>10</v>
      </c>
      <c r="D79" t="s">
        <v>4175</v>
      </c>
      <c r="E79" t="s">
        <v>4176</v>
      </c>
      <c r="F79" t="str">
        <f>LEFT(E79,5)</f>
        <v>서울특별시</v>
      </c>
      <c r="G79" t="str">
        <f t="shared" si="2"/>
        <v xml:space="preserve">강남구 </v>
      </c>
      <c r="H79" t="str">
        <f t="shared" si="3"/>
        <v>삼성동</v>
      </c>
      <c r="I79" t="s">
        <v>4177</v>
      </c>
      <c r="J79" t="s">
        <v>4178</v>
      </c>
      <c r="K79" t="s">
        <v>2837</v>
      </c>
    </row>
    <row r="80" spans="1:11" x14ac:dyDescent="0.4">
      <c r="A80" t="s">
        <v>17</v>
      </c>
      <c r="B80" t="s">
        <v>9</v>
      </c>
      <c r="C80" t="s">
        <v>10</v>
      </c>
      <c r="D80" t="s">
        <v>18</v>
      </c>
      <c r="E80" t="s">
        <v>19</v>
      </c>
      <c r="F80" t="str">
        <f>LEFT(E80,5)</f>
        <v>서울특별시</v>
      </c>
      <c r="G80" t="str">
        <f t="shared" si="2"/>
        <v xml:space="preserve">강남구 </v>
      </c>
      <c r="H80" t="str">
        <f t="shared" si="3"/>
        <v>삼성동</v>
      </c>
      <c r="I80" t="s">
        <v>20</v>
      </c>
      <c r="J80" t="s">
        <v>21</v>
      </c>
      <c r="K80" t="s">
        <v>22</v>
      </c>
    </row>
    <row r="81" spans="1:11" x14ac:dyDescent="0.4">
      <c r="A81" t="s">
        <v>2033</v>
      </c>
      <c r="B81" t="s">
        <v>9</v>
      </c>
      <c r="C81" t="s">
        <v>10</v>
      </c>
      <c r="D81" t="s">
        <v>18</v>
      </c>
      <c r="E81" t="s">
        <v>2034</v>
      </c>
      <c r="F81" t="str">
        <f>LEFT(E81,5)</f>
        <v>서울특별시</v>
      </c>
      <c r="G81" t="str">
        <f t="shared" si="2"/>
        <v xml:space="preserve">강남구 </v>
      </c>
      <c r="H81" t="str">
        <f t="shared" si="3"/>
        <v>삼성동</v>
      </c>
      <c r="I81" t="s">
        <v>2035</v>
      </c>
      <c r="J81" t="s">
        <v>21</v>
      </c>
      <c r="K81" t="s">
        <v>2036</v>
      </c>
    </row>
    <row r="82" spans="1:11" x14ac:dyDescent="0.4">
      <c r="A82" t="s">
        <v>5484</v>
      </c>
      <c r="B82" t="s">
        <v>9</v>
      </c>
      <c r="C82" t="s">
        <v>10</v>
      </c>
      <c r="D82" t="s">
        <v>18</v>
      </c>
      <c r="E82" t="s">
        <v>5485</v>
      </c>
      <c r="F82" t="str">
        <f>LEFT(E82,5)</f>
        <v>서울특별시</v>
      </c>
      <c r="G82" t="str">
        <f t="shared" si="2"/>
        <v xml:space="preserve">강남구 </v>
      </c>
      <c r="H82" t="str">
        <f t="shared" si="3"/>
        <v>삼성동</v>
      </c>
      <c r="I82" t="s">
        <v>5486</v>
      </c>
      <c r="J82" t="s">
        <v>5487</v>
      </c>
      <c r="K82" t="s">
        <v>2681</v>
      </c>
    </row>
    <row r="83" spans="1:11" x14ac:dyDescent="0.4">
      <c r="A83" t="s">
        <v>6784</v>
      </c>
      <c r="B83" t="s">
        <v>9</v>
      </c>
      <c r="C83" t="s">
        <v>10</v>
      </c>
      <c r="D83" t="s">
        <v>6525</v>
      </c>
      <c r="E83" t="s">
        <v>6785</v>
      </c>
      <c r="F83" t="str">
        <f>LEFT(E83,5)</f>
        <v>서울특별시</v>
      </c>
      <c r="G83" t="str">
        <f t="shared" si="2"/>
        <v xml:space="preserve">강남구 </v>
      </c>
      <c r="H83" t="str">
        <f t="shared" si="3"/>
        <v>삼성동</v>
      </c>
      <c r="I83" t="s">
        <v>6786</v>
      </c>
      <c r="J83" t="s">
        <v>6787</v>
      </c>
      <c r="K83" t="s">
        <v>6788</v>
      </c>
    </row>
    <row r="84" spans="1:11" x14ac:dyDescent="0.4">
      <c r="A84" t="s">
        <v>6524</v>
      </c>
      <c r="B84" t="s">
        <v>9</v>
      </c>
      <c r="C84" t="s">
        <v>10</v>
      </c>
      <c r="D84" t="s">
        <v>6525</v>
      </c>
      <c r="E84" t="s">
        <v>6526</v>
      </c>
      <c r="F84" t="str">
        <f>LEFT(E84,5)</f>
        <v>서울특별시</v>
      </c>
      <c r="G84" t="str">
        <f t="shared" si="2"/>
        <v xml:space="preserve">강남구 </v>
      </c>
      <c r="H84" t="str">
        <f t="shared" si="3"/>
        <v>삼성동</v>
      </c>
      <c r="I84" t="s">
        <v>6527</v>
      </c>
      <c r="J84" t="s">
        <v>6528</v>
      </c>
      <c r="K84" t="s">
        <v>6529</v>
      </c>
    </row>
    <row r="85" spans="1:11" x14ac:dyDescent="0.4">
      <c r="A85" t="s">
        <v>7015</v>
      </c>
      <c r="B85" t="s">
        <v>9</v>
      </c>
      <c r="C85" t="s">
        <v>10</v>
      </c>
      <c r="D85" t="s">
        <v>7016</v>
      </c>
      <c r="E85" t="s">
        <v>7017</v>
      </c>
      <c r="F85" t="str">
        <f>LEFT(E85,5)</f>
        <v>서울특별시</v>
      </c>
      <c r="G85" t="str">
        <f t="shared" si="2"/>
        <v xml:space="preserve">강남구 </v>
      </c>
      <c r="H85" t="str">
        <f t="shared" si="3"/>
        <v>삼성동</v>
      </c>
      <c r="I85" t="s">
        <v>7018</v>
      </c>
      <c r="J85" t="s">
        <v>7019</v>
      </c>
      <c r="K85" t="s">
        <v>7020</v>
      </c>
    </row>
    <row r="86" spans="1:11" x14ac:dyDescent="0.4">
      <c r="A86" t="s">
        <v>6290</v>
      </c>
      <c r="B86" t="s">
        <v>9</v>
      </c>
      <c r="C86" t="s">
        <v>10</v>
      </c>
      <c r="D86" t="s">
        <v>5718</v>
      </c>
      <c r="E86" t="s">
        <v>6291</v>
      </c>
      <c r="F86" t="str">
        <f>LEFT(E86,5)</f>
        <v>서울특별시</v>
      </c>
      <c r="G86" t="str">
        <f t="shared" si="2"/>
        <v xml:space="preserve">강남구 </v>
      </c>
      <c r="H86" t="str">
        <f t="shared" si="3"/>
        <v>신사동</v>
      </c>
      <c r="I86" t="s">
        <v>6292</v>
      </c>
      <c r="J86" t="s">
        <v>5721</v>
      </c>
      <c r="K86" t="s">
        <v>6293</v>
      </c>
    </row>
    <row r="87" spans="1:11" x14ac:dyDescent="0.4">
      <c r="A87" t="s">
        <v>8194</v>
      </c>
      <c r="B87" t="s">
        <v>9</v>
      </c>
      <c r="C87" t="s">
        <v>10</v>
      </c>
      <c r="D87" t="s">
        <v>5718</v>
      </c>
      <c r="E87" t="s">
        <v>8195</v>
      </c>
      <c r="F87" t="str">
        <f>LEFT(E87,5)</f>
        <v>서울특별시</v>
      </c>
      <c r="G87" t="str">
        <f t="shared" si="2"/>
        <v xml:space="preserve">강남구 </v>
      </c>
      <c r="H87" t="str">
        <f t="shared" si="3"/>
        <v>신사동</v>
      </c>
      <c r="I87" t="s">
        <v>8196</v>
      </c>
      <c r="J87" t="s">
        <v>5721</v>
      </c>
      <c r="K87" t="s">
        <v>6075</v>
      </c>
    </row>
    <row r="88" spans="1:11" x14ac:dyDescent="0.4">
      <c r="A88" t="s">
        <v>8796</v>
      </c>
      <c r="B88" t="s">
        <v>9</v>
      </c>
      <c r="C88" t="s">
        <v>10</v>
      </c>
      <c r="D88" t="s">
        <v>5718</v>
      </c>
      <c r="E88" t="s">
        <v>8797</v>
      </c>
      <c r="F88" t="str">
        <f>LEFT(E88,5)</f>
        <v>서울특별시</v>
      </c>
      <c r="G88" t="str">
        <f t="shared" si="2"/>
        <v xml:space="preserve">강남구 </v>
      </c>
      <c r="H88" t="str">
        <f t="shared" si="3"/>
        <v>신사동</v>
      </c>
      <c r="I88" t="s">
        <v>8798</v>
      </c>
      <c r="J88" t="s">
        <v>5721</v>
      </c>
      <c r="K88" t="s">
        <v>2309</v>
      </c>
    </row>
    <row r="89" spans="1:11" x14ac:dyDescent="0.4">
      <c r="A89" t="s">
        <v>5717</v>
      </c>
      <c r="B89" t="s">
        <v>9</v>
      </c>
      <c r="C89" t="s">
        <v>10</v>
      </c>
      <c r="D89" t="s">
        <v>5718</v>
      </c>
      <c r="E89" t="s">
        <v>5719</v>
      </c>
      <c r="F89" t="str">
        <f>LEFT(E89,5)</f>
        <v>서울특별시</v>
      </c>
      <c r="G89" t="str">
        <f t="shared" si="2"/>
        <v xml:space="preserve">강남구 </v>
      </c>
      <c r="H89" t="str">
        <f t="shared" si="3"/>
        <v>신사동</v>
      </c>
      <c r="I89" t="s">
        <v>5720</v>
      </c>
      <c r="J89" t="s">
        <v>5721</v>
      </c>
      <c r="K89" t="s">
        <v>5722</v>
      </c>
    </row>
    <row r="90" spans="1:11" x14ac:dyDescent="0.4">
      <c r="A90" t="s">
        <v>6148</v>
      </c>
      <c r="B90" t="s">
        <v>9</v>
      </c>
      <c r="C90" t="s">
        <v>10</v>
      </c>
      <c r="D90" t="s">
        <v>6149</v>
      </c>
      <c r="E90" t="s">
        <v>6150</v>
      </c>
      <c r="F90" t="str">
        <f>LEFT(E90,5)</f>
        <v>서울특별시</v>
      </c>
      <c r="G90" t="str">
        <f t="shared" si="2"/>
        <v xml:space="preserve">강남구 </v>
      </c>
      <c r="H90" t="str">
        <f t="shared" si="3"/>
        <v>신사동</v>
      </c>
      <c r="I90" t="s">
        <v>6151</v>
      </c>
      <c r="J90" t="s">
        <v>5721</v>
      </c>
      <c r="K90" t="s">
        <v>6152</v>
      </c>
    </row>
    <row r="91" spans="1:11" x14ac:dyDescent="0.4">
      <c r="A91" t="s">
        <v>2920</v>
      </c>
      <c r="B91" t="s">
        <v>9</v>
      </c>
      <c r="C91" t="s">
        <v>10</v>
      </c>
      <c r="D91" t="s">
        <v>2921</v>
      </c>
      <c r="E91" t="s">
        <v>2922</v>
      </c>
      <c r="F91" t="str">
        <f>LEFT(E91,5)</f>
        <v>서울특별시</v>
      </c>
      <c r="G91" t="str">
        <f t="shared" si="2"/>
        <v xml:space="preserve">강남구 </v>
      </c>
      <c r="H91" t="str">
        <f t="shared" si="3"/>
        <v>신사동</v>
      </c>
      <c r="I91" t="s">
        <v>2923</v>
      </c>
      <c r="J91" t="s">
        <v>2924</v>
      </c>
      <c r="K91" t="s">
        <v>2925</v>
      </c>
    </row>
    <row r="92" spans="1:11" x14ac:dyDescent="0.4">
      <c r="A92" t="s">
        <v>6902</v>
      </c>
      <c r="B92" t="s">
        <v>9</v>
      </c>
      <c r="C92" t="s">
        <v>10</v>
      </c>
      <c r="D92" t="s">
        <v>2921</v>
      </c>
      <c r="E92" t="s">
        <v>6903</v>
      </c>
      <c r="F92" t="str">
        <f>LEFT(E92,5)</f>
        <v>서울특별시</v>
      </c>
      <c r="G92" t="str">
        <f t="shared" si="2"/>
        <v xml:space="preserve">강남구 </v>
      </c>
      <c r="H92" t="str">
        <f t="shared" si="3"/>
        <v>신사동</v>
      </c>
      <c r="I92" t="s">
        <v>6904</v>
      </c>
      <c r="J92" t="s">
        <v>2924</v>
      </c>
      <c r="K92" t="s">
        <v>6905</v>
      </c>
    </row>
    <row r="93" spans="1:11" x14ac:dyDescent="0.4">
      <c r="A93" t="s">
        <v>4368</v>
      </c>
      <c r="B93" t="s">
        <v>9</v>
      </c>
      <c r="C93" t="s">
        <v>10</v>
      </c>
      <c r="D93" t="s">
        <v>4369</v>
      </c>
      <c r="E93" t="s">
        <v>4370</v>
      </c>
      <c r="F93" t="str">
        <f>LEFT(E93,5)</f>
        <v>서울특별시</v>
      </c>
      <c r="G93" t="str">
        <f t="shared" si="2"/>
        <v xml:space="preserve">강남구 </v>
      </c>
      <c r="H93" t="str">
        <f t="shared" si="3"/>
        <v>신사동</v>
      </c>
      <c r="I93" t="s">
        <v>4371</v>
      </c>
      <c r="J93" t="s">
        <v>4372</v>
      </c>
      <c r="K93" t="s">
        <v>4373</v>
      </c>
    </row>
    <row r="94" spans="1:11" x14ac:dyDescent="0.4">
      <c r="A94" t="s">
        <v>7021</v>
      </c>
      <c r="B94" t="s">
        <v>9</v>
      </c>
      <c r="C94" t="s">
        <v>10</v>
      </c>
      <c r="D94" t="s">
        <v>7022</v>
      </c>
      <c r="E94" t="s">
        <v>7023</v>
      </c>
      <c r="F94" t="str">
        <f>LEFT(E94,5)</f>
        <v>서울특별시</v>
      </c>
      <c r="G94" t="str">
        <f t="shared" si="2"/>
        <v xml:space="preserve">강남구 </v>
      </c>
      <c r="H94" t="str">
        <f t="shared" si="3"/>
        <v>신사동</v>
      </c>
      <c r="I94" t="s">
        <v>7024</v>
      </c>
      <c r="J94" t="s">
        <v>7025</v>
      </c>
      <c r="K94" t="s">
        <v>7026</v>
      </c>
    </row>
    <row r="95" spans="1:11" x14ac:dyDescent="0.4">
      <c r="A95" t="s">
        <v>8283</v>
      </c>
      <c r="B95" t="s">
        <v>9</v>
      </c>
      <c r="C95" t="s">
        <v>10</v>
      </c>
      <c r="D95" t="s">
        <v>8284</v>
      </c>
      <c r="E95" t="s">
        <v>8285</v>
      </c>
      <c r="F95" t="str">
        <f>LEFT(E95,5)</f>
        <v>서울특별시</v>
      </c>
      <c r="G95" t="str">
        <f t="shared" si="2"/>
        <v xml:space="preserve">강남구 </v>
      </c>
      <c r="H95" t="str">
        <f t="shared" si="3"/>
        <v>신사동</v>
      </c>
      <c r="I95" t="s">
        <v>8286</v>
      </c>
      <c r="J95" t="s">
        <v>8287</v>
      </c>
      <c r="K95" t="s">
        <v>5889</v>
      </c>
    </row>
    <row r="96" spans="1:11" x14ac:dyDescent="0.4">
      <c r="A96" t="s">
        <v>9004</v>
      </c>
      <c r="B96" t="s">
        <v>9</v>
      </c>
      <c r="C96" t="s">
        <v>10</v>
      </c>
      <c r="D96" t="s">
        <v>8284</v>
      </c>
      <c r="E96" t="s">
        <v>9005</v>
      </c>
      <c r="F96" t="str">
        <f>LEFT(E96,5)</f>
        <v>서울특별시</v>
      </c>
      <c r="G96" t="str">
        <f t="shared" si="2"/>
        <v xml:space="preserve">강남구 </v>
      </c>
      <c r="H96" t="str">
        <f t="shared" si="3"/>
        <v>신사동</v>
      </c>
      <c r="I96" t="s">
        <v>9006</v>
      </c>
      <c r="J96" t="s">
        <v>7025</v>
      </c>
      <c r="K96" t="s">
        <v>9007</v>
      </c>
    </row>
    <row r="97" spans="1:11" x14ac:dyDescent="0.4">
      <c r="A97" t="s">
        <v>534</v>
      </c>
      <c r="B97" t="s">
        <v>9</v>
      </c>
      <c r="C97" t="s">
        <v>10</v>
      </c>
      <c r="D97" t="s">
        <v>535</v>
      </c>
      <c r="E97" t="s">
        <v>536</v>
      </c>
      <c r="F97" t="str">
        <f>LEFT(E97,5)</f>
        <v>서울특별시</v>
      </c>
      <c r="G97" t="str">
        <f t="shared" si="2"/>
        <v xml:space="preserve">강남구 </v>
      </c>
      <c r="H97" t="str">
        <f t="shared" si="3"/>
        <v>신사동</v>
      </c>
      <c r="I97" t="s">
        <v>537</v>
      </c>
      <c r="J97" t="s">
        <v>538</v>
      </c>
      <c r="K97" t="s">
        <v>539</v>
      </c>
    </row>
    <row r="98" spans="1:11" x14ac:dyDescent="0.4">
      <c r="A98" t="s">
        <v>7010</v>
      </c>
      <c r="B98" t="s">
        <v>9</v>
      </c>
      <c r="C98" t="s">
        <v>10</v>
      </c>
      <c r="D98" t="s">
        <v>535</v>
      </c>
      <c r="E98" t="s">
        <v>7011</v>
      </c>
      <c r="F98" t="str">
        <f>LEFT(E98,5)</f>
        <v>서울특별시</v>
      </c>
      <c r="G98" t="str">
        <f t="shared" si="2"/>
        <v xml:space="preserve">강남구 </v>
      </c>
      <c r="H98" t="str">
        <f t="shared" si="3"/>
        <v>신사동</v>
      </c>
      <c r="I98" t="s">
        <v>7012</v>
      </c>
      <c r="J98" t="s">
        <v>7013</v>
      </c>
      <c r="K98" t="s">
        <v>7014</v>
      </c>
    </row>
    <row r="99" spans="1:11" x14ac:dyDescent="0.4">
      <c r="A99" t="s">
        <v>4659</v>
      </c>
      <c r="B99" t="s">
        <v>9</v>
      </c>
      <c r="C99" t="s">
        <v>10</v>
      </c>
      <c r="D99" t="s">
        <v>4660</v>
      </c>
      <c r="E99" t="s">
        <v>4661</v>
      </c>
      <c r="F99" t="str">
        <f>LEFT(E99,5)</f>
        <v>서울특별시</v>
      </c>
      <c r="G99" t="str">
        <f t="shared" si="2"/>
        <v xml:space="preserve">강남구 </v>
      </c>
      <c r="H99" t="str">
        <f t="shared" si="3"/>
        <v>신사동</v>
      </c>
      <c r="I99" t="s">
        <v>4662</v>
      </c>
      <c r="J99" t="s">
        <v>4663</v>
      </c>
      <c r="K99" t="s">
        <v>4664</v>
      </c>
    </row>
    <row r="100" spans="1:11" x14ac:dyDescent="0.4">
      <c r="A100" t="s">
        <v>7065</v>
      </c>
      <c r="B100" t="s">
        <v>9</v>
      </c>
      <c r="C100" t="s">
        <v>10</v>
      </c>
      <c r="D100" t="s">
        <v>7066</v>
      </c>
      <c r="E100" t="s">
        <v>7067</v>
      </c>
      <c r="F100" t="str">
        <f>LEFT(E100,5)</f>
        <v>서울특별시</v>
      </c>
      <c r="G100" t="str">
        <f t="shared" si="2"/>
        <v xml:space="preserve">강남구 </v>
      </c>
      <c r="H100" t="str">
        <f t="shared" si="3"/>
        <v>신사동</v>
      </c>
      <c r="I100" t="s">
        <v>7068</v>
      </c>
      <c r="J100" t="s">
        <v>7069</v>
      </c>
      <c r="K100" t="s">
        <v>7070</v>
      </c>
    </row>
    <row r="101" spans="1:11" x14ac:dyDescent="0.4">
      <c r="A101" t="s">
        <v>1047</v>
      </c>
      <c r="B101" t="s">
        <v>9</v>
      </c>
      <c r="C101" t="s">
        <v>10</v>
      </c>
      <c r="D101" t="s">
        <v>1048</v>
      </c>
      <c r="E101" t="s">
        <v>1049</v>
      </c>
      <c r="F101" t="str">
        <f>LEFT(E101,5)</f>
        <v>서울특별시</v>
      </c>
      <c r="G101" t="str">
        <f t="shared" si="2"/>
        <v xml:space="preserve">강남구 </v>
      </c>
      <c r="H101" t="str">
        <f t="shared" si="3"/>
        <v>신사동</v>
      </c>
      <c r="I101" t="s">
        <v>1050</v>
      </c>
      <c r="J101" t="s">
        <v>1051</v>
      </c>
      <c r="K101" t="s">
        <v>1052</v>
      </c>
    </row>
    <row r="102" spans="1:11" x14ac:dyDescent="0.4">
      <c r="A102" t="s">
        <v>8501</v>
      </c>
      <c r="B102" t="s">
        <v>9</v>
      </c>
      <c r="C102" t="s">
        <v>10</v>
      </c>
      <c r="D102" t="s">
        <v>1048</v>
      </c>
      <c r="E102" t="s">
        <v>8502</v>
      </c>
      <c r="F102" t="str">
        <f>LEFT(E102,5)</f>
        <v>서울특별시</v>
      </c>
      <c r="G102" t="str">
        <f t="shared" si="2"/>
        <v xml:space="preserve">강남구 </v>
      </c>
      <c r="H102" t="str">
        <f t="shared" si="3"/>
        <v>신사동</v>
      </c>
      <c r="I102" t="s">
        <v>8503</v>
      </c>
      <c r="J102" t="s">
        <v>8504</v>
      </c>
      <c r="K102" t="s">
        <v>8505</v>
      </c>
    </row>
    <row r="103" spans="1:11" x14ac:dyDescent="0.4">
      <c r="A103" t="s">
        <v>6252</v>
      </c>
      <c r="B103" t="s">
        <v>9</v>
      </c>
      <c r="C103" t="s">
        <v>10</v>
      </c>
      <c r="D103" t="s">
        <v>1048</v>
      </c>
      <c r="E103" t="s">
        <v>6253</v>
      </c>
      <c r="F103" t="str">
        <f>LEFT(E103,5)</f>
        <v>서울특별시</v>
      </c>
      <c r="G103" t="str">
        <f t="shared" si="2"/>
        <v xml:space="preserve">강남구 </v>
      </c>
      <c r="H103" t="str">
        <f t="shared" si="3"/>
        <v>신사동</v>
      </c>
      <c r="I103" t="s">
        <v>6254</v>
      </c>
      <c r="J103" t="s">
        <v>6255</v>
      </c>
      <c r="K103" t="s">
        <v>2947</v>
      </c>
    </row>
    <row r="104" spans="1:11" x14ac:dyDescent="0.4">
      <c r="A104" t="s">
        <v>4455</v>
      </c>
      <c r="B104" t="s">
        <v>9</v>
      </c>
      <c r="C104" t="s">
        <v>10</v>
      </c>
      <c r="D104" t="s">
        <v>4456</v>
      </c>
      <c r="E104" t="s">
        <v>4457</v>
      </c>
      <c r="F104" t="str">
        <f>LEFT(E104,5)</f>
        <v>서울특별시</v>
      </c>
      <c r="G104" t="str">
        <f t="shared" si="2"/>
        <v xml:space="preserve">강남구 </v>
      </c>
      <c r="H104" t="str">
        <f t="shared" si="3"/>
        <v>역삼동</v>
      </c>
      <c r="I104" t="s">
        <v>4458</v>
      </c>
      <c r="J104" t="s">
        <v>4459</v>
      </c>
      <c r="K104" t="s">
        <v>665</v>
      </c>
    </row>
    <row r="105" spans="1:11" x14ac:dyDescent="0.4">
      <c r="A105" t="s">
        <v>6114</v>
      </c>
      <c r="B105" t="s">
        <v>9</v>
      </c>
      <c r="C105" t="s">
        <v>10</v>
      </c>
      <c r="D105" t="s">
        <v>4456</v>
      </c>
      <c r="E105" t="s">
        <v>6115</v>
      </c>
      <c r="F105" t="str">
        <f>LEFT(E105,5)</f>
        <v>서울특별시</v>
      </c>
      <c r="G105" t="str">
        <f t="shared" si="2"/>
        <v xml:space="preserve">강남구 </v>
      </c>
      <c r="H105" t="str">
        <f t="shared" si="3"/>
        <v>역삼동</v>
      </c>
      <c r="I105" t="s">
        <v>6116</v>
      </c>
      <c r="J105" t="s">
        <v>6117</v>
      </c>
      <c r="K105" t="s">
        <v>6118</v>
      </c>
    </row>
    <row r="106" spans="1:11" x14ac:dyDescent="0.4">
      <c r="A106" t="s">
        <v>8646</v>
      </c>
      <c r="B106" t="s">
        <v>9</v>
      </c>
      <c r="C106" t="s">
        <v>10</v>
      </c>
      <c r="D106" t="s">
        <v>4456</v>
      </c>
      <c r="E106" t="s">
        <v>8647</v>
      </c>
      <c r="F106" t="str">
        <f>LEFT(E106,5)</f>
        <v>서울특별시</v>
      </c>
      <c r="G106" t="str">
        <f t="shared" si="2"/>
        <v xml:space="preserve">강남구 </v>
      </c>
      <c r="H106" t="str">
        <f t="shared" si="3"/>
        <v>역삼동</v>
      </c>
      <c r="I106" t="s">
        <v>8648</v>
      </c>
      <c r="J106" t="s">
        <v>6034</v>
      </c>
      <c r="K106" t="s">
        <v>8649</v>
      </c>
    </row>
    <row r="107" spans="1:11" x14ac:dyDescent="0.4">
      <c r="A107" t="s">
        <v>6031</v>
      </c>
      <c r="B107" t="s">
        <v>9</v>
      </c>
      <c r="C107" t="s">
        <v>10</v>
      </c>
      <c r="D107" t="s">
        <v>4456</v>
      </c>
      <c r="E107" t="s">
        <v>6032</v>
      </c>
      <c r="F107" t="str">
        <f>LEFT(E107,5)</f>
        <v>서울특별시</v>
      </c>
      <c r="G107" t="str">
        <f t="shared" si="2"/>
        <v xml:space="preserve">강남구 </v>
      </c>
      <c r="H107" t="str">
        <f t="shared" si="3"/>
        <v>역삼동</v>
      </c>
      <c r="I107" t="s">
        <v>6033</v>
      </c>
      <c r="J107" t="s">
        <v>6034</v>
      </c>
      <c r="K107" t="s">
        <v>6035</v>
      </c>
    </row>
    <row r="108" spans="1:11" x14ac:dyDescent="0.4">
      <c r="A108" t="s">
        <v>7756</v>
      </c>
      <c r="B108" t="s">
        <v>9</v>
      </c>
      <c r="C108" t="s">
        <v>10</v>
      </c>
      <c r="D108" t="s">
        <v>4456</v>
      </c>
      <c r="E108" t="s">
        <v>7757</v>
      </c>
      <c r="F108" t="str">
        <f>LEFT(E108,5)</f>
        <v>서울특별시</v>
      </c>
      <c r="G108" t="str">
        <f t="shared" si="2"/>
        <v xml:space="preserve">강남구 </v>
      </c>
      <c r="H108" t="str">
        <f t="shared" si="3"/>
        <v>역삼동</v>
      </c>
      <c r="I108" t="s">
        <v>7758</v>
      </c>
      <c r="J108" t="s">
        <v>6986</v>
      </c>
      <c r="K108" t="s">
        <v>937</v>
      </c>
    </row>
    <row r="109" spans="1:11" x14ac:dyDescent="0.4">
      <c r="A109" t="s">
        <v>6982</v>
      </c>
      <c r="B109" t="s">
        <v>9</v>
      </c>
      <c r="C109" t="s">
        <v>10</v>
      </c>
      <c r="D109" t="s">
        <v>6983</v>
      </c>
      <c r="E109" t="s">
        <v>6984</v>
      </c>
      <c r="F109" t="str">
        <f>LEFT(E109,5)</f>
        <v>서울특별시</v>
      </c>
      <c r="G109" t="str">
        <f t="shared" si="2"/>
        <v xml:space="preserve">강남구 </v>
      </c>
      <c r="H109" t="str">
        <f t="shared" si="3"/>
        <v>역삼동</v>
      </c>
      <c r="I109" t="s">
        <v>6985</v>
      </c>
      <c r="J109" t="s">
        <v>6986</v>
      </c>
      <c r="K109" t="s">
        <v>6987</v>
      </c>
    </row>
    <row r="110" spans="1:11" x14ac:dyDescent="0.4">
      <c r="A110" t="s">
        <v>5935</v>
      </c>
      <c r="B110" t="s">
        <v>9</v>
      </c>
      <c r="C110" t="s">
        <v>10</v>
      </c>
      <c r="D110" t="s">
        <v>3087</v>
      </c>
      <c r="E110" t="s">
        <v>5936</v>
      </c>
      <c r="F110" t="str">
        <f>LEFT(E110,5)</f>
        <v>서울특별시</v>
      </c>
      <c r="G110" t="str">
        <f t="shared" si="2"/>
        <v xml:space="preserve">강남구 </v>
      </c>
      <c r="H110" t="str">
        <f t="shared" si="3"/>
        <v>역삼동</v>
      </c>
      <c r="I110" t="s">
        <v>5937</v>
      </c>
      <c r="J110" t="s">
        <v>3090</v>
      </c>
      <c r="K110" t="s">
        <v>5938</v>
      </c>
    </row>
    <row r="111" spans="1:11" x14ac:dyDescent="0.4">
      <c r="A111" t="s">
        <v>3086</v>
      </c>
      <c r="B111" t="s">
        <v>9</v>
      </c>
      <c r="C111" t="s">
        <v>10</v>
      </c>
      <c r="D111" t="s">
        <v>3087</v>
      </c>
      <c r="E111" t="s">
        <v>3088</v>
      </c>
      <c r="F111" t="str">
        <f>LEFT(E111,5)</f>
        <v>서울특별시</v>
      </c>
      <c r="G111" t="str">
        <f t="shared" si="2"/>
        <v xml:space="preserve">강남구 </v>
      </c>
      <c r="H111" t="str">
        <f t="shared" si="3"/>
        <v>역삼동</v>
      </c>
      <c r="I111" t="s">
        <v>3089</v>
      </c>
      <c r="J111" t="s">
        <v>3090</v>
      </c>
      <c r="K111" t="s">
        <v>3091</v>
      </c>
    </row>
    <row r="112" spans="1:11" x14ac:dyDescent="0.4">
      <c r="A112" t="s">
        <v>7321</v>
      </c>
      <c r="B112" t="s">
        <v>9</v>
      </c>
      <c r="C112" t="s">
        <v>10</v>
      </c>
      <c r="D112" t="s">
        <v>7322</v>
      </c>
      <c r="E112" t="s">
        <v>7323</v>
      </c>
      <c r="F112" t="str">
        <f>LEFT(E112,5)</f>
        <v>서울특별시</v>
      </c>
      <c r="G112" t="str">
        <f t="shared" si="2"/>
        <v xml:space="preserve">강남구 </v>
      </c>
      <c r="H112" t="str">
        <f t="shared" si="3"/>
        <v>역삼동</v>
      </c>
      <c r="I112" t="s">
        <v>7324</v>
      </c>
      <c r="J112" t="s">
        <v>3090</v>
      </c>
      <c r="K112" t="s">
        <v>7325</v>
      </c>
    </row>
    <row r="113" spans="1:11" x14ac:dyDescent="0.4">
      <c r="A113" t="s">
        <v>4083</v>
      </c>
      <c r="B113" t="s">
        <v>9</v>
      </c>
      <c r="C113" t="s">
        <v>10</v>
      </c>
      <c r="D113" t="s">
        <v>1914</v>
      </c>
      <c r="E113" t="s">
        <v>4084</v>
      </c>
      <c r="F113" t="str">
        <f>LEFT(E113,5)</f>
        <v>서울특별시</v>
      </c>
      <c r="G113" t="str">
        <f t="shared" si="2"/>
        <v xml:space="preserve">강남구 </v>
      </c>
      <c r="H113" t="str">
        <f t="shared" si="3"/>
        <v>역삼동</v>
      </c>
      <c r="I113" t="s">
        <v>4085</v>
      </c>
      <c r="J113" t="s">
        <v>1960</v>
      </c>
      <c r="K113" t="s">
        <v>4086</v>
      </c>
    </row>
    <row r="114" spans="1:11" x14ac:dyDescent="0.4">
      <c r="A114" t="s">
        <v>1957</v>
      </c>
      <c r="B114" t="s">
        <v>9</v>
      </c>
      <c r="C114" t="s">
        <v>10</v>
      </c>
      <c r="D114" t="s">
        <v>1914</v>
      </c>
      <c r="E114" t="s">
        <v>1958</v>
      </c>
      <c r="F114" t="str">
        <f>LEFT(E114,5)</f>
        <v>서울특별시</v>
      </c>
      <c r="G114" t="str">
        <f t="shared" si="2"/>
        <v xml:space="preserve">강남구 </v>
      </c>
      <c r="H114" t="str">
        <f t="shared" si="3"/>
        <v>역삼동</v>
      </c>
      <c r="I114" t="s">
        <v>1959</v>
      </c>
      <c r="J114" t="s">
        <v>1960</v>
      </c>
      <c r="K114" t="s">
        <v>1961</v>
      </c>
    </row>
    <row r="115" spans="1:11" x14ac:dyDescent="0.4">
      <c r="A115" t="s">
        <v>8054</v>
      </c>
      <c r="B115" t="s">
        <v>9</v>
      </c>
      <c r="C115" t="s">
        <v>10</v>
      </c>
      <c r="D115" t="s">
        <v>1914</v>
      </c>
      <c r="E115" t="s">
        <v>8055</v>
      </c>
      <c r="F115" t="str">
        <f>LEFT(E115,5)</f>
        <v>서울특별시</v>
      </c>
      <c r="G115" t="str">
        <f t="shared" si="2"/>
        <v xml:space="preserve">강남구 </v>
      </c>
      <c r="H115" t="str">
        <f t="shared" si="3"/>
        <v>역삼동</v>
      </c>
      <c r="I115" t="s">
        <v>8056</v>
      </c>
      <c r="J115" t="s">
        <v>1960</v>
      </c>
      <c r="K115" t="s">
        <v>8057</v>
      </c>
    </row>
    <row r="116" spans="1:11" x14ac:dyDescent="0.4">
      <c r="A116" t="s">
        <v>5411</v>
      </c>
      <c r="B116" t="s">
        <v>9</v>
      </c>
      <c r="C116" t="s">
        <v>10</v>
      </c>
      <c r="D116" t="s">
        <v>1914</v>
      </c>
      <c r="E116" t="s">
        <v>5412</v>
      </c>
      <c r="F116" t="str">
        <f>LEFT(E116,5)</f>
        <v>서울특별시</v>
      </c>
      <c r="G116" t="str">
        <f t="shared" si="2"/>
        <v xml:space="preserve">강남구 </v>
      </c>
      <c r="H116" t="str">
        <f t="shared" si="3"/>
        <v>역삼동</v>
      </c>
      <c r="I116" t="s">
        <v>5413</v>
      </c>
      <c r="J116" t="s">
        <v>1917</v>
      </c>
      <c r="K116" t="s">
        <v>5414</v>
      </c>
    </row>
    <row r="117" spans="1:11" x14ac:dyDescent="0.4">
      <c r="A117" t="s">
        <v>1913</v>
      </c>
      <c r="B117" t="s">
        <v>9</v>
      </c>
      <c r="C117" t="s">
        <v>10</v>
      </c>
      <c r="D117" t="s">
        <v>1914</v>
      </c>
      <c r="E117" t="s">
        <v>1915</v>
      </c>
      <c r="F117" t="str">
        <f>LEFT(E117,5)</f>
        <v>서울특별시</v>
      </c>
      <c r="G117" t="str">
        <f t="shared" si="2"/>
        <v xml:space="preserve">강남구 </v>
      </c>
      <c r="H117" t="str">
        <f t="shared" si="3"/>
        <v>역삼동</v>
      </c>
      <c r="I117" t="s">
        <v>1916</v>
      </c>
      <c r="J117" t="s">
        <v>1917</v>
      </c>
      <c r="K117" t="s">
        <v>1666</v>
      </c>
    </row>
    <row r="118" spans="1:11" x14ac:dyDescent="0.4">
      <c r="A118" t="s">
        <v>7773</v>
      </c>
      <c r="B118" t="s">
        <v>9</v>
      </c>
      <c r="C118" t="s">
        <v>10</v>
      </c>
      <c r="D118" t="s">
        <v>3932</v>
      </c>
      <c r="E118" t="s">
        <v>7774</v>
      </c>
      <c r="F118" t="str">
        <f>LEFT(E118,5)</f>
        <v>서울특별시</v>
      </c>
      <c r="G118" t="str">
        <f t="shared" si="2"/>
        <v xml:space="preserve">강남구 </v>
      </c>
      <c r="H118" t="str">
        <f t="shared" si="3"/>
        <v>역삼동</v>
      </c>
      <c r="I118" t="s">
        <v>7775</v>
      </c>
      <c r="J118" t="s">
        <v>7776</v>
      </c>
      <c r="K118" t="s">
        <v>7777</v>
      </c>
    </row>
    <row r="119" spans="1:11" x14ac:dyDescent="0.4">
      <c r="A119" t="s">
        <v>3931</v>
      </c>
      <c r="B119" t="s">
        <v>9</v>
      </c>
      <c r="C119" t="s">
        <v>10</v>
      </c>
      <c r="D119" t="s">
        <v>3932</v>
      </c>
      <c r="E119" t="s">
        <v>3933</v>
      </c>
      <c r="F119" t="str">
        <f>LEFT(E119,5)</f>
        <v>서울특별시</v>
      </c>
      <c r="G119" t="str">
        <f t="shared" si="2"/>
        <v xml:space="preserve">강남구 </v>
      </c>
      <c r="H119" t="str">
        <f t="shared" si="3"/>
        <v>역삼동</v>
      </c>
      <c r="I119" t="s">
        <v>3934</v>
      </c>
      <c r="J119" t="s">
        <v>3935</v>
      </c>
      <c r="K119" t="s">
        <v>3936</v>
      </c>
    </row>
    <row r="120" spans="1:11" x14ac:dyDescent="0.4">
      <c r="A120" t="s">
        <v>4790</v>
      </c>
      <c r="B120" t="s">
        <v>9</v>
      </c>
      <c r="C120" t="s">
        <v>10</v>
      </c>
      <c r="D120" t="s">
        <v>3932</v>
      </c>
      <c r="E120" t="s">
        <v>4791</v>
      </c>
      <c r="F120" t="str">
        <f>LEFT(E120,5)</f>
        <v>서울특별시</v>
      </c>
      <c r="G120" t="str">
        <f t="shared" si="2"/>
        <v xml:space="preserve">강남구 </v>
      </c>
      <c r="H120" t="str">
        <f t="shared" si="3"/>
        <v>역삼동</v>
      </c>
      <c r="I120" t="s">
        <v>4792</v>
      </c>
      <c r="J120" t="s">
        <v>3935</v>
      </c>
      <c r="K120" t="s">
        <v>4793</v>
      </c>
    </row>
    <row r="121" spans="1:11" x14ac:dyDescent="0.4">
      <c r="A121" t="s">
        <v>2926</v>
      </c>
      <c r="B121" t="s">
        <v>9</v>
      </c>
      <c r="C121" t="s">
        <v>10</v>
      </c>
      <c r="D121" t="s">
        <v>2927</v>
      </c>
      <c r="E121" t="s">
        <v>2928</v>
      </c>
      <c r="F121" t="str">
        <f>LEFT(E121,5)</f>
        <v>서울특별시</v>
      </c>
      <c r="G121" t="str">
        <f t="shared" si="2"/>
        <v xml:space="preserve">강남구 </v>
      </c>
      <c r="H121" t="str">
        <f t="shared" si="3"/>
        <v>역삼동</v>
      </c>
      <c r="I121" t="s">
        <v>2929</v>
      </c>
      <c r="J121" t="s">
        <v>2930</v>
      </c>
      <c r="K121" t="s">
        <v>2931</v>
      </c>
    </row>
    <row r="122" spans="1:11" x14ac:dyDescent="0.4">
      <c r="A122" t="s">
        <v>8433</v>
      </c>
      <c r="B122" t="s">
        <v>9</v>
      </c>
      <c r="C122" t="s">
        <v>10</v>
      </c>
      <c r="D122" t="s">
        <v>163</v>
      </c>
      <c r="E122" t="s">
        <v>8434</v>
      </c>
      <c r="F122" t="str">
        <f>LEFT(E122,5)</f>
        <v>서울특별시</v>
      </c>
      <c r="G122" t="str">
        <f t="shared" si="2"/>
        <v xml:space="preserve">강남구 </v>
      </c>
      <c r="H122" t="str">
        <f t="shared" si="3"/>
        <v>역삼동</v>
      </c>
      <c r="I122" t="s">
        <v>8435</v>
      </c>
      <c r="J122" t="s">
        <v>3328</v>
      </c>
      <c r="K122" t="s">
        <v>2274</v>
      </c>
    </row>
    <row r="123" spans="1:11" x14ac:dyDescent="0.4">
      <c r="A123" t="s">
        <v>3325</v>
      </c>
      <c r="B123" t="s">
        <v>9</v>
      </c>
      <c r="C123" t="s">
        <v>10</v>
      </c>
      <c r="D123" t="s">
        <v>163</v>
      </c>
      <c r="E123" t="s">
        <v>3326</v>
      </c>
      <c r="F123" t="str">
        <f>LEFT(E123,5)</f>
        <v>서울특별시</v>
      </c>
      <c r="G123" t="str">
        <f t="shared" si="2"/>
        <v xml:space="preserve">강남구 </v>
      </c>
      <c r="H123" t="str">
        <f t="shared" si="3"/>
        <v>역삼동</v>
      </c>
      <c r="I123" t="s">
        <v>3327</v>
      </c>
      <c r="J123" t="s">
        <v>3328</v>
      </c>
      <c r="K123" t="s">
        <v>3329</v>
      </c>
    </row>
    <row r="124" spans="1:11" x14ac:dyDescent="0.4">
      <c r="A124" t="s">
        <v>4087</v>
      </c>
      <c r="B124" t="s">
        <v>9</v>
      </c>
      <c r="C124" t="s">
        <v>10</v>
      </c>
      <c r="D124" t="s">
        <v>163</v>
      </c>
      <c r="E124" t="s">
        <v>4088</v>
      </c>
      <c r="F124" t="str">
        <f>LEFT(E124,5)</f>
        <v>서울특별시</v>
      </c>
      <c r="G124" t="str">
        <f t="shared" si="2"/>
        <v xml:space="preserve">강남구 </v>
      </c>
      <c r="H124" t="str">
        <f t="shared" si="3"/>
        <v>역삼동</v>
      </c>
      <c r="I124" t="s">
        <v>4089</v>
      </c>
      <c r="J124" t="s">
        <v>1626</v>
      </c>
      <c r="K124" t="s">
        <v>4090</v>
      </c>
    </row>
    <row r="125" spans="1:11" x14ac:dyDescent="0.4">
      <c r="A125" t="s">
        <v>1623</v>
      </c>
      <c r="B125" t="s">
        <v>9</v>
      </c>
      <c r="C125" t="s">
        <v>10</v>
      </c>
      <c r="D125" t="s">
        <v>163</v>
      </c>
      <c r="E125" t="s">
        <v>1624</v>
      </c>
      <c r="F125" t="str">
        <f>LEFT(E125,5)</f>
        <v>서울특별시</v>
      </c>
      <c r="G125" t="str">
        <f t="shared" si="2"/>
        <v xml:space="preserve">강남구 </v>
      </c>
      <c r="H125" t="str">
        <f t="shared" si="3"/>
        <v>역삼동</v>
      </c>
      <c r="I125" t="s">
        <v>1625</v>
      </c>
      <c r="J125" t="s">
        <v>1626</v>
      </c>
      <c r="K125" t="s">
        <v>1627</v>
      </c>
    </row>
    <row r="126" spans="1:11" x14ac:dyDescent="0.4">
      <c r="A126" t="s">
        <v>1839</v>
      </c>
      <c r="B126" t="s">
        <v>9</v>
      </c>
      <c r="C126" t="s">
        <v>10</v>
      </c>
      <c r="D126" t="s">
        <v>163</v>
      </c>
      <c r="E126" t="s">
        <v>1840</v>
      </c>
      <c r="F126" t="str">
        <f>LEFT(E126,5)</f>
        <v>서울특별시</v>
      </c>
      <c r="G126" t="str">
        <f t="shared" si="2"/>
        <v xml:space="preserve">강남구 </v>
      </c>
      <c r="H126" t="str">
        <f t="shared" si="3"/>
        <v>역삼동</v>
      </c>
      <c r="I126" t="s">
        <v>1841</v>
      </c>
      <c r="J126" t="s">
        <v>1626</v>
      </c>
      <c r="K126" t="s">
        <v>1842</v>
      </c>
    </row>
    <row r="127" spans="1:11" x14ac:dyDescent="0.4">
      <c r="A127" t="s">
        <v>162</v>
      </c>
      <c r="B127" t="s">
        <v>9</v>
      </c>
      <c r="C127" t="s">
        <v>10</v>
      </c>
      <c r="D127" t="s">
        <v>163</v>
      </c>
      <c r="E127" t="s">
        <v>164</v>
      </c>
      <c r="F127" t="str">
        <f>LEFT(E127,5)</f>
        <v>서울특별시</v>
      </c>
      <c r="G127" t="str">
        <f t="shared" si="2"/>
        <v xml:space="preserve">강남구 </v>
      </c>
      <c r="H127" t="str">
        <f t="shared" si="3"/>
        <v>역삼동</v>
      </c>
      <c r="I127" t="s">
        <v>165</v>
      </c>
      <c r="J127" t="s">
        <v>166</v>
      </c>
      <c r="K127" t="s">
        <v>167</v>
      </c>
    </row>
    <row r="128" spans="1:11" x14ac:dyDescent="0.4">
      <c r="A128" t="s">
        <v>2251</v>
      </c>
      <c r="B128" t="s">
        <v>9</v>
      </c>
      <c r="C128" t="s">
        <v>10</v>
      </c>
      <c r="D128" t="s">
        <v>163</v>
      </c>
      <c r="E128" t="s">
        <v>2252</v>
      </c>
      <c r="F128" t="str">
        <f>LEFT(E128,5)</f>
        <v>서울특별시</v>
      </c>
      <c r="G128" t="str">
        <f t="shared" si="2"/>
        <v xml:space="preserve">강남구 </v>
      </c>
      <c r="H128" t="str">
        <f t="shared" si="3"/>
        <v>역삼동</v>
      </c>
      <c r="I128" t="s">
        <v>2253</v>
      </c>
      <c r="J128" t="s">
        <v>166</v>
      </c>
      <c r="K128" t="s">
        <v>2254</v>
      </c>
    </row>
    <row r="129" spans="1:11" x14ac:dyDescent="0.4">
      <c r="A129" t="s">
        <v>5071</v>
      </c>
      <c r="B129" t="s">
        <v>9</v>
      </c>
      <c r="C129" t="s">
        <v>10</v>
      </c>
      <c r="D129" t="s">
        <v>5072</v>
      </c>
      <c r="E129" t="s">
        <v>5073</v>
      </c>
      <c r="F129" t="str">
        <f>LEFT(E129,5)</f>
        <v>서울특별시</v>
      </c>
      <c r="G129" t="str">
        <f t="shared" si="2"/>
        <v xml:space="preserve">강남구 </v>
      </c>
      <c r="H129" t="str">
        <f t="shared" si="3"/>
        <v>역삼동</v>
      </c>
      <c r="I129" t="s">
        <v>5074</v>
      </c>
      <c r="J129" t="s">
        <v>4562</v>
      </c>
      <c r="K129" t="s">
        <v>5075</v>
      </c>
    </row>
    <row r="130" spans="1:11" x14ac:dyDescent="0.4">
      <c r="A130" t="s">
        <v>4558</v>
      </c>
      <c r="B130" t="s">
        <v>9</v>
      </c>
      <c r="C130" t="s">
        <v>10</v>
      </c>
      <c r="D130" t="s">
        <v>4559</v>
      </c>
      <c r="E130" t="s">
        <v>4560</v>
      </c>
      <c r="F130" t="str">
        <f>LEFT(E130,5)</f>
        <v>서울특별시</v>
      </c>
      <c r="G130" t="str">
        <f t="shared" si="2"/>
        <v xml:space="preserve">강남구 </v>
      </c>
      <c r="H130" t="str">
        <f t="shared" si="3"/>
        <v>역삼동</v>
      </c>
      <c r="I130" t="s">
        <v>4561</v>
      </c>
      <c r="J130" t="s">
        <v>4562</v>
      </c>
      <c r="K130" t="s">
        <v>4563</v>
      </c>
    </row>
    <row r="131" spans="1:11" x14ac:dyDescent="0.4">
      <c r="A131" t="s">
        <v>6823</v>
      </c>
      <c r="B131" t="s">
        <v>9</v>
      </c>
      <c r="C131" t="s">
        <v>10</v>
      </c>
      <c r="D131" t="s">
        <v>4559</v>
      </c>
      <c r="E131" t="s">
        <v>6824</v>
      </c>
      <c r="F131" t="str">
        <f>LEFT(E131,5)</f>
        <v>서울특별시</v>
      </c>
      <c r="G131" t="str">
        <f t="shared" ref="G131:G194" si="4">MID(E131,7,4)</f>
        <v xml:space="preserve">강남구 </v>
      </c>
      <c r="H131" t="str">
        <f t="shared" ref="H131:H194" si="5">MID(SUBSTITUTE(E131," ",""),9,3)</f>
        <v>역삼동</v>
      </c>
      <c r="I131" t="s">
        <v>6825</v>
      </c>
      <c r="J131" t="s">
        <v>4562</v>
      </c>
      <c r="K131" t="s">
        <v>6826</v>
      </c>
    </row>
    <row r="132" spans="1:11" x14ac:dyDescent="0.4">
      <c r="A132" t="s">
        <v>5723</v>
      </c>
      <c r="B132" t="s">
        <v>9</v>
      </c>
      <c r="C132" t="s">
        <v>10</v>
      </c>
      <c r="D132" t="s">
        <v>4559</v>
      </c>
      <c r="E132" t="s">
        <v>5724</v>
      </c>
      <c r="F132" t="str">
        <f>LEFT(E132,5)</f>
        <v>서울특별시</v>
      </c>
      <c r="G132" t="str">
        <f t="shared" si="4"/>
        <v xml:space="preserve">강남구 </v>
      </c>
      <c r="H132" t="str">
        <f t="shared" si="5"/>
        <v>역삼동</v>
      </c>
      <c r="I132" t="s">
        <v>5725</v>
      </c>
      <c r="J132" t="s">
        <v>5726</v>
      </c>
      <c r="K132" t="s">
        <v>5727</v>
      </c>
    </row>
    <row r="133" spans="1:11" x14ac:dyDescent="0.4">
      <c r="A133" t="s">
        <v>1953</v>
      </c>
      <c r="B133" t="s">
        <v>9</v>
      </c>
      <c r="C133" t="s">
        <v>10</v>
      </c>
      <c r="D133" t="s">
        <v>1087</v>
      </c>
      <c r="E133" t="s">
        <v>1954</v>
      </c>
      <c r="F133" t="str">
        <f>LEFT(E133,5)</f>
        <v>서울특별시</v>
      </c>
      <c r="G133" t="str">
        <f t="shared" si="4"/>
        <v xml:space="preserve">강남구 </v>
      </c>
      <c r="H133" t="str">
        <f t="shared" si="5"/>
        <v>역삼동</v>
      </c>
      <c r="I133" t="s">
        <v>1955</v>
      </c>
      <c r="J133" t="s">
        <v>1090</v>
      </c>
      <c r="K133" t="s">
        <v>1956</v>
      </c>
    </row>
    <row r="134" spans="1:11" x14ac:dyDescent="0.4">
      <c r="A134" t="s">
        <v>1086</v>
      </c>
      <c r="B134" t="s">
        <v>9</v>
      </c>
      <c r="C134" t="s">
        <v>10</v>
      </c>
      <c r="D134" t="s">
        <v>1087</v>
      </c>
      <c r="E134" t="s">
        <v>1088</v>
      </c>
      <c r="F134" t="str">
        <f>LEFT(E134,5)</f>
        <v>서울특별시</v>
      </c>
      <c r="G134" t="str">
        <f t="shared" si="4"/>
        <v xml:space="preserve">강남구 </v>
      </c>
      <c r="H134" t="str">
        <f t="shared" si="5"/>
        <v>역삼동</v>
      </c>
      <c r="I134" t="s">
        <v>1089</v>
      </c>
      <c r="J134" t="s">
        <v>1090</v>
      </c>
      <c r="K134" t="s">
        <v>1091</v>
      </c>
    </row>
    <row r="135" spans="1:11" x14ac:dyDescent="0.4">
      <c r="A135" t="s">
        <v>2259</v>
      </c>
      <c r="B135" t="s">
        <v>9</v>
      </c>
      <c r="C135" t="s">
        <v>10</v>
      </c>
      <c r="D135" t="s">
        <v>407</v>
      </c>
      <c r="E135" t="s">
        <v>2260</v>
      </c>
      <c r="F135" t="str">
        <f>LEFT(E135,5)</f>
        <v>서울특별시</v>
      </c>
      <c r="G135" t="str">
        <f t="shared" si="4"/>
        <v xml:space="preserve">강남구 </v>
      </c>
      <c r="H135" t="str">
        <f t="shared" si="5"/>
        <v>역삼동</v>
      </c>
      <c r="I135" t="s">
        <v>2261</v>
      </c>
      <c r="J135" t="s">
        <v>1649</v>
      </c>
      <c r="K135" t="s">
        <v>2262</v>
      </c>
    </row>
    <row r="136" spans="1:11" x14ac:dyDescent="0.4">
      <c r="A136" t="s">
        <v>5858</v>
      </c>
      <c r="B136" t="s">
        <v>9</v>
      </c>
      <c r="C136" t="s">
        <v>10</v>
      </c>
      <c r="D136" t="s">
        <v>407</v>
      </c>
      <c r="E136" t="s">
        <v>5859</v>
      </c>
      <c r="F136" t="str">
        <f>LEFT(E136,5)</f>
        <v>서울특별시</v>
      </c>
      <c r="G136" t="str">
        <f t="shared" si="4"/>
        <v xml:space="preserve">강남구 </v>
      </c>
      <c r="H136" t="str">
        <f t="shared" si="5"/>
        <v>역삼동</v>
      </c>
      <c r="I136" t="s">
        <v>5860</v>
      </c>
      <c r="J136" t="s">
        <v>1649</v>
      </c>
      <c r="K136" t="s">
        <v>5861</v>
      </c>
    </row>
    <row r="137" spans="1:11" x14ac:dyDescent="0.4">
      <c r="A137" t="s">
        <v>1646</v>
      </c>
      <c r="B137" t="s">
        <v>9</v>
      </c>
      <c r="C137" t="s">
        <v>10</v>
      </c>
      <c r="D137" t="s">
        <v>407</v>
      </c>
      <c r="E137" t="s">
        <v>1647</v>
      </c>
      <c r="F137" t="str">
        <f>LEFT(E137,5)</f>
        <v>서울특별시</v>
      </c>
      <c r="G137" t="str">
        <f t="shared" si="4"/>
        <v xml:space="preserve">강남구 </v>
      </c>
      <c r="H137" t="str">
        <f t="shared" si="5"/>
        <v>역삼동</v>
      </c>
      <c r="I137" t="s">
        <v>1648</v>
      </c>
      <c r="J137" t="s">
        <v>1649</v>
      </c>
      <c r="K137" t="s">
        <v>1650</v>
      </c>
    </row>
    <row r="138" spans="1:11" x14ac:dyDescent="0.4">
      <c r="A138" t="s">
        <v>2187</v>
      </c>
      <c r="B138" t="s">
        <v>9</v>
      </c>
      <c r="C138" t="s">
        <v>10</v>
      </c>
      <c r="D138" t="s">
        <v>407</v>
      </c>
      <c r="E138" t="s">
        <v>2188</v>
      </c>
      <c r="F138" t="str">
        <f>LEFT(E138,5)</f>
        <v>서울특별시</v>
      </c>
      <c r="G138" t="str">
        <f t="shared" si="4"/>
        <v xml:space="preserve">강남구 </v>
      </c>
      <c r="H138" t="str">
        <f t="shared" si="5"/>
        <v>역삼동</v>
      </c>
      <c r="I138" t="s">
        <v>2189</v>
      </c>
      <c r="J138" t="s">
        <v>410</v>
      </c>
      <c r="K138" t="s">
        <v>2190</v>
      </c>
    </row>
    <row r="139" spans="1:11" x14ac:dyDescent="0.4">
      <c r="A139" t="s">
        <v>406</v>
      </c>
      <c r="B139" t="s">
        <v>9</v>
      </c>
      <c r="C139" t="s">
        <v>10</v>
      </c>
      <c r="D139" t="s">
        <v>407</v>
      </c>
      <c r="E139" t="s">
        <v>408</v>
      </c>
      <c r="F139" t="str">
        <f>LEFT(E139,5)</f>
        <v>서울특별시</v>
      </c>
      <c r="G139" t="str">
        <f t="shared" si="4"/>
        <v xml:space="preserve">강남구 </v>
      </c>
      <c r="H139" t="str">
        <f t="shared" si="5"/>
        <v>역삼동</v>
      </c>
      <c r="I139" t="s">
        <v>409</v>
      </c>
      <c r="J139" t="s">
        <v>410</v>
      </c>
      <c r="K139" t="s">
        <v>411</v>
      </c>
    </row>
    <row r="140" spans="1:11" x14ac:dyDescent="0.4">
      <c r="A140" t="s">
        <v>7415</v>
      </c>
      <c r="B140" t="s">
        <v>9</v>
      </c>
      <c r="C140" t="s">
        <v>10</v>
      </c>
      <c r="D140" t="s">
        <v>5729</v>
      </c>
      <c r="E140" t="s">
        <v>7416</v>
      </c>
      <c r="F140" t="str">
        <f>LEFT(E140,5)</f>
        <v>서울특별시</v>
      </c>
      <c r="G140" t="str">
        <f t="shared" si="4"/>
        <v xml:space="preserve">강남구 </v>
      </c>
      <c r="H140" t="str">
        <f t="shared" si="5"/>
        <v>역삼동</v>
      </c>
      <c r="I140" t="s">
        <v>7417</v>
      </c>
      <c r="J140" t="s">
        <v>7418</v>
      </c>
      <c r="K140" t="s">
        <v>7315</v>
      </c>
    </row>
    <row r="141" spans="1:11" x14ac:dyDescent="0.4">
      <c r="A141" t="s">
        <v>5728</v>
      </c>
      <c r="B141" t="s">
        <v>9</v>
      </c>
      <c r="C141" t="s">
        <v>10</v>
      </c>
      <c r="D141" t="s">
        <v>5729</v>
      </c>
      <c r="E141" t="s">
        <v>5730</v>
      </c>
      <c r="F141" t="str">
        <f>LEFT(E141,5)</f>
        <v>서울특별시</v>
      </c>
      <c r="G141" t="str">
        <f t="shared" si="4"/>
        <v xml:space="preserve">강남구 </v>
      </c>
      <c r="H141" t="str">
        <f t="shared" si="5"/>
        <v>역삼동</v>
      </c>
      <c r="I141" t="s">
        <v>5731</v>
      </c>
      <c r="J141" t="s">
        <v>5732</v>
      </c>
      <c r="K141" t="s">
        <v>5733</v>
      </c>
    </row>
    <row r="142" spans="1:11" x14ac:dyDescent="0.4">
      <c r="A142" t="s">
        <v>1843</v>
      </c>
      <c r="B142" t="s">
        <v>9</v>
      </c>
      <c r="C142" t="s">
        <v>10</v>
      </c>
      <c r="D142" t="s">
        <v>1844</v>
      </c>
      <c r="E142" t="s">
        <v>1845</v>
      </c>
      <c r="F142" t="str">
        <f>LEFT(E142,5)</f>
        <v>서울특별시</v>
      </c>
      <c r="G142" t="str">
        <f t="shared" si="4"/>
        <v xml:space="preserve">강남구 </v>
      </c>
      <c r="H142" t="str">
        <f t="shared" si="5"/>
        <v>역삼동</v>
      </c>
      <c r="I142" t="s">
        <v>1846</v>
      </c>
      <c r="J142" t="s">
        <v>1847</v>
      </c>
      <c r="K142" t="s">
        <v>1848</v>
      </c>
    </row>
    <row r="143" spans="1:11" x14ac:dyDescent="0.4">
      <c r="A143" t="s">
        <v>1885</v>
      </c>
      <c r="B143" t="s">
        <v>9</v>
      </c>
      <c r="C143" t="s">
        <v>10</v>
      </c>
      <c r="D143" t="s">
        <v>1844</v>
      </c>
      <c r="E143" t="s">
        <v>1886</v>
      </c>
      <c r="F143" t="str">
        <f>LEFT(E143,5)</f>
        <v>서울특별시</v>
      </c>
      <c r="G143" t="str">
        <f t="shared" si="4"/>
        <v xml:space="preserve">강남구 </v>
      </c>
      <c r="H143" t="str">
        <f t="shared" si="5"/>
        <v>역삼동</v>
      </c>
      <c r="I143" t="s">
        <v>1887</v>
      </c>
      <c r="J143" t="s">
        <v>1847</v>
      </c>
      <c r="K143" t="s">
        <v>1888</v>
      </c>
    </row>
    <row r="144" spans="1:11" x14ac:dyDescent="0.4">
      <c r="A144" t="s">
        <v>7187</v>
      </c>
      <c r="B144" t="s">
        <v>9</v>
      </c>
      <c r="C144" t="s">
        <v>10</v>
      </c>
      <c r="D144" t="s">
        <v>7188</v>
      </c>
      <c r="E144" t="s">
        <v>7189</v>
      </c>
      <c r="F144" t="str">
        <f>LEFT(E144,5)</f>
        <v>서울특별시</v>
      </c>
      <c r="G144" t="str">
        <f t="shared" si="4"/>
        <v xml:space="preserve">강남구 </v>
      </c>
      <c r="H144" t="str">
        <f t="shared" si="5"/>
        <v>역삼동</v>
      </c>
      <c r="I144" t="s">
        <v>7190</v>
      </c>
      <c r="J144" t="s">
        <v>11</v>
      </c>
      <c r="K144" t="s">
        <v>7191</v>
      </c>
    </row>
    <row r="145" spans="1:11" x14ac:dyDescent="0.4">
      <c r="A145" t="s">
        <v>3386</v>
      </c>
      <c r="B145" t="s">
        <v>9</v>
      </c>
      <c r="C145" t="s">
        <v>10</v>
      </c>
      <c r="D145" t="s">
        <v>3387</v>
      </c>
      <c r="E145" t="s">
        <v>3388</v>
      </c>
      <c r="F145" t="str">
        <f>LEFT(E145,5)</f>
        <v>서울특별시</v>
      </c>
      <c r="G145" t="str">
        <f t="shared" si="4"/>
        <v xml:space="preserve">강남구 </v>
      </c>
      <c r="H145" t="str">
        <f t="shared" si="5"/>
        <v>역삼동</v>
      </c>
      <c r="I145" t="s">
        <v>3389</v>
      </c>
      <c r="J145" t="s">
        <v>3390</v>
      </c>
      <c r="K145" t="s">
        <v>3391</v>
      </c>
    </row>
    <row r="146" spans="1:11" x14ac:dyDescent="0.4">
      <c r="A146" t="s">
        <v>5777</v>
      </c>
      <c r="B146" t="s">
        <v>9</v>
      </c>
      <c r="C146" t="s">
        <v>10</v>
      </c>
      <c r="D146" t="s">
        <v>3387</v>
      </c>
      <c r="E146" t="s">
        <v>5778</v>
      </c>
      <c r="F146" t="str">
        <f>LEFT(E146,5)</f>
        <v>서울특별시</v>
      </c>
      <c r="G146" t="str">
        <f t="shared" si="4"/>
        <v xml:space="preserve">강남구 </v>
      </c>
      <c r="H146" t="str">
        <f t="shared" si="5"/>
        <v>역삼동</v>
      </c>
      <c r="I146" t="s">
        <v>5779</v>
      </c>
      <c r="J146" t="s">
        <v>5780</v>
      </c>
      <c r="K146" t="s">
        <v>5781</v>
      </c>
    </row>
    <row r="147" spans="1:11" x14ac:dyDescent="0.4">
      <c r="A147" t="s">
        <v>8704</v>
      </c>
      <c r="B147" t="s">
        <v>9</v>
      </c>
      <c r="C147" t="s">
        <v>10</v>
      </c>
      <c r="D147" t="s">
        <v>5398</v>
      </c>
      <c r="E147" t="s">
        <v>8705</v>
      </c>
      <c r="F147" t="str">
        <f>LEFT(E147,5)</f>
        <v>서울특별시</v>
      </c>
      <c r="G147" t="str">
        <f t="shared" si="4"/>
        <v xml:space="preserve">강남구 </v>
      </c>
      <c r="H147" t="str">
        <f t="shared" si="5"/>
        <v>역삼동</v>
      </c>
      <c r="I147" t="s">
        <v>8706</v>
      </c>
      <c r="J147" t="s">
        <v>7466</v>
      </c>
      <c r="K147" t="s">
        <v>8707</v>
      </c>
    </row>
    <row r="148" spans="1:11" x14ac:dyDescent="0.4">
      <c r="A148" t="s">
        <v>7463</v>
      </c>
      <c r="B148" t="s">
        <v>9</v>
      </c>
      <c r="C148" t="s">
        <v>10</v>
      </c>
      <c r="D148" t="s">
        <v>5398</v>
      </c>
      <c r="E148" t="s">
        <v>7464</v>
      </c>
      <c r="F148" t="str">
        <f>LEFT(E148,5)</f>
        <v>서울특별시</v>
      </c>
      <c r="G148" t="str">
        <f t="shared" si="4"/>
        <v xml:space="preserve">강남구 </v>
      </c>
      <c r="H148" t="str">
        <f t="shared" si="5"/>
        <v>역삼동</v>
      </c>
      <c r="I148" t="s">
        <v>7465</v>
      </c>
      <c r="J148" t="s">
        <v>7466</v>
      </c>
      <c r="K148" t="s">
        <v>7467</v>
      </c>
    </row>
    <row r="149" spans="1:11" x14ac:dyDescent="0.4">
      <c r="A149" t="s">
        <v>6914</v>
      </c>
      <c r="B149" t="s">
        <v>9</v>
      </c>
      <c r="C149" t="s">
        <v>10</v>
      </c>
      <c r="D149" t="s">
        <v>5398</v>
      </c>
      <c r="E149" t="s">
        <v>6915</v>
      </c>
      <c r="F149" t="str">
        <f>LEFT(E149,5)</f>
        <v>서울특별시</v>
      </c>
      <c r="G149" t="str">
        <f t="shared" si="4"/>
        <v xml:space="preserve">강남구 </v>
      </c>
      <c r="H149" t="str">
        <f t="shared" si="5"/>
        <v>역삼동</v>
      </c>
      <c r="I149" t="s">
        <v>6916</v>
      </c>
      <c r="J149" t="s">
        <v>5401</v>
      </c>
      <c r="K149" t="s">
        <v>6917</v>
      </c>
    </row>
    <row r="150" spans="1:11" x14ac:dyDescent="0.4">
      <c r="A150" t="s">
        <v>5397</v>
      </c>
      <c r="B150" t="s">
        <v>9</v>
      </c>
      <c r="C150" t="s">
        <v>10</v>
      </c>
      <c r="D150" t="s">
        <v>5398</v>
      </c>
      <c r="E150" t="s">
        <v>5399</v>
      </c>
      <c r="F150" t="str">
        <f>LEFT(E150,5)</f>
        <v>서울특별시</v>
      </c>
      <c r="G150" t="str">
        <f t="shared" si="4"/>
        <v xml:space="preserve">강남구 </v>
      </c>
      <c r="H150" t="str">
        <f t="shared" si="5"/>
        <v>역삼동</v>
      </c>
      <c r="I150" t="s">
        <v>5400</v>
      </c>
      <c r="J150" t="s">
        <v>5401</v>
      </c>
      <c r="K150" t="s">
        <v>1801</v>
      </c>
    </row>
    <row r="151" spans="1:11" x14ac:dyDescent="0.4">
      <c r="A151" t="s">
        <v>7287</v>
      </c>
      <c r="B151" t="s">
        <v>9</v>
      </c>
      <c r="C151" t="s">
        <v>10</v>
      </c>
      <c r="D151" t="s">
        <v>7288</v>
      </c>
      <c r="E151" t="s">
        <v>7289</v>
      </c>
      <c r="F151" t="str">
        <f>LEFT(E151,5)</f>
        <v>서울특별시</v>
      </c>
      <c r="G151" t="str">
        <f t="shared" si="4"/>
        <v xml:space="preserve">강남구 </v>
      </c>
      <c r="H151" t="str">
        <f t="shared" si="5"/>
        <v>역삼동</v>
      </c>
      <c r="I151" t="s">
        <v>7290</v>
      </c>
      <c r="J151" t="s">
        <v>7291</v>
      </c>
      <c r="K151" t="s">
        <v>7292</v>
      </c>
    </row>
    <row r="152" spans="1:11" x14ac:dyDescent="0.4">
      <c r="A152" t="s">
        <v>5541</v>
      </c>
      <c r="B152" t="s">
        <v>9</v>
      </c>
      <c r="C152" t="s">
        <v>10</v>
      </c>
      <c r="D152" t="s">
        <v>5542</v>
      </c>
      <c r="E152" t="s">
        <v>5543</v>
      </c>
      <c r="F152" t="str">
        <f>LEFT(E152,5)</f>
        <v>서울특별시</v>
      </c>
      <c r="G152" t="str">
        <f t="shared" si="4"/>
        <v xml:space="preserve">강남구 </v>
      </c>
      <c r="H152" t="str">
        <f t="shared" si="5"/>
        <v>역삼동</v>
      </c>
      <c r="I152" t="s">
        <v>5544</v>
      </c>
      <c r="J152" t="s">
        <v>4459</v>
      </c>
      <c r="K152" t="s">
        <v>5545</v>
      </c>
    </row>
    <row r="153" spans="1:11" x14ac:dyDescent="0.4">
      <c r="A153" t="s">
        <v>1823</v>
      </c>
      <c r="B153" t="s">
        <v>9</v>
      </c>
      <c r="C153" t="s">
        <v>10</v>
      </c>
      <c r="D153" t="s">
        <v>271</v>
      </c>
      <c r="E153" t="s">
        <v>1824</v>
      </c>
      <c r="F153" t="str">
        <f>LEFT(E153,5)</f>
        <v>서울특별시</v>
      </c>
      <c r="G153" t="str">
        <f t="shared" si="4"/>
        <v xml:space="preserve">강남구 </v>
      </c>
      <c r="H153" t="str">
        <f t="shared" si="5"/>
        <v>역삼동</v>
      </c>
      <c r="I153" t="s">
        <v>1825</v>
      </c>
      <c r="J153" t="s">
        <v>274</v>
      </c>
      <c r="K153" t="s">
        <v>1826</v>
      </c>
    </row>
    <row r="154" spans="1:11" x14ac:dyDescent="0.4">
      <c r="A154" t="s">
        <v>270</v>
      </c>
      <c r="B154" t="s">
        <v>9</v>
      </c>
      <c r="C154" t="s">
        <v>10</v>
      </c>
      <c r="D154" t="s">
        <v>271</v>
      </c>
      <c r="E154" t="s">
        <v>272</v>
      </c>
      <c r="F154" t="str">
        <f>LEFT(E154,5)</f>
        <v>서울특별시</v>
      </c>
      <c r="G154" t="str">
        <f t="shared" si="4"/>
        <v xml:space="preserve">강남구 </v>
      </c>
      <c r="H154" t="str">
        <f t="shared" si="5"/>
        <v>역삼동</v>
      </c>
      <c r="I154" t="s">
        <v>273</v>
      </c>
      <c r="J154" t="s">
        <v>274</v>
      </c>
      <c r="K154" t="s">
        <v>275</v>
      </c>
    </row>
    <row r="155" spans="1:11" x14ac:dyDescent="0.4">
      <c r="A155" t="s">
        <v>3238</v>
      </c>
      <c r="B155" t="s">
        <v>9</v>
      </c>
      <c r="C155" t="s">
        <v>10</v>
      </c>
      <c r="D155" t="s">
        <v>271</v>
      </c>
      <c r="E155" t="s">
        <v>3239</v>
      </c>
      <c r="F155" t="str">
        <f>LEFT(E155,5)</f>
        <v>서울특별시</v>
      </c>
      <c r="G155" t="str">
        <f t="shared" si="4"/>
        <v xml:space="preserve">강남구 </v>
      </c>
      <c r="H155" t="str">
        <f t="shared" si="5"/>
        <v>역삼동</v>
      </c>
      <c r="I155" t="s">
        <v>3240</v>
      </c>
      <c r="J155" t="s">
        <v>3241</v>
      </c>
      <c r="K155" t="s">
        <v>3242</v>
      </c>
    </row>
    <row r="156" spans="1:11" x14ac:dyDescent="0.4">
      <c r="A156" t="s">
        <v>7202</v>
      </c>
      <c r="B156" t="s">
        <v>9</v>
      </c>
      <c r="C156" t="s">
        <v>10</v>
      </c>
      <c r="D156" t="s">
        <v>2208</v>
      </c>
      <c r="E156" t="s">
        <v>7203</v>
      </c>
      <c r="F156" t="str">
        <f>LEFT(E156,5)</f>
        <v>서울특별시</v>
      </c>
      <c r="G156" t="str">
        <f t="shared" si="4"/>
        <v xml:space="preserve">강남구 </v>
      </c>
      <c r="H156" t="str">
        <f t="shared" si="5"/>
        <v>역삼동</v>
      </c>
      <c r="I156" t="s">
        <v>7204</v>
      </c>
      <c r="J156" t="s">
        <v>7205</v>
      </c>
      <c r="K156" t="s">
        <v>7206</v>
      </c>
    </row>
    <row r="157" spans="1:11" x14ac:dyDescent="0.4">
      <c r="A157" t="s">
        <v>7074</v>
      </c>
      <c r="B157" t="s">
        <v>9</v>
      </c>
      <c r="C157" t="s">
        <v>10</v>
      </c>
      <c r="D157" t="s">
        <v>2208</v>
      </c>
      <c r="E157" t="s">
        <v>7075</v>
      </c>
      <c r="F157" t="str">
        <f>LEFT(E157,5)</f>
        <v>서울특별시</v>
      </c>
      <c r="G157" t="str">
        <f t="shared" si="4"/>
        <v xml:space="preserve">강남구 </v>
      </c>
      <c r="H157" t="str">
        <f t="shared" si="5"/>
        <v>역삼동</v>
      </c>
      <c r="I157" t="s">
        <v>7076</v>
      </c>
      <c r="J157" t="s">
        <v>7077</v>
      </c>
      <c r="K157" t="s">
        <v>7078</v>
      </c>
    </row>
    <row r="158" spans="1:11" x14ac:dyDescent="0.4">
      <c r="A158" t="s">
        <v>7647</v>
      </c>
      <c r="B158" t="s">
        <v>9</v>
      </c>
      <c r="C158" t="s">
        <v>10</v>
      </c>
      <c r="D158" t="s">
        <v>2208</v>
      </c>
      <c r="E158" t="s">
        <v>7648</v>
      </c>
      <c r="F158" t="str">
        <f>LEFT(E158,5)</f>
        <v>서울특별시</v>
      </c>
      <c r="G158" t="str">
        <f t="shared" si="4"/>
        <v xml:space="preserve">강남구 </v>
      </c>
      <c r="H158" t="str">
        <f t="shared" si="5"/>
        <v>역삼동</v>
      </c>
      <c r="I158" t="s">
        <v>7649</v>
      </c>
      <c r="J158" t="s">
        <v>7077</v>
      </c>
      <c r="K158" t="s">
        <v>7650</v>
      </c>
    </row>
    <row r="159" spans="1:11" x14ac:dyDescent="0.4">
      <c r="A159" t="s">
        <v>2481</v>
      </c>
      <c r="B159" t="s">
        <v>9</v>
      </c>
      <c r="C159" t="s">
        <v>10</v>
      </c>
      <c r="D159" t="s">
        <v>2208</v>
      </c>
      <c r="E159" t="s">
        <v>2482</v>
      </c>
      <c r="F159" t="str">
        <f>LEFT(E159,5)</f>
        <v>서울특별시</v>
      </c>
      <c r="G159" t="str">
        <f t="shared" si="4"/>
        <v xml:space="preserve">강남구 </v>
      </c>
      <c r="H159" t="str">
        <f t="shared" si="5"/>
        <v>역삼동</v>
      </c>
      <c r="I159" t="s">
        <v>2483</v>
      </c>
      <c r="J159" t="s">
        <v>2211</v>
      </c>
      <c r="K159" t="s">
        <v>2484</v>
      </c>
    </row>
    <row r="160" spans="1:11" x14ac:dyDescent="0.4">
      <c r="A160" t="s">
        <v>2207</v>
      </c>
      <c r="B160" t="s">
        <v>9</v>
      </c>
      <c r="C160" t="s">
        <v>10</v>
      </c>
      <c r="D160" t="s">
        <v>2208</v>
      </c>
      <c r="E160" t="s">
        <v>2209</v>
      </c>
      <c r="F160" t="str">
        <f>LEFT(E160,5)</f>
        <v>서울특별시</v>
      </c>
      <c r="G160" t="str">
        <f t="shared" si="4"/>
        <v xml:space="preserve">강남구 </v>
      </c>
      <c r="H160" t="str">
        <f t="shared" si="5"/>
        <v>역삼동</v>
      </c>
      <c r="I160" t="s">
        <v>2210</v>
      </c>
      <c r="J160" t="s">
        <v>2211</v>
      </c>
      <c r="K160" t="s">
        <v>2212</v>
      </c>
    </row>
    <row r="161" spans="1:11" x14ac:dyDescent="0.4">
      <c r="A161" t="s">
        <v>8035</v>
      </c>
      <c r="B161" t="s">
        <v>9</v>
      </c>
      <c r="C161" t="s">
        <v>10</v>
      </c>
      <c r="D161" t="s">
        <v>2208</v>
      </c>
      <c r="E161" t="s">
        <v>8036</v>
      </c>
      <c r="F161" t="str">
        <f>LEFT(E161,5)</f>
        <v>서울특별시</v>
      </c>
      <c r="G161" t="str">
        <f t="shared" si="4"/>
        <v xml:space="preserve">강남구 </v>
      </c>
      <c r="H161" t="str">
        <f t="shared" si="5"/>
        <v>역삼동</v>
      </c>
      <c r="I161" t="s">
        <v>8037</v>
      </c>
      <c r="J161" t="s">
        <v>2211</v>
      </c>
      <c r="K161" t="s">
        <v>8038</v>
      </c>
    </row>
    <row r="162" spans="1:11" x14ac:dyDescent="0.4">
      <c r="A162" t="s">
        <v>4768</v>
      </c>
      <c r="B162" t="s">
        <v>9</v>
      </c>
      <c r="C162" t="s">
        <v>10</v>
      </c>
      <c r="D162" t="s">
        <v>4769</v>
      </c>
      <c r="E162" t="s">
        <v>4770</v>
      </c>
      <c r="F162" t="str">
        <f>LEFT(E162,5)</f>
        <v>서울특별시</v>
      </c>
      <c r="G162" t="str">
        <f t="shared" si="4"/>
        <v xml:space="preserve">강남구 </v>
      </c>
      <c r="H162" t="str">
        <f t="shared" si="5"/>
        <v>역삼동</v>
      </c>
      <c r="I162" t="s">
        <v>4771</v>
      </c>
      <c r="J162" t="s">
        <v>4772</v>
      </c>
      <c r="K162" t="s">
        <v>4773</v>
      </c>
    </row>
    <row r="163" spans="1:11" x14ac:dyDescent="0.4">
      <c r="A163" t="s">
        <v>3381</v>
      </c>
      <c r="B163" t="s">
        <v>9</v>
      </c>
      <c r="C163" t="s">
        <v>10</v>
      </c>
      <c r="D163" t="s">
        <v>2450</v>
      </c>
      <c r="E163" t="s">
        <v>3382</v>
      </c>
      <c r="F163" t="str">
        <f>LEFT(E163,5)</f>
        <v>서울특별시</v>
      </c>
      <c r="G163" t="str">
        <f t="shared" si="4"/>
        <v xml:space="preserve">강남구 </v>
      </c>
      <c r="H163" t="str">
        <f t="shared" si="5"/>
        <v>역삼동</v>
      </c>
      <c r="I163" t="s">
        <v>3383</v>
      </c>
      <c r="J163" t="s">
        <v>3384</v>
      </c>
      <c r="K163" t="s">
        <v>3385</v>
      </c>
    </row>
    <row r="164" spans="1:11" x14ac:dyDescent="0.4">
      <c r="A164" t="s">
        <v>6988</v>
      </c>
      <c r="B164" t="s">
        <v>9</v>
      </c>
      <c r="C164" t="s">
        <v>10</v>
      </c>
      <c r="D164" t="s">
        <v>2450</v>
      </c>
      <c r="E164" t="s">
        <v>6989</v>
      </c>
      <c r="F164" t="str">
        <f>LEFT(E164,5)</f>
        <v>서울특별시</v>
      </c>
      <c r="G164" t="str">
        <f t="shared" si="4"/>
        <v xml:space="preserve">강남구 </v>
      </c>
      <c r="H164" t="str">
        <f t="shared" si="5"/>
        <v>역삼동</v>
      </c>
      <c r="I164" t="s">
        <v>6990</v>
      </c>
      <c r="J164" t="s">
        <v>3384</v>
      </c>
      <c r="K164" t="s">
        <v>6991</v>
      </c>
    </row>
    <row r="165" spans="1:11" x14ac:dyDescent="0.4">
      <c r="A165" t="s">
        <v>7297</v>
      </c>
      <c r="B165" t="s">
        <v>9</v>
      </c>
      <c r="C165" t="s">
        <v>10</v>
      </c>
      <c r="D165" t="s">
        <v>2450</v>
      </c>
      <c r="E165" t="s">
        <v>7298</v>
      </c>
      <c r="F165" t="str">
        <f>LEFT(E165,5)</f>
        <v>서울특별시</v>
      </c>
      <c r="G165" t="str">
        <f t="shared" si="4"/>
        <v xml:space="preserve">강남구 </v>
      </c>
      <c r="H165" t="str">
        <f t="shared" si="5"/>
        <v>역삼동</v>
      </c>
      <c r="I165" t="s">
        <v>7299</v>
      </c>
      <c r="J165" t="s">
        <v>2453</v>
      </c>
      <c r="K165" t="s">
        <v>7300</v>
      </c>
    </row>
    <row r="166" spans="1:11" x14ac:dyDescent="0.4">
      <c r="A166" t="s">
        <v>2449</v>
      </c>
      <c r="B166" t="s">
        <v>9</v>
      </c>
      <c r="C166" t="s">
        <v>10</v>
      </c>
      <c r="D166" t="s">
        <v>2450</v>
      </c>
      <c r="E166" t="s">
        <v>2451</v>
      </c>
      <c r="F166" t="str">
        <f>LEFT(E166,5)</f>
        <v>서울특별시</v>
      </c>
      <c r="G166" t="str">
        <f t="shared" si="4"/>
        <v xml:space="preserve">강남구 </v>
      </c>
      <c r="H166" t="str">
        <f t="shared" si="5"/>
        <v>역삼동</v>
      </c>
      <c r="I166" t="s">
        <v>2452</v>
      </c>
      <c r="J166" t="s">
        <v>2453</v>
      </c>
      <c r="K166" t="s">
        <v>2454</v>
      </c>
    </row>
    <row r="167" spans="1:11" x14ac:dyDescent="0.4">
      <c r="A167" t="s">
        <v>7055</v>
      </c>
      <c r="B167" t="s">
        <v>9</v>
      </c>
      <c r="C167" t="s">
        <v>10</v>
      </c>
      <c r="D167" t="s">
        <v>7056</v>
      </c>
      <c r="E167" t="s">
        <v>7057</v>
      </c>
      <c r="F167" t="str">
        <f>LEFT(E167,5)</f>
        <v>서울특별시</v>
      </c>
      <c r="G167" t="str">
        <f t="shared" si="4"/>
        <v xml:space="preserve">강남구 </v>
      </c>
      <c r="H167" t="str">
        <f t="shared" si="5"/>
        <v>청담동</v>
      </c>
      <c r="I167" t="s">
        <v>7058</v>
      </c>
      <c r="J167" t="s">
        <v>7059</v>
      </c>
      <c r="K167" t="s">
        <v>7060</v>
      </c>
    </row>
    <row r="168" spans="1:11" x14ac:dyDescent="0.4">
      <c r="A168" t="s">
        <v>3149</v>
      </c>
      <c r="B168" t="s">
        <v>9</v>
      </c>
      <c r="C168" t="s">
        <v>10</v>
      </c>
      <c r="D168" t="s">
        <v>3150</v>
      </c>
      <c r="E168" t="s">
        <v>3151</v>
      </c>
      <c r="F168" t="str">
        <f>LEFT(E168,5)</f>
        <v>서울특별시</v>
      </c>
      <c r="G168" t="str">
        <f t="shared" si="4"/>
        <v xml:space="preserve">강남구 </v>
      </c>
      <c r="H168" t="str">
        <f t="shared" si="5"/>
        <v>청담동</v>
      </c>
      <c r="I168" t="s">
        <v>3152</v>
      </c>
      <c r="J168" t="s">
        <v>3153</v>
      </c>
      <c r="K168" t="s">
        <v>3154</v>
      </c>
    </row>
    <row r="169" spans="1:11" x14ac:dyDescent="0.4">
      <c r="A169" t="s">
        <v>5750</v>
      </c>
      <c r="B169" t="s">
        <v>9</v>
      </c>
      <c r="C169" t="s">
        <v>10</v>
      </c>
      <c r="D169" t="s">
        <v>5706</v>
      </c>
      <c r="E169" t="s">
        <v>5751</v>
      </c>
      <c r="F169" t="str">
        <f>LEFT(E169,5)</f>
        <v>서울특별시</v>
      </c>
      <c r="G169" t="str">
        <f t="shared" si="4"/>
        <v xml:space="preserve">강남구 </v>
      </c>
      <c r="H169" t="str">
        <f t="shared" si="5"/>
        <v>청담동</v>
      </c>
      <c r="I169" t="s">
        <v>5752</v>
      </c>
      <c r="J169" t="s">
        <v>5753</v>
      </c>
      <c r="K169" t="s">
        <v>5754</v>
      </c>
    </row>
    <row r="170" spans="1:11" x14ac:dyDescent="0.4">
      <c r="A170" t="s">
        <v>5705</v>
      </c>
      <c r="B170" t="s">
        <v>9</v>
      </c>
      <c r="C170" t="s">
        <v>10</v>
      </c>
      <c r="D170" t="s">
        <v>5706</v>
      </c>
      <c r="E170" t="s">
        <v>5707</v>
      </c>
      <c r="F170" t="str">
        <f>LEFT(E170,5)</f>
        <v>서울특별시</v>
      </c>
      <c r="G170" t="str">
        <f t="shared" si="4"/>
        <v xml:space="preserve">강남구 </v>
      </c>
      <c r="H170" t="str">
        <f t="shared" si="5"/>
        <v>청담동</v>
      </c>
      <c r="I170" t="s">
        <v>5708</v>
      </c>
      <c r="J170" t="s">
        <v>5709</v>
      </c>
      <c r="K170" t="s">
        <v>5710</v>
      </c>
    </row>
    <row r="171" spans="1:11" x14ac:dyDescent="0.4">
      <c r="A171" t="s">
        <v>7406</v>
      </c>
      <c r="B171" t="s">
        <v>9</v>
      </c>
      <c r="C171" t="s">
        <v>10</v>
      </c>
      <c r="D171" t="s">
        <v>7056</v>
      </c>
      <c r="E171" t="s">
        <v>7407</v>
      </c>
      <c r="F171" t="str">
        <f>LEFT(E171,5)</f>
        <v>서울특별시</v>
      </c>
      <c r="G171" t="str">
        <f t="shared" si="4"/>
        <v xml:space="preserve">강남구 </v>
      </c>
      <c r="H171" t="str">
        <f t="shared" si="5"/>
        <v>청담동</v>
      </c>
      <c r="I171" t="s">
        <v>7408</v>
      </c>
      <c r="J171" t="s">
        <v>7059</v>
      </c>
      <c r="K171" t="s">
        <v>7409</v>
      </c>
    </row>
    <row r="172" spans="1:11" x14ac:dyDescent="0.4">
      <c r="A172" t="s">
        <v>7293</v>
      </c>
      <c r="B172" t="s">
        <v>9</v>
      </c>
      <c r="C172" t="s">
        <v>10</v>
      </c>
      <c r="D172" t="s">
        <v>7056</v>
      </c>
      <c r="E172" t="s">
        <v>7294</v>
      </c>
      <c r="F172" t="str">
        <f>LEFT(E172,5)</f>
        <v>서울특별시</v>
      </c>
      <c r="G172" t="str">
        <f t="shared" si="4"/>
        <v xml:space="preserve">강남구 </v>
      </c>
      <c r="H172" t="str">
        <f t="shared" si="5"/>
        <v>청담동</v>
      </c>
      <c r="I172" t="s">
        <v>7295</v>
      </c>
      <c r="J172" t="s">
        <v>7059</v>
      </c>
      <c r="K172" t="s">
        <v>7296</v>
      </c>
    </row>
    <row r="173" spans="1:11" x14ac:dyDescent="0.4">
      <c r="A173" t="s">
        <v>8445</v>
      </c>
      <c r="B173" t="s">
        <v>9</v>
      </c>
      <c r="C173" t="s">
        <v>10</v>
      </c>
      <c r="D173" t="s">
        <v>8446</v>
      </c>
      <c r="E173" t="s">
        <v>8447</v>
      </c>
      <c r="F173" t="str">
        <f>LEFT(E173,5)</f>
        <v>서울특별시</v>
      </c>
      <c r="G173" t="str">
        <f t="shared" si="4"/>
        <v xml:space="preserve">강남구 </v>
      </c>
      <c r="H173" t="str">
        <f t="shared" si="5"/>
        <v>청담동</v>
      </c>
      <c r="I173" t="s">
        <v>8448</v>
      </c>
      <c r="J173" t="s">
        <v>8449</v>
      </c>
      <c r="K173" t="s">
        <v>8450</v>
      </c>
    </row>
    <row r="174" spans="1:11" x14ac:dyDescent="0.4">
      <c r="A174" t="s">
        <v>7959</v>
      </c>
      <c r="B174" t="s">
        <v>9</v>
      </c>
      <c r="C174" t="s">
        <v>10</v>
      </c>
      <c r="D174" t="s">
        <v>7056</v>
      </c>
      <c r="E174" t="s">
        <v>7960</v>
      </c>
      <c r="F174" t="str">
        <f>LEFT(E174,5)</f>
        <v>서울특별시</v>
      </c>
      <c r="G174" t="str">
        <f t="shared" si="4"/>
        <v xml:space="preserve">강남구 </v>
      </c>
      <c r="H174" t="str">
        <f t="shared" si="5"/>
        <v>청담동</v>
      </c>
      <c r="I174" t="s">
        <v>7961</v>
      </c>
      <c r="J174" t="s">
        <v>7059</v>
      </c>
      <c r="K174" t="s">
        <v>7962</v>
      </c>
    </row>
    <row r="175" spans="1:11" x14ac:dyDescent="0.4">
      <c r="A175" t="s">
        <v>3364</v>
      </c>
      <c r="B175" t="s">
        <v>9</v>
      </c>
      <c r="C175" t="s">
        <v>10</v>
      </c>
      <c r="D175" t="s">
        <v>3365</v>
      </c>
      <c r="E175" t="s">
        <v>3366</v>
      </c>
      <c r="F175" t="str">
        <f>LEFT(E175,5)</f>
        <v>서울특별시</v>
      </c>
      <c r="G175" t="str">
        <f t="shared" si="4"/>
        <v xml:space="preserve">강남구 </v>
      </c>
      <c r="H175" t="str">
        <f t="shared" si="5"/>
        <v>청담동</v>
      </c>
      <c r="I175" t="s">
        <v>3367</v>
      </c>
      <c r="J175" t="s">
        <v>3368</v>
      </c>
      <c r="K175" t="s">
        <v>3369</v>
      </c>
    </row>
    <row r="176" spans="1:11" x14ac:dyDescent="0.4">
      <c r="A176" t="s">
        <v>4898</v>
      </c>
      <c r="B176" t="s">
        <v>9</v>
      </c>
      <c r="C176" t="s">
        <v>10</v>
      </c>
      <c r="D176" t="s">
        <v>2576</v>
      </c>
      <c r="E176" t="s">
        <v>4899</v>
      </c>
      <c r="F176" t="str">
        <f>LEFT(E176,5)</f>
        <v>서울특별시</v>
      </c>
      <c r="G176" t="str">
        <f t="shared" si="4"/>
        <v xml:space="preserve">강남구 </v>
      </c>
      <c r="H176" t="str">
        <f t="shared" si="5"/>
        <v>청담동</v>
      </c>
      <c r="I176" t="s">
        <v>4900</v>
      </c>
      <c r="J176" t="s">
        <v>4901</v>
      </c>
      <c r="K176" t="s">
        <v>4902</v>
      </c>
    </row>
    <row r="177" spans="1:11" x14ac:dyDescent="0.4">
      <c r="A177" t="s">
        <v>2575</v>
      </c>
      <c r="B177" t="s">
        <v>9</v>
      </c>
      <c r="C177" t="s">
        <v>10</v>
      </c>
      <c r="D177" t="s">
        <v>2576</v>
      </c>
      <c r="E177" t="s">
        <v>2577</v>
      </c>
      <c r="F177" t="str">
        <f>LEFT(E177,5)</f>
        <v>서울특별시</v>
      </c>
      <c r="G177" t="str">
        <f t="shared" si="4"/>
        <v xml:space="preserve">강남구 </v>
      </c>
      <c r="H177" t="str">
        <f t="shared" si="5"/>
        <v>청담동</v>
      </c>
      <c r="I177" t="s">
        <v>2578</v>
      </c>
      <c r="J177" t="s">
        <v>1911</v>
      </c>
      <c r="K177" t="s">
        <v>2579</v>
      </c>
    </row>
    <row r="178" spans="1:11" x14ac:dyDescent="0.4">
      <c r="A178" t="s">
        <v>1907</v>
      </c>
      <c r="B178" t="s">
        <v>9</v>
      </c>
      <c r="C178" t="s">
        <v>10</v>
      </c>
      <c r="D178" t="s">
        <v>1908</v>
      </c>
      <c r="E178" t="s">
        <v>1909</v>
      </c>
      <c r="F178" t="str">
        <f>LEFT(E178,5)</f>
        <v>서울특별시</v>
      </c>
      <c r="G178" t="str">
        <f t="shared" si="4"/>
        <v xml:space="preserve">강남구 </v>
      </c>
      <c r="H178" t="str">
        <f t="shared" si="5"/>
        <v>청담동</v>
      </c>
      <c r="I178" t="s">
        <v>1910</v>
      </c>
      <c r="J178" t="s">
        <v>1911</v>
      </c>
      <c r="K178" t="s">
        <v>1912</v>
      </c>
    </row>
    <row r="179" spans="1:11" x14ac:dyDescent="0.4">
      <c r="A179" t="s">
        <v>6096</v>
      </c>
      <c r="B179" t="s">
        <v>9</v>
      </c>
      <c r="C179" t="s">
        <v>10</v>
      </c>
      <c r="D179" t="s">
        <v>6097</v>
      </c>
      <c r="E179" t="s">
        <v>6098</v>
      </c>
      <c r="F179" t="str">
        <f>LEFT(E179,5)</f>
        <v>서울특별시</v>
      </c>
      <c r="G179" t="str">
        <f t="shared" si="4"/>
        <v xml:space="preserve">강동구 </v>
      </c>
      <c r="H179" t="str">
        <f>MID(SUBSTITUTE(E179," ",""),9,2)</f>
        <v>길동</v>
      </c>
      <c r="I179" t="s">
        <v>6099</v>
      </c>
      <c r="J179" t="s">
        <v>6100</v>
      </c>
      <c r="K179" t="s">
        <v>2480</v>
      </c>
    </row>
    <row r="180" spans="1:11" x14ac:dyDescent="0.4">
      <c r="A180" t="s">
        <v>8425</v>
      </c>
      <c r="B180" t="s">
        <v>9</v>
      </c>
      <c r="C180" t="s">
        <v>10</v>
      </c>
      <c r="D180" t="s">
        <v>6097</v>
      </c>
      <c r="E180" t="s">
        <v>8426</v>
      </c>
      <c r="F180" t="str">
        <f>LEFT(E180,5)</f>
        <v>서울특별시</v>
      </c>
      <c r="G180" t="str">
        <f t="shared" si="4"/>
        <v xml:space="preserve">강동구 </v>
      </c>
      <c r="H180" t="str">
        <f t="shared" ref="H180:H200" si="6">MID(SUBSTITUTE(E180," ",""),9,2)</f>
        <v>길동</v>
      </c>
      <c r="I180" t="s">
        <v>8427</v>
      </c>
      <c r="J180" t="s">
        <v>8428</v>
      </c>
      <c r="K180" t="s">
        <v>8429</v>
      </c>
    </row>
    <row r="181" spans="1:11" x14ac:dyDescent="0.4">
      <c r="A181" t="s">
        <v>5572</v>
      </c>
      <c r="B181" t="s">
        <v>9</v>
      </c>
      <c r="C181" t="s">
        <v>10</v>
      </c>
      <c r="D181" t="s">
        <v>4677</v>
      </c>
      <c r="E181" t="s">
        <v>5573</v>
      </c>
      <c r="F181" t="str">
        <f>LEFT(E181,5)</f>
        <v>서울특별시</v>
      </c>
      <c r="G181" t="str">
        <f t="shared" si="4"/>
        <v xml:space="preserve">강동구 </v>
      </c>
      <c r="H181" t="str">
        <f t="shared" si="6"/>
        <v>길동</v>
      </c>
      <c r="I181" t="s">
        <v>5574</v>
      </c>
      <c r="J181" t="s">
        <v>4680</v>
      </c>
      <c r="K181" t="s">
        <v>5575</v>
      </c>
    </row>
    <row r="182" spans="1:11" x14ac:dyDescent="0.4">
      <c r="A182" t="s">
        <v>4676</v>
      </c>
      <c r="B182" t="s">
        <v>9</v>
      </c>
      <c r="C182" t="s">
        <v>10</v>
      </c>
      <c r="D182" t="s">
        <v>4677</v>
      </c>
      <c r="E182" t="s">
        <v>4678</v>
      </c>
      <c r="F182" t="str">
        <f>LEFT(E182,5)</f>
        <v>서울특별시</v>
      </c>
      <c r="G182" t="str">
        <f t="shared" si="4"/>
        <v xml:space="preserve">강동구 </v>
      </c>
      <c r="H182" t="str">
        <f t="shared" si="6"/>
        <v>길동</v>
      </c>
      <c r="I182" t="s">
        <v>4679</v>
      </c>
      <c r="J182" t="s">
        <v>4680</v>
      </c>
      <c r="K182" t="s">
        <v>4681</v>
      </c>
    </row>
    <row r="183" spans="1:11" x14ac:dyDescent="0.4">
      <c r="A183" t="s">
        <v>8965</v>
      </c>
      <c r="B183" t="s">
        <v>9</v>
      </c>
      <c r="C183" t="s">
        <v>10</v>
      </c>
      <c r="D183" t="s">
        <v>4677</v>
      </c>
      <c r="E183" t="s">
        <v>8966</v>
      </c>
      <c r="F183" t="str">
        <f>LEFT(E183,5)</f>
        <v>서울특별시</v>
      </c>
      <c r="G183" t="str">
        <f t="shared" si="4"/>
        <v xml:space="preserve">강동구 </v>
      </c>
      <c r="H183" t="str">
        <f t="shared" si="6"/>
        <v>길동</v>
      </c>
      <c r="I183" t="s">
        <v>8967</v>
      </c>
      <c r="J183" t="s">
        <v>8968</v>
      </c>
      <c r="K183" t="s">
        <v>8969</v>
      </c>
    </row>
    <row r="184" spans="1:11" x14ac:dyDescent="0.4">
      <c r="A184" t="s">
        <v>8833</v>
      </c>
      <c r="B184" t="s">
        <v>9</v>
      </c>
      <c r="C184" t="s">
        <v>10</v>
      </c>
      <c r="D184" t="s">
        <v>8834</v>
      </c>
      <c r="E184" t="s">
        <v>8835</v>
      </c>
      <c r="F184" t="str">
        <f>LEFT(E184,5)</f>
        <v>서울특별시</v>
      </c>
      <c r="G184" t="str">
        <f t="shared" si="4"/>
        <v xml:space="preserve">강동구 </v>
      </c>
      <c r="H184" t="str">
        <f t="shared" si="6"/>
        <v>길동</v>
      </c>
      <c r="I184" t="s">
        <v>8836</v>
      </c>
      <c r="J184" t="s">
        <v>8837</v>
      </c>
      <c r="K184" t="s">
        <v>8838</v>
      </c>
    </row>
    <row r="185" spans="1:11" x14ac:dyDescent="0.4">
      <c r="A185" t="s">
        <v>6082</v>
      </c>
      <c r="B185" t="s">
        <v>9</v>
      </c>
      <c r="C185" t="s">
        <v>10</v>
      </c>
      <c r="D185" t="s">
        <v>67</v>
      </c>
      <c r="E185" t="s">
        <v>6083</v>
      </c>
      <c r="F185" t="str">
        <f>LEFT(E185,5)</f>
        <v>서울특별시</v>
      </c>
      <c r="G185" t="str">
        <f t="shared" si="4"/>
        <v xml:space="preserve">강동구 </v>
      </c>
      <c r="H185" t="str">
        <f t="shared" si="6"/>
        <v>길동</v>
      </c>
      <c r="I185" t="s">
        <v>6084</v>
      </c>
      <c r="J185" t="s">
        <v>6085</v>
      </c>
      <c r="K185" t="s">
        <v>6086</v>
      </c>
    </row>
    <row r="186" spans="1:11" x14ac:dyDescent="0.4">
      <c r="A186" t="s">
        <v>66</v>
      </c>
      <c r="B186" t="s">
        <v>9</v>
      </c>
      <c r="C186" t="s">
        <v>10</v>
      </c>
      <c r="D186" t="s">
        <v>67</v>
      </c>
      <c r="E186" t="s">
        <v>68</v>
      </c>
      <c r="F186" t="str">
        <f>LEFT(E186,5)</f>
        <v>서울특별시</v>
      </c>
      <c r="G186" t="str">
        <f t="shared" si="4"/>
        <v xml:space="preserve">강동구 </v>
      </c>
      <c r="H186" t="str">
        <f t="shared" si="6"/>
        <v>길동</v>
      </c>
      <c r="I186" t="s">
        <v>69</v>
      </c>
      <c r="J186" t="s">
        <v>70</v>
      </c>
      <c r="K186" t="s">
        <v>71</v>
      </c>
    </row>
    <row r="187" spans="1:11" x14ac:dyDescent="0.4">
      <c r="A187" t="s">
        <v>1559</v>
      </c>
      <c r="B187" t="s">
        <v>9</v>
      </c>
      <c r="C187" t="s">
        <v>10</v>
      </c>
      <c r="D187" t="s">
        <v>597</v>
      </c>
      <c r="E187" t="s">
        <v>1560</v>
      </c>
      <c r="F187" t="str">
        <f>LEFT(E187,5)</f>
        <v>서울특별시</v>
      </c>
      <c r="G187" t="str">
        <f t="shared" si="4"/>
        <v xml:space="preserve">강동구 </v>
      </c>
      <c r="H187" t="str">
        <f t="shared" si="6"/>
        <v>길동</v>
      </c>
      <c r="I187" t="s">
        <v>1561</v>
      </c>
      <c r="J187" t="s">
        <v>70</v>
      </c>
      <c r="K187" t="s">
        <v>1562</v>
      </c>
    </row>
    <row r="188" spans="1:11" x14ac:dyDescent="0.4">
      <c r="A188" t="s">
        <v>924</v>
      </c>
      <c r="B188" t="s">
        <v>9</v>
      </c>
      <c r="C188" t="s">
        <v>10</v>
      </c>
      <c r="D188" t="s">
        <v>597</v>
      </c>
      <c r="E188" t="s">
        <v>925</v>
      </c>
      <c r="F188" t="str">
        <f>LEFT(E188,5)</f>
        <v>서울특별시</v>
      </c>
      <c r="G188" t="str">
        <f t="shared" si="4"/>
        <v xml:space="preserve">강동구 </v>
      </c>
      <c r="H188" t="str">
        <f t="shared" si="6"/>
        <v>길동</v>
      </c>
      <c r="I188" t="s">
        <v>926</v>
      </c>
      <c r="J188" t="s">
        <v>285</v>
      </c>
      <c r="K188" t="s">
        <v>927</v>
      </c>
    </row>
    <row r="189" spans="1:11" x14ac:dyDescent="0.4">
      <c r="A189" t="s">
        <v>596</v>
      </c>
      <c r="B189" t="s">
        <v>9</v>
      </c>
      <c r="C189" t="s">
        <v>10</v>
      </c>
      <c r="D189" t="s">
        <v>597</v>
      </c>
      <c r="E189" t="s">
        <v>598</v>
      </c>
      <c r="F189" t="str">
        <f>LEFT(E189,5)</f>
        <v>서울특별시</v>
      </c>
      <c r="G189" t="str">
        <f t="shared" si="4"/>
        <v xml:space="preserve">강동구 </v>
      </c>
      <c r="H189" t="str">
        <f t="shared" si="6"/>
        <v>길동</v>
      </c>
      <c r="I189" t="s">
        <v>599</v>
      </c>
      <c r="J189" t="s">
        <v>285</v>
      </c>
      <c r="K189" t="s">
        <v>600</v>
      </c>
    </row>
    <row r="190" spans="1:11" x14ac:dyDescent="0.4">
      <c r="A190" t="s">
        <v>1449</v>
      </c>
      <c r="B190" t="s">
        <v>9</v>
      </c>
      <c r="C190" t="s">
        <v>10</v>
      </c>
      <c r="D190" t="s">
        <v>242</v>
      </c>
      <c r="E190" t="s">
        <v>1450</v>
      </c>
      <c r="F190" t="str">
        <f>LEFT(E190,5)</f>
        <v>서울특별시</v>
      </c>
      <c r="G190" t="str">
        <f t="shared" si="4"/>
        <v xml:space="preserve">강동구 </v>
      </c>
      <c r="H190" t="str">
        <f t="shared" si="6"/>
        <v>길동</v>
      </c>
      <c r="I190" t="s">
        <v>1451</v>
      </c>
      <c r="J190" t="s">
        <v>285</v>
      </c>
      <c r="K190" t="s">
        <v>1452</v>
      </c>
    </row>
    <row r="191" spans="1:11" x14ac:dyDescent="0.4">
      <c r="A191" t="s">
        <v>2672</v>
      </c>
      <c r="B191" t="s">
        <v>9</v>
      </c>
      <c r="C191" t="s">
        <v>10</v>
      </c>
      <c r="D191" t="s">
        <v>242</v>
      </c>
      <c r="E191" t="s">
        <v>2673</v>
      </c>
      <c r="F191" t="str">
        <f>LEFT(E191,5)</f>
        <v>서울특별시</v>
      </c>
      <c r="G191" t="str">
        <f t="shared" si="4"/>
        <v xml:space="preserve">강동구 </v>
      </c>
      <c r="H191" t="str">
        <f t="shared" si="6"/>
        <v>길동</v>
      </c>
      <c r="I191" t="s">
        <v>2674</v>
      </c>
      <c r="J191" t="s">
        <v>285</v>
      </c>
      <c r="K191" t="s">
        <v>2675</v>
      </c>
    </row>
    <row r="192" spans="1:11" x14ac:dyDescent="0.4">
      <c r="A192" t="s">
        <v>282</v>
      </c>
      <c r="B192" t="s">
        <v>9</v>
      </c>
      <c r="C192" t="s">
        <v>10</v>
      </c>
      <c r="D192" t="s">
        <v>242</v>
      </c>
      <c r="E192" t="s">
        <v>283</v>
      </c>
      <c r="F192" t="str">
        <f>LEFT(E192,5)</f>
        <v>서울특별시</v>
      </c>
      <c r="G192" t="str">
        <f t="shared" si="4"/>
        <v xml:space="preserve">강동구 </v>
      </c>
      <c r="H192" t="str">
        <f t="shared" si="6"/>
        <v>길동</v>
      </c>
      <c r="I192" t="s">
        <v>284</v>
      </c>
      <c r="J192" t="s">
        <v>285</v>
      </c>
      <c r="K192" t="s">
        <v>286</v>
      </c>
    </row>
    <row r="193" spans="1:11" x14ac:dyDescent="0.4">
      <c r="A193" t="s">
        <v>241</v>
      </c>
      <c r="B193" t="s">
        <v>9</v>
      </c>
      <c r="C193" t="s">
        <v>10</v>
      </c>
      <c r="D193" t="s">
        <v>242</v>
      </c>
      <c r="E193" t="s">
        <v>243</v>
      </c>
      <c r="F193" t="str">
        <f>LEFT(E193,5)</f>
        <v>서울특별시</v>
      </c>
      <c r="G193" t="str">
        <f t="shared" si="4"/>
        <v xml:space="preserve">강동구 </v>
      </c>
      <c r="H193" t="str">
        <f t="shared" si="6"/>
        <v>길동</v>
      </c>
      <c r="I193" t="s">
        <v>244</v>
      </c>
      <c r="J193" t="s">
        <v>70</v>
      </c>
      <c r="K193" t="s">
        <v>245</v>
      </c>
    </row>
    <row r="194" spans="1:11" x14ac:dyDescent="0.4">
      <c r="A194" t="s">
        <v>2793</v>
      </c>
      <c r="B194" t="s">
        <v>9</v>
      </c>
      <c r="C194" t="s">
        <v>10</v>
      </c>
      <c r="D194" t="s">
        <v>2794</v>
      </c>
      <c r="E194" t="s">
        <v>2795</v>
      </c>
      <c r="F194" t="str">
        <f>LEFT(E194,5)</f>
        <v>서울특별시</v>
      </c>
      <c r="G194" t="str">
        <f t="shared" si="4"/>
        <v xml:space="preserve">강동구 </v>
      </c>
      <c r="H194" t="str">
        <f t="shared" si="6"/>
        <v>길동</v>
      </c>
      <c r="I194" t="s">
        <v>2796</v>
      </c>
      <c r="J194" t="s">
        <v>744</v>
      </c>
      <c r="K194" t="s">
        <v>2797</v>
      </c>
    </row>
    <row r="195" spans="1:11" x14ac:dyDescent="0.4">
      <c r="A195" t="s">
        <v>811</v>
      </c>
      <c r="B195" t="s">
        <v>9</v>
      </c>
      <c r="C195" t="s">
        <v>10</v>
      </c>
      <c r="D195" t="s">
        <v>242</v>
      </c>
      <c r="E195" t="s">
        <v>812</v>
      </c>
      <c r="F195" t="str">
        <f>LEFT(E195,5)</f>
        <v>서울특별시</v>
      </c>
      <c r="G195" t="str">
        <f t="shared" ref="G195:G258" si="7">MID(E195,7,4)</f>
        <v xml:space="preserve">강동구 </v>
      </c>
      <c r="H195" t="str">
        <f t="shared" si="6"/>
        <v>길동</v>
      </c>
      <c r="I195" t="s">
        <v>813</v>
      </c>
      <c r="J195" t="s">
        <v>744</v>
      </c>
      <c r="K195" t="s">
        <v>814</v>
      </c>
    </row>
    <row r="196" spans="1:11" x14ac:dyDescent="0.4">
      <c r="A196" t="s">
        <v>5816</v>
      </c>
      <c r="B196" t="s">
        <v>9</v>
      </c>
      <c r="C196" t="s">
        <v>10</v>
      </c>
      <c r="D196" t="s">
        <v>242</v>
      </c>
      <c r="E196" t="s">
        <v>812</v>
      </c>
      <c r="F196" t="str">
        <f>LEFT(E196,5)</f>
        <v>서울특별시</v>
      </c>
      <c r="G196" t="str">
        <f t="shared" si="7"/>
        <v xml:space="preserve">강동구 </v>
      </c>
      <c r="H196" t="str">
        <f t="shared" si="6"/>
        <v>길동</v>
      </c>
      <c r="I196" t="s">
        <v>5817</v>
      </c>
      <c r="J196" t="s">
        <v>744</v>
      </c>
      <c r="K196" t="s">
        <v>5818</v>
      </c>
    </row>
    <row r="197" spans="1:11" x14ac:dyDescent="0.4">
      <c r="A197" t="s">
        <v>741</v>
      </c>
      <c r="B197" t="s">
        <v>9</v>
      </c>
      <c r="C197" t="s">
        <v>10</v>
      </c>
      <c r="D197" t="s">
        <v>242</v>
      </c>
      <c r="E197" t="s">
        <v>742</v>
      </c>
      <c r="F197" t="str">
        <f>LEFT(E197,5)</f>
        <v>서울특별시</v>
      </c>
      <c r="G197" t="str">
        <f t="shared" si="7"/>
        <v xml:space="preserve">강동구 </v>
      </c>
      <c r="H197" t="str">
        <f t="shared" si="6"/>
        <v>길동</v>
      </c>
      <c r="I197" t="s">
        <v>743</v>
      </c>
      <c r="J197" t="s">
        <v>744</v>
      </c>
      <c r="K197" t="s">
        <v>251</v>
      </c>
    </row>
    <row r="198" spans="1:11" x14ac:dyDescent="0.4">
      <c r="A198" t="s">
        <v>1577</v>
      </c>
      <c r="B198" t="s">
        <v>9</v>
      </c>
      <c r="C198" t="s">
        <v>10</v>
      </c>
      <c r="D198" t="s">
        <v>242</v>
      </c>
      <c r="E198" t="s">
        <v>1578</v>
      </c>
      <c r="F198" t="str">
        <f>LEFT(E198,5)</f>
        <v>서울특별시</v>
      </c>
      <c r="G198" t="str">
        <f t="shared" si="7"/>
        <v xml:space="preserve">강동구 </v>
      </c>
      <c r="H198" t="str">
        <f t="shared" si="6"/>
        <v>길동</v>
      </c>
      <c r="I198" t="s">
        <v>1579</v>
      </c>
      <c r="J198" t="s">
        <v>744</v>
      </c>
      <c r="K198" t="s">
        <v>1580</v>
      </c>
    </row>
    <row r="199" spans="1:11" x14ac:dyDescent="0.4">
      <c r="A199" t="s">
        <v>916</v>
      </c>
      <c r="B199" t="s">
        <v>9</v>
      </c>
      <c r="C199" t="s">
        <v>10</v>
      </c>
      <c r="D199" t="s">
        <v>242</v>
      </c>
      <c r="E199" t="s">
        <v>917</v>
      </c>
      <c r="F199" t="str">
        <f>LEFT(E199,5)</f>
        <v>서울특별시</v>
      </c>
      <c r="G199" t="str">
        <f t="shared" si="7"/>
        <v xml:space="preserve">강동구 </v>
      </c>
      <c r="H199" t="str">
        <f t="shared" si="6"/>
        <v>길동</v>
      </c>
      <c r="I199" t="s">
        <v>918</v>
      </c>
      <c r="J199" t="s">
        <v>744</v>
      </c>
      <c r="K199" t="s">
        <v>919</v>
      </c>
    </row>
    <row r="200" spans="1:11" x14ac:dyDescent="0.4">
      <c r="A200" t="s">
        <v>3273</v>
      </c>
      <c r="B200" t="s">
        <v>9</v>
      </c>
      <c r="C200" t="s">
        <v>10</v>
      </c>
      <c r="D200" t="s">
        <v>242</v>
      </c>
      <c r="E200" t="s">
        <v>917</v>
      </c>
      <c r="F200" t="str">
        <f>LEFT(E200,5)</f>
        <v>서울특별시</v>
      </c>
      <c r="G200" t="str">
        <f t="shared" si="7"/>
        <v xml:space="preserve">강동구 </v>
      </c>
      <c r="H200" t="str">
        <f t="shared" si="6"/>
        <v>길동</v>
      </c>
      <c r="I200" t="s">
        <v>3274</v>
      </c>
      <c r="J200" t="s">
        <v>744</v>
      </c>
      <c r="K200" t="s">
        <v>3275</v>
      </c>
    </row>
    <row r="201" spans="1:11" x14ac:dyDescent="0.4">
      <c r="A201" t="s">
        <v>6939</v>
      </c>
      <c r="B201" t="s">
        <v>9</v>
      </c>
      <c r="C201" t="s">
        <v>10</v>
      </c>
      <c r="D201" t="s">
        <v>6189</v>
      </c>
      <c r="E201" t="s">
        <v>6940</v>
      </c>
      <c r="F201" t="str">
        <f>LEFT(E201,5)</f>
        <v>서울특별시</v>
      </c>
      <c r="G201" t="str">
        <f t="shared" si="7"/>
        <v xml:space="preserve">강동구 </v>
      </c>
      <c r="H201" t="str">
        <f t="shared" ref="H195:H258" si="8">MID(SUBSTITUTE(E201," ",""),9,3)</f>
        <v>둔촌동</v>
      </c>
      <c r="I201" t="s">
        <v>6941</v>
      </c>
      <c r="J201" t="s">
        <v>6942</v>
      </c>
      <c r="K201" t="s">
        <v>6943</v>
      </c>
    </row>
    <row r="202" spans="1:11" x14ac:dyDescent="0.4">
      <c r="A202" t="s">
        <v>6188</v>
      </c>
      <c r="B202" t="s">
        <v>9</v>
      </c>
      <c r="C202" t="s">
        <v>10</v>
      </c>
      <c r="D202" t="s">
        <v>6189</v>
      </c>
      <c r="E202" t="s">
        <v>6190</v>
      </c>
      <c r="F202" t="str">
        <f>LEFT(E202,5)</f>
        <v>서울특별시</v>
      </c>
      <c r="G202" t="str">
        <f t="shared" si="7"/>
        <v xml:space="preserve">강동구 </v>
      </c>
      <c r="H202" t="str">
        <f t="shared" si="8"/>
        <v>둔촌동</v>
      </c>
      <c r="I202" t="s">
        <v>6191</v>
      </c>
      <c r="J202" t="s">
        <v>6192</v>
      </c>
      <c r="K202" t="s">
        <v>6193</v>
      </c>
    </row>
    <row r="203" spans="1:11" x14ac:dyDescent="0.4">
      <c r="A203" t="s">
        <v>8042</v>
      </c>
      <c r="B203" t="s">
        <v>9</v>
      </c>
      <c r="C203" t="s">
        <v>10</v>
      </c>
      <c r="D203" t="s">
        <v>5745</v>
      </c>
      <c r="E203" t="s">
        <v>8043</v>
      </c>
      <c r="F203" t="str">
        <f>LEFT(E203,5)</f>
        <v>서울특별시</v>
      </c>
      <c r="G203" t="str">
        <f t="shared" si="7"/>
        <v xml:space="preserve">강동구 </v>
      </c>
      <c r="H203" t="str">
        <f t="shared" si="8"/>
        <v>명일동</v>
      </c>
      <c r="I203" t="s">
        <v>8044</v>
      </c>
      <c r="J203" t="s">
        <v>5748</v>
      </c>
      <c r="K203" t="s">
        <v>8045</v>
      </c>
    </row>
    <row r="204" spans="1:11" x14ac:dyDescent="0.4">
      <c r="A204" t="s">
        <v>5744</v>
      </c>
      <c r="B204" t="s">
        <v>9</v>
      </c>
      <c r="C204" t="s">
        <v>10</v>
      </c>
      <c r="D204" t="s">
        <v>5745</v>
      </c>
      <c r="E204" t="s">
        <v>5746</v>
      </c>
      <c r="F204" t="str">
        <f>LEFT(E204,5)</f>
        <v>서울특별시</v>
      </c>
      <c r="G204" t="str">
        <f t="shared" si="7"/>
        <v xml:space="preserve">강동구 </v>
      </c>
      <c r="H204" t="str">
        <f t="shared" si="8"/>
        <v>명일동</v>
      </c>
      <c r="I204" t="s">
        <v>5747</v>
      </c>
      <c r="J204" t="s">
        <v>5748</v>
      </c>
      <c r="K204" t="s">
        <v>5749</v>
      </c>
    </row>
    <row r="205" spans="1:11" x14ac:dyDescent="0.4">
      <c r="A205" t="s">
        <v>8589</v>
      </c>
      <c r="B205" t="s">
        <v>9</v>
      </c>
      <c r="C205" t="s">
        <v>10</v>
      </c>
      <c r="D205" t="s">
        <v>3262</v>
      </c>
      <c r="E205" t="s">
        <v>8590</v>
      </c>
      <c r="F205" t="str">
        <f>LEFT(E205,5)</f>
        <v>서울특별시</v>
      </c>
      <c r="G205" t="str">
        <f t="shared" si="7"/>
        <v xml:space="preserve">강동구 </v>
      </c>
      <c r="H205" t="str">
        <f t="shared" si="8"/>
        <v>명일동</v>
      </c>
      <c r="I205" t="s">
        <v>8591</v>
      </c>
      <c r="J205" t="s">
        <v>3801</v>
      </c>
      <c r="K205" t="s">
        <v>1558</v>
      </c>
    </row>
    <row r="206" spans="1:11" x14ac:dyDescent="0.4">
      <c r="A206" t="s">
        <v>3798</v>
      </c>
      <c r="B206" t="s">
        <v>9</v>
      </c>
      <c r="C206" t="s">
        <v>10</v>
      </c>
      <c r="D206" t="s">
        <v>3262</v>
      </c>
      <c r="E206" t="s">
        <v>3799</v>
      </c>
      <c r="F206" t="str">
        <f>LEFT(E206,5)</f>
        <v>서울특별시</v>
      </c>
      <c r="G206" t="str">
        <f t="shared" si="7"/>
        <v xml:space="preserve">강동구 </v>
      </c>
      <c r="H206" t="str">
        <f t="shared" si="8"/>
        <v>명일동</v>
      </c>
      <c r="I206" t="s">
        <v>3800</v>
      </c>
      <c r="J206" t="s">
        <v>3801</v>
      </c>
      <c r="K206" t="s">
        <v>3802</v>
      </c>
    </row>
    <row r="207" spans="1:11" x14ac:dyDescent="0.4">
      <c r="A207" t="s">
        <v>6072</v>
      </c>
      <c r="B207" t="s">
        <v>9</v>
      </c>
      <c r="C207" t="s">
        <v>10</v>
      </c>
      <c r="D207" t="s">
        <v>3262</v>
      </c>
      <c r="E207" t="s">
        <v>6073</v>
      </c>
      <c r="F207" t="str">
        <f>LEFT(E207,5)</f>
        <v>서울특별시</v>
      </c>
      <c r="G207" t="str">
        <f t="shared" si="7"/>
        <v xml:space="preserve">강동구 </v>
      </c>
      <c r="H207" t="str">
        <f t="shared" si="8"/>
        <v>명일동</v>
      </c>
      <c r="I207" t="s">
        <v>6074</v>
      </c>
      <c r="J207" t="s">
        <v>3801</v>
      </c>
      <c r="K207" t="s">
        <v>6075</v>
      </c>
    </row>
    <row r="208" spans="1:11" x14ac:dyDescent="0.4">
      <c r="A208" t="s">
        <v>5907</v>
      </c>
      <c r="B208" t="s">
        <v>9</v>
      </c>
      <c r="C208" t="s">
        <v>10</v>
      </c>
      <c r="D208" t="s">
        <v>3262</v>
      </c>
      <c r="E208" t="s">
        <v>5908</v>
      </c>
      <c r="F208" t="str">
        <f>LEFT(E208,5)</f>
        <v>서울특별시</v>
      </c>
      <c r="G208" t="str">
        <f t="shared" si="7"/>
        <v xml:space="preserve">강동구 </v>
      </c>
      <c r="H208" t="str">
        <f t="shared" si="8"/>
        <v>명일동</v>
      </c>
      <c r="I208" t="s">
        <v>5909</v>
      </c>
      <c r="J208" t="s">
        <v>3801</v>
      </c>
      <c r="K208" t="s">
        <v>5910</v>
      </c>
    </row>
    <row r="209" spans="1:11" x14ac:dyDescent="0.4">
      <c r="A209" t="s">
        <v>5099</v>
      </c>
      <c r="B209" t="s">
        <v>9</v>
      </c>
      <c r="C209" t="s">
        <v>10</v>
      </c>
      <c r="D209" t="s">
        <v>3262</v>
      </c>
      <c r="E209" t="s">
        <v>5100</v>
      </c>
      <c r="F209" t="str">
        <f>LEFT(E209,5)</f>
        <v>서울특별시</v>
      </c>
      <c r="G209" t="str">
        <f t="shared" si="7"/>
        <v xml:space="preserve">강동구 </v>
      </c>
      <c r="H209" t="str">
        <f t="shared" si="8"/>
        <v>명일동</v>
      </c>
      <c r="I209" t="s">
        <v>5101</v>
      </c>
      <c r="J209" t="s">
        <v>3265</v>
      </c>
      <c r="K209" t="s">
        <v>5102</v>
      </c>
    </row>
    <row r="210" spans="1:11" x14ac:dyDescent="0.4">
      <c r="A210" t="s">
        <v>3261</v>
      </c>
      <c r="B210" t="s">
        <v>9</v>
      </c>
      <c r="C210" t="s">
        <v>10</v>
      </c>
      <c r="D210" t="s">
        <v>3262</v>
      </c>
      <c r="E210" t="s">
        <v>3263</v>
      </c>
      <c r="F210" t="str">
        <f>LEFT(E210,5)</f>
        <v>서울특별시</v>
      </c>
      <c r="G210" t="str">
        <f t="shared" si="7"/>
        <v xml:space="preserve">강동구 </v>
      </c>
      <c r="H210" t="str">
        <f t="shared" si="8"/>
        <v>명일동</v>
      </c>
      <c r="I210" t="s">
        <v>3264</v>
      </c>
      <c r="J210" t="s">
        <v>3265</v>
      </c>
      <c r="K210" t="s">
        <v>3266</v>
      </c>
    </row>
    <row r="211" spans="1:11" x14ac:dyDescent="0.4">
      <c r="A211" t="s">
        <v>7999</v>
      </c>
      <c r="B211" t="s">
        <v>9</v>
      </c>
      <c r="C211" t="s">
        <v>10</v>
      </c>
      <c r="D211" t="s">
        <v>3262</v>
      </c>
      <c r="E211" t="s">
        <v>8000</v>
      </c>
      <c r="F211" t="str">
        <f>LEFT(E211,5)</f>
        <v>서울특별시</v>
      </c>
      <c r="G211" t="str">
        <f t="shared" si="7"/>
        <v xml:space="preserve">강동구 </v>
      </c>
      <c r="H211" t="str">
        <f t="shared" si="8"/>
        <v>명일동</v>
      </c>
      <c r="I211" t="s">
        <v>8001</v>
      </c>
      <c r="J211" t="s">
        <v>3265</v>
      </c>
      <c r="K211" t="s">
        <v>8002</v>
      </c>
    </row>
    <row r="212" spans="1:11" x14ac:dyDescent="0.4">
      <c r="A212" t="s">
        <v>5630</v>
      </c>
      <c r="B212" t="s">
        <v>9</v>
      </c>
      <c r="C212" t="s">
        <v>10</v>
      </c>
      <c r="D212" t="s">
        <v>3262</v>
      </c>
      <c r="E212" t="s">
        <v>5631</v>
      </c>
      <c r="F212" t="str">
        <f>LEFT(E212,5)</f>
        <v>서울특별시</v>
      </c>
      <c r="G212" t="str">
        <f t="shared" si="7"/>
        <v xml:space="preserve">강동구 </v>
      </c>
      <c r="H212" t="str">
        <f t="shared" si="8"/>
        <v>명일동</v>
      </c>
      <c r="I212" t="s">
        <v>5632</v>
      </c>
      <c r="J212" t="s">
        <v>3265</v>
      </c>
      <c r="K212" t="s">
        <v>5633</v>
      </c>
    </row>
    <row r="213" spans="1:11" x14ac:dyDescent="0.4">
      <c r="A213" t="s">
        <v>8985</v>
      </c>
      <c r="B213" t="s">
        <v>9</v>
      </c>
      <c r="C213" t="s">
        <v>10</v>
      </c>
      <c r="D213" t="s">
        <v>3262</v>
      </c>
      <c r="E213" t="s">
        <v>8986</v>
      </c>
      <c r="F213" t="str">
        <f>LEFT(E213,5)</f>
        <v>서울특별시</v>
      </c>
      <c r="G213" t="str">
        <f t="shared" si="7"/>
        <v xml:space="preserve">강동구 </v>
      </c>
      <c r="H213" t="str">
        <f t="shared" si="8"/>
        <v>명일동</v>
      </c>
      <c r="I213" t="s">
        <v>8987</v>
      </c>
      <c r="J213" t="s">
        <v>8988</v>
      </c>
      <c r="K213" t="s">
        <v>8989</v>
      </c>
    </row>
    <row r="214" spans="1:11" x14ac:dyDescent="0.4">
      <c r="A214" t="s">
        <v>5583</v>
      </c>
      <c r="B214" t="s">
        <v>9</v>
      </c>
      <c r="C214" t="s">
        <v>10</v>
      </c>
      <c r="D214" t="s">
        <v>3262</v>
      </c>
      <c r="E214" t="s">
        <v>5584</v>
      </c>
      <c r="F214" t="str">
        <f>LEFT(E214,5)</f>
        <v>서울특별시</v>
      </c>
      <c r="G214" t="str">
        <f t="shared" si="7"/>
        <v xml:space="preserve">강동구 </v>
      </c>
      <c r="H214" t="str">
        <f t="shared" si="8"/>
        <v>명일동</v>
      </c>
      <c r="I214" t="s">
        <v>5585</v>
      </c>
      <c r="J214" t="s">
        <v>4257</v>
      </c>
      <c r="K214" t="s">
        <v>5586</v>
      </c>
    </row>
    <row r="215" spans="1:11" x14ac:dyDescent="0.4">
      <c r="A215" t="s">
        <v>4254</v>
      </c>
      <c r="B215" t="s">
        <v>9</v>
      </c>
      <c r="C215" t="s">
        <v>10</v>
      </c>
      <c r="D215" t="s">
        <v>3262</v>
      </c>
      <c r="E215" t="s">
        <v>4255</v>
      </c>
      <c r="F215" t="str">
        <f>LEFT(E215,5)</f>
        <v>서울특별시</v>
      </c>
      <c r="G215" t="str">
        <f t="shared" si="7"/>
        <v xml:space="preserve">강동구 </v>
      </c>
      <c r="H215" t="str">
        <f t="shared" si="8"/>
        <v>명일동</v>
      </c>
      <c r="I215" t="s">
        <v>4256</v>
      </c>
      <c r="J215" t="s">
        <v>4257</v>
      </c>
      <c r="K215" t="s">
        <v>978</v>
      </c>
    </row>
    <row r="216" spans="1:11" x14ac:dyDescent="0.4">
      <c r="A216" t="s">
        <v>5488</v>
      </c>
      <c r="B216" t="s">
        <v>9</v>
      </c>
      <c r="C216" t="s">
        <v>10</v>
      </c>
      <c r="D216" t="s">
        <v>5489</v>
      </c>
      <c r="E216" t="s">
        <v>5490</v>
      </c>
      <c r="F216" t="str">
        <f>LEFT(E216,5)</f>
        <v>서울특별시</v>
      </c>
      <c r="G216" t="str">
        <f t="shared" si="7"/>
        <v xml:space="preserve">강동구 </v>
      </c>
      <c r="H216" t="str">
        <f t="shared" si="8"/>
        <v>상일동</v>
      </c>
      <c r="I216" t="s">
        <v>5491</v>
      </c>
      <c r="J216" t="s">
        <v>5492</v>
      </c>
      <c r="K216" t="s">
        <v>5493</v>
      </c>
    </row>
    <row r="217" spans="1:11" x14ac:dyDescent="0.4">
      <c r="A217" t="s">
        <v>412</v>
      </c>
      <c r="B217" t="s">
        <v>9</v>
      </c>
      <c r="C217" t="s">
        <v>10</v>
      </c>
      <c r="D217" t="s">
        <v>391</v>
      </c>
      <c r="E217" t="s">
        <v>413</v>
      </c>
      <c r="F217" t="str">
        <f>LEFT(E217,5)</f>
        <v>서울특별시</v>
      </c>
      <c r="G217" t="str">
        <f t="shared" si="7"/>
        <v xml:space="preserve">강동구 </v>
      </c>
      <c r="H217" t="str">
        <f t="shared" si="8"/>
        <v>성내동</v>
      </c>
      <c r="I217" t="s">
        <v>414</v>
      </c>
      <c r="J217" t="s">
        <v>394</v>
      </c>
      <c r="K217" t="s">
        <v>415</v>
      </c>
    </row>
    <row r="218" spans="1:11" x14ac:dyDescent="0.4">
      <c r="A218" t="s">
        <v>8791</v>
      </c>
      <c r="B218" t="s">
        <v>9</v>
      </c>
      <c r="C218" t="s">
        <v>10</v>
      </c>
      <c r="D218" t="s">
        <v>8792</v>
      </c>
      <c r="E218" t="s">
        <v>8793</v>
      </c>
      <c r="F218" t="str">
        <f>LEFT(E218,5)</f>
        <v>서울특별시</v>
      </c>
      <c r="G218" t="str">
        <f t="shared" si="7"/>
        <v xml:space="preserve">강동구 </v>
      </c>
      <c r="H218" t="str">
        <f t="shared" si="8"/>
        <v>성내동</v>
      </c>
      <c r="I218" t="s">
        <v>8794</v>
      </c>
      <c r="J218" t="s">
        <v>8795</v>
      </c>
      <c r="K218" t="s">
        <v>3324</v>
      </c>
    </row>
    <row r="219" spans="1:11" x14ac:dyDescent="0.4">
      <c r="A219" t="s">
        <v>3340</v>
      </c>
      <c r="B219" t="s">
        <v>9</v>
      </c>
      <c r="C219" t="s">
        <v>10</v>
      </c>
      <c r="D219" t="s">
        <v>391</v>
      </c>
      <c r="E219" t="s">
        <v>3341</v>
      </c>
      <c r="F219" t="str">
        <f>LEFT(E219,5)</f>
        <v>서울특별시</v>
      </c>
      <c r="G219" t="str">
        <f t="shared" si="7"/>
        <v xml:space="preserve">강동구 </v>
      </c>
      <c r="H219" t="str">
        <f t="shared" si="8"/>
        <v>성내동</v>
      </c>
      <c r="I219" t="s">
        <v>3342</v>
      </c>
      <c r="J219" t="s">
        <v>394</v>
      </c>
      <c r="K219" t="s">
        <v>3343</v>
      </c>
    </row>
    <row r="220" spans="1:11" x14ac:dyDescent="0.4">
      <c r="A220" t="s">
        <v>6545</v>
      </c>
      <c r="B220" t="s">
        <v>9</v>
      </c>
      <c r="C220" t="s">
        <v>10</v>
      </c>
      <c r="D220" t="s">
        <v>391</v>
      </c>
      <c r="E220" t="s">
        <v>6546</v>
      </c>
      <c r="F220" t="str">
        <f>LEFT(E220,5)</f>
        <v>서울특별시</v>
      </c>
      <c r="G220" t="str">
        <f t="shared" si="7"/>
        <v xml:space="preserve">강동구 </v>
      </c>
      <c r="H220" t="str">
        <f t="shared" si="8"/>
        <v>성내동</v>
      </c>
      <c r="I220" t="s">
        <v>6547</v>
      </c>
      <c r="J220" t="s">
        <v>394</v>
      </c>
      <c r="K220" t="s">
        <v>6548</v>
      </c>
    </row>
    <row r="221" spans="1:11" x14ac:dyDescent="0.4">
      <c r="A221" t="s">
        <v>209</v>
      </c>
      <c r="B221" t="s">
        <v>9</v>
      </c>
      <c r="C221" t="s">
        <v>10</v>
      </c>
      <c r="D221" t="s">
        <v>391</v>
      </c>
      <c r="E221" t="s">
        <v>392</v>
      </c>
      <c r="F221" t="str">
        <f>LEFT(E221,5)</f>
        <v>서울특별시</v>
      </c>
      <c r="G221" t="str">
        <f t="shared" si="7"/>
        <v xml:space="preserve">강동구 </v>
      </c>
      <c r="H221" t="str">
        <f t="shared" si="8"/>
        <v>성내동</v>
      </c>
      <c r="I221" t="s">
        <v>393</v>
      </c>
      <c r="J221" t="s">
        <v>394</v>
      </c>
      <c r="K221" t="s">
        <v>395</v>
      </c>
    </row>
    <row r="222" spans="1:11" x14ac:dyDescent="0.4">
      <c r="A222" t="s">
        <v>8712</v>
      </c>
      <c r="B222" t="s">
        <v>9</v>
      </c>
      <c r="C222" t="s">
        <v>10</v>
      </c>
      <c r="D222" t="s">
        <v>8713</v>
      </c>
      <c r="E222" t="s">
        <v>8714</v>
      </c>
      <c r="F222" t="str">
        <f>LEFT(E222,5)</f>
        <v>서울특별시</v>
      </c>
      <c r="G222" t="str">
        <f t="shared" si="7"/>
        <v xml:space="preserve">강동구 </v>
      </c>
      <c r="H222" t="str">
        <f t="shared" si="8"/>
        <v>성내동</v>
      </c>
      <c r="I222" t="s">
        <v>8715</v>
      </c>
      <c r="J222" t="s">
        <v>8716</v>
      </c>
      <c r="K222" t="s">
        <v>8717</v>
      </c>
    </row>
    <row r="223" spans="1:11" x14ac:dyDescent="0.4">
      <c r="A223" t="s">
        <v>7341</v>
      </c>
      <c r="B223" t="s">
        <v>9</v>
      </c>
      <c r="C223" t="s">
        <v>10</v>
      </c>
      <c r="D223" t="s">
        <v>7342</v>
      </c>
      <c r="E223" t="s">
        <v>7343</v>
      </c>
      <c r="F223" t="str">
        <f>LEFT(E223,5)</f>
        <v>서울특별시</v>
      </c>
      <c r="G223" t="str">
        <f t="shared" si="7"/>
        <v xml:space="preserve">강동구 </v>
      </c>
      <c r="H223" t="str">
        <f t="shared" si="8"/>
        <v>성내동</v>
      </c>
      <c r="I223" t="s">
        <v>7344</v>
      </c>
      <c r="J223" t="s">
        <v>7345</v>
      </c>
      <c r="K223" t="s">
        <v>7346</v>
      </c>
    </row>
    <row r="224" spans="1:11" x14ac:dyDescent="0.4">
      <c r="A224" t="s">
        <v>7046</v>
      </c>
      <c r="B224" t="s">
        <v>9</v>
      </c>
      <c r="C224" t="s">
        <v>10</v>
      </c>
      <c r="D224" t="s">
        <v>4274</v>
      </c>
      <c r="E224" t="s">
        <v>7047</v>
      </c>
      <c r="F224" t="str">
        <f>LEFT(E224,5)</f>
        <v>서울특별시</v>
      </c>
      <c r="G224" t="str">
        <f t="shared" si="7"/>
        <v xml:space="preserve">강동구 </v>
      </c>
      <c r="H224" t="str">
        <f t="shared" si="8"/>
        <v>성내동</v>
      </c>
      <c r="I224" t="s">
        <v>7048</v>
      </c>
      <c r="J224" t="s">
        <v>4277</v>
      </c>
      <c r="K224" t="s">
        <v>7049</v>
      </c>
    </row>
    <row r="225" spans="1:11" x14ac:dyDescent="0.4">
      <c r="A225" t="s">
        <v>6725</v>
      </c>
      <c r="B225" t="s">
        <v>9</v>
      </c>
      <c r="C225" t="s">
        <v>10</v>
      </c>
      <c r="D225" t="s">
        <v>6726</v>
      </c>
      <c r="E225" t="s">
        <v>6727</v>
      </c>
      <c r="F225" t="str">
        <f>LEFT(E225,5)</f>
        <v>서울특별시</v>
      </c>
      <c r="G225" t="str">
        <f t="shared" si="7"/>
        <v xml:space="preserve">강동구 </v>
      </c>
      <c r="H225" t="str">
        <f t="shared" si="8"/>
        <v>성내동</v>
      </c>
      <c r="I225" t="s">
        <v>6728</v>
      </c>
      <c r="J225" t="s">
        <v>6729</v>
      </c>
      <c r="K225" t="s">
        <v>6730</v>
      </c>
    </row>
    <row r="226" spans="1:11" x14ac:dyDescent="0.4">
      <c r="A226" t="s">
        <v>4273</v>
      </c>
      <c r="B226" t="s">
        <v>9</v>
      </c>
      <c r="C226" t="s">
        <v>10</v>
      </c>
      <c r="D226" t="s">
        <v>4274</v>
      </c>
      <c r="E226" t="s">
        <v>4275</v>
      </c>
      <c r="F226" t="str">
        <f>LEFT(E226,5)</f>
        <v>서울특별시</v>
      </c>
      <c r="G226" t="str">
        <f t="shared" si="7"/>
        <v xml:space="preserve">강동구 </v>
      </c>
      <c r="H226" t="str">
        <f t="shared" si="8"/>
        <v>성내동</v>
      </c>
      <c r="I226" t="s">
        <v>4276</v>
      </c>
      <c r="J226" t="s">
        <v>4277</v>
      </c>
      <c r="K226" t="s">
        <v>4278</v>
      </c>
    </row>
    <row r="227" spans="1:11" x14ac:dyDescent="0.4">
      <c r="A227" t="s">
        <v>2870</v>
      </c>
      <c r="B227" t="s">
        <v>9</v>
      </c>
      <c r="C227" t="s">
        <v>10</v>
      </c>
      <c r="D227" t="s">
        <v>2871</v>
      </c>
      <c r="E227" t="s">
        <v>2872</v>
      </c>
      <c r="F227" t="str">
        <f>LEFT(E227,5)</f>
        <v>서울특별시</v>
      </c>
      <c r="G227" t="str">
        <f t="shared" si="7"/>
        <v xml:space="preserve">강동구 </v>
      </c>
      <c r="H227" t="str">
        <f t="shared" si="8"/>
        <v>성내동</v>
      </c>
      <c r="I227" t="s">
        <v>2873</v>
      </c>
      <c r="J227" t="s">
        <v>2874</v>
      </c>
      <c r="K227" t="s">
        <v>2875</v>
      </c>
    </row>
    <row r="228" spans="1:11" x14ac:dyDescent="0.4">
      <c r="A228" t="s">
        <v>5152</v>
      </c>
      <c r="B228" t="s">
        <v>9</v>
      </c>
      <c r="C228" t="s">
        <v>10</v>
      </c>
      <c r="D228" t="s">
        <v>5153</v>
      </c>
      <c r="E228" t="s">
        <v>5154</v>
      </c>
      <c r="F228" t="str">
        <f>LEFT(E228,5)</f>
        <v>서울특별시</v>
      </c>
      <c r="G228" t="str">
        <f t="shared" si="7"/>
        <v xml:space="preserve">강동구 </v>
      </c>
      <c r="H228" t="str">
        <f t="shared" si="8"/>
        <v>성내동</v>
      </c>
      <c r="I228" t="s">
        <v>5155</v>
      </c>
      <c r="J228" t="s">
        <v>5156</v>
      </c>
      <c r="K228" t="s">
        <v>5157</v>
      </c>
    </row>
    <row r="229" spans="1:11" x14ac:dyDescent="0.4">
      <c r="A229" t="s">
        <v>7556</v>
      </c>
      <c r="B229" t="s">
        <v>9</v>
      </c>
      <c r="C229" t="s">
        <v>10</v>
      </c>
      <c r="D229" t="s">
        <v>7557</v>
      </c>
      <c r="E229" t="s">
        <v>7558</v>
      </c>
      <c r="F229" t="str">
        <f>LEFT(E229,5)</f>
        <v>서울특별시</v>
      </c>
      <c r="G229" t="str">
        <f t="shared" si="7"/>
        <v xml:space="preserve">강동구 </v>
      </c>
      <c r="H229" t="str">
        <f t="shared" si="8"/>
        <v>성내동</v>
      </c>
      <c r="I229" t="s">
        <v>7559</v>
      </c>
      <c r="J229" t="s">
        <v>7560</v>
      </c>
      <c r="K229" t="s">
        <v>7561</v>
      </c>
    </row>
    <row r="230" spans="1:11" x14ac:dyDescent="0.4">
      <c r="A230" t="s">
        <v>4022</v>
      </c>
      <c r="B230" t="s">
        <v>9</v>
      </c>
      <c r="C230" t="s">
        <v>10</v>
      </c>
      <c r="D230" t="s">
        <v>4023</v>
      </c>
      <c r="E230" t="s">
        <v>4024</v>
      </c>
      <c r="F230" t="str">
        <f>LEFT(E230,5)</f>
        <v>서울특별시</v>
      </c>
      <c r="G230" t="str">
        <f t="shared" si="7"/>
        <v xml:space="preserve">강동구 </v>
      </c>
      <c r="H230" t="str">
        <f t="shared" si="8"/>
        <v>암사동</v>
      </c>
      <c r="I230" t="s">
        <v>4025</v>
      </c>
      <c r="J230" t="s">
        <v>4026</v>
      </c>
      <c r="K230" t="s">
        <v>2763</v>
      </c>
    </row>
    <row r="231" spans="1:11" x14ac:dyDescent="0.4">
      <c r="A231" t="s">
        <v>4826</v>
      </c>
      <c r="B231" t="s">
        <v>9</v>
      </c>
      <c r="C231" t="s">
        <v>10</v>
      </c>
      <c r="D231" t="s">
        <v>4023</v>
      </c>
      <c r="E231" t="s">
        <v>4827</v>
      </c>
      <c r="F231" t="str">
        <f>LEFT(E231,5)</f>
        <v>서울특별시</v>
      </c>
      <c r="G231" t="str">
        <f t="shared" si="7"/>
        <v xml:space="preserve">강동구 </v>
      </c>
      <c r="H231" t="str">
        <f t="shared" si="8"/>
        <v>암사동</v>
      </c>
      <c r="I231" t="s">
        <v>4828</v>
      </c>
      <c r="J231" t="s">
        <v>4026</v>
      </c>
      <c r="K231" t="s">
        <v>4829</v>
      </c>
    </row>
    <row r="232" spans="1:11" x14ac:dyDescent="0.4">
      <c r="A232" t="s">
        <v>5901</v>
      </c>
      <c r="B232" t="s">
        <v>9</v>
      </c>
      <c r="C232" t="s">
        <v>10</v>
      </c>
      <c r="D232" t="s">
        <v>5902</v>
      </c>
      <c r="E232" t="s">
        <v>5903</v>
      </c>
      <c r="F232" t="str">
        <f>LEFT(E232,5)</f>
        <v>서울특별시</v>
      </c>
      <c r="G232" t="str">
        <f t="shared" si="7"/>
        <v xml:space="preserve">강동구 </v>
      </c>
      <c r="H232" t="str">
        <f t="shared" si="8"/>
        <v>암사동</v>
      </c>
      <c r="I232" t="s">
        <v>5904</v>
      </c>
      <c r="J232" t="s">
        <v>5905</v>
      </c>
      <c r="K232" t="s">
        <v>5906</v>
      </c>
    </row>
    <row r="233" spans="1:11" x14ac:dyDescent="0.4">
      <c r="A233" t="s">
        <v>6926</v>
      </c>
      <c r="B233" t="s">
        <v>9</v>
      </c>
      <c r="C233" t="s">
        <v>10</v>
      </c>
      <c r="D233" t="s">
        <v>5902</v>
      </c>
      <c r="E233" t="s">
        <v>6927</v>
      </c>
      <c r="F233" t="str">
        <f>LEFT(E233,5)</f>
        <v>서울특별시</v>
      </c>
      <c r="G233" t="str">
        <f t="shared" si="7"/>
        <v xml:space="preserve">강동구 </v>
      </c>
      <c r="H233" t="str">
        <f t="shared" si="8"/>
        <v>암사동</v>
      </c>
      <c r="I233" t="s">
        <v>6928</v>
      </c>
      <c r="J233" t="s">
        <v>5905</v>
      </c>
      <c r="K233" t="s">
        <v>6929</v>
      </c>
    </row>
    <row r="234" spans="1:11" x14ac:dyDescent="0.4">
      <c r="A234" t="s">
        <v>8642</v>
      </c>
      <c r="B234" t="s">
        <v>9</v>
      </c>
      <c r="C234" t="s">
        <v>10</v>
      </c>
      <c r="D234" t="s">
        <v>5902</v>
      </c>
      <c r="E234" t="s">
        <v>8643</v>
      </c>
      <c r="F234" t="str">
        <f>LEFT(E234,5)</f>
        <v>서울특별시</v>
      </c>
      <c r="G234" t="str">
        <f t="shared" si="7"/>
        <v xml:space="preserve">강동구 </v>
      </c>
      <c r="H234" t="str">
        <f t="shared" si="8"/>
        <v>암사동</v>
      </c>
      <c r="I234" t="s">
        <v>8644</v>
      </c>
      <c r="J234" t="s">
        <v>8645</v>
      </c>
      <c r="K234" t="s">
        <v>1977</v>
      </c>
    </row>
    <row r="235" spans="1:11" x14ac:dyDescent="0.4">
      <c r="A235" t="s">
        <v>6540</v>
      </c>
      <c r="B235" t="s">
        <v>9</v>
      </c>
      <c r="C235" t="s">
        <v>10</v>
      </c>
      <c r="D235" t="s">
        <v>6077</v>
      </c>
      <c r="E235" t="s">
        <v>6541</v>
      </c>
      <c r="F235" t="str">
        <f>LEFT(E235,5)</f>
        <v>서울특별시</v>
      </c>
      <c r="G235" t="str">
        <f t="shared" si="7"/>
        <v xml:space="preserve">강동구 </v>
      </c>
      <c r="H235" t="str">
        <f t="shared" si="8"/>
        <v>암사동</v>
      </c>
      <c r="I235" t="s">
        <v>6542</v>
      </c>
      <c r="J235" t="s">
        <v>6543</v>
      </c>
      <c r="K235" t="s">
        <v>6544</v>
      </c>
    </row>
    <row r="236" spans="1:11" x14ac:dyDescent="0.4">
      <c r="A236" t="s">
        <v>6076</v>
      </c>
      <c r="B236" t="s">
        <v>9</v>
      </c>
      <c r="C236" t="s">
        <v>10</v>
      </c>
      <c r="D236" t="s">
        <v>6077</v>
      </c>
      <c r="E236" t="s">
        <v>6078</v>
      </c>
      <c r="F236" t="str">
        <f>LEFT(E236,5)</f>
        <v>서울특별시</v>
      </c>
      <c r="G236" t="str">
        <f t="shared" si="7"/>
        <v xml:space="preserve">강동구 </v>
      </c>
      <c r="H236" t="str">
        <f t="shared" si="8"/>
        <v>암사동</v>
      </c>
      <c r="I236" t="s">
        <v>6079</v>
      </c>
      <c r="J236" t="s">
        <v>6080</v>
      </c>
      <c r="K236" t="s">
        <v>6081</v>
      </c>
    </row>
    <row r="237" spans="1:11" x14ac:dyDescent="0.4">
      <c r="A237" t="s">
        <v>2911</v>
      </c>
      <c r="B237" t="s">
        <v>9</v>
      </c>
      <c r="C237" t="s">
        <v>10</v>
      </c>
      <c r="D237" t="s">
        <v>417</v>
      </c>
      <c r="E237" t="s">
        <v>2912</v>
      </c>
      <c r="F237" t="str">
        <f>LEFT(E237,5)</f>
        <v>서울특별시</v>
      </c>
      <c r="G237" t="str">
        <f t="shared" si="7"/>
        <v xml:space="preserve">강동구 </v>
      </c>
      <c r="H237" t="str">
        <f t="shared" si="8"/>
        <v>천호동</v>
      </c>
      <c r="I237" t="s">
        <v>2913</v>
      </c>
      <c r="J237" t="s">
        <v>2914</v>
      </c>
      <c r="K237" t="s">
        <v>2915</v>
      </c>
    </row>
    <row r="238" spans="1:11" x14ac:dyDescent="0.4">
      <c r="A238" t="s">
        <v>3987</v>
      </c>
      <c r="B238" t="s">
        <v>9</v>
      </c>
      <c r="C238" t="s">
        <v>10</v>
      </c>
      <c r="D238" t="s">
        <v>417</v>
      </c>
      <c r="E238" t="s">
        <v>3988</v>
      </c>
      <c r="F238" t="str">
        <f>LEFT(E238,5)</f>
        <v>서울특별시</v>
      </c>
      <c r="G238" t="str">
        <f t="shared" si="7"/>
        <v xml:space="preserve">강동구 </v>
      </c>
      <c r="H238" t="str">
        <f t="shared" si="8"/>
        <v>천호동</v>
      </c>
      <c r="I238" t="s">
        <v>3989</v>
      </c>
      <c r="J238" t="s">
        <v>3990</v>
      </c>
      <c r="K238" t="s">
        <v>3991</v>
      </c>
    </row>
    <row r="239" spans="1:11" x14ac:dyDescent="0.4">
      <c r="A239" t="s">
        <v>8348</v>
      </c>
      <c r="B239" t="s">
        <v>9</v>
      </c>
      <c r="C239" t="s">
        <v>10</v>
      </c>
      <c r="D239" t="s">
        <v>7669</v>
      </c>
      <c r="E239" t="s">
        <v>8349</v>
      </c>
      <c r="F239" t="str">
        <f>LEFT(E239,5)</f>
        <v>서울특별시</v>
      </c>
      <c r="G239" t="str">
        <f t="shared" si="7"/>
        <v xml:space="preserve">강동구 </v>
      </c>
      <c r="H239" t="str">
        <f t="shared" si="8"/>
        <v>천호동</v>
      </c>
      <c r="I239" t="s">
        <v>8350</v>
      </c>
      <c r="J239" t="s">
        <v>8351</v>
      </c>
      <c r="K239" t="s">
        <v>8352</v>
      </c>
    </row>
    <row r="240" spans="1:11" x14ac:dyDescent="0.4">
      <c r="A240" t="s">
        <v>7668</v>
      </c>
      <c r="B240" t="s">
        <v>9</v>
      </c>
      <c r="C240" t="s">
        <v>10</v>
      </c>
      <c r="D240" t="s">
        <v>7669</v>
      </c>
      <c r="E240" t="s">
        <v>7670</v>
      </c>
      <c r="F240" t="str">
        <f>LEFT(E240,5)</f>
        <v>서울특별시</v>
      </c>
      <c r="G240" t="str">
        <f t="shared" si="7"/>
        <v xml:space="preserve">강동구 </v>
      </c>
      <c r="H240" t="str">
        <f t="shared" si="8"/>
        <v>천호동</v>
      </c>
      <c r="I240" t="s">
        <v>7671</v>
      </c>
      <c r="J240" t="s">
        <v>7672</v>
      </c>
      <c r="K240" t="s">
        <v>7673</v>
      </c>
    </row>
    <row r="241" spans="1:11" x14ac:dyDescent="0.4">
      <c r="A241" t="s">
        <v>4504</v>
      </c>
      <c r="B241" t="s">
        <v>9</v>
      </c>
      <c r="C241" t="s">
        <v>10</v>
      </c>
      <c r="D241" t="s">
        <v>3838</v>
      </c>
      <c r="E241" t="s">
        <v>4505</v>
      </c>
      <c r="F241" t="str">
        <f>LEFT(E241,5)</f>
        <v>서울특별시</v>
      </c>
      <c r="G241" t="str">
        <f t="shared" si="7"/>
        <v xml:space="preserve">강동구 </v>
      </c>
      <c r="H241" t="str">
        <f t="shared" si="8"/>
        <v>천호동</v>
      </c>
      <c r="I241" t="s">
        <v>4506</v>
      </c>
      <c r="J241" t="s">
        <v>4507</v>
      </c>
      <c r="K241" t="s">
        <v>4508</v>
      </c>
    </row>
    <row r="242" spans="1:11" x14ac:dyDescent="0.4">
      <c r="A242" t="s">
        <v>5939</v>
      </c>
      <c r="B242" t="s">
        <v>9</v>
      </c>
      <c r="C242" t="s">
        <v>10</v>
      </c>
      <c r="D242" t="s">
        <v>3838</v>
      </c>
      <c r="E242" t="s">
        <v>5940</v>
      </c>
      <c r="F242" t="str">
        <f>LEFT(E242,5)</f>
        <v>서울특별시</v>
      </c>
      <c r="G242" t="str">
        <f t="shared" si="7"/>
        <v xml:space="preserve">강동구 </v>
      </c>
      <c r="H242" t="str">
        <f t="shared" si="8"/>
        <v>천호동</v>
      </c>
      <c r="I242" t="s">
        <v>5941</v>
      </c>
      <c r="J242" t="s">
        <v>5942</v>
      </c>
      <c r="K242" t="s">
        <v>5943</v>
      </c>
    </row>
    <row r="243" spans="1:11" x14ac:dyDescent="0.4">
      <c r="A243" t="s">
        <v>3837</v>
      </c>
      <c r="B243" t="s">
        <v>9</v>
      </c>
      <c r="C243" t="s">
        <v>10</v>
      </c>
      <c r="D243" t="s">
        <v>3838</v>
      </c>
      <c r="E243" t="s">
        <v>3839</v>
      </c>
      <c r="F243" t="str">
        <f>LEFT(E243,5)</f>
        <v>서울특별시</v>
      </c>
      <c r="G243" t="str">
        <f t="shared" si="7"/>
        <v xml:space="preserve">강동구 </v>
      </c>
      <c r="H243" t="str">
        <f t="shared" si="8"/>
        <v>천호동</v>
      </c>
      <c r="I243" t="s">
        <v>3840</v>
      </c>
      <c r="J243" t="s">
        <v>3841</v>
      </c>
      <c r="K243" t="s">
        <v>3842</v>
      </c>
    </row>
    <row r="244" spans="1:11" x14ac:dyDescent="0.4">
      <c r="A244" t="s">
        <v>8783</v>
      </c>
      <c r="B244" t="s">
        <v>9</v>
      </c>
      <c r="C244" t="s">
        <v>10</v>
      </c>
      <c r="D244" t="s">
        <v>3838</v>
      </c>
      <c r="E244" t="s">
        <v>8784</v>
      </c>
      <c r="F244" t="str">
        <f>LEFT(E244,5)</f>
        <v>서울특별시</v>
      </c>
      <c r="G244" t="str">
        <f t="shared" si="7"/>
        <v xml:space="preserve">강동구 </v>
      </c>
      <c r="H244" t="str">
        <f t="shared" si="8"/>
        <v>천호동</v>
      </c>
      <c r="I244" t="s">
        <v>8785</v>
      </c>
      <c r="J244" t="s">
        <v>5976</v>
      </c>
      <c r="K244" t="s">
        <v>8786</v>
      </c>
    </row>
    <row r="245" spans="1:11" x14ac:dyDescent="0.4">
      <c r="A245" t="s">
        <v>5973</v>
      </c>
      <c r="B245" t="s">
        <v>9</v>
      </c>
      <c r="C245" t="s">
        <v>10</v>
      </c>
      <c r="D245" t="s">
        <v>3838</v>
      </c>
      <c r="E245" t="s">
        <v>5974</v>
      </c>
      <c r="F245" t="str">
        <f>LEFT(E245,5)</f>
        <v>서울특별시</v>
      </c>
      <c r="G245" t="str">
        <f t="shared" si="7"/>
        <v xml:space="preserve">강동구 </v>
      </c>
      <c r="H245" t="str">
        <f t="shared" si="8"/>
        <v>천호동</v>
      </c>
      <c r="I245" t="s">
        <v>5975</v>
      </c>
      <c r="J245" t="s">
        <v>5976</v>
      </c>
      <c r="K245" t="s">
        <v>3237</v>
      </c>
    </row>
    <row r="246" spans="1:11" x14ac:dyDescent="0.4">
      <c r="A246" t="s">
        <v>2849</v>
      </c>
      <c r="B246" t="s">
        <v>9</v>
      </c>
      <c r="C246" t="s">
        <v>10</v>
      </c>
      <c r="D246" t="s">
        <v>2850</v>
      </c>
      <c r="E246" t="s">
        <v>2851</v>
      </c>
      <c r="F246" t="str">
        <f>LEFT(E246,5)</f>
        <v>서울특별시</v>
      </c>
      <c r="G246" t="str">
        <f t="shared" si="7"/>
        <v xml:space="preserve">강동구 </v>
      </c>
      <c r="H246" t="str">
        <f t="shared" si="8"/>
        <v>천호동</v>
      </c>
      <c r="I246" t="s">
        <v>2852</v>
      </c>
      <c r="J246" t="s">
        <v>2853</v>
      </c>
      <c r="K246" t="s">
        <v>2854</v>
      </c>
    </row>
    <row r="247" spans="1:11" x14ac:dyDescent="0.4">
      <c r="A247" t="s">
        <v>7947</v>
      </c>
      <c r="B247" t="s">
        <v>9</v>
      </c>
      <c r="C247" t="s">
        <v>10</v>
      </c>
      <c r="D247" t="s">
        <v>7948</v>
      </c>
      <c r="E247" t="s">
        <v>7949</v>
      </c>
      <c r="F247" t="str">
        <f>LEFT(E247,5)</f>
        <v>서울특별시</v>
      </c>
      <c r="G247" t="str">
        <f t="shared" si="7"/>
        <v xml:space="preserve">강동구 </v>
      </c>
      <c r="H247" t="str">
        <f t="shared" si="8"/>
        <v>천호동</v>
      </c>
      <c r="I247" t="s">
        <v>7950</v>
      </c>
      <c r="J247" t="s">
        <v>7951</v>
      </c>
      <c r="K247" t="s">
        <v>7952</v>
      </c>
    </row>
    <row r="248" spans="1:11" x14ac:dyDescent="0.4">
      <c r="A248" t="s">
        <v>8072</v>
      </c>
      <c r="B248" t="s">
        <v>9</v>
      </c>
      <c r="C248" t="s">
        <v>10</v>
      </c>
      <c r="D248" t="s">
        <v>7948</v>
      </c>
      <c r="E248" t="s">
        <v>8073</v>
      </c>
      <c r="F248" t="str">
        <f>LEFT(E248,5)</f>
        <v>서울특별시</v>
      </c>
      <c r="G248" t="str">
        <f t="shared" si="7"/>
        <v xml:space="preserve">강동구 </v>
      </c>
      <c r="H248" t="str">
        <f t="shared" si="8"/>
        <v>천호동</v>
      </c>
      <c r="I248" t="s">
        <v>8074</v>
      </c>
      <c r="J248" t="s">
        <v>7951</v>
      </c>
      <c r="K248" t="s">
        <v>8075</v>
      </c>
    </row>
    <row r="249" spans="1:11" x14ac:dyDescent="0.4">
      <c r="A249" t="s">
        <v>3591</v>
      </c>
      <c r="B249" t="s">
        <v>9</v>
      </c>
      <c r="C249" t="s">
        <v>10</v>
      </c>
      <c r="D249" t="s">
        <v>3592</v>
      </c>
      <c r="E249" t="s">
        <v>3593</v>
      </c>
      <c r="F249" t="str">
        <f>LEFT(E249,5)</f>
        <v>서울특별시</v>
      </c>
      <c r="G249" t="str">
        <f t="shared" si="7"/>
        <v xml:space="preserve">강동구 </v>
      </c>
      <c r="H249" t="str">
        <f t="shared" si="8"/>
        <v>천호동</v>
      </c>
      <c r="I249" t="s">
        <v>3594</v>
      </c>
      <c r="J249" t="s">
        <v>3595</v>
      </c>
      <c r="K249" t="s">
        <v>3596</v>
      </c>
    </row>
    <row r="250" spans="1:11" x14ac:dyDescent="0.4">
      <c r="A250" t="s">
        <v>7552</v>
      </c>
      <c r="B250" t="s">
        <v>9</v>
      </c>
      <c r="C250" t="s">
        <v>10</v>
      </c>
      <c r="D250" t="s">
        <v>700</v>
      </c>
      <c r="E250" t="s">
        <v>7553</v>
      </c>
      <c r="F250" t="str">
        <f>LEFT(E250,5)</f>
        <v>서울특별시</v>
      </c>
      <c r="G250" t="str">
        <f t="shared" si="7"/>
        <v xml:space="preserve">강동구 </v>
      </c>
      <c r="H250" t="str">
        <f t="shared" si="8"/>
        <v>천호동</v>
      </c>
      <c r="I250" t="s">
        <v>7554</v>
      </c>
      <c r="J250" t="s">
        <v>1019</v>
      </c>
      <c r="K250" t="s">
        <v>7555</v>
      </c>
    </row>
    <row r="251" spans="1:11" x14ac:dyDescent="0.4">
      <c r="A251" t="s">
        <v>699</v>
      </c>
      <c r="B251" t="s">
        <v>9</v>
      </c>
      <c r="C251" t="s">
        <v>10</v>
      </c>
      <c r="D251" t="s">
        <v>700</v>
      </c>
      <c r="E251" t="s">
        <v>701</v>
      </c>
      <c r="F251" t="str">
        <f>LEFT(E251,5)</f>
        <v>서울특별시</v>
      </c>
      <c r="G251" t="str">
        <f t="shared" si="7"/>
        <v xml:space="preserve">강동구 </v>
      </c>
      <c r="H251" t="str">
        <f t="shared" si="8"/>
        <v>천호동</v>
      </c>
      <c r="I251" t="s">
        <v>702</v>
      </c>
      <c r="J251" t="s">
        <v>420</v>
      </c>
      <c r="K251" t="s">
        <v>703</v>
      </c>
    </row>
    <row r="252" spans="1:11" x14ac:dyDescent="0.4">
      <c r="A252" t="s">
        <v>6827</v>
      </c>
      <c r="B252" t="s">
        <v>9</v>
      </c>
      <c r="C252" t="s">
        <v>10</v>
      </c>
      <c r="D252" t="s">
        <v>700</v>
      </c>
      <c r="E252" t="s">
        <v>6828</v>
      </c>
      <c r="F252" t="str">
        <f>LEFT(E252,5)</f>
        <v>서울특별시</v>
      </c>
      <c r="G252" t="str">
        <f t="shared" si="7"/>
        <v xml:space="preserve">강동구 </v>
      </c>
      <c r="H252" t="str">
        <f t="shared" si="8"/>
        <v>천호동</v>
      </c>
      <c r="I252" t="s">
        <v>6829</v>
      </c>
      <c r="J252" t="s">
        <v>420</v>
      </c>
      <c r="K252" t="s">
        <v>6830</v>
      </c>
    </row>
    <row r="253" spans="1:11" x14ac:dyDescent="0.4">
      <c r="A253" t="s">
        <v>712</v>
      </c>
      <c r="B253" t="s">
        <v>9</v>
      </c>
      <c r="C253" t="s">
        <v>10</v>
      </c>
      <c r="D253" t="s">
        <v>700</v>
      </c>
      <c r="E253" t="s">
        <v>713</v>
      </c>
      <c r="F253" t="str">
        <f>LEFT(E253,5)</f>
        <v>서울특별시</v>
      </c>
      <c r="G253" t="str">
        <f t="shared" si="7"/>
        <v xml:space="preserve">강동구 </v>
      </c>
      <c r="H253" t="str">
        <f t="shared" si="8"/>
        <v>천호동</v>
      </c>
      <c r="I253" t="s">
        <v>714</v>
      </c>
      <c r="J253" t="s">
        <v>420</v>
      </c>
      <c r="K253" t="s">
        <v>715</v>
      </c>
    </row>
    <row r="254" spans="1:11" x14ac:dyDescent="0.4">
      <c r="A254" t="s">
        <v>2005</v>
      </c>
      <c r="B254" t="s">
        <v>9</v>
      </c>
      <c r="C254" t="s">
        <v>10</v>
      </c>
      <c r="D254" t="s">
        <v>700</v>
      </c>
      <c r="E254" t="s">
        <v>2006</v>
      </c>
      <c r="F254" t="str">
        <f>LEFT(E254,5)</f>
        <v>서울특별시</v>
      </c>
      <c r="G254" t="str">
        <f t="shared" si="7"/>
        <v xml:space="preserve">강동구 </v>
      </c>
      <c r="H254" t="str">
        <f t="shared" si="8"/>
        <v>천호동</v>
      </c>
      <c r="I254" t="s">
        <v>2007</v>
      </c>
      <c r="J254" t="s">
        <v>420</v>
      </c>
      <c r="K254" t="s">
        <v>2008</v>
      </c>
    </row>
    <row r="255" spans="1:11" x14ac:dyDescent="0.4">
      <c r="A255" t="s">
        <v>1424</v>
      </c>
      <c r="B255" t="s">
        <v>9</v>
      </c>
      <c r="C255" t="s">
        <v>10</v>
      </c>
      <c r="D255" t="s">
        <v>1425</v>
      </c>
      <c r="E255" t="s">
        <v>1426</v>
      </c>
      <c r="F255" t="str">
        <f>LEFT(E255,5)</f>
        <v>서울특별시</v>
      </c>
      <c r="G255" t="str">
        <f t="shared" si="7"/>
        <v xml:space="preserve">강동구 </v>
      </c>
      <c r="H255" t="str">
        <f t="shared" si="8"/>
        <v>천호동</v>
      </c>
      <c r="I255" t="s">
        <v>1427</v>
      </c>
      <c r="J255" t="s">
        <v>1428</v>
      </c>
      <c r="K255" t="s">
        <v>1429</v>
      </c>
    </row>
    <row r="256" spans="1:11" x14ac:dyDescent="0.4">
      <c r="A256" t="s">
        <v>416</v>
      </c>
      <c r="B256" t="s">
        <v>9</v>
      </c>
      <c r="C256" t="s">
        <v>10</v>
      </c>
      <c r="D256" t="s">
        <v>417</v>
      </c>
      <c r="E256" t="s">
        <v>418</v>
      </c>
      <c r="F256" t="str">
        <f>LEFT(E256,5)</f>
        <v>서울특별시</v>
      </c>
      <c r="G256" t="str">
        <f t="shared" si="7"/>
        <v xml:space="preserve">강동구 </v>
      </c>
      <c r="H256" t="str">
        <f t="shared" si="8"/>
        <v>천호동</v>
      </c>
      <c r="I256" t="s">
        <v>419</v>
      </c>
      <c r="J256" t="s">
        <v>420</v>
      </c>
      <c r="K256" t="s">
        <v>421</v>
      </c>
    </row>
    <row r="257" spans="1:11" x14ac:dyDescent="0.4">
      <c r="A257" t="s">
        <v>3113</v>
      </c>
      <c r="B257" t="s">
        <v>9</v>
      </c>
      <c r="C257" t="s">
        <v>10</v>
      </c>
      <c r="D257" t="s">
        <v>417</v>
      </c>
      <c r="E257" t="s">
        <v>3114</v>
      </c>
      <c r="F257" t="str">
        <f>LEFT(E257,5)</f>
        <v>서울특별시</v>
      </c>
      <c r="G257" t="str">
        <f t="shared" si="7"/>
        <v xml:space="preserve">강동구 </v>
      </c>
      <c r="H257" t="str">
        <f t="shared" si="8"/>
        <v>천호동</v>
      </c>
      <c r="I257" t="s">
        <v>3115</v>
      </c>
      <c r="J257" t="s">
        <v>420</v>
      </c>
      <c r="K257" t="s">
        <v>3116</v>
      </c>
    </row>
    <row r="258" spans="1:11" x14ac:dyDescent="0.4">
      <c r="A258" t="s">
        <v>8891</v>
      </c>
      <c r="B258" t="s">
        <v>9</v>
      </c>
      <c r="C258" t="s">
        <v>10</v>
      </c>
      <c r="D258" t="s">
        <v>8892</v>
      </c>
      <c r="E258" t="s">
        <v>8893</v>
      </c>
      <c r="F258" t="str">
        <f>LEFT(E258,5)</f>
        <v>서울특별시</v>
      </c>
      <c r="G258" t="str">
        <f t="shared" si="7"/>
        <v xml:space="preserve">강동구 </v>
      </c>
      <c r="H258" t="str">
        <f t="shared" si="8"/>
        <v>천호동</v>
      </c>
      <c r="I258" t="s">
        <v>8894</v>
      </c>
      <c r="J258" t="s">
        <v>8895</v>
      </c>
      <c r="K258" t="s">
        <v>8896</v>
      </c>
    </row>
    <row r="259" spans="1:11" x14ac:dyDescent="0.4">
      <c r="A259" t="s">
        <v>1016</v>
      </c>
      <c r="B259" t="s">
        <v>9</v>
      </c>
      <c r="C259" t="s">
        <v>10</v>
      </c>
      <c r="D259" t="s">
        <v>700</v>
      </c>
      <c r="E259" t="s">
        <v>1017</v>
      </c>
      <c r="F259" t="str">
        <f>LEFT(E259,5)</f>
        <v>서울특별시</v>
      </c>
      <c r="G259" t="str">
        <f t="shared" ref="G259:G322" si="9">MID(E259,7,4)</f>
        <v xml:space="preserve">강동구 </v>
      </c>
      <c r="H259" t="str">
        <f t="shared" ref="H259:H322" si="10">MID(SUBSTITUTE(E259," ",""),9,3)</f>
        <v>천호동</v>
      </c>
      <c r="I259" t="s">
        <v>1018</v>
      </c>
      <c r="J259" t="s">
        <v>1019</v>
      </c>
      <c r="K259" t="s">
        <v>1020</v>
      </c>
    </row>
    <row r="260" spans="1:11" x14ac:dyDescent="0.4">
      <c r="A260" t="s">
        <v>868</v>
      </c>
      <c r="B260" t="s">
        <v>9</v>
      </c>
      <c r="C260" t="s">
        <v>10</v>
      </c>
      <c r="D260" t="s">
        <v>621</v>
      </c>
      <c r="E260" t="s">
        <v>869</v>
      </c>
      <c r="F260" t="str">
        <f>LEFT(E260,5)</f>
        <v>서울특별시</v>
      </c>
      <c r="G260" t="str">
        <f t="shared" si="9"/>
        <v xml:space="preserve">강북구 </v>
      </c>
      <c r="H260" t="str">
        <f t="shared" si="10"/>
        <v>미아동</v>
      </c>
      <c r="I260" t="s">
        <v>870</v>
      </c>
      <c r="J260" t="s">
        <v>624</v>
      </c>
      <c r="K260" t="s">
        <v>871</v>
      </c>
    </row>
    <row r="261" spans="1:11" x14ac:dyDescent="0.4">
      <c r="A261" t="s">
        <v>620</v>
      </c>
      <c r="B261" t="s">
        <v>9</v>
      </c>
      <c r="C261" t="s">
        <v>10</v>
      </c>
      <c r="D261" t="s">
        <v>621</v>
      </c>
      <c r="E261" t="s">
        <v>622</v>
      </c>
      <c r="F261" t="str">
        <f>LEFT(E261,5)</f>
        <v>서울특별시</v>
      </c>
      <c r="G261" t="str">
        <f t="shared" si="9"/>
        <v xml:space="preserve">강북구 </v>
      </c>
      <c r="H261" t="str">
        <f t="shared" si="10"/>
        <v>미아동</v>
      </c>
      <c r="I261" t="s">
        <v>623</v>
      </c>
      <c r="J261" t="s">
        <v>624</v>
      </c>
      <c r="K261" t="s">
        <v>625</v>
      </c>
    </row>
    <row r="262" spans="1:11" x14ac:dyDescent="0.4">
      <c r="A262" t="s">
        <v>4779</v>
      </c>
      <c r="B262" t="s">
        <v>9</v>
      </c>
      <c r="C262" t="s">
        <v>10</v>
      </c>
      <c r="D262" t="s">
        <v>621</v>
      </c>
      <c r="E262" t="s">
        <v>4780</v>
      </c>
      <c r="F262" t="str">
        <f>LEFT(E262,5)</f>
        <v>서울특별시</v>
      </c>
      <c r="G262" t="str">
        <f t="shared" si="9"/>
        <v xml:space="preserve">강북구 </v>
      </c>
      <c r="H262" t="str">
        <f t="shared" si="10"/>
        <v>미아동</v>
      </c>
      <c r="I262" t="s">
        <v>4781</v>
      </c>
      <c r="J262" t="s">
        <v>4782</v>
      </c>
      <c r="K262" t="s">
        <v>4783</v>
      </c>
    </row>
    <row r="263" spans="1:11" x14ac:dyDescent="0.4">
      <c r="A263" t="s">
        <v>8451</v>
      </c>
      <c r="B263" t="s">
        <v>9</v>
      </c>
      <c r="C263" t="s">
        <v>10</v>
      </c>
      <c r="D263" t="s">
        <v>8452</v>
      </c>
      <c r="E263" t="s">
        <v>8453</v>
      </c>
      <c r="F263" t="str">
        <f>LEFT(E263,5)</f>
        <v>서울특별시</v>
      </c>
      <c r="G263" t="str">
        <f t="shared" si="9"/>
        <v xml:space="preserve">강북구 </v>
      </c>
      <c r="H263" t="str">
        <f t="shared" si="10"/>
        <v>미아동</v>
      </c>
      <c r="I263" t="s">
        <v>8454</v>
      </c>
      <c r="J263" t="s">
        <v>8455</v>
      </c>
      <c r="K263" t="s">
        <v>8456</v>
      </c>
    </row>
    <row r="264" spans="1:11" x14ac:dyDescent="0.4">
      <c r="A264" t="s">
        <v>8014</v>
      </c>
      <c r="B264" t="s">
        <v>9</v>
      </c>
      <c r="C264" t="s">
        <v>10</v>
      </c>
      <c r="D264" t="s">
        <v>8015</v>
      </c>
      <c r="E264" t="s">
        <v>8016</v>
      </c>
      <c r="F264" t="str">
        <f>LEFT(E264,5)</f>
        <v>서울특별시</v>
      </c>
      <c r="G264" t="str">
        <f t="shared" si="9"/>
        <v xml:space="preserve">강북구 </v>
      </c>
      <c r="H264" t="str">
        <f t="shared" si="10"/>
        <v>미아동</v>
      </c>
      <c r="I264" t="s">
        <v>8017</v>
      </c>
      <c r="J264" t="s">
        <v>8018</v>
      </c>
      <c r="K264" t="s">
        <v>8019</v>
      </c>
    </row>
    <row r="265" spans="1:11" x14ac:dyDescent="0.4">
      <c r="A265" t="s">
        <v>1453</v>
      </c>
      <c r="B265" t="s">
        <v>9</v>
      </c>
      <c r="C265" t="s">
        <v>10</v>
      </c>
      <c r="D265" t="s">
        <v>144</v>
      </c>
      <c r="E265" t="s">
        <v>1454</v>
      </c>
      <c r="F265" t="str">
        <f>LEFT(E265,5)</f>
        <v>서울특별시</v>
      </c>
      <c r="G265" t="str">
        <f t="shared" si="9"/>
        <v xml:space="preserve">강북구 </v>
      </c>
      <c r="H265" t="str">
        <f t="shared" si="10"/>
        <v>미아동</v>
      </c>
      <c r="I265" t="s">
        <v>1455</v>
      </c>
      <c r="J265" t="s">
        <v>147</v>
      </c>
      <c r="K265" t="s">
        <v>1456</v>
      </c>
    </row>
    <row r="266" spans="1:11" x14ac:dyDescent="0.4">
      <c r="A266" t="s">
        <v>143</v>
      </c>
      <c r="B266" t="s">
        <v>9</v>
      </c>
      <c r="C266" t="s">
        <v>10</v>
      </c>
      <c r="D266" t="s">
        <v>144</v>
      </c>
      <c r="E266" t="s">
        <v>145</v>
      </c>
      <c r="F266" t="str">
        <f>LEFT(E266,5)</f>
        <v>서울특별시</v>
      </c>
      <c r="G266" t="str">
        <f t="shared" si="9"/>
        <v xml:space="preserve">강북구 </v>
      </c>
      <c r="H266" t="str">
        <f t="shared" si="10"/>
        <v>미아동</v>
      </c>
      <c r="I266" t="s">
        <v>146</v>
      </c>
      <c r="J266" t="s">
        <v>147</v>
      </c>
      <c r="K266" t="s">
        <v>148</v>
      </c>
    </row>
    <row r="267" spans="1:11" x14ac:dyDescent="0.4">
      <c r="A267" t="s">
        <v>8509</v>
      </c>
      <c r="B267" t="s">
        <v>9</v>
      </c>
      <c r="C267" t="s">
        <v>10</v>
      </c>
      <c r="D267" t="s">
        <v>144</v>
      </c>
      <c r="E267" t="s">
        <v>8510</v>
      </c>
      <c r="F267" t="str">
        <f>LEFT(E267,5)</f>
        <v>서울특별시</v>
      </c>
      <c r="G267" t="str">
        <f t="shared" si="9"/>
        <v xml:space="preserve">강북구 </v>
      </c>
      <c r="H267" t="str">
        <f t="shared" si="10"/>
        <v>미아동</v>
      </c>
      <c r="I267" t="s">
        <v>8511</v>
      </c>
      <c r="J267" t="s">
        <v>2955</v>
      </c>
      <c r="K267" t="s">
        <v>8512</v>
      </c>
    </row>
    <row r="268" spans="1:11" x14ac:dyDescent="0.4">
      <c r="A268" t="s">
        <v>828</v>
      </c>
      <c r="B268" t="s">
        <v>9</v>
      </c>
      <c r="C268" t="s">
        <v>10</v>
      </c>
      <c r="D268" t="s">
        <v>144</v>
      </c>
      <c r="E268" t="s">
        <v>829</v>
      </c>
      <c r="F268" t="str">
        <f>LEFT(E268,5)</f>
        <v>서울특별시</v>
      </c>
      <c r="G268" t="str">
        <f t="shared" si="9"/>
        <v xml:space="preserve">강북구 </v>
      </c>
      <c r="H268" t="str">
        <f t="shared" si="10"/>
        <v>미아동</v>
      </c>
      <c r="I268" t="s">
        <v>830</v>
      </c>
      <c r="J268" t="s">
        <v>147</v>
      </c>
      <c r="K268" t="s">
        <v>831</v>
      </c>
    </row>
    <row r="269" spans="1:11" x14ac:dyDescent="0.4">
      <c r="A269" t="s">
        <v>2952</v>
      </c>
      <c r="B269" t="s">
        <v>9</v>
      </c>
      <c r="C269" t="s">
        <v>10</v>
      </c>
      <c r="D269" t="s">
        <v>144</v>
      </c>
      <c r="E269" t="s">
        <v>2953</v>
      </c>
      <c r="F269" t="str">
        <f>LEFT(E269,5)</f>
        <v>서울특별시</v>
      </c>
      <c r="G269" t="str">
        <f t="shared" si="9"/>
        <v xml:space="preserve">강북구 </v>
      </c>
      <c r="H269" t="str">
        <f t="shared" si="10"/>
        <v>미아동</v>
      </c>
      <c r="I269" t="s">
        <v>2954</v>
      </c>
      <c r="J269" t="s">
        <v>2955</v>
      </c>
      <c r="K269" t="s">
        <v>2956</v>
      </c>
    </row>
    <row r="270" spans="1:11" x14ac:dyDescent="0.4">
      <c r="A270" t="s">
        <v>3117</v>
      </c>
      <c r="B270" t="s">
        <v>9</v>
      </c>
      <c r="C270" t="s">
        <v>10</v>
      </c>
      <c r="D270" t="s">
        <v>144</v>
      </c>
      <c r="E270" t="s">
        <v>3118</v>
      </c>
      <c r="F270" t="str">
        <f>LEFT(E270,5)</f>
        <v>서울특별시</v>
      </c>
      <c r="G270" t="str">
        <f t="shared" si="9"/>
        <v xml:space="preserve">강북구 </v>
      </c>
      <c r="H270" t="str">
        <f t="shared" si="10"/>
        <v>미아동</v>
      </c>
      <c r="I270" t="s">
        <v>3119</v>
      </c>
      <c r="J270" t="s">
        <v>2955</v>
      </c>
      <c r="K270" t="s">
        <v>3120</v>
      </c>
    </row>
    <row r="271" spans="1:11" x14ac:dyDescent="0.4">
      <c r="A271" t="s">
        <v>5185</v>
      </c>
      <c r="B271" t="s">
        <v>9</v>
      </c>
      <c r="C271" t="s">
        <v>10</v>
      </c>
      <c r="D271" t="s">
        <v>144</v>
      </c>
      <c r="E271" t="s">
        <v>5186</v>
      </c>
      <c r="F271" t="str">
        <f>LEFT(E271,5)</f>
        <v>서울특별시</v>
      </c>
      <c r="G271" t="str">
        <f t="shared" si="9"/>
        <v xml:space="preserve">강북구 </v>
      </c>
      <c r="H271" t="str">
        <f t="shared" si="10"/>
        <v>미아동</v>
      </c>
      <c r="I271" t="s">
        <v>5187</v>
      </c>
      <c r="J271" t="s">
        <v>5188</v>
      </c>
      <c r="K271" t="s">
        <v>5189</v>
      </c>
    </row>
    <row r="272" spans="1:11" x14ac:dyDescent="0.4">
      <c r="A272" t="s">
        <v>8046</v>
      </c>
      <c r="B272" t="s">
        <v>9</v>
      </c>
      <c r="C272" t="s">
        <v>10</v>
      </c>
      <c r="D272" t="s">
        <v>8047</v>
      </c>
      <c r="E272" t="s">
        <v>8048</v>
      </c>
      <c r="F272" t="str">
        <f>LEFT(E272,5)</f>
        <v>서울특별시</v>
      </c>
      <c r="G272" t="str">
        <f t="shared" si="9"/>
        <v xml:space="preserve">강북구 </v>
      </c>
      <c r="H272" t="str">
        <f t="shared" si="10"/>
        <v>미아동</v>
      </c>
      <c r="I272" t="s">
        <v>8049</v>
      </c>
      <c r="J272" t="s">
        <v>5066</v>
      </c>
      <c r="K272" t="s">
        <v>4442</v>
      </c>
    </row>
    <row r="273" spans="1:11" x14ac:dyDescent="0.4">
      <c r="A273" t="s">
        <v>5062</v>
      </c>
      <c r="B273" t="s">
        <v>9</v>
      </c>
      <c r="C273" t="s">
        <v>10</v>
      </c>
      <c r="D273" t="s">
        <v>5063</v>
      </c>
      <c r="E273" t="s">
        <v>5064</v>
      </c>
      <c r="F273" t="str">
        <f>LEFT(E273,5)</f>
        <v>서울특별시</v>
      </c>
      <c r="G273" t="str">
        <f t="shared" si="9"/>
        <v xml:space="preserve">강북구 </v>
      </c>
      <c r="H273" t="str">
        <f t="shared" si="10"/>
        <v>미아동</v>
      </c>
      <c r="I273" t="s">
        <v>5065</v>
      </c>
      <c r="J273" t="s">
        <v>5066</v>
      </c>
      <c r="K273" t="s">
        <v>1236</v>
      </c>
    </row>
    <row r="274" spans="1:11" x14ac:dyDescent="0.4">
      <c r="A274" t="s">
        <v>6719</v>
      </c>
      <c r="B274" t="s">
        <v>9</v>
      </c>
      <c r="C274" t="s">
        <v>10</v>
      </c>
      <c r="D274" t="s">
        <v>6720</v>
      </c>
      <c r="E274" t="s">
        <v>6721</v>
      </c>
      <c r="F274" t="str">
        <f>LEFT(E274,5)</f>
        <v>서울특별시</v>
      </c>
      <c r="G274" t="str">
        <f t="shared" si="9"/>
        <v xml:space="preserve">강북구 </v>
      </c>
      <c r="H274" t="str">
        <f t="shared" si="10"/>
        <v>미아동</v>
      </c>
      <c r="I274" t="s">
        <v>6722</v>
      </c>
      <c r="J274" t="s">
        <v>6723</v>
      </c>
      <c r="K274" t="s">
        <v>6724</v>
      </c>
    </row>
    <row r="275" spans="1:11" x14ac:dyDescent="0.4">
      <c r="A275" t="s">
        <v>2961</v>
      </c>
      <c r="B275" t="s">
        <v>9</v>
      </c>
      <c r="C275" t="s">
        <v>10</v>
      </c>
      <c r="D275" t="s">
        <v>144</v>
      </c>
      <c r="E275" t="s">
        <v>2962</v>
      </c>
      <c r="F275" t="str">
        <f>LEFT(E275,5)</f>
        <v>서울특별시</v>
      </c>
      <c r="G275" t="str">
        <f t="shared" si="9"/>
        <v xml:space="preserve">강북구 </v>
      </c>
      <c r="H275" t="str">
        <f t="shared" si="10"/>
        <v>미아동</v>
      </c>
      <c r="I275" t="s">
        <v>2963</v>
      </c>
      <c r="J275" t="s">
        <v>2964</v>
      </c>
      <c r="K275" t="s">
        <v>2965</v>
      </c>
    </row>
    <row r="276" spans="1:11" x14ac:dyDescent="0.4">
      <c r="A276" t="s">
        <v>2601</v>
      </c>
      <c r="B276" t="s">
        <v>9</v>
      </c>
      <c r="C276" t="s">
        <v>10</v>
      </c>
      <c r="D276" t="s">
        <v>144</v>
      </c>
      <c r="E276" t="s">
        <v>2602</v>
      </c>
      <c r="F276" t="str">
        <f>LEFT(E276,5)</f>
        <v>서울특별시</v>
      </c>
      <c r="G276" t="str">
        <f t="shared" si="9"/>
        <v xml:space="preserve">강북구 </v>
      </c>
      <c r="H276" t="str">
        <f t="shared" si="10"/>
        <v>미아동</v>
      </c>
      <c r="I276" t="s">
        <v>2603</v>
      </c>
      <c r="J276" t="s">
        <v>147</v>
      </c>
      <c r="K276" t="s">
        <v>2604</v>
      </c>
    </row>
    <row r="277" spans="1:11" x14ac:dyDescent="0.4">
      <c r="A277" t="s">
        <v>6042</v>
      </c>
      <c r="B277" t="s">
        <v>9</v>
      </c>
      <c r="C277" t="s">
        <v>10</v>
      </c>
      <c r="D277" t="s">
        <v>2439</v>
      </c>
      <c r="E277" t="s">
        <v>6043</v>
      </c>
      <c r="F277" t="str">
        <f>LEFT(E277,5)</f>
        <v>서울특별시</v>
      </c>
      <c r="G277" t="str">
        <f t="shared" si="9"/>
        <v xml:space="preserve">강북구 </v>
      </c>
      <c r="H277" t="str">
        <f>MID(SUBSTITUTE(E277," ",""),9,2)</f>
        <v>번동</v>
      </c>
      <c r="I277" t="s">
        <v>6044</v>
      </c>
      <c r="J277" t="s">
        <v>6045</v>
      </c>
      <c r="K277" t="s">
        <v>6046</v>
      </c>
    </row>
    <row r="278" spans="1:11" x14ac:dyDescent="0.4">
      <c r="A278" t="s">
        <v>8405</v>
      </c>
      <c r="B278" t="s">
        <v>9</v>
      </c>
      <c r="C278" t="s">
        <v>10</v>
      </c>
      <c r="D278" t="s">
        <v>2439</v>
      </c>
      <c r="E278" t="s">
        <v>8406</v>
      </c>
      <c r="F278" t="str">
        <f>LEFT(E278,5)</f>
        <v>서울특별시</v>
      </c>
      <c r="G278" t="str">
        <f t="shared" si="9"/>
        <v xml:space="preserve">강북구 </v>
      </c>
      <c r="H278" t="str">
        <f t="shared" ref="H278:H294" si="11">MID(SUBSTITUTE(E278," ",""),9,2)</f>
        <v>번동</v>
      </c>
      <c r="I278" t="s">
        <v>8407</v>
      </c>
      <c r="J278" t="s">
        <v>6045</v>
      </c>
      <c r="K278" t="s">
        <v>8408</v>
      </c>
    </row>
    <row r="279" spans="1:11" x14ac:dyDescent="0.4">
      <c r="A279" t="s">
        <v>8951</v>
      </c>
      <c r="B279" t="s">
        <v>9</v>
      </c>
      <c r="C279" t="s">
        <v>10</v>
      </c>
      <c r="D279" t="s">
        <v>2439</v>
      </c>
      <c r="E279" t="s">
        <v>8952</v>
      </c>
      <c r="F279" t="str">
        <f>LEFT(E279,5)</f>
        <v>서울특별시</v>
      </c>
      <c r="G279" t="str">
        <f t="shared" si="9"/>
        <v xml:space="preserve">강북구 </v>
      </c>
      <c r="H279" t="str">
        <f t="shared" si="11"/>
        <v>번동</v>
      </c>
      <c r="I279" t="s">
        <v>8953</v>
      </c>
      <c r="J279" t="s">
        <v>2442</v>
      </c>
      <c r="K279" t="s">
        <v>8954</v>
      </c>
    </row>
    <row r="280" spans="1:11" x14ac:dyDescent="0.4">
      <c r="A280" t="s">
        <v>2438</v>
      </c>
      <c r="B280" t="s">
        <v>9</v>
      </c>
      <c r="C280" t="s">
        <v>10</v>
      </c>
      <c r="D280" t="s">
        <v>2439</v>
      </c>
      <c r="E280" t="s">
        <v>2440</v>
      </c>
      <c r="F280" t="str">
        <f>LEFT(E280,5)</f>
        <v>서울특별시</v>
      </c>
      <c r="G280" t="str">
        <f t="shared" si="9"/>
        <v xml:space="preserve">강북구 </v>
      </c>
      <c r="H280" t="str">
        <f t="shared" si="11"/>
        <v>번동</v>
      </c>
      <c r="I280" t="s">
        <v>2441</v>
      </c>
      <c r="J280" t="s">
        <v>2442</v>
      </c>
      <c r="K280" t="s">
        <v>2443</v>
      </c>
    </row>
    <row r="281" spans="1:11" x14ac:dyDescent="0.4">
      <c r="A281" t="s">
        <v>2966</v>
      </c>
      <c r="B281" t="s">
        <v>9</v>
      </c>
      <c r="C281" t="s">
        <v>10</v>
      </c>
      <c r="D281" t="s">
        <v>85</v>
      </c>
      <c r="E281" t="s">
        <v>2967</v>
      </c>
      <c r="F281" t="str">
        <f>LEFT(E281,5)</f>
        <v>서울특별시</v>
      </c>
      <c r="G281" t="str">
        <f t="shared" si="9"/>
        <v xml:space="preserve">강북구 </v>
      </c>
      <c r="H281" t="str">
        <f t="shared" si="11"/>
        <v>번동</v>
      </c>
      <c r="I281" t="s">
        <v>2968</v>
      </c>
      <c r="J281" t="s">
        <v>2969</v>
      </c>
      <c r="K281" t="s">
        <v>2970</v>
      </c>
    </row>
    <row r="282" spans="1:11" x14ac:dyDescent="0.4">
      <c r="A282" t="s">
        <v>2608</v>
      </c>
      <c r="B282" t="s">
        <v>9</v>
      </c>
      <c r="C282" t="s">
        <v>10</v>
      </c>
      <c r="D282" t="s">
        <v>85</v>
      </c>
      <c r="E282" t="s">
        <v>2609</v>
      </c>
      <c r="F282" t="str">
        <f>LEFT(E282,5)</f>
        <v>서울특별시</v>
      </c>
      <c r="G282" t="str">
        <f t="shared" si="9"/>
        <v xml:space="preserve">강북구 </v>
      </c>
      <c r="H282" t="str">
        <f t="shared" si="11"/>
        <v>번동</v>
      </c>
      <c r="I282" t="s">
        <v>2610</v>
      </c>
      <c r="J282" t="s">
        <v>88</v>
      </c>
      <c r="K282" t="s">
        <v>2611</v>
      </c>
    </row>
    <row r="283" spans="1:11" x14ac:dyDescent="0.4">
      <c r="A283" t="s">
        <v>84</v>
      </c>
      <c r="B283" t="s">
        <v>9</v>
      </c>
      <c r="C283" t="s">
        <v>10</v>
      </c>
      <c r="D283" t="s">
        <v>85</v>
      </c>
      <c r="E283" t="s">
        <v>86</v>
      </c>
      <c r="F283" t="str">
        <f>LEFT(E283,5)</f>
        <v>서울특별시</v>
      </c>
      <c r="G283" t="str">
        <f t="shared" si="9"/>
        <v xml:space="preserve">강북구 </v>
      </c>
      <c r="H283" t="str">
        <f t="shared" si="11"/>
        <v>번동</v>
      </c>
      <c r="I283" t="s">
        <v>87</v>
      </c>
      <c r="J283" t="s">
        <v>88</v>
      </c>
      <c r="K283" t="s">
        <v>89</v>
      </c>
    </row>
    <row r="284" spans="1:11" x14ac:dyDescent="0.4">
      <c r="A284" t="s">
        <v>4245</v>
      </c>
      <c r="B284" t="s">
        <v>9</v>
      </c>
      <c r="C284" t="s">
        <v>10</v>
      </c>
      <c r="D284" t="s">
        <v>85</v>
      </c>
      <c r="E284" t="s">
        <v>4246</v>
      </c>
      <c r="F284" t="str">
        <f>LEFT(E284,5)</f>
        <v>서울특별시</v>
      </c>
      <c r="G284" t="str">
        <f t="shared" si="9"/>
        <v xml:space="preserve">강북구 </v>
      </c>
      <c r="H284" t="str">
        <f t="shared" si="11"/>
        <v>번동</v>
      </c>
      <c r="I284" t="s">
        <v>4247</v>
      </c>
      <c r="J284" t="s">
        <v>2969</v>
      </c>
      <c r="K284" t="s">
        <v>1977</v>
      </c>
    </row>
    <row r="285" spans="1:11" x14ac:dyDescent="0.4">
      <c r="A285" t="s">
        <v>5341</v>
      </c>
      <c r="B285" t="s">
        <v>9</v>
      </c>
      <c r="C285" t="s">
        <v>10</v>
      </c>
      <c r="D285" t="s">
        <v>85</v>
      </c>
      <c r="E285" t="s">
        <v>5342</v>
      </c>
      <c r="F285" t="str">
        <f>LEFT(E285,5)</f>
        <v>서울특별시</v>
      </c>
      <c r="G285" t="str">
        <f t="shared" si="9"/>
        <v xml:space="preserve">강북구 </v>
      </c>
      <c r="H285" t="str">
        <f t="shared" si="11"/>
        <v>번동</v>
      </c>
      <c r="I285" t="s">
        <v>5343</v>
      </c>
      <c r="J285" t="s">
        <v>2969</v>
      </c>
      <c r="K285" t="s">
        <v>5344</v>
      </c>
    </row>
    <row r="286" spans="1:11" x14ac:dyDescent="0.4">
      <c r="A286" t="s">
        <v>8031</v>
      </c>
      <c r="B286" t="s">
        <v>9</v>
      </c>
      <c r="C286" t="s">
        <v>10</v>
      </c>
      <c r="D286" t="s">
        <v>85</v>
      </c>
      <c r="E286" t="s">
        <v>8032</v>
      </c>
      <c r="F286" t="str">
        <f>LEFT(E286,5)</f>
        <v>서울특별시</v>
      </c>
      <c r="G286" t="str">
        <f t="shared" si="9"/>
        <v xml:space="preserve">강북구 </v>
      </c>
      <c r="H286" t="str">
        <f t="shared" si="11"/>
        <v>번동</v>
      </c>
      <c r="I286" t="s">
        <v>8033</v>
      </c>
      <c r="J286" t="s">
        <v>2969</v>
      </c>
      <c r="K286" t="s">
        <v>8034</v>
      </c>
    </row>
    <row r="287" spans="1:11" x14ac:dyDescent="0.4">
      <c r="A287" t="s">
        <v>586</v>
      </c>
      <c r="B287" t="s">
        <v>9</v>
      </c>
      <c r="C287" t="s">
        <v>10</v>
      </c>
      <c r="D287" t="s">
        <v>85</v>
      </c>
      <c r="E287" t="s">
        <v>587</v>
      </c>
      <c r="F287" t="str">
        <f>LEFT(E287,5)</f>
        <v>서울특별시</v>
      </c>
      <c r="G287" t="str">
        <f t="shared" si="9"/>
        <v xml:space="preserve">강북구 </v>
      </c>
      <c r="H287" t="str">
        <f t="shared" si="11"/>
        <v>번동</v>
      </c>
      <c r="I287" t="s">
        <v>588</v>
      </c>
      <c r="J287" t="s">
        <v>11</v>
      </c>
      <c r="K287" t="s">
        <v>589</v>
      </c>
    </row>
    <row r="288" spans="1:11" x14ac:dyDescent="0.4">
      <c r="A288" t="s">
        <v>1619</v>
      </c>
      <c r="B288" t="s">
        <v>9</v>
      </c>
      <c r="C288" t="s">
        <v>10</v>
      </c>
      <c r="D288" t="s">
        <v>85</v>
      </c>
      <c r="E288" t="s">
        <v>1620</v>
      </c>
      <c r="F288" t="str">
        <f>LEFT(E288,5)</f>
        <v>서울특별시</v>
      </c>
      <c r="G288" t="str">
        <f t="shared" si="9"/>
        <v xml:space="preserve">강북구 </v>
      </c>
      <c r="H288" t="str">
        <f t="shared" si="11"/>
        <v>번동</v>
      </c>
      <c r="I288" t="s">
        <v>1621</v>
      </c>
      <c r="J288" t="s">
        <v>88</v>
      </c>
      <c r="K288" t="s">
        <v>1622</v>
      </c>
    </row>
    <row r="289" spans="1:11" x14ac:dyDescent="0.4">
      <c r="A289" t="s">
        <v>1545</v>
      </c>
      <c r="B289" t="s">
        <v>9</v>
      </c>
      <c r="C289" t="s">
        <v>10</v>
      </c>
      <c r="D289" t="s">
        <v>85</v>
      </c>
      <c r="E289" t="s">
        <v>1546</v>
      </c>
      <c r="F289" t="str">
        <f>LEFT(E289,5)</f>
        <v>서울특별시</v>
      </c>
      <c r="G289" t="str">
        <f t="shared" si="9"/>
        <v xml:space="preserve">강북구 </v>
      </c>
      <c r="H289" t="str">
        <f t="shared" si="11"/>
        <v>번동</v>
      </c>
      <c r="I289" t="s">
        <v>1547</v>
      </c>
      <c r="J289" t="s">
        <v>88</v>
      </c>
      <c r="K289" t="s">
        <v>1548</v>
      </c>
    </row>
    <row r="290" spans="1:11" x14ac:dyDescent="0.4">
      <c r="A290" t="s">
        <v>5321</v>
      </c>
      <c r="B290" t="s">
        <v>9</v>
      </c>
      <c r="C290" t="s">
        <v>10</v>
      </c>
      <c r="D290" t="s">
        <v>4795</v>
      </c>
      <c r="E290" t="s">
        <v>5322</v>
      </c>
      <c r="F290" t="str">
        <f>LEFT(E290,5)</f>
        <v>서울특별시</v>
      </c>
      <c r="G290" t="str">
        <f t="shared" si="9"/>
        <v xml:space="preserve">강북구 </v>
      </c>
      <c r="H290" t="str">
        <f t="shared" si="11"/>
        <v>번동</v>
      </c>
      <c r="I290" t="s">
        <v>5323</v>
      </c>
      <c r="J290" t="s">
        <v>5324</v>
      </c>
      <c r="K290" t="s">
        <v>5325</v>
      </c>
    </row>
    <row r="291" spans="1:11" x14ac:dyDescent="0.4">
      <c r="A291" t="s">
        <v>5673</v>
      </c>
      <c r="B291" t="s">
        <v>9</v>
      </c>
      <c r="C291" t="s">
        <v>10</v>
      </c>
      <c r="D291" t="s">
        <v>4795</v>
      </c>
      <c r="E291" t="s">
        <v>5674</v>
      </c>
      <c r="F291" t="str">
        <f>LEFT(E291,5)</f>
        <v>서울특별시</v>
      </c>
      <c r="G291" t="str">
        <f t="shared" si="9"/>
        <v xml:space="preserve">강북구 </v>
      </c>
      <c r="H291" t="str">
        <f t="shared" si="11"/>
        <v>번동</v>
      </c>
      <c r="I291" t="s">
        <v>5675</v>
      </c>
      <c r="J291" t="s">
        <v>5324</v>
      </c>
      <c r="K291" t="s">
        <v>5676</v>
      </c>
    </row>
    <row r="292" spans="1:11" x14ac:dyDescent="0.4">
      <c r="A292" t="s">
        <v>7526</v>
      </c>
      <c r="B292" t="s">
        <v>9</v>
      </c>
      <c r="C292" t="s">
        <v>10</v>
      </c>
      <c r="D292" t="s">
        <v>4795</v>
      </c>
      <c r="E292" t="s">
        <v>7527</v>
      </c>
      <c r="F292" t="str">
        <f>LEFT(E292,5)</f>
        <v>서울특별시</v>
      </c>
      <c r="G292" t="str">
        <f t="shared" si="9"/>
        <v xml:space="preserve">강북구 </v>
      </c>
      <c r="H292" t="str">
        <f t="shared" si="11"/>
        <v>번동</v>
      </c>
      <c r="I292" t="s">
        <v>7528</v>
      </c>
      <c r="J292" t="s">
        <v>4798</v>
      </c>
      <c r="K292" t="s">
        <v>7529</v>
      </c>
    </row>
    <row r="293" spans="1:11" x14ac:dyDescent="0.4">
      <c r="A293" t="s">
        <v>7972</v>
      </c>
      <c r="B293" t="s">
        <v>9</v>
      </c>
      <c r="C293" t="s">
        <v>10</v>
      </c>
      <c r="D293" t="s">
        <v>4795</v>
      </c>
      <c r="E293" t="s">
        <v>7973</v>
      </c>
      <c r="F293" t="str">
        <f>LEFT(E293,5)</f>
        <v>서울특별시</v>
      </c>
      <c r="G293" t="str">
        <f t="shared" si="9"/>
        <v xml:space="preserve">강북구 </v>
      </c>
      <c r="H293" t="str">
        <f t="shared" si="11"/>
        <v>번동</v>
      </c>
      <c r="I293" t="s">
        <v>7974</v>
      </c>
      <c r="J293" t="s">
        <v>4798</v>
      </c>
      <c r="K293" t="s">
        <v>7975</v>
      </c>
    </row>
    <row r="294" spans="1:11" x14ac:dyDescent="0.4">
      <c r="A294" t="s">
        <v>4794</v>
      </c>
      <c r="B294" t="s">
        <v>9</v>
      </c>
      <c r="C294" t="s">
        <v>10</v>
      </c>
      <c r="D294" t="s">
        <v>4795</v>
      </c>
      <c r="E294" t="s">
        <v>4796</v>
      </c>
      <c r="F294" t="str">
        <f>LEFT(E294,5)</f>
        <v>서울특별시</v>
      </c>
      <c r="G294" t="str">
        <f t="shared" si="9"/>
        <v xml:space="preserve">강북구 </v>
      </c>
      <c r="H294" t="str">
        <f t="shared" si="11"/>
        <v>번동</v>
      </c>
      <c r="I294" t="s">
        <v>4797</v>
      </c>
      <c r="J294" t="s">
        <v>4798</v>
      </c>
      <c r="K294" t="s">
        <v>4799</v>
      </c>
    </row>
    <row r="295" spans="1:11" x14ac:dyDescent="0.4">
      <c r="A295" t="s">
        <v>8099</v>
      </c>
      <c r="B295" t="s">
        <v>9</v>
      </c>
      <c r="C295" t="s">
        <v>10</v>
      </c>
      <c r="D295" t="s">
        <v>4058</v>
      </c>
      <c r="E295" t="s">
        <v>8100</v>
      </c>
      <c r="F295" t="str">
        <f>LEFT(E295,5)</f>
        <v>서울특별시</v>
      </c>
      <c r="G295" t="str">
        <f t="shared" si="9"/>
        <v xml:space="preserve">강북구 </v>
      </c>
      <c r="H295" t="str">
        <f t="shared" si="10"/>
        <v>수유동</v>
      </c>
      <c r="I295" t="s">
        <v>8101</v>
      </c>
      <c r="J295" t="s">
        <v>8102</v>
      </c>
      <c r="K295" t="s">
        <v>8103</v>
      </c>
    </row>
    <row r="296" spans="1:11" x14ac:dyDescent="0.4">
      <c r="A296" t="s">
        <v>4057</v>
      </c>
      <c r="B296" t="s">
        <v>9</v>
      </c>
      <c r="C296" t="s">
        <v>10</v>
      </c>
      <c r="D296" t="s">
        <v>4058</v>
      </c>
      <c r="E296" t="s">
        <v>4059</v>
      </c>
      <c r="F296" t="str">
        <f>LEFT(E296,5)</f>
        <v>서울특별시</v>
      </c>
      <c r="G296" t="str">
        <f t="shared" si="9"/>
        <v xml:space="preserve">강북구 </v>
      </c>
      <c r="H296" t="str">
        <f t="shared" si="10"/>
        <v>수유동</v>
      </c>
      <c r="I296" t="s">
        <v>4060</v>
      </c>
      <c r="J296" t="s">
        <v>3374</v>
      </c>
      <c r="K296" t="s">
        <v>4061</v>
      </c>
    </row>
    <row r="297" spans="1:11" x14ac:dyDescent="0.4">
      <c r="A297" t="s">
        <v>7981</v>
      </c>
      <c r="B297" t="s">
        <v>9</v>
      </c>
      <c r="C297" t="s">
        <v>10</v>
      </c>
      <c r="D297" t="s">
        <v>4058</v>
      </c>
      <c r="E297" t="s">
        <v>7982</v>
      </c>
      <c r="F297" t="str">
        <f>LEFT(E297,5)</f>
        <v>서울특별시</v>
      </c>
      <c r="G297" t="str">
        <f t="shared" si="9"/>
        <v xml:space="preserve">강북구 </v>
      </c>
      <c r="H297" t="str">
        <f t="shared" si="10"/>
        <v>수유동</v>
      </c>
      <c r="I297" t="s">
        <v>7983</v>
      </c>
      <c r="J297" t="s">
        <v>3374</v>
      </c>
      <c r="K297" t="s">
        <v>3991</v>
      </c>
    </row>
    <row r="298" spans="1:11" x14ac:dyDescent="0.4">
      <c r="A298" t="s">
        <v>7988</v>
      </c>
      <c r="B298" t="s">
        <v>9</v>
      </c>
      <c r="C298" t="s">
        <v>10</v>
      </c>
      <c r="D298" t="s">
        <v>3165</v>
      </c>
      <c r="E298" t="s">
        <v>7989</v>
      </c>
      <c r="F298" t="str">
        <f>LEFT(E298,5)</f>
        <v>서울특별시</v>
      </c>
      <c r="G298" t="str">
        <f t="shared" si="9"/>
        <v xml:space="preserve">강북구 </v>
      </c>
      <c r="H298" t="str">
        <f t="shared" si="10"/>
        <v>수유동</v>
      </c>
      <c r="I298" t="s">
        <v>7990</v>
      </c>
      <c r="J298" t="s">
        <v>3168</v>
      </c>
      <c r="K298" t="s">
        <v>7991</v>
      </c>
    </row>
    <row r="299" spans="1:11" x14ac:dyDescent="0.4">
      <c r="A299" t="s">
        <v>3164</v>
      </c>
      <c r="B299" t="s">
        <v>9</v>
      </c>
      <c r="C299" t="s">
        <v>10</v>
      </c>
      <c r="D299" t="s">
        <v>3165</v>
      </c>
      <c r="E299" t="s">
        <v>3166</v>
      </c>
      <c r="F299" t="str">
        <f>LEFT(E299,5)</f>
        <v>서울특별시</v>
      </c>
      <c r="G299" t="str">
        <f t="shared" si="9"/>
        <v xml:space="preserve">강북구 </v>
      </c>
      <c r="H299" t="str">
        <f t="shared" si="10"/>
        <v>수유동</v>
      </c>
      <c r="I299" t="s">
        <v>3167</v>
      </c>
      <c r="J299" t="s">
        <v>3168</v>
      </c>
      <c r="K299" t="s">
        <v>3169</v>
      </c>
    </row>
    <row r="300" spans="1:11" x14ac:dyDescent="0.4">
      <c r="A300" t="s">
        <v>8409</v>
      </c>
      <c r="B300" t="s">
        <v>9</v>
      </c>
      <c r="C300" t="s">
        <v>10</v>
      </c>
      <c r="D300" t="s">
        <v>3165</v>
      </c>
      <c r="E300" t="s">
        <v>8410</v>
      </c>
      <c r="F300" t="str">
        <f>LEFT(E300,5)</f>
        <v>서울특별시</v>
      </c>
      <c r="G300" t="str">
        <f t="shared" si="9"/>
        <v xml:space="preserve">강북구 </v>
      </c>
      <c r="H300" t="str">
        <f t="shared" si="10"/>
        <v>수유동</v>
      </c>
      <c r="I300" t="s">
        <v>8411</v>
      </c>
      <c r="J300" t="s">
        <v>3168</v>
      </c>
      <c r="K300" t="s">
        <v>8412</v>
      </c>
    </row>
    <row r="301" spans="1:11" x14ac:dyDescent="0.4">
      <c r="A301" t="s">
        <v>7623</v>
      </c>
      <c r="B301" t="s">
        <v>9</v>
      </c>
      <c r="C301" t="s">
        <v>10</v>
      </c>
      <c r="D301" t="s">
        <v>3165</v>
      </c>
      <c r="E301" t="s">
        <v>7624</v>
      </c>
      <c r="F301" t="str">
        <f>LEFT(E301,5)</f>
        <v>서울특별시</v>
      </c>
      <c r="G301" t="str">
        <f t="shared" si="9"/>
        <v xml:space="preserve">강북구 </v>
      </c>
      <c r="H301" t="str">
        <f t="shared" si="10"/>
        <v>수유동</v>
      </c>
      <c r="I301" t="s">
        <v>7625</v>
      </c>
      <c r="J301" t="s">
        <v>3168</v>
      </c>
      <c r="K301" t="s">
        <v>7626</v>
      </c>
    </row>
    <row r="302" spans="1:11" x14ac:dyDescent="0.4">
      <c r="A302" t="s">
        <v>7134</v>
      </c>
      <c r="B302" t="s">
        <v>9</v>
      </c>
      <c r="C302" t="s">
        <v>10</v>
      </c>
      <c r="D302" t="s">
        <v>3165</v>
      </c>
      <c r="E302" t="s">
        <v>7135</v>
      </c>
      <c r="F302" t="str">
        <f>LEFT(E302,5)</f>
        <v>서울특별시</v>
      </c>
      <c r="G302" t="str">
        <f t="shared" si="9"/>
        <v xml:space="preserve">강북구 </v>
      </c>
      <c r="H302" t="str">
        <f t="shared" si="10"/>
        <v>수유동</v>
      </c>
      <c r="I302" t="s">
        <v>7136</v>
      </c>
      <c r="J302" t="s">
        <v>5761</v>
      </c>
      <c r="K302" t="s">
        <v>2246</v>
      </c>
    </row>
    <row r="303" spans="1:11" x14ac:dyDescent="0.4">
      <c r="A303" t="s">
        <v>7932</v>
      </c>
      <c r="B303" t="s">
        <v>9</v>
      </c>
      <c r="C303" t="s">
        <v>10</v>
      </c>
      <c r="D303" t="s">
        <v>3165</v>
      </c>
      <c r="E303" t="s">
        <v>7933</v>
      </c>
      <c r="F303" t="str">
        <f>LEFT(E303,5)</f>
        <v>서울특별시</v>
      </c>
      <c r="G303" t="str">
        <f t="shared" si="9"/>
        <v xml:space="preserve">강북구 </v>
      </c>
      <c r="H303" t="str">
        <f t="shared" si="10"/>
        <v>수유동</v>
      </c>
      <c r="I303" t="s">
        <v>7934</v>
      </c>
      <c r="J303" t="s">
        <v>5761</v>
      </c>
      <c r="K303" t="s">
        <v>7935</v>
      </c>
    </row>
    <row r="304" spans="1:11" x14ac:dyDescent="0.4">
      <c r="A304" t="s">
        <v>7725</v>
      </c>
      <c r="B304" t="s">
        <v>9</v>
      </c>
      <c r="C304" t="s">
        <v>10</v>
      </c>
      <c r="D304" t="s">
        <v>3165</v>
      </c>
      <c r="E304" t="s">
        <v>7726</v>
      </c>
      <c r="F304" t="str">
        <f>LEFT(E304,5)</f>
        <v>서울특별시</v>
      </c>
      <c r="G304" t="str">
        <f t="shared" si="9"/>
        <v xml:space="preserve">강북구 </v>
      </c>
      <c r="H304" t="str">
        <f t="shared" si="10"/>
        <v>수유동</v>
      </c>
      <c r="I304" t="s">
        <v>7727</v>
      </c>
      <c r="J304" t="s">
        <v>5761</v>
      </c>
      <c r="K304" t="s">
        <v>1052</v>
      </c>
    </row>
    <row r="305" spans="1:11" x14ac:dyDescent="0.4">
      <c r="A305" t="s">
        <v>8489</v>
      </c>
      <c r="B305" t="s">
        <v>9</v>
      </c>
      <c r="C305" t="s">
        <v>10</v>
      </c>
      <c r="D305" t="s">
        <v>3165</v>
      </c>
      <c r="E305" t="s">
        <v>8490</v>
      </c>
      <c r="F305" t="str">
        <f>LEFT(E305,5)</f>
        <v>서울특별시</v>
      </c>
      <c r="G305" t="str">
        <f t="shared" si="9"/>
        <v xml:space="preserve">강북구 </v>
      </c>
      <c r="H305" t="str">
        <f t="shared" si="10"/>
        <v>수유동</v>
      </c>
      <c r="I305" t="s">
        <v>8491</v>
      </c>
      <c r="J305" t="s">
        <v>5761</v>
      </c>
      <c r="K305" t="s">
        <v>8492</v>
      </c>
    </row>
    <row r="306" spans="1:11" x14ac:dyDescent="0.4">
      <c r="A306" t="s">
        <v>5773</v>
      </c>
      <c r="B306" t="s">
        <v>9</v>
      </c>
      <c r="C306" t="s">
        <v>10</v>
      </c>
      <c r="D306" t="s">
        <v>3165</v>
      </c>
      <c r="E306" t="s">
        <v>5774</v>
      </c>
      <c r="F306" t="str">
        <f>LEFT(E306,5)</f>
        <v>서울특별시</v>
      </c>
      <c r="G306" t="str">
        <f t="shared" si="9"/>
        <v xml:space="preserve">강북구 </v>
      </c>
      <c r="H306" t="str">
        <f t="shared" si="10"/>
        <v>수유동</v>
      </c>
      <c r="I306" t="s">
        <v>5775</v>
      </c>
      <c r="J306" t="s">
        <v>5761</v>
      </c>
      <c r="K306" t="s">
        <v>5776</v>
      </c>
    </row>
    <row r="307" spans="1:11" x14ac:dyDescent="0.4">
      <c r="A307" t="s">
        <v>5758</v>
      </c>
      <c r="B307" t="s">
        <v>9</v>
      </c>
      <c r="C307" t="s">
        <v>10</v>
      </c>
      <c r="D307" t="s">
        <v>3165</v>
      </c>
      <c r="E307" t="s">
        <v>5759</v>
      </c>
      <c r="F307" t="str">
        <f>LEFT(E307,5)</f>
        <v>서울특별시</v>
      </c>
      <c r="G307" t="str">
        <f t="shared" si="9"/>
        <v xml:space="preserve">강북구 </v>
      </c>
      <c r="H307" t="str">
        <f t="shared" si="10"/>
        <v>수유동</v>
      </c>
      <c r="I307" t="s">
        <v>5760</v>
      </c>
      <c r="J307" t="s">
        <v>5761</v>
      </c>
      <c r="K307" t="s">
        <v>4173</v>
      </c>
    </row>
    <row r="308" spans="1:11" x14ac:dyDescent="0.4">
      <c r="A308" t="s">
        <v>5997</v>
      </c>
      <c r="B308" t="s">
        <v>9</v>
      </c>
      <c r="C308" t="s">
        <v>10</v>
      </c>
      <c r="D308" t="s">
        <v>3165</v>
      </c>
      <c r="E308" t="s">
        <v>5998</v>
      </c>
      <c r="F308" t="str">
        <f>LEFT(E308,5)</f>
        <v>서울특별시</v>
      </c>
      <c r="G308" t="str">
        <f t="shared" si="9"/>
        <v xml:space="preserve">강북구 </v>
      </c>
      <c r="H308" t="str">
        <f t="shared" si="10"/>
        <v>수유동</v>
      </c>
      <c r="I308" t="s">
        <v>5999</v>
      </c>
      <c r="J308" t="s">
        <v>5761</v>
      </c>
      <c r="K308" t="s">
        <v>6000</v>
      </c>
    </row>
    <row r="309" spans="1:11" x14ac:dyDescent="0.4">
      <c r="A309" t="s">
        <v>7358</v>
      </c>
      <c r="B309" t="s">
        <v>9</v>
      </c>
      <c r="C309" t="s">
        <v>10</v>
      </c>
      <c r="D309" t="s">
        <v>3165</v>
      </c>
      <c r="E309" t="s">
        <v>7359</v>
      </c>
      <c r="F309" t="str">
        <f>LEFT(E309,5)</f>
        <v>서울특별시</v>
      </c>
      <c r="G309" t="str">
        <f t="shared" si="9"/>
        <v xml:space="preserve">강북구 </v>
      </c>
      <c r="H309" t="str">
        <f t="shared" si="10"/>
        <v>수유동</v>
      </c>
      <c r="I309" t="s">
        <v>7360</v>
      </c>
      <c r="J309" t="s">
        <v>5761</v>
      </c>
      <c r="K309" t="s">
        <v>7361</v>
      </c>
    </row>
    <row r="310" spans="1:11" x14ac:dyDescent="0.4">
      <c r="A310" t="s">
        <v>5367</v>
      </c>
      <c r="B310" t="s">
        <v>9</v>
      </c>
      <c r="C310" t="s">
        <v>10</v>
      </c>
      <c r="D310" t="s">
        <v>5368</v>
      </c>
      <c r="E310" t="s">
        <v>5369</v>
      </c>
      <c r="F310" t="str">
        <f>LEFT(E310,5)</f>
        <v>서울특별시</v>
      </c>
      <c r="G310" t="str">
        <f t="shared" si="9"/>
        <v xml:space="preserve">강북구 </v>
      </c>
      <c r="H310" t="str">
        <f t="shared" si="10"/>
        <v>수유동</v>
      </c>
      <c r="I310" t="s">
        <v>5370</v>
      </c>
      <c r="J310" t="s">
        <v>5371</v>
      </c>
      <c r="K310" t="s">
        <v>5372</v>
      </c>
    </row>
    <row r="311" spans="1:11" x14ac:dyDescent="0.4">
      <c r="A311" t="s">
        <v>5450</v>
      </c>
      <c r="B311" t="s">
        <v>9</v>
      </c>
      <c r="C311" t="s">
        <v>10</v>
      </c>
      <c r="D311" t="s">
        <v>79</v>
      </c>
      <c r="E311" t="s">
        <v>5451</v>
      </c>
      <c r="F311" t="str">
        <f>LEFT(E311,5)</f>
        <v>서울특별시</v>
      </c>
      <c r="G311" t="str">
        <f t="shared" si="9"/>
        <v xml:space="preserve">강북구 </v>
      </c>
      <c r="H311" t="str">
        <f t="shared" si="10"/>
        <v>수유동</v>
      </c>
      <c r="I311" t="s">
        <v>5452</v>
      </c>
      <c r="J311" t="s">
        <v>3508</v>
      </c>
      <c r="K311" t="s">
        <v>5453</v>
      </c>
    </row>
    <row r="312" spans="1:11" x14ac:dyDescent="0.4">
      <c r="A312" t="s">
        <v>7147</v>
      </c>
      <c r="B312" t="s">
        <v>9</v>
      </c>
      <c r="C312" t="s">
        <v>10</v>
      </c>
      <c r="D312" t="s">
        <v>79</v>
      </c>
      <c r="E312" t="s">
        <v>7148</v>
      </c>
      <c r="F312" t="str">
        <f>LEFT(E312,5)</f>
        <v>서울특별시</v>
      </c>
      <c r="G312" t="str">
        <f t="shared" si="9"/>
        <v xml:space="preserve">강북구 </v>
      </c>
      <c r="H312" t="str">
        <f t="shared" si="10"/>
        <v>수유동</v>
      </c>
      <c r="I312" t="s">
        <v>7149</v>
      </c>
      <c r="J312" t="s">
        <v>3508</v>
      </c>
      <c r="K312" t="s">
        <v>7150</v>
      </c>
    </row>
    <row r="313" spans="1:11" x14ac:dyDescent="0.4">
      <c r="A313" t="s">
        <v>3505</v>
      </c>
      <c r="B313" t="s">
        <v>9</v>
      </c>
      <c r="C313" t="s">
        <v>10</v>
      </c>
      <c r="D313" t="s">
        <v>79</v>
      </c>
      <c r="E313" t="s">
        <v>3506</v>
      </c>
      <c r="F313" t="str">
        <f>LEFT(E313,5)</f>
        <v>서울특별시</v>
      </c>
      <c r="G313" t="str">
        <f t="shared" si="9"/>
        <v xml:space="preserve">강북구 </v>
      </c>
      <c r="H313" t="str">
        <f t="shared" si="10"/>
        <v>수유동</v>
      </c>
      <c r="I313" t="s">
        <v>3507</v>
      </c>
      <c r="J313" t="s">
        <v>3508</v>
      </c>
      <c r="K313" t="s">
        <v>3509</v>
      </c>
    </row>
    <row r="314" spans="1:11" x14ac:dyDescent="0.4">
      <c r="A314" t="s">
        <v>2393</v>
      </c>
      <c r="B314" t="s">
        <v>9</v>
      </c>
      <c r="C314" t="s">
        <v>10</v>
      </c>
      <c r="D314" t="s">
        <v>79</v>
      </c>
      <c r="E314" t="s">
        <v>2394</v>
      </c>
      <c r="F314" t="str">
        <f>LEFT(E314,5)</f>
        <v>서울특별시</v>
      </c>
      <c r="G314" t="str">
        <f t="shared" si="9"/>
        <v xml:space="preserve">강북구 </v>
      </c>
      <c r="H314" t="str">
        <f t="shared" si="10"/>
        <v>수유동</v>
      </c>
      <c r="I314" t="s">
        <v>2395</v>
      </c>
      <c r="J314" t="s">
        <v>2396</v>
      </c>
      <c r="K314" t="s">
        <v>2397</v>
      </c>
    </row>
    <row r="315" spans="1:11" x14ac:dyDescent="0.4">
      <c r="A315" t="s">
        <v>5989</v>
      </c>
      <c r="B315" t="s">
        <v>9</v>
      </c>
      <c r="C315" t="s">
        <v>10</v>
      </c>
      <c r="D315" t="s">
        <v>79</v>
      </c>
      <c r="E315" t="s">
        <v>5990</v>
      </c>
      <c r="F315" t="str">
        <f>LEFT(E315,5)</f>
        <v>서울특별시</v>
      </c>
      <c r="G315" t="str">
        <f t="shared" si="9"/>
        <v xml:space="preserve">강북구 </v>
      </c>
      <c r="H315" t="str">
        <f t="shared" si="10"/>
        <v>수유동</v>
      </c>
      <c r="I315" t="s">
        <v>5991</v>
      </c>
      <c r="J315" t="s">
        <v>2396</v>
      </c>
      <c r="K315" t="s">
        <v>3584</v>
      </c>
    </row>
    <row r="316" spans="1:11" x14ac:dyDescent="0.4">
      <c r="A316" t="s">
        <v>3460</v>
      </c>
      <c r="B316" t="s">
        <v>9</v>
      </c>
      <c r="C316" t="s">
        <v>10</v>
      </c>
      <c r="D316" t="s">
        <v>79</v>
      </c>
      <c r="E316" t="s">
        <v>3461</v>
      </c>
      <c r="F316" t="str">
        <f>LEFT(E316,5)</f>
        <v>서울특별시</v>
      </c>
      <c r="G316" t="str">
        <f t="shared" si="9"/>
        <v xml:space="preserve">강북구 </v>
      </c>
      <c r="H316" t="str">
        <f t="shared" si="10"/>
        <v>수유동</v>
      </c>
      <c r="I316" t="s">
        <v>3462</v>
      </c>
      <c r="J316" t="s">
        <v>2396</v>
      </c>
      <c r="K316" t="s">
        <v>2018</v>
      </c>
    </row>
    <row r="317" spans="1:11" x14ac:dyDescent="0.4">
      <c r="A317" t="s">
        <v>1758</v>
      </c>
      <c r="B317" t="s">
        <v>9</v>
      </c>
      <c r="C317" t="s">
        <v>10</v>
      </c>
      <c r="D317" t="s">
        <v>79</v>
      </c>
      <c r="E317" t="s">
        <v>1759</v>
      </c>
      <c r="F317" t="str">
        <f>LEFT(E317,5)</f>
        <v>서울특별시</v>
      </c>
      <c r="G317" t="str">
        <f t="shared" si="9"/>
        <v xml:space="preserve">강북구 </v>
      </c>
      <c r="H317" t="str">
        <f t="shared" si="10"/>
        <v>수유동</v>
      </c>
      <c r="I317" t="s">
        <v>1760</v>
      </c>
      <c r="J317" t="s">
        <v>82</v>
      </c>
      <c r="K317" t="s">
        <v>1761</v>
      </c>
    </row>
    <row r="318" spans="1:11" x14ac:dyDescent="0.4">
      <c r="A318" t="s">
        <v>792</v>
      </c>
      <c r="B318" t="s">
        <v>9</v>
      </c>
      <c r="C318" t="s">
        <v>10</v>
      </c>
      <c r="D318" t="s">
        <v>79</v>
      </c>
      <c r="E318" t="s">
        <v>793</v>
      </c>
      <c r="F318" t="str">
        <f>LEFT(E318,5)</f>
        <v>서울특별시</v>
      </c>
      <c r="G318" t="str">
        <f t="shared" si="9"/>
        <v xml:space="preserve">강북구 </v>
      </c>
      <c r="H318" t="str">
        <f t="shared" si="10"/>
        <v>수유동</v>
      </c>
      <c r="I318" t="s">
        <v>794</v>
      </c>
      <c r="J318" t="s">
        <v>82</v>
      </c>
      <c r="K318" t="s">
        <v>795</v>
      </c>
    </row>
    <row r="319" spans="1:11" x14ac:dyDescent="0.4">
      <c r="A319" t="s">
        <v>1746</v>
      </c>
      <c r="B319" t="s">
        <v>9</v>
      </c>
      <c r="C319" t="s">
        <v>10</v>
      </c>
      <c r="D319" t="s">
        <v>79</v>
      </c>
      <c r="E319" t="s">
        <v>1747</v>
      </c>
      <c r="F319" t="str">
        <f>LEFT(E319,5)</f>
        <v>서울특별시</v>
      </c>
      <c r="G319" t="str">
        <f t="shared" si="9"/>
        <v xml:space="preserve">강북구 </v>
      </c>
      <c r="H319" t="str">
        <f t="shared" si="10"/>
        <v>수유동</v>
      </c>
      <c r="I319" t="s">
        <v>1748</v>
      </c>
      <c r="J319" t="s">
        <v>82</v>
      </c>
      <c r="K319" t="s">
        <v>1749</v>
      </c>
    </row>
    <row r="320" spans="1:11" x14ac:dyDescent="0.4">
      <c r="A320" t="s">
        <v>326</v>
      </c>
      <c r="B320" t="s">
        <v>9</v>
      </c>
      <c r="C320" t="s">
        <v>10</v>
      </c>
      <c r="D320" t="s">
        <v>79</v>
      </c>
      <c r="E320" t="s">
        <v>327</v>
      </c>
      <c r="F320" t="str">
        <f>LEFT(E320,5)</f>
        <v>서울특별시</v>
      </c>
      <c r="G320" t="str">
        <f t="shared" si="9"/>
        <v xml:space="preserve">강북구 </v>
      </c>
      <c r="H320" t="str">
        <f t="shared" si="10"/>
        <v>수유동</v>
      </c>
      <c r="I320" t="s">
        <v>328</v>
      </c>
      <c r="J320" t="s">
        <v>82</v>
      </c>
      <c r="K320" t="s">
        <v>329</v>
      </c>
    </row>
    <row r="321" spans="1:11" x14ac:dyDescent="0.4">
      <c r="A321" t="s">
        <v>1820</v>
      </c>
      <c r="B321" t="s">
        <v>9</v>
      </c>
      <c r="C321" t="s">
        <v>10</v>
      </c>
      <c r="D321" t="s">
        <v>79</v>
      </c>
      <c r="E321" t="s">
        <v>327</v>
      </c>
      <c r="F321" t="str">
        <f>LEFT(E321,5)</f>
        <v>서울특별시</v>
      </c>
      <c r="G321" t="str">
        <f t="shared" si="9"/>
        <v xml:space="preserve">강북구 </v>
      </c>
      <c r="H321" t="str">
        <f t="shared" si="10"/>
        <v>수유동</v>
      </c>
      <c r="I321" t="s">
        <v>1821</v>
      </c>
      <c r="J321" t="s">
        <v>82</v>
      </c>
      <c r="K321" t="s">
        <v>1822</v>
      </c>
    </row>
    <row r="322" spans="1:11" x14ac:dyDescent="0.4">
      <c r="A322" t="s">
        <v>2281</v>
      </c>
      <c r="B322" t="s">
        <v>9</v>
      </c>
      <c r="C322" t="s">
        <v>10</v>
      </c>
      <c r="D322" t="s">
        <v>79</v>
      </c>
      <c r="E322" t="s">
        <v>2282</v>
      </c>
      <c r="F322" t="str">
        <f>LEFT(E322,5)</f>
        <v>서울특별시</v>
      </c>
      <c r="G322" t="str">
        <f t="shared" si="9"/>
        <v xml:space="preserve">강북구 </v>
      </c>
      <c r="H322" t="str">
        <f t="shared" si="10"/>
        <v>수유동</v>
      </c>
      <c r="I322" t="s">
        <v>2283</v>
      </c>
      <c r="J322" t="s">
        <v>82</v>
      </c>
      <c r="K322" t="s">
        <v>2284</v>
      </c>
    </row>
    <row r="323" spans="1:11" x14ac:dyDescent="0.4">
      <c r="A323" t="s">
        <v>716</v>
      </c>
      <c r="B323" t="s">
        <v>9</v>
      </c>
      <c r="C323" t="s">
        <v>10</v>
      </c>
      <c r="D323" t="s">
        <v>79</v>
      </c>
      <c r="E323" t="s">
        <v>717</v>
      </c>
      <c r="F323" t="str">
        <f>LEFT(E323,5)</f>
        <v>서울특별시</v>
      </c>
      <c r="G323" t="str">
        <f t="shared" ref="G323:G386" si="12">MID(E323,7,4)</f>
        <v xml:space="preserve">강북구 </v>
      </c>
      <c r="H323" t="str">
        <f t="shared" ref="H323:H386" si="13">MID(SUBSTITUTE(E323," ",""),9,3)</f>
        <v>수유동</v>
      </c>
      <c r="I323" t="s">
        <v>718</v>
      </c>
      <c r="J323" t="s">
        <v>82</v>
      </c>
      <c r="K323" t="s">
        <v>719</v>
      </c>
    </row>
    <row r="324" spans="1:11" x14ac:dyDescent="0.4">
      <c r="A324" t="s">
        <v>1632</v>
      </c>
      <c r="B324" t="s">
        <v>9</v>
      </c>
      <c r="C324" t="s">
        <v>10</v>
      </c>
      <c r="D324" t="s">
        <v>79</v>
      </c>
      <c r="E324" t="s">
        <v>1633</v>
      </c>
      <c r="F324" t="str">
        <f>LEFT(E324,5)</f>
        <v>서울특별시</v>
      </c>
      <c r="G324" t="str">
        <f t="shared" si="12"/>
        <v xml:space="preserve">강북구 </v>
      </c>
      <c r="H324" t="str">
        <f t="shared" si="13"/>
        <v>수유동</v>
      </c>
      <c r="I324" t="s">
        <v>1634</v>
      </c>
      <c r="J324" t="s">
        <v>82</v>
      </c>
      <c r="K324" t="s">
        <v>1635</v>
      </c>
    </row>
    <row r="325" spans="1:11" x14ac:dyDescent="0.4">
      <c r="A325" t="s">
        <v>78</v>
      </c>
      <c r="B325" t="s">
        <v>9</v>
      </c>
      <c r="C325" t="s">
        <v>10</v>
      </c>
      <c r="D325" t="s">
        <v>79</v>
      </c>
      <c r="E325" t="s">
        <v>80</v>
      </c>
      <c r="F325" t="str">
        <f>LEFT(E325,5)</f>
        <v>서울특별시</v>
      </c>
      <c r="G325" t="str">
        <f t="shared" si="12"/>
        <v xml:space="preserve">강북구 </v>
      </c>
      <c r="H325" t="str">
        <f t="shared" si="13"/>
        <v>수유동</v>
      </c>
      <c r="I325" t="s">
        <v>81</v>
      </c>
      <c r="J325" t="s">
        <v>82</v>
      </c>
      <c r="K325" t="s">
        <v>83</v>
      </c>
    </row>
    <row r="326" spans="1:11" x14ac:dyDescent="0.4">
      <c r="A326" t="s">
        <v>376</v>
      </c>
      <c r="B326" t="s">
        <v>9</v>
      </c>
      <c r="C326" t="s">
        <v>10</v>
      </c>
      <c r="D326" t="s">
        <v>79</v>
      </c>
      <c r="E326" t="s">
        <v>377</v>
      </c>
      <c r="F326" t="str">
        <f>LEFT(E326,5)</f>
        <v>서울특별시</v>
      </c>
      <c r="G326" t="str">
        <f t="shared" si="12"/>
        <v xml:space="preserve">강북구 </v>
      </c>
      <c r="H326" t="str">
        <f t="shared" si="13"/>
        <v>수유동</v>
      </c>
      <c r="I326" t="s">
        <v>378</v>
      </c>
      <c r="J326" t="s">
        <v>82</v>
      </c>
      <c r="K326" t="s">
        <v>379</v>
      </c>
    </row>
    <row r="327" spans="1:11" x14ac:dyDescent="0.4">
      <c r="A327" t="s">
        <v>3854</v>
      </c>
      <c r="B327" t="s">
        <v>9</v>
      </c>
      <c r="C327" t="s">
        <v>10</v>
      </c>
      <c r="D327" t="s">
        <v>3371</v>
      </c>
      <c r="E327" t="s">
        <v>3855</v>
      </c>
      <c r="F327" t="str">
        <f>LEFT(E327,5)</f>
        <v>서울특별시</v>
      </c>
      <c r="G327" t="str">
        <f t="shared" si="12"/>
        <v xml:space="preserve">강북구 </v>
      </c>
      <c r="H327" t="str">
        <f t="shared" si="13"/>
        <v>수유동</v>
      </c>
      <c r="I327" t="s">
        <v>3856</v>
      </c>
      <c r="J327" t="s">
        <v>3374</v>
      </c>
      <c r="K327" t="s">
        <v>900</v>
      </c>
    </row>
    <row r="328" spans="1:11" x14ac:dyDescent="0.4">
      <c r="A328" t="s">
        <v>7618</v>
      </c>
      <c r="B328" t="s">
        <v>9</v>
      </c>
      <c r="C328" t="s">
        <v>10</v>
      </c>
      <c r="D328" t="s">
        <v>7619</v>
      </c>
      <c r="E328" t="s">
        <v>7620</v>
      </c>
      <c r="F328" t="str">
        <f>LEFT(E328,5)</f>
        <v>서울특별시</v>
      </c>
      <c r="G328" t="str">
        <f t="shared" si="12"/>
        <v xml:space="preserve">강북구 </v>
      </c>
      <c r="H328" t="str">
        <f t="shared" si="13"/>
        <v>수유동</v>
      </c>
      <c r="I328" t="s">
        <v>7621</v>
      </c>
      <c r="J328" t="s">
        <v>3508</v>
      </c>
      <c r="K328" t="s">
        <v>7622</v>
      </c>
    </row>
    <row r="329" spans="1:11" x14ac:dyDescent="0.4">
      <c r="A329" t="s">
        <v>3973</v>
      </c>
      <c r="B329" t="s">
        <v>9</v>
      </c>
      <c r="C329" t="s">
        <v>10</v>
      </c>
      <c r="D329" t="s">
        <v>79</v>
      </c>
      <c r="E329" t="s">
        <v>3974</v>
      </c>
      <c r="F329" t="str">
        <f>LEFT(E329,5)</f>
        <v>서울특별시</v>
      </c>
      <c r="G329" t="str">
        <f t="shared" si="12"/>
        <v xml:space="preserve">강북구 </v>
      </c>
      <c r="H329" t="str">
        <f t="shared" si="13"/>
        <v>수유동</v>
      </c>
      <c r="I329" t="s">
        <v>3975</v>
      </c>
      <c r="J329" t="s">
        <v>3976</v>
      </c>
      <c r="K329" t="s">
        <v>3977</v>
      </c>
    </row>
    <row r="330" spans="1:11" x14ac:dyDescent="0.4">
      <c r="A330" t="s">
        <v>201</v>
      </c>
      <c r="B330" t="s">
        <v>9</v>
      </c>
      <c r="C330" t="s">
        <v>10</v>
      </c>
      <c r="D330" t="s">
        <v>79</v>
      </c>
      <c r="E330" t="s">
        <v>202</v>
      </c>
      <c r="F330" t="str">
        <f>LEFT(E330,5)</f>
        <v>서울특별시</v>
      </c>
      <c r="G330" t="str">
        <f t="shared" si="12"/>
        <v xml:space="preserve">강북구 </v>
      </c>
      <c r="H330" t="str">
        <f t="shared" si="13"/>
        <v>수유동</v>
      </c>
      <c r="I330" t="s">
        <v>203</v>
      </c>
      <c r="J330" t="s">
        <v>204</v>
      </c>
      <c r="K330" t="s">
        <v>205</v>
      </c>
    </row>
    <row r="331" spans="1:11" x14ac:dyDescent="0.4">
      <c r="A331" t="s">
        <v>207</v>
      </c>
      <c r="B331" t="s">
        <v>9</v>
      </c>
      <c r="C331" t="s">
        <v>10</v>
      </c>
      <c r="D331" t="s">
        <v>79</v>
      </c>
      <c r="E331" t="s">
        <v>202</v>
      </c>
      <c r="F331" t="str">
        <f>LEFT(E331,5)</f>
        <v>서울특별시</v>
      </c>
      <c r="G331" t="str">
        <f t="shared" si="12"/>
        <v xml:space="preserve">강북구 </v>
      </c>
      <c r="H331" t="str">
        <f t="shared" si="13"/>
        <v>수유동</v>
      </c>
      <c r="I331" t="s">
        <v>208</v>
      </c>
      <c r="J331" t="s">
        <v>204</v>
      </c>
      <c r="K331" t="s">
        <v>205</v>
      </c>
    </row>
    <row r="332" spans="1:11" x14ac:dyDescent="0.4">
      <c r="A332" t="s">
        <v>366</v>
      </c>
      <c r="B332" t="s">
        <v>9</v>
      </c>
      <c r="C332" t="s">
        <v>10</v>
      </c>
      <c r="D332" t="s">
        <v>79</v>
      </c>
      <c r="E332" t="s">
        <v>367</v>
      </c>
      <c r="F332" t="str">
        <f>LEFT(E332,5)</f>
        <v>서울특별시</v>
      </c>
      <c r="G332" t="str">
        <f t="shared" si="12"/>
        <v xml:space="preserve">강북구 </v>
      </c>
      <c r="H332" t="str">
        <f t="shared" si="13"/>
        <v>수유동</v>
      </c>
      <c r="I332" t="s">
        <v>368</v>
      </c>
      <c r="J332" t="s">
        <v>204</v>
      </c>
      <c r="K332" t="s">
        <v>369</v>
      </c>
    </row>
    <row r="333" spans="1:11" x14ac:dyDescent="0.4">
      <c r="A333" t="s">
        <v>224</v>
      </c>
      <c r="B333" t="s">
        <v>9</v>
      </c>
      <c r="C333" t="s">
        <v>10</v>
      </c>
      <c r="D333" t="s">
        <v>79</v>
      </c>
      <c r="E333" t="s">
        <v>225</v>
      </c>
      <c r="F333" t="str">
        <f>LEFT(E333,5)</f>
        <v>서울특별시</v>
      </c>
      <c r="G333" t="str">
        <f t="shared" si="12"/>
        <v xml:space="preserve">강북구 </v>
      </c>
      <c r="H333" t="str">
        <f t="shared" si="13"/>
        <v>수유동</v>
      </c>
      <c r="I333" t="s">
        <v>226</v>
      </c>
      <c r="J333" t="s">
        <v>204</v>
      </c>
      <c r="K333" t="s">
        <v>227</v>
      </c>
    </row>
    <row r="334" spans="1:11" x14ac:dyDescent="0.4">
      <c r="A334" t="s">
        <v>626</v>
      </c>
      <c r="B334" t="s">
        <v>9</v>
      </c>
      <c r="C334" t="s">
        <v>10</v>
      </c>
      <c r="D334" t="s">
        <v>79</v>
      </c>
      <c r="E334" t="s">
        <v>627</v>
      </c>
      <c r="F334" t="str">
        <f>LEFT(E334,5)</f>
        <v>서울특별시</v>
      </c>
      <c r="G334" t="str">
        <f t="shared" si="12"/>
        <v xml:space="preserve">강북구 </v>
      </c>
      <c r="H334" t="str">
        <f t="shared" si="13"/>
        <v>수유동</v>
      </c>
      <c r="I334" t="s">
        <v>628</v>
      </c>
      <c r="J334" t="s">
        <v>204</v>
      </c>
      <c r="K334" t="s">
        <v>629</v>
      </c>
    </row>
    <row r="335" spans="1:11" x14ac:dyDescent="0.4">
      <c r="A335" t="s">
        <v>1835</v>
      </c>
      <c r="B335" t="s">
        <v>9</v>
      </c>
      <c r="C335" t="s">
        <v>10</v>
      </c>
      <c r="D335" t="s">
        <v>79</v>
      </c>
      <c r="E335" t="s">
        <v>1836</v>
      </c>
      <c r="F335" t="str">
        <f>LEFT(E335,5)</f>
        <v>서울특별시</v>
      </c>
      <c r="G335" t="str">
        <f t="shared" si="12"/>
        <v xml:space="preserve">강북구 </v>
      </c>
      <c r="H335" t="str">
        <f t="shared" si="13"/>
        <v>수유동</v>
      </c>
      <c r="I335" t="s">
        <v>1837</v>
      </c>
      <c r="J335" t="s">
        <v>204</v>
      </c>
      <c r="K335" t="s">
        <v>1838</v>
      </c>
    </row>
    <row r="336" spans="1:11" x14ac:dyDescent="0.4">
      <c r="A336" t="s">
        <v>216</v>
      </c>
      <c r="B336" t="s">
        <v>9</v>
      </c>
      <c r="C336" t="s">
        <v>10</v>
      </c>
      <c r="D336" t="s">
        <v>79</v>
      </c>
      <c r="E336" t="s">
        <v>217</v>
      </c>
      <c r="F336" t="str">
        <f>LEFT(E336,5)</f>
        <v>서울특별시</v>
      </c>
      <c r="G336" t="str">
        <f t="shared" si="12"/>
        <v xml:space="preserve">강북구 </v>
      </c>
      <c r="H336" t="str">
        <f t="shared" si="13"/>
        <v>수유동</v>
      </c>
      <c r="I336" t="s">
        <v>218</v>
      </c>
      <c r="J336" t="s">
        <v>204</v>
      </c>
      <c r="K336" t="s">
        <v>219</v>
      </c>
    </row>
    <row r="337" spans="1:11" x14ac:dyDescent="0.4">
      <c r="A337" t="s">
        <v>1527</v>
      </c>
      <c r="B337" t="s">
        <v>9</v>
      </c>
      <c r="C337" t="s">
        <v>10</v>
      </c>
      <c r="D337" t="s">
        <v>79</v>
      </c>
      <c r="E337" t="s">
        <v>1528</v>
      </c>
      <c r="F337" t="str">
        <f>LEFT(E337,5)</f>
        <v>서울특별시</v>
      </c>
      <c r="G337" t="str">
        <f t="shared" si="12"/>
        <v xml:space="preserve">강북구 </v>
      </c>
      <c r="H337" t="str">
        <f t="shared" si="13"/>
        <v>수유동</v>
      </c>
      <c r="I337" t="s">
        <v>1529</v>
      </c>
      <c r="J337" t="s">
        <v>204</v>
      </c>
      <c r="K337" t="s">
        <v>1530</v>
      </c>
    </row>
    <row r="338" spans="1:11" x14ac:dyDescent="0.4">
      <c r="A338" t="s">
        <v>3818</v>
      </c>
      <c r="B338" t="s">
        <v>9</v>
      </c>
      <c r="C338" t="s">
        <v>10</v>
      </c>
      <c r="D338" t="s">
        <v>3371</v>
      </c>
      <c r="E338" t="s">
        <v>3819</v>
      </c>
      <c r="F338" t="str">
        <f>LEFT(E338,5)</f>
        <v>서울특별시</v>
      </c>
      <c r="G338" t="str">
        <f t="shared" si="12"/>
        <v xml:space="preserve">강북구 </v>
      </c>
      <c r="H338" t="str">
        <f t="shared" si="13"/>
        <v>수유동</v>
      </c>
      <c r="I338" t="s">
        <v>3820</v>
      </c>
      <c r="J338" t="s">
        <v>3374</v>
      </c>
      <c r="K338" t="s">
        <v>3821</v>
      </c>
    </row>
    <row r="339" spans="1:11" x14ac:dyDescent="0.4">
      <c r="A339" t="s">
        <v>3370</v>
      </c>
      <c r="B339" t="s">
        <v>9</v>
      </c>
      <c r="C339" t="s">
        <v>10</v>
      </c>
      <c r="D339" t="s">
        <v>3371</v>
      </c>
      <c r="E339" t="s">
        <v>3372</v>
      </c>
      <c r="F339" t="str">
        <f>LEFT(E339,5)</f>
        <v>서울특별시</v>
      </c>
      <c r="G339" t="str">
        <f t="shared" si="12"/>
        <v xml:space="preserve">강북구 </v>
      </c>
      <c r="H339" t="str">
        <f t="shared" si="13"/>
        <v>수유동</v>
      </c>
      <c r="I339" t="s">
        <v>3373</v>
      </c>
      <c r="J339" t="s">
        <v>3374</v>
      </c>
      <c r="K339" t="s">
        <v>3375</v>
      </c>
    </row>
    <row r="340" spans="1:11" x14ac:dyDescent="0.4">
      <c r="A340" t="s">
        <v>6420</v>
      </c>
      <c r="B340" t="s">
        <v>9</v>
      </c>
      <c r="C340" t="s">
        <v>10</v>
      </c>
      <c r="D340" t="s">
        <v>6421</v>
      </c>
      <c r="E340" t="s">
        <v>6422</v>
      </c>
      <c r="F340" t="str">
        <f>LEFT(E340,5)</f>
        <v>서울특별시</v>
      </c>
      <c r="G340" t="str">
        <f t="shared" si="12"/>
        <v xml:space="preserve">강북구 </v>
      </c>
      <c r="H340" t="str">
        <f t="shared" si="13"/>
        <v>수유동</v>
      </c>
      <c r="I340" t="s">
        <v>6423</v>
      </c>
      <c r="J340" t="s">
        <v>6424</v>
      </c>
      <c r="K340" t="s">
        <v>1977</v>
      </c>
    </row>
    <row r="341" spans="1:11" x14ac:dyDescent="0.4">
      <c r="A341" t="s">
        <v>5470</v>
      </c>
      <c r="B341" t="s">
        <v>9</v>
      </c>
      <c r="C341" t="s">
        <v>10</v>
      </c>
      <c r="D341" t="s">
        <v>3176</v>
      </c>
      <c r="E341" t="s">
        <v>5471</v>
      </c>
      <c r="F341" t="str">
        <f>LEFT(E341,5)</f>
        <v>서울특별시</v>
      </c>
      <c r="G341" t="str">
        <f t="shared" si="12"/>
        <v xml:space="preserve">강북구 </v>
      </c>
      <c r="H341" t="str">
        <f t="shared" si="13"/>
        <v>수유동</v>
      </c>
      <c r="I341" t="s">
        <v>5472</v>
      </c>
      <c r="J341" t="s">
        <v>5473</v>
      </c>
      <c r="K341" t="s">
        <v>5474</v>
      </c>
    </row>
    <row r="342" spans="1:11" x14ac:dyDescent="0.4">
      <c r="A342" t="s">
        <v>3475</v>
      </c>
      <c r="B342" t="s">
        <v>9</v>
      </c>
      <c r="C342" t="s">
        <v>10</v>
      </c>
      <c r="D342" t="s">
        <v>3176</v>
      </c>
      <c r="E342" t="s">
        <v>3476</v>
      </c>
      <c r="F342" t="str">
        <f>LEFT(E342,5)</f>
        <v>서울특별시</v>
      </c>
      <c r="G342" t="str">
        <f t="shared" si="12"/>
        <v xml:space="preserve">강북구 </v>
      </c>
      <c r="H342" t="str">
        <f t="shared" si="13"/>
        <v>수유동</v>
      </c>
      <c r="I342" t="s">
        <v>3477</v>
      </c>
      <c r="J342" t="s">
        <v>3179</v>
      </c>
      <c r="K342" t="s">
        <v>3478</v>
      </c>
    </row>
    <row r="343" spans="1:11" x14ac:dyDescent="0.4">
      <c r="A343" t="s">
        <v>7031</v>
      </c>
      <c r="B343" t="s">
        <v>9</v>
      </c>
      <c r="C343" t="s">
        <v>10</v>
      </c>
      <c r="D343" t="s">
        <v>3371</v>
      </c>
      <c r="E343" t="s">
        <v>7032</v>
      </c>
      <c r="F343" t="str">
        <f>LEFT(E343,5)</f>
        <v>서울특별시</v>
      </c>
      <c r="G343" t="str">
        <f t="shared" si="12"/>
        <v xml:space="preserve">강북구 </v>
      </c>
      <c r="H343" t="str">
        <f t="shared" si="13"/>
        <v>수유동</v>
      </c>
      <c r="I343" t="s">
        <v>7033</v>
      </c>
      <c r="J343" t="s">
        <v>5930</v>
      </c>
      <c r="K343" t="s">
        <v>948</v>
      </c>
    </row>
    <row r="344" spans="1:11" x14ac:dyDescent="0.4">
      <c r="A344" t="s">
        <v>5927</v>
      </c>
      <c r="B344" t="s">
        <v>9</v>
      </c>
      <c r="C344" t="s">
        <v>10</v>
      </c>
      <c r="D344" t="s">
        <v>3371</v>
      </c>
      <c r="E344" t="s">
        <v>5928</v>
      </c>
      <c r="F344" t="str">
        <f>LEFT(E344,5)</f>
        <v>서울특별시</v>
      </c>
      <c r="G344" t="str">
        <f t="shared" si="12"/>
        <v xml:space="preserve">강북구 </v>
      </c>
      <c r="H344" t="str">
        <f t="shared" si="13"/>
        <v>수유동</v>
      </c>
      <c r="I344" t="s">
        <v>5929</v>
      </c>
      <c r="J344" t="s">
        <v>5930</v>
      </c>
      <c r="K344" t="s">
        <v>5931</v>
      </c>
    </row>
    <row r="345" spans="1:11" x14ac:dyDescent="0.4">
      <c r="A345" t="s">
        <v>252</v>
      </c>
      <c r="B345" t="s">
        <v>9</v>
      </c>
      <c r="C345" t="s">
        <v>10</v>
      </c>
      <c r="D345" t="s">
        <v>253</v>
      </c>
      <c r="E345" t="s">
        <v>254</v>
      </c>
      <c r="F345" t="str">
        <f>LEFT(E345,5)</f>
        <v>서울특별시</v>
      </c>
      <c r="G345" t="str">
        <f t="shared" si="12"/>
        <v xml:space="preserve">강북구 </v>
      </c>
      <c r="H345" t="str">
        <f t="shared" si="13"/>
        <v>수유동</v>
      </c>
      <c r="I345" t="s">
        <v>255</v>
      </c>
      <c r="J345" t="s">
        <v>256</v>
      </c>
      <c r="K345" t="s">
        <v>257</v>
      </c>
    </row>
    <row r="346" spans="1:11" x14ac:dyDescent="0.4">
      <c r="A346" t="s">
        <v>3175</v>
      </c>
      <c r="B346" t="s">
        <v>9</v>
      </c>
      <c r="C346" t="s">
        <v>10</v>
      </c>
      <c r="D346" t="s">
        <v>3176</v>
      </c>
      <c r="E346" t="s">
        <v>3177</v>
      </c>
      <c r="F346" t="str">
        <f>LEFT(E346,5)</f>
        <v>서울특별시</v>
      </c>
      <c r="G346" t="str">
        <f t="shared" si="12"/>
        <v xml:space="preserve">강북구 </v>
      </c>
      <c r="H346" t="str">
        <f t="shared" si="13"/>
        <v>수유동</v>
      </c>
      <c r="I346" t="s">
        <v>3178</v>
      </c>
      <c r="J346" t="s">
        <v>3179</v>
      </c>
      <c r="K346" t="s">
        <v>3180</v>
      </c>
    </row>
    <row r="347" spans="1:11" x14ac:dyDescent="0.4">
      <c r="A347" t="s">
        <v>8329</v>
      </c>
      <c r="B347" t="s">
        <v>9</v>
      </c>
      <c r="C347" t="s">
        <v>10</v>
      </c>
      <c r="D347" t="s">
        <v>8330</v>
      </c>
      <c r="E347" t="s">
        <v>8331</v>
      </c>
      <c r="F347" t="str">
        <f>LEFT(E347,5)</f>
        <v>서울특별시</v>
      </c>
      <c r="G347" t="str">
        <f t="shared" si="12"/>
        <v xml:space="preserve">강북구 </v>
      </c>
      <c r="H347" t="str">
        <f t="shared" si="13"/>
        <v>수유동</v>
      </c>
      <c r="I347" t="s">
        <v>8332</v>
      </c>
      <c r="J347" t="s">
        <v>8333</v>
      </c>
      <c r="K347" t="s">
        <v>8334</v>
      </c>
    </row>
    <row r="348" spans="1:11" x14ac:dyDescent="0.4">
      <c r="A348" t="s">
        <v>3543</v>
      </c>
      <c r="B348" t="s">
        <v>9</v>
      </c>
      <c r="C348" t="s">
        <v>10</v>
      </c>
      <c r="D348" t="s">
        <v>3544</v>
      </c>
      <c r="E348" t="s">
        <v>3545</v>
      </c>
      <c r="F348" t="str">
        <f>LEFT(E348,5)</f>
        <v>서울특별시</v>
      </c>
      <c r="G348" t="str">
        <f t="shared" si="12"/>
        <v xml:space="preserve">강북구 </v>
      </c>
      <c r="H348" t="str">
        <f t="shared" si="13"/>
        <v>우이동</v>
      </c>
      <c r="I348" t="s">
        <v>3546</v>
      </c>
      <c r="J348" t="s">
        <v>3547</v>
      </c>
      <c r="K348" t="s">
        <v>3548</v>
      </c>
    </row>
    <row r="349" spans="1:11" x14ac:dyDescent="0.4">
      <c r="A349" t="s">
        <v>3060</v>
      </c>
      <c r="B349" t="s">
        <v>9</v>
      </c>
      <c r="C349" t="s">
        <v>10</v>
      </c>
      <c r="D349" t="s">
        <v>3061</v>
      </c>
      <c r="E349" t="s">
        <v>3062</v>
      </c>
      <c r="F349" t="str">
        <f>LEFT(E349,5)</f>
        <v>서울특별시</v>
      </c>
      <c r="G349" t="str">
        <f t="shared" si="12"/>
        <v xml:space="preserve">강서구 </v>
      </c>
      <c r="H349" t="str">
        <f t="shared" si="13"/>
        <v>가양동</v>
      </c>
      <c r="I349" t="s">
        <v>3063</v>
      </c>
      <c r="J349" t="s">
        <v>3064</v>
      </c>
      <c r="K349" t="s">
        <v>498</v>
      </c>
    </row>
    <row r="350" spans="1:11" x14ac:dyDescent="0.4">
      <c r="A350" t="s">
        <v>6748</v>
      </c>
      <c r="B350" t="s">
        <v>9</v>
      </c>
      <c r="C350" t="s">
        <v>10</v>
      </c>
      <c r="D350" t="s">
        <v>3061</v>
      </c>
      <c r="E350" t="s">
        <v>6749</v>
      </c>
      <c r="F350" t="str">
        <f>LEFT(E350,5)</f>
        <v>서울특별시</v>
      </c>
      <c r="G350" t="str">
        <f t="shared" si="12"/>
        <v xml:space="preserve">강서구 </v>
      </c>
      <c r="H350" t="str">
        <f t="shared" si="13"/>
        <v>가양동</v>
      </c>
      <c r="I350" t="s">
        <v>6750</v>
      </c>
      <c r="J350" t="s">
        <v>3174</v>
      </c>
      <c r="K350" t="s">
        <v>6751</v>
      </c>
    </row>
    <row r="351" spans="1:11" x14ac:dyDescent="0.4">
      <c r="A351" t="s">
        <v>6837</v>
      </c>
      <c r="B351" t="s">
        <v>9</v>
      </c>
      <c r="C351" t="s">
        <v>10</v>
      </c>
      <c r="D351" t="s">
        <v>1865</v>
      </c>
      <c r="E351" t="s">
        <v>6838</v>
      </c>
      <c r="F351" t="str">
        <f>LEFT(E351,5)</f>
        <v>서울특별시</v>
      </c>
      <c r="G351" t="str">
        <f t="shared" si="12"/>
        <v xml:space="preserve">강서구 </v>
      </c>
      <c r="H351" t="str">
        <f t="shared" si="13"/>
        <v>공항동</v>
      </c>
      <c r="I351" t="s">
        <v>6839</v>
      </c>
      <c r="J351" t="s">
        <v>6840</v>
      </c>
      <c r="K351" t="s">
        <v>6841</v>
      </c>
    </row>
    <row r="352" spans="1:11" x14ac:dyDescent="0.4">
      <c r="A352" t="s">
        <v>6707</v>
      </c>
      <c r="B352" t="s">
        <v>9</v>
      </c>
      <c r="C352" t="s">
        <v>10</v>
      </c>
      <c r="D352" t="s">
        <v>1865</v>
      </c>
      <c r="E352" t="s">
        <v>6708</v>
      </c>
      <c r="F352" t="str">
        <f>LEFT(E352,5)</f>
        <v>서울특별시</v>
      </c>
      <c r="G352" t="str">
        <f t="shared" si="12"/>
        <v xml:space="preserve">강서구 </v>
      </c>
      <c r="H352" t="str">
        <f t="shared" si="13"/>
        <v>공항동</v>
      </c>
      <c r="I352" t="s">
        <v>6709</v>
      </c>
      <c r="J352" t="s">
        <v>6710</v>
      </c>
      <c r="K352" t="s">
        <v>2875</v>
      </c>
    </row>
    <row r="353" spans="1:11" x14ac:dyDescent="0.4">
      <c r="A353" t="s">
        <v>5196</v>
      </c>
      <c r="B353" t="s">
        <v>9</v>
      </c>
      <c r="C353" t="s">
        <v>10</v>
      </c>
      <c r="D353" t="s">
        <v>1865</v>
      </c>
      <c r="E353" t="s">
        <v>5197</v>
      </c>
      <c r="F353" t="str">
        <f>LEFT(E353,5)</f>
        <v>서울특별시</v>
      </c>
      <c r="G353" t="str">
        <f t="shared" si="12"/>
        <v xml:space="preserve">강서구 </v>
      </c>
      <c r="H353" t="str">
        <f t="shared" si="13"/>
        <v>공항동</v>
      </c>
      <c r="I353" t="s">
        <v>5198</v>
      </c>
      <c r="J353" t="s">
        <v>5199</v>
      </c>
      <c r="K353" t="s">
        <v>2280</v>
      </c>
    </row>
    <row r="354" spans="1:11" x14ac:dyDescent="0.4">
      <c r="A354" t="s">
        <v>1864</v>
      </c>
      <c r="B354" t="s">
        <v>9</v>
      </c>
      <c r="C354" t="s">
        <v>10</v>
      </c>
      <c r="D354" t="s">
        <v>1865</v>
      </c>
      <c r="E354" t="s">
        <v>1866</v>
      </c>
      <c r="F354" t="str">
        <f>LEFT(E354,5)</f>
        <v>서울특별시</v>
      </c>
      <c r="G354" t="str">
        <f t="shared" si="12"/>
        <v xml:space="preserve">강서구 </v>
      </c>
      <c r="H354" t="str">
        <f t="shared" si="13"/>
        <v>공항동</v>
      </c>
      <c r="I354" t="s">
        <v>1867</v>
      </c>
      <c r="J354" t="s">
        <v>11</v>
      </c>
      <c r="K354" t="s">
        <v>1868</v>
      </c>
    </row>
    <row r="355" spans="1:11" x14ac:dyDescent="0.4">
      <c r="A355" t="s">
        <v>4570</v>
      </c>
      <c r="B355" t="s">
        <v>9</v>
      </c>
      <c r="C355" t="s">
        <v>10</v>
      </c>
      <c r="D355" t="s">
        <v>1865</v>
      </c>
      <c r="E355" t="s">
        <v>4571</v>
      </c>
      <c r="F355" t="str">
        <f>LEFT(E355,5)</f>
        <v>서울특별시</v>
      </c>
      <c r="G355" t="str">
        <f t="shared" si="12"/>
        <v xml:space="preserve">강서구 </v>
      </c>
      <c r="H355" t="str">
        <f t="shared" si="13"/>
        <v>공항동</v>
      </c>
      <c r="I355" t="s">
        <v>11</v>
      </c>
      <c r="J355" t="s">
        <v>11</v>
      </c>
      <c r="K355" t="s">
        <v>4572</v>
      </c>
    </row>
    <row r="356" spans="1:11" x14ac:dyDescent="0.4">
      <c r="A356" t="s">
        <v>7852</v>
      </c>
      <c r="B356" t="s">
        <v>9</v>
      </c>
      <c r="C356" t="s">
        <v>10</v>
      </c>
      <c r="D356" t="s">
        <v>3414</v>
      </c>
      <c r="E356" t="s">
        <v>7853</v>
      </c>
      <c r="F356" t="str">
        <f>LEFT(E356,5)</f>
        <v>서울특별시</v>
      </c>
      <c r="G356" t="str">
        <f t="shared" si="12"/>
        <v xml:space="preserve">강서구 </v>
      </c>
      <c r="H356" t="str">
        <f t="shared" si="13"/>
        <v>등촌동</v>
      </c>
      <c r="I356" t="s">
        <v>7854</v>
      </c>
      <c r="J356" t="s">
        <v>7855</v>
      </c>
      <c r="K356" t="s">
        <v>7856</v>
      </c>
    </row>
    <row r="357" spans="1:11" x14ac:dyDescent="0.4">
      <c r="A357" t="s">
        <v>3413</v>
      </c>
      <c r="B357" t="s">
        <v>9</v>
      </c>
      <c r="C357" t="s">
        <v>10</v>
      </c>
      <c r="D357" t="s">
        <v>3414</v>
      </c>
      <c r="E357" t="s">
        <v>3415</v>
      </c>
      <c r="F357" t="str">
        <f>LEFT(E357,5)</f>
        <v>서울특별시</v>
      </c>
      <c r="G357" t="str">
        <f t="shared" si="12"/>
        <v xml:space="preserve">강서구 </v>
      </c>
      <c r="H357" t="str">
        <f t="shared" si="13"/>
        <v>등촌동</v>
      </c>
      <c r="I357" t="s">
        <v>3416</v>
      </c>
      <c r="J357" t="s">
        <v>3417</v>
      </c>
      <c r="K357" t="s">
        <v>3418</v>
      </c>
    </row>
    <row r="358" spans="1:11" x14ac:dyDescent="0.4">
      <c r="A358" t="s">
        <v>8524</v>
      </c>
      <c r="B358" t="s">
        <v>9</v>
      </c>
      <c r="C358" t="s">
        <v>10</v>
      </c>
      <c r="D358" t="s">
        <v>3414</v>
      </c>
      <c r="E358" t="s">
        <v>8525</v>
      </c>
      <c r="F358" t="str">
        <f>LEFT(E358,5)</f>
        <v>서울특별시</v>
      </c>
      <c r="G358" t="str">
        <f t="shared" si="12"/>
        <v xml:space="preserve">강서구 </v>
      </c>
      <c r="H358" t="str">
        <f t="shared" si="13"/>
        <v>등촌동</v>
      </c>
      <c r="I358" t="s">
        <v>8526</v>
      </c>
      <c r="J358" t="s">
        <v>3417</v>
      </c>
      <c r="K358" t="s">
        <v>1168</v>
      </c>
    </row>
    <row r="359" spans="1:11" x14ac:dyDescent="0.4">
      <c r="A359" t="s">
        <v>6065</v>
      </c>
      <c r="B359" t="s">
        <v>9</v>
      </c>
      <c r="C359" t="s">
        <v>10</v>
      </c>
      <c r="D359" t="s">
        <v>3414</v>
      </c>
      <c r="E359" t="s">
        <v>6066</v>
      </c>
      <c r="F359" t="str">
        <f>LEFT(E359,5)</f>
        <v>서울특별시</v>
      </c>
      <c r="G359" t="str">
        <f t="shared" si="12"/>
        <v xml:space="preserve">강서구 </v>
      </c>
      <c r="H359" t="str">
        <f t="shared" si="13"/>
        <v>등촌동</v>
      </c>
      <c r="I359" t="s">
        <v>6067</v>
      </c>
      <c r="J359" t="s">
        <v>3417</v>
      </c>
      <c r="K359" t="s">
        <v>2178</v>
      </c>
    </row>
    <row r="360" spans="1:11" x14ac:dyDescent="0.4">
      <c r="A360" t="s">
        <v>5055</v>
      </c>
      <c r="B360" t="s">
        <v>9</v>
      </c>
      <c r="C360" t="s">
        <v>10</v>
      </c>
      <c r="D360" t="s">
        <v>4666</v>
      </c>
      <c r="E360" t="s">
        <v>5056</v>
      </c>
      <c r="F360" t="str">
        <f>LEFT(E360,5)</f>
        <v>서울특별시</v>
      </c>
      <c r="G360" t="str">
        <f t="shared" si="12"/>
        <v xml:space="preserve">강서구 </v>
      </c>
      <c r="H360" t="str">
        <f t="shared" si="13"/>
        <v>등촌동</v>
      </c>
      <c r="I360" t="s">
        <v>5057</v>
      </c>
      <c r="J360" t="s">
        <v>11</v>
      </c>
      <c r="K360" t="s">
        <v>5058</v>
      </c>
    </row>
    <row r="361" spans="1:11" x14ac:dyDescent="0.4">
      <c r="A361" t="s">
        <v>4665</v>
      </c>
      <c r="B361" t="s">
        <v>9</v>
      </c>
      <c r="C361" t="s">
        <v>10</v>
      </c>
      <c r="D361" t="s">
        <v>4666</v>
      </c>
      <c r="E361" t="s">
        <v>4667</v>
      </c>
      <c r="F361" t="str">
        <f>LEFT(E361,5)</f>
        <v>서울특별시</v>
      </c>
      <c r="G361" t="str">
        <f t="shared" si="12"/>
        <v xml:space="preserve">강서구 </v>
      </c>
      <c r="H361" t="str">
        <f t="shared" si="13"/>
        <v>등촌동</v>
      </c>
      <c r="I361" t="s">
        <v>4668</v>
      </c>
      <c r="J361" t="s">
        <v>4669</v>
      </c>
      <c r="K361" t="s">
        <v>4670</v>
      </c>
    </row>
    <row r="362" spans="1:11" x14ac:dyDescent="0.4">
      <c r="A362" t="s">
        <v>6880</v>
      </c>
      <c r="B362" t="s">
        <v>9</v>
      </c>
      <c r="C362" t="s">
        <v>10</v>
      </c>
      <c r="D362" t="s">
        <v>3171</v>
      </c>
      <c r="E362" t="s">
        <v>6881</v>
      </c>
      <c r="F362" t="str">
        <f>LEFT(E362,5)</f>
        <v>서울특별시</v>
      </c>
      <c r="G362" t="str">
        <f t="shared" si="12"/>
        <v xml:space="preserve">강서구 </v>
      </c>
      <c r="H362" t="str">
        <f t="shared" si="13"/>
        <v>등촌동</v>
      </c>
      <c r="I362" t="s">
        <v>6882</v>
      </c>
      <c r="J362" t="s">
        <v>3174</v>
      </c>
      <c r="K362" t="s">
        <v>6883</v>
      </c>
    </row>
    <row r="363" spans="1:11" x14ac:dyDescent="0.4">
      <c r="A363" t="s">
        <v>3170</v>
      </c>
      <c r="B363" t="s">
        <v>9</v>
      </c>
      <c r="C363" t="s">
        <v>10</v>
      </c>
      <c r="D363" t="s">
        <v>3171</v>
      </c>
      <c r="E363" t="s">
        <v>3172</v>
      </c>
      <c r="F363" t="str">
        <f>LEFT(E363,5)</f>
        <v>서울특별시</v>
      </c>
      <c r="G363" t="str">
        <f t="shared" si="12"/>
        <v xml:space="preserve">강서구 </v>
      </c>
      <c r="H363" t="str">
        <f t="shared" si="13"/>
        <v>등촌동</v>
      </c>
      <c r="I363" t="s">
        <v>3173</v>
      </c>
      <c r="J363" t="s">
        <v>3174</v>
      </c>
      <c r="K363" t="s">
        <v>1834</v>
      </c>
    </row>
    <row r="364" spans="1:11" x14ac:dyDescent="0.4">
      <c r="A364" t="s">
        <v>3688</v>
      </c>
      <c r="B364" t="s">
        <v>9</v>
      </c>
      <c r="C364" t="s">
        <v>10</v>
      </c>
      <c r="D364" t="s">
        <v>3689</v>
      </c>
      <c r="E364" t="s">
        <v>3690</v>
      </c>
      <c r="F364" t="str">
        <f>LEFT(E364,5)</f>
        <v>서울특별시</v>
      </c>
      <c r="G364" t="str">
        <f t="shared" si="12"/>
        <v xml:space="preserve">강서구 </v>
      </c>
      <c r="H364" t="str">
        <f t="shared" si="13"/>
        <v>방화동</v>
      </c>
      <c r="I364" t="s">
        <v>3691</v>
      </c>
      <c r="J364" t="s">
        <v>3692</v>
      </c>
      <c r="K364" t="s">
        <v>3693</v>
      </c>
    </row>
    <row r="365" spans="1:11" x14ac:dyDescent="0.4">
      <c r="A365" t="s">
        <v>5158</v>
      </c>
      <c r="B365" t="s">
        <v>9</v>
      </c>
      <c r="C365" t="s">
        <v>10</v>
      </c>
      <c r="D365" t="s">
        <v>3689</v>
      </c>
      <c r="E365" t="s">
        <v>5159</v>
      </c>
      <c r="F365" t="str">
        <f>LEFT(E365,5)</f>
        <v>서울특별시</v>
      </c>
      <c r="G365" t="str">
        <f t="shared" si="12"/>
        <v xml:space="preserve">강서구 </v>
      </c>
      <c r="H365" t="str">
        <f t="shared" si="13"/>
        <v>방화동</v>
      </c>
      <c r="I365" t="s">
        <v>5160</v>
      </c>
      <c r="J365" t="s">
        <v>4833</v>
      </c>
      <c r="K365" t="s">
        <v>5161</v>
      </c>
    </row>
    <row r="366" spans="1:11" x14ac:dyDescent="0.4">
      <c r="A366" t="s">
        <v>4830</v>
      </c>
      <c r="B366" t="s">
        <v>9</v>
      </c>
      <c r="C366" t="s">
        <v>10</v>
      </c>
      <c r="D366" t="s">
        <v>3689</v>
      </c>
      <c r="E366" t="s">
        <v>4831</v>
      </c>
      <c r="F366" t="str">
        <f>LEFT(E366,5)</f>
        <v>서울특별시</v>
      </c>
      <c r="G366" t="str">
        <f t="shared" si="12"/>
        <v xml:space="preserve">강서구 </v>
      </c>
      <c r="H366" t="str">
        <f t="shared" si="13"/>
        <v>방화동</v>
      </c>
      <c r="I366" t="s">
        <v>4832</v>
      </c>
      <c r="J366" t="s">
        <v>4833</v>
      </c>
      <c r="K366" t="s">
        <v>4834</v>
      </c>
    </row>
    <row r="367" spans="1:11" x14ac:dyDescent="0.4">
      <c r="A367" t="s">
        <v>6757</v>
      </c>
      <c r="B367" t="s">
        <v>9</v>
      </c>
      <c r="C367" t="s">
        <v>10</v>
      </c>
      <c r="D367" t="s">
        <v>6758</v>
      </c>
      <c r="E367" t="s">
        <v>6759</v>
      </c>
      <c r="F367" t="str">
        <f>LEFT(E367,5)</f>
        <v>서울특별시</v>
      </c>
      <c r="G367" t="str">
        <f t="shared" si="12"/>
        <v xml:space="preserve">강서구 </v>
      </c>
      <c r="H367" t="str">
        <f t="shared" si="13"/>
        <v>염창동</v>
      </c>
      <c r="I367" t="s">
        <v>6760</v>
      </c>
      <c r="J367" t="s">
        <v>6761</v>
      </c>
      <c r="K367" t="s">
        <v>6762</v>
      </c>
    </row>
    <row r="368" spans="1:11" x14ac:dyDescent="0.4">
      <c r="A368" t="s">
        <v>5206</v>
      </c>
      <c r="B368" t="s">
        <v>9</v>
      </c>
      <c r="C368" t="s">
        <v>10</v>
      </c>
      <c r="D368" t="s">
        <v>3807</v>
      </c>
      <c r="E368" t="s">
        <v>5207</v>
      </c>
      <c r="F368" t="str">
        <f>LEFT(E368,5)</f>
        <v>서울특별시</v>
      </c>
      <c r="G368" t="str">
        <f t="shared" si="12"/>
        <v xml:space="preserve">강서구 </v>
      </c>
      <c r="H368" t="str">
        <f t="shared" si="13"/>
        <v>염창동</v>
      </c>
      <c r="I368" t="s">
        <v>5208</v>
      </c>
      <c r="J368" t="s">
        <v>3810</v>
      </c>
      <c r="K368" t="s">
        <v>1168</v>
      </c>
    </row>
    <row r="369" spans="1:11" x14ac:dyDescent="0.4">
      <c r="A369" t="s">
        <v>3806</v>
      </c>
      <c r="B369" t="s">
        <v>9</v>
      </c>
      <c r="C369" t="s">
        <v>10</v>
      </c>
      <c r="D369" t="s">
        <v>3807</v>
      </c>
      <c r="E369" t="s">
        <v>3808</v>
      </c>
      <c r="F369" t="str">
        <f>LEFT(E369,5)</f>
        <v>서울특별시</v>
      </c>
      <c r="G369" t="str">
        <f t="shared" si="12"/>
        <v xml:space="preserve">강서구 </v>
      </c>
      <c r="H369" t="str">
        <f t="shared" si="13"/>
        <v>염창동</v>
      </c>
      <c r="I369" t="s">
        <v>3809</v>
      </c>
      <c r="J369" t="s">
        <v>3810</v>
      </c>
      <c r="K369" t="s">
        <v>3811</v>
      </c>
    </row>
    <row r="370" spans="1:11" x14ac:dyDescent="0.4">
      <c r="A370" t="s">
        <v>8058</v>
      </c>
      <c r="B370" t="s">
        <v>9</v>
      </c>
      <c r="C370" t="s">
        <v>10</v>
      </c>
      <c r="D370" t="s">
        <v>8059</v>
      </c>
      <c r="E370" t="s">
        <v>8060</v>
      </c>
      <c r="F370" t="str">
        <f>LEFT(E370,5)</f>
        <v>서울특별시</v>
      </c>
      <c r="G370" t="str">
        <f t="shared" si="12"/>
        <v xml:space="preserve">강서구 </v>
      </c>
      <c r="H370" t="str">
        <f t="shared" si="13"/>
        <v>화곡동</v>
      </c>
      <c r="I370" t="s">
        <v>8061</v>
      </c>
      <c r="J370" t="s">
        <v>8062</v>
      </c>
      <c r="K370" t="s">
        <v>8063</v>
      </c>
    </row>
    <row r="371" spans="1:11" x14ac:dyDescent="0.4">
      <c r="A371" t="s">
        <v>3526</v>
      </c>
      <c r="B371" t="s">
        <v>9</v>
      </c>
      <c r="C371" t="s">
        <v>10</v>
      </c>
      <c r="D371" t="s">
        <v>3527</v>
      </c>
      <c r="E371" t="s">
        <v>3528</v>
      </c>
      <c r="F371" t="str">
        <f>LEFT(E371,5)</f>
        <v>서울특별시</v>
      </c>
      <c r="G371" t="str">
        <f t="shared" si="12"/>
        <v xml:space="preserve">강서구 </v>
      </c>
      <c r="H371" t="str">
        <f t="shared" si="13"/>
        <v>화곡동</v>
      </c>
      <c r="I371" t="s">
        <v>3529</v>
      </c>
      <c r="J371" t="s">
        <v>3530</v>
      </c>
      <c r="K371" t="s">
        <v>1323</v>
      </c>
    </row>
    <row r="372" spans="1:11" x14ac:dyDescent="0.4">
      <c r="A372" t="s">
        <v>5915</v>
      </c>
      <c r="B372" t="s">
        <v>9</v>
      </c>
      <c r="C372" t="s">
        <v>10</v>
      </c>
      <c r="D372" t="s">
        <v>3527</v>
      </c>
      <c r="E372" t="s">
        <v>5916</v>
      </c>
      <c r="F372" t="str">
        <f>LEFT(E372,5)</f>
        <v>서울특별시</v>
      </c>
      <c r="G372" t="str">
        <f t="shared" si="12"/>
        <v xml:space="preserve">강서구 </v>
      </c>
      <c r="H372" t="str">
        <f t="shared" si="13"/>
        <v>화곡동</v>
      </c>
      <c r="I372" t="s">
        <v>5917</v>
      </c>
      <c r="J372" t="s">
        <v>5918</v>
      </c>
      <c r="K372" t="s">
        <v>5919</v>
      </c>
    </row>
    <row r="373" spans="1:11" x14ac:dyDescent="0.4">
      <c r="A373" t="s">
        <v>2744</v>
      </c>
      <c r="B373" t="s">
        <v>9</v>
      </c>
      <c r="C373" t="s">
        <v>10</v>
      </c>
      <c r="D373" t="s">
        <v>1902</v>
      </c>
      <c r="E373" t="s">
        <v>2745</v>
      </c>
      <c r="F373" t="str">
        <f>LEFT(E373,5)</f>
        <v>서울특별시</v>
      </c>
      <c r="G373" t="str">
        <f t="shared" si="12"/>
        <v xml:space="preserve">강서구 </v>
      </c>
      <c r="H373" t="str">
        <f t="shared" si="13"/>
        <v>화곡동</v>
      </c>
      <c r="I373" t="s">
        <v>2746</v>
      </c>
      <c r="J373" t="s">
        <v>1905</v>
      </c>
      <c r="K373" t="s">
        <v>2747</v>
      </c>
    </row>
    <row r="374" spans="1:11" x14ac:dyDescent="0.4">
      <c r="A374" t="s">
        <v>1901</v>
      </c>
      <c r="B374" t="s">
        <v>9</v>
      </c>
      <c r="C374" t="s">
        <v>10</v>
      </c>
      <c r="D374" t="s">
        <v>1902</v>
      </c>
      <c r="E374" t="s">
        <v>1903</v>
      </c>
      <c r="F374" t="str">
        <f>LEFT(E374,5)</f>
        <v>서울특별시</v>
      </c>
      <c r="G374" t="str">
        <f t="shared" si="12"/>
        <v xml:space="preserve">강서구 </v>
      </c>
      <c r="H374" t="str">
        <f t="shared" si="13"/>
        <v>화곡동</v>
      </c>
      <c r="I374" t="s">
        <v>1904</v>
      </c>
      <c r="J374" t="s">
        <v>1905</v>
      </c>
      <c r="K374" t="s">
        <v>1906</v>
      </c>
    </row>
    <row r="375" spans="1:11" x14ac:dyDescent="0.4">
      <c r="A375" t="s">
        <v>6061</v>
      </c>
      <c r="B375" t="s">
        <v>9</v>
      </c>
      <c r="C375" t="s">
        <v>10</v>
      </c>
      <c r="D375" t="s">
        <v>1902</v>
      </c>
      <c r="E375" t="s">
        <v>6062</v>
      </c>
      <c r="F375" t="str">
        <f>LEFT(E375,5)</f>
        <v>서울특별시</v>
      </c>
      <c r="G375" t="str">
        <f t="shared" si="12"/>
        <v xml:space="preserve">강서구 </v>
      </c>
      <c r="H375" t="str">
        <f t="shared" si="13"/>
        <v>화곡동</v>
      </c>
      <c r="I375" t="s">
        <v>6063</v>
      </c>
      <c r="J375" t="s">
        <v>1905</v>
      </c>
      <c r="K375" t="s">
        <v>6064</v>
      </c>
    </row>
    <row r="376" spans="1:11" x14ac:dyDescent="0.4">
      <c r="A376" t="s">
        <v>5050</v>
      </c>
      <c r="B376" t="s">
        <v>9</v>
      </c>
      <c r="C376" t="s">
        <v>10</v>
      </c>
      <c r="D376" t="s">
        <v>1902</v>
      </c>
      <c r="E376" t="s">
        <v>5051</v>
      </c>
      <c r="F376" t="str">
        <f>LEFT(E376,5)</f>
        <v>서울특별시</v>
      </c>
      <c r="G376" t="str">
        <f t="shared" si="12"/>
        <v xml:space="preserve">강서구 </v>
      </c>
      <c r="H376" t="str">
        <f t="shared" si="13"/>
        <v>화곡동</v>
      </c>
      <c r="I376" t="s">
        <v>5052</v>
      </c>
      <c r="J376" t="s">
        <v>5053</v>
      </c>
      <c r="K376" t="s">
        <v>5054</v>
      </c>
    </row>
    <row r="377" spans="1:11" x14ac:dyDescent="0.4">
      <c r="A377" t="s">
        <v>5121</v>
      </c>
      <c r="B377" t="s">
        <v>9</v>
      </c>
      <c r="C377" t="s">
        <v>10</v>
      </c>
      <c r="D377" t="s">
        <v>1502</v>
      </c>
      <c r="E377" t="s">
        <v>5122</v>
      </c>
      <c r="F377" t="str">
        <f>LEFT(E377,5)</f>
        <v>서울특별시</v>
      </c>
      <c r="G377" t="str">
        <f t="shared" si="12"/>
        <v xml:space="preserve">강서구 </v>
      </c>
      <c r="H377" t="str">
        <f t="shared" si="13"/>
        <v>화곡동</v>
      </c>
      <c r="I377" t="s">
        <v>5123</v>
      </c>
      <c r="J377" t="s">
        <v>5124</v>
      </c>
      <c r="K377" t="s">
        <v>2081</v>
      </c>
    </row>
    <row r="378" spans="1:11" x14ac:dyDescent="0.4">
      <c r="A378" t="s">
        <v>1501</v>
      </c>
      <c r="B378" t="s">
        <v>9</v>
      </c>
      <c r="C378" t="s">
        <v>10</v>
      </c>
      <c r="D378" t="s">
        <v>1502</v>
      </c>
      <c r="E378" t="s">
        <v>1503</v>
      </c>
      <c r="F378" t="str">
        <f>LEFT(E378,5)</f>
        <v>서울특별시</v>
      </c>
      <c r="G378" t="str">
        <f t="shared" si="12"/>
        <v xml:space="preserve">강서구 </v>
      </c>
      <c r="H378" t="str">
        <f t="shared" si="13"/>
        <v>화곡동</v>
      </c>
      <c r="I378" t="s">
        <v>1504</v>
      </c>
      <c r="J378" t="s">
        <v>11</v>
      </c>
      <c r="K378" t="s">
        <v>1505</v>
      </c>
    </row>
    <row r="379" spans="1:11" x14ac:dyDescent="0.4">
      <c r="A379" t="s">
        <v>7165</v>
      </c>
      <c r="B379" t="s">
        <v>9</v>
      </c>
      <c r="C379" t="s">
        <v>10</v>
      </c>
      <c r="D379" t="s">
        <v>7166</v>
      </c>
      <c r="E379" t="s">
        <v>7167</v>
      </c>
      <c r="F379" t="str">
        <f>LEFT(E379,5)</f>
        <v>서울특별시</v>
      </c>
      <c r="G379" t="str">
        <f t="shared" si="12"/>
        <v xml:space="preserve">강서구 </v>
      </c>
      <c r="H379" t="str">
        <f t="shared" si="13"/>
        <v>화곡동</v>
      </c>
      <c r="I379" t="s">
        <v>7168</v>
      </c>
      <c r="J379" t="s">
        <v>7169</v>
      </c>
      <c r="K379" t="s">
        <v>7170</v>
      </c>
    </row>
    <row r="380" spans="1:11" x14ac:dyDescent="0.4">
      <c r="A380" t="s">
        <v>7129</v>
      </c>
      <c r="B380" t="s">
        <v>9</v>
      </c>
      <c r="C380" t="s">
        <v>10</v>
      </c>
      <c r="D380" t="s">
        <v>1768</v>
      </c>
      <c r="E380" t="s">
        <v>7130</v>
      </c>
      <c r="F380" t="str">
        <f>LEFT(E380,5)</f>
        <v>서울특별시</v>
      </c>
      <c r="G380" t="str">
        <f t="shared" si="12"/>
        <v xml:space="preserve">강서구 </v>
      </c>
      <c r="H380" t="str">
        <f t="shared" si="13"/>
        <v>화곡동</v>
      </c>
      <c r="I380" t="s">
        <v>7131</v>
      </c>
      <c r="J380" t="s">
        <v>7132</v>
      </c>
      <c r="K380" t="s">
        <v>7133</v>
      </c>
    </row>
    <row r="381" spans="1:11" x14ac:dyDescent="0.4">
      <c r="A381" t="s">
        <v>8288</v>
      </c>
      <c r="B381" t="s">
        <v>9</v>
      </c>
      <c r="C381" t="s">
        <v>10</v>
      </c>
      <c r="D381" t="s">
        <v>1768</v>
      </c>
      <c r="E381" t="s">
        <v>8289</v>
      </c>
      <c r="F381" t="str">
        <f>LEFT(E381,5)</f>
        <v>서울특별시</v>
      </c>
      <c r="G381" t="str">
        <f t="shared" si="12"/>
        <v xml:space="preserve">강서구 </v>
      </c>
      <c r="H381" t="str">
        <f t="shared" si="13"/>
        <v>화곡동</v>
      </c>
      <c r="I381" t="s">
        <v>8290</v>
      </c>
      <c r="J381" t="s">
        <v>7132</v>
      </c>
      <c r="K381" t="s">
        <v>8291</v>
      </c>
    </row>
    <row r="382" spans="1:11" x14ac:dyDescent="0.4">
      <c r="A382" t="s">
        <v>3181</v>
      </c>
      <c r="B382" t="s">
        <v>9</v>
      </c>
      <c r="C382" t="s">
        <v>10</v>
      </c>
      <c r="D382" t="s">
        <v>1768</v>
      </c>
      <c r="E382" t="s">
        <v>3182</v>
      </c>
      <c r="F382" t="str">
        <f>LEFT(E382,5)</f>
        <v>서울특별시</v>
      </c>
      <c r="G382" t="str">
        <f t="shared" si="12"/>
        <v xml:space="preserve">강서구 </v>
      </c>
      <c r="H382" t="str">
        <f t="shared" si="13"/>
        <v>화곡동</v>
      </c>
      <c r="I382" t="s">
        <v>3183</v>
      </c>
      <c r="J382" t="s">
        <v>11</v>
      </c>
      <c r="K382" t="s">
        <v>1961</v>
      </c>
    </row>
    <row r="383" spans="1:11" x14ac:dyDescent="0.4">
      <c r="A383" t="s">
        <v>2151</v>
      </c>
      <c r="B383" t="s">
        <v>9</v>
      </c>
      <c r="C383" t="s">
        <v>10</v>
      </c>
      <c r="D383" t="s">
        <v>1768</v>
      </c>
      <c r="E383" t="s">
        <v>2152</v>
      </c>
      <c r="F383" t="str">
        <f>LEFT(E383,5)</f>
        <v>서울특별시</v>
      </c>
      <c r="G383" t="str">
        <f t="shared" si="12"/>
        <v xml:space="preserve">강서구 </v>
      </c>
      <c r="H383" t="str">
        <f t="shared" si="13"/>
        <v>화곡동</v>
      </c>
      <c r="I383" t="s">
        <v>2153</v>
      </c>
      <c r="J383" t="s">
        <v>1771</v>
      </c>
      <c r="K383" t="s">
        <v>2154</v>
      </c>
    </row>
    <row r="384" spans="1:11" x14ac:dyDescent="0.4">
      <c r="A384" t="s">
        <v>6690</v>
      </c>
      <c r="B384" t="s">
        <v>9</v>
      </c>
      <c r="C384" t="s">
        <v>10</v>
      </c>
      <c r="D384" t="s">
        <v>6691</v>
      </c>
      <c r="E384" t="s">
        <v>6692</v>
      </c>
      <c r="F384" t="str">
        <f>LEFT(E384,5)</f>
        <v>서울특별시</v>
      </c>
      <c r="G384" t="str">
        <f t="shared" si="12"/>
        <v xml:space="preserve">강서구 </v>
      </c>
      <c r="H384" t="str">
        <f t="shared" si="13"/>
        <v>화곡동</v>
      </c>
      <c r="I384" t="s">
        <v>6693</v>
      </c>
      <c r="J384" t="s">
        <v>6694</v>
      </c>
      <c r="K384" t="s">
        <v>6695</v>
      </c>
    </row>
    <row r="385" spans="1:11" x14ac:dyDescent="0.4">
      <c r="A385" t="s">
        <v>2136</v>
      </c>
      <c r="B385" t="s">
        <v>9</v>
      </c>
      <c r="C385" t="s">
        <v>10</v>
      </c>
      <c r="D385" t="s">
        <v>433</v>
      </c>
      <c r="E385" t="s">
        <v>2137</v>
      </c>
      <c r="F385" t="str">
        <f>LEFT(E385,5)</f>
        <v>서울특별시</v>
      </c>
      <c r="G385" t="str">
        <f t="shared" si="12"/>
        <v xml:space="preserve">강서구 </v>
      </c>
      <c r="H385" t="str">
        <f t="shared" si="13"/>
        <v>화곡동</v>
      </c>
      <c r="I385" t="s">
        <v>2138</v>
      </c>
      <c r="J385" t="s">
        <v>2139</v>
      </c>
      <c r="K385" t="s">
        <v>2140</v>
      </c>
    </row>
    <row r="386" spans="1:11" x14ac:dyDescent="0.4">
      <c r="A386" t="s">
        <v>3439</v>
      </c>
      <c r="B386" t="s">
        <v>9</v>
      </c>
      <c r="C386" t="s">
        <v>10</v>
      </c>
      <c r="D386" t="s">
        <v>433</v>
      </c>
      <c r="E386" t="s">
        <v>3440</v>
      </c>
      <c r="F386" t="str">
        <f>LEFT(E386,5)</f>
        <v>서울특별시</v>
      </c>
      <c r="G386" t="str">
        <f t="shared" si="12"/>
        <v xml:space="preserve">강서구 </v>
      </c>
      <c r="H386" t="str">
        <f t="shared" si="13"/>
        <v>화곡동</v>
      </c>
      <c r="I386" t="s">
        <v>3441</v>
      </c>
      <c r="J386" t="s">
        <v>3442</v>
      </c>
      <c r="K386" t="s">
        <v>3443</v>
      </c>
    </row>
    <row r="387" spans="1:11" x14ac:dyDescent="0.4">
      <c r="A387" t="s">
        <v>4535</v>
      </c>
      <c r="B387" t="s">
        <v>9</v>
      </c>
      <c r="C387" t="s">
        <v>10</v>
      </c>
      <c r="D387" t="s">
        <v>433</v>
      </c>
      <c r="E387" t="s">
        <v>4536</v>
      </c>
      <c r="F387" t="str">
        <f>LEFT(E387,5)</f>
        <v>서울특별시</v>
      </c>
      <c r="G387" t="str">
        <f t="shared" ref="G387:G450" si="14">MID(E387,7,4)</f>
        <v xml:space="preserve">강서구 </v>
      </c>
      <c r="H387" t="str">
        <f t="shared" ref="H387:H450" si="15">MID(SUBSTITUTE(E387," ",""),9,3)</f>
        <v>화곡동</v>
      </c>
      <c r="I387" t="s">
        <v>4537</v>
      </c>
      <c r="J387" t="s">
        <v>3442</v>
      </c>
      <c r="K387" t="s">
        <v>1666</v>
      </c>
    </row>
    <row r="388" spans="1:11" x14ac:dyDescent="0.4">
      <c r="A388" t="s">
        <v>7279</v>
      </c>
      <c r="B388" t="s">
        <v>9</v>
      </c>
      <c r="C388" t="s">
        <v>10</v>
      </c>
      <c r="D388" t="s">
        <v>433</v>
      </c>
      <c r="E388" t="s">
        <v>7280</v>
      </c>
      <c r="F388" t="str">
        <f>LEFT(E388,5)</f>
        <v>서울특별시</v>
      </c>
      <c r="G388" t="str">
        <f t="shared" si="14"/>
        <v xml:space="preserve">강서구 </v>
      </c>
      <c r="H388" t="str">
        <f t="shared" si="15"/>
        <v>화곡동</v>
      </c>
      <c r="I388" t="s">
        <v>7281</v>
      </c>
      <c r="J388" t="s">
        <v>3442</v>
      </c>
      <c r="K388" t="s">
        <v>2178</v>
      </c>
    </row>
    <row r="389" spans="1:11" x14ac:dyDescent="0.4">
      <c r="A389" t="s">
        <v>4424</v>
      </c>
      <c r="B389" t="s">
        <v>9</v>
      </c>
      <c r="C389" t="s">
        <v>10</v>
      </c>
      <c r="D389" t="s">
        <v>433</v>
      </c>
      <c r="E389" t="s">
        <v>4425</v>
      </c>
      <c r="F389" t="str">
        <f>LEFT(E389,5)</f>
        <v>서울특별시</v>
      </c>
      <c r="G389" t="str">
        <f t="shared" si="14"/>
        <v xml:space="preserve">강서구 </v>
      </c>
      <c r="H389" t="str">
        <f t="shared" si="15"/>
        <v>화곡동</v>
      </c>
      <c r="I389" t="s">
        <v>11</v>
      </c>
      <c r="J389" t="s">
        <v>11</v>
      </c>
      <c r="K389" t="s">
        <v>4426</v>
      </c>
    </row>
    <row r="390" spans="1:11" x14ac:dyDescent="0.4">
      <c r="A390" t="s">
        <v>2167</v>
      </c>
      <c r="B390" t="s">
        <v>9</v>
      </c>
      <c r="C390" t="s">
        <v>10</v>
      </c>
      <c r="D390" t="s">
        <v>433</v>
      </c>
      <c r="E390" t="s">
        <v>2168</v>
      </c>
      <c r="F390" t="str">
        <f>LEFT(E390,5)</f>
        <v>서울특별시</v>
      </c>
      <c r="G390" t="str">
        <f t="shared" si="14"/>
        <v xml:space="preserve">강서구 </v>
      </c>
      <c r="H390" t="str">
        <f t="shared" si="15"/>
        <v>화곡동</v>
      </c>
      <c r="I390" t="s">
        <v>2169</v>
      </c>
      <c r="J390" t="s">
        <v>2139</v>
      </c>
      <c r="K390" t="s">
        <v>2170</v>
      </c>
    </row>
    <row r="391" spans="1:11" x14ac:dyDescent="0.4">
      <c r="A391" t="s">
        <v>6675</v>
      </c>
      <c r="B391" t="s">
        <v>9</v>
      </c>
      <c r="C391" t="s">
        <v>10</v>
      </c>
      <c r="D391" t="s">
        <v>433</v>
      </c>
      <c r="E391" t="s">
        <v>6676</v>
      </c>
      <c r="F391" t="str">
        <f>LEFT(E391,5)</f>
        <v>서울특별시</v>
      </c>
      <c r="G391" t="str">
        <f t="shared" si="14"/>
        <v xml:space="preserve">강서구 </v>
      </c>
      <c r="H391" t="str">
        <f t="shared" si="15"/>
        <v>화곡동</v>
      </c>
      <c r="I391" t="s">
        <v>6677</v>
      </c>
      <c r="J391" t="s">
        <v>436</v>
      </c>
      <c r="K391" t="s">
        <v>6678</v>
      </c>
    </row>
    <row r="392" spans="1:11" x14ac:dyDescent="0.4">
      <c r="A392" t="s">
        <v>2271</v>
      </c>
      <c r="B392" t="s">
        <v>9</v>
      </c>
      <c r="C392" t="s">
        <v>10</v>
      </c>
      <c r="D392" t="s">
        <v>433</v>
      </c>
      <c r="E392" t="s">
        <v>2272</v>
      </c>
      <c r="F392" t="str">
        <f>LEFT(E392,5)</f>
        <v>서울특별시</v>
      </c>
      <c r="G392" t="str">
        <f t="shared" si="14"/>
        <v xml:space="preserve">강서구 </v>
      </c>
      <c r="H392" t="str">
        <f t="shared" si="15"/>
        <v>화곡동</v>
      </c>
      <c r="I392" t="s">
        <v>2273</v>
      </c>
      <c r="J392" t="s">
        <v>436</v>
      </c>
      <c r="K392" t="s">
        <v>2274</v>
      </c>
    </row>
    <row r="393" spans="1:11" x14ac:dyDescent="0.4">
      <c r="A393" t="s">
        <v>8975</v>
      </c>
      <c r="B393" t="s">
        <v>9</v>
      </c>
      <c r="C393" t="s">
        <v>10</v>
      </c>
      <c r="D393" t="s">
        <v>433</v>
      </c>
      <c r="E393" t="s">
        <v>8976</v>
      </c>
      <c r="F393" t="str">
        <f>LEFT(E393,5)</f>
        <v>서울특별시</v>
      </c>
      <c r="G393" t="str">
        <f t="shared" si="14"/>
        <v xml:space="preserve">강서구 </v>
      </c>
      <c r="H393" t="str">
        <f t="shared" si="15"/>
        <v>화곡동</v>
      </c>
      <c r="I393" t="s">
        <v>8977</v>
      </c>
      <c r="J393" t="s">
        <v>436</v>
      </c>
      <c r="K393" t="s">
        <v>1548</v>
      </c>
    </row>
    <row r="394" spans="1:11" x14ac:dyDescent="0.4">
      <c r="A394" t="s">
        <v>959</v>
      </c>
      <c r="B394" t="s">
        <v>9</v>
      </c>
      <c r="C394" t="s">
        <v>10</v>
      </c>
      <c r="D394" t="s">
        <v>433</v>
      </c>
      <c r="E394" t="s">
        <v>960</v>
      </c>
      <c r="F394" t="str">
        <f>LEFT(E394,5)</f>
        <v>서울특별시</v>
      </c>
      <c r="G394" t="str">
        <f t="shared" si="14"/>
        <v xml:space="preserve">강서구 </v>
      </c>
      <c r="H394" t="str">
        <f t="shared" si="15"/>
        <v>화곡동</v>
      </c>
      <c r="I394" t="s">
        <v>961</v>
      </c>
      <c r="J394" t="s">
        <v>436</v>
      </c>
      <c r="K394" t="s">
        <v>962</v>
      </c>
    </row>
    <row r="395" spans="1:11" x14ac:dyDescent="0.4">
      <c r="A395" t="s">
        <v>206</v>
      </c>
      <c r="B395" t="s">
        <v>9</v>
      </c>
      <c r="C395" t="s">
        <v>10</v>
      </c>
      <c r="D395" t="s">
        <v>433</v>
      </c>
      <c r="E395" t="s">
        <v>434</v>
      </c>
      <c r="F395" t="str">
        <f>LEFT(E395,5)</f>
        <v>서울특별시</v>
      </c>
      <c r="G395" t="str">
        <f t="shared" si="14"/>
        <v xml:space="preserve">강서구 </v>
      </c>
      <c r="H395" t="str">
        <f t="shared" si="15"/>
        <v>화곡동</v>
      </c>
      <c r="I395" t="s">
        <v>435</v>
      </c>
      <c r="J395" t="s">
        <v>436</v>
      </c>
      <c r="K395" t="s">
        <v>437</v>
      </c>
    </row>
    <row r="396" spans="1:11" x14ac:dyDescent="0.4">
      <c r="A396" t="s">
        <v>550</v>
      </c>
      <c r="B396" t="s">
        <v>9</v>
      </c>
      <c r="C396" t="s">
        <v>10</v>
      </c>
      <c r="D396" t="s">
        <v>433</v>
      </c>
      <c r="E396" t="s">
        <v>551</v>
      </c>
      <c r="F396" t="str">
        <f>LEFT(E396,5)</f>
        <v>서울특별시</v>
      </c>
      <c r="G396" t="str">
        <f t="shared" si="14"/>
        <v xml:space="preserve">강서구 </v>
      </c>
      <c r="H396" t="str">
        <f t="shared" si="15"/>
        <v>화곡동</v>
      </c>
      <c r="I396" t="s">
        <v>552</v>
      </c>
      <c r="J396" t="s">
        <v>436</v>
      </c>
      <c r="K396" t="s">
        <v>553</v>
      </c>
    </row>
    <row r="397" spans="1:11" x14ac:dyDescent="0.4">
      <c r="A397" t="s">
        <v>5969</v>
      </c>
      <c r="B397" t="s">
        <v>9</v>
      </c>
      <c r="C397" t="s">
        <v>10</v>
      </c>
      <c r="D397" t="s">
        <v>433</v>
      </c>
      <c r="E397" t="s">
        <v>5970</v>
      </c>
      <c r="F397" t="str">
        <f>LEFT(E397,5)</f>
        <v>서울특별시</v>
      </c>
      <c r="G397" t="str">
        <f t="shared" si="14"/>
        <v xml:space="preserve">강서구 </v>
      </c>
      <c r="H397" t="str">
        <f t="shared" si="15"/>
        <v>화곡동</v>
      </c>
      <c r="I397" t="s">
        <v>5971</v>
      </c>
      <c r="J397" t="s">
        <v>4125</v>
      </c>
      <c r="K397" t="s">
        <v>5972</v>
      </c>
    </row>
    <row r="398" spans="1:11" x14ac:dyDescent="0.4">
      <c r="A398" t="s">
        <v>8468</v>
      </c>
      <c r="B398" t="s">
        <v>9</v>
      </c>
      <c r="C398" t="s">
        <v>10</v>
      </c>
      <c r="D398" t="s">
        <v>433</v>
      </c>
      <c r="E398" t="s">
        <v>8469</v>
      </c>
      <c r="F398" t="str">
        <f>LEFT(E398,5)</f>
        <v>서울특별시</v>
      </c>
      <c r="G398" t="str">
        <f t="shared" si="14"/>
        <v xml:space="preserve">강서구 </v>
      </c>
      <c r="H398" t="str">
        <f t="shared" si="15"/>
        <v>화곡동</v>
      </c>
      <c r="I398" t="s">
        <v>8470</v>
      </c>
      <c r="J398" t="s">
        <v>11</v>
      </c>
      <c r="K398" t="s">
        <v>8471</v>
      </c>
    </row>
    <row r="399" spans="1:11" x14ac:dyDescent="0.4">
      <c r="A399" t="s">
        <v>4122</v>
      </c>
      <c r="B399" t="s">
        <v>9</v>
      </c>
      <c r="C399" t="s">
        <v>10</v>
      </c>
      <c r="D399" t="s">
        <v>433</v>
      </c>
      <c r="E399" t="s">
        <v>4123</v>
      </c>
      <c r="F399" t="str">
        <f>LEFT(E399,5)</f>
        <v>서울특별시</v>
      </c>
      <c r="G399" t="str">
        <f t="shared" si="14"/>
        <v xml:space="preserve">강서구 </v>
      </c>
      <c r="H399" t="str">
        <f t="shared" si="15"/>
        <v>화곡동</v>
      </c>
      <c r="I399" t="s">
        <v>4124</v>
      </c>
      <c r="J399" t="s">
        <v>4125</v>
      </c>
      <c r="K399" t="s">
        <v>4126</v>
      </c>
    </row>
    <row r="400" spans="1:11" x14ac:dyDescent="0.4">
      <c r="A400" t="s">
        <v>4822</v>
      </c>
      <c r="B400" t="s">
        <v>9</v>
      </c>
      <c r="C400" t="s">
        <v>10</v>
      </c>
      <c r="D400" t="s">
        <v>433</v>
      </c>
      <c r="E400" t="s">
        <v>4823</v>
      </c>
      <c r="F400" t="str">
        <f>LEFT(E400,5)</f>
        <v>서울특별시</v>
      </c>
      <c r="G400" t="str">
        <f t="shared" si="14"/>
        <v xml:space="preserve">강서구 </v>
      </c>
      <c r="H400" t="str">
        <f t="shared" si="15"/>
        <v>화곡동</v>
      </c>
      <c r="I400" t="s">
        <v>4824</v>
      </c>
      <c r="J400" t="s">
        <v>4125</v>
      </c>
      <c r="K400" t="s">
        <v>4825</v>
      </c>
    </row>
    <row r="401" spans="1:11" x14ac:dyDescent="0.4">
      <c r="A401" t="s">
        <v>4354</v>
      </c>
      <c r="B401" t="s">
        <v>9</v>
      </c>
      <c r="C401" t="s">
        <v>10</v>
      </c>
      <c r="D401" t="s">
        <v>4355</v>
      </c>
      <c r="E401" t="s">
        <v>4356</v>
      </c>
      <c r="F401" t="str">
        <f>LEFT(E401,5)</f>
        <v>서울특별시</v>
      </c>
      <c r="G401" t="str">
        <f t="shared" si="14"/>
        <v xml:space="preserve">강서구 </v>
      </c>
      <c r="H401" t="str">
        <f t="shared" si="15"/>
        <v>화곡동</v>
      </c>
      <c r="I401" t="s">
        <v>4357</v>
      </c>
      <c r="J401" t="s">
        <v>4358</v>
      </c>
      <c r="K401" t="s">
        <v>4359</v>
      </c>
    </row>
    <row r="402" spans="1:11" x14ac:dyDescent="0.4">
      <c r="A402" t="s">
        <v>1227</v>
      </c>
      <c r="B402" t="s">
        <v>9</v>
      </c>
      <c r="C402" t="s">
        <v>10</v>
      </c>
      <c r="D402" t="s">
        <v>1228</v>
      </c>
      <c r="E402" t="s">
        <v>1229</v>
      </c>
      <c r="F402" t="str">
        <f>LEFT(E402,5)</f>
        <v>서울특별시</v>
      </c>
      <c r="G402" t="str">
        <f t="shared" si="14"/>
        <v xml:space="preserve">강서구 </v>
      </c>
      <c r="H402" t="str">
        <f t="shared" si="15"/>
        <v>화곡동</v>
      </c>
      <c r="I402" t="s">
        <v>1230</v>
      </c>
      <c r="J402" t="s">
        <v>1231</v>
      </c>
      <c r="K402" t="s">
        <v>1232</v>
      </c>
    </row>
    <row r="403" spans="1:11" x14ac:dyDescent="0.4">
      <c r="A403" t="s">
        <v>6679</v>
      </c>
      <c r="B403" t="s">
        <v>9</v>
      </c>
      <c r="C403" t="s">
        <v>10</v>
      </c>
      <c r="D403" t="s">
        <v>6680</v>
      </c>
      <c r="E403" t="s">
        <v>6681</v>
      </c>
      <c r="F403" t="str">
        <f>LEFT(E403,5)</f>
        <v>서울특별시</v>
      </c>
      <c r="G403" t="str">
        <f t="shared" si="14"/>
        <v xml:space="preserve">강서구 </v>
      </c>
      <c r="H403" t="str">
        <f t="shared" si="15"/>
        <v>화곡동</v>
      </c>
      <c r="I403" t="s">
        <v>6682</v>
      </c>
      <c r="J403" t="s">
        <v>6683</v>
      </c>
      <c r="K403" t="s">
        <v>6684</v>
      </c>
    </row>
    <row r="404" spans="1:11" x14ac:dyDescent="0.4">
      <c r="A404" t="s">
        <v>2948</v>
      </c>
      <c r="B404" t="s">
        <v>9</v>
      </c>
      <c r="C404" t="s">
        <v>10</v>
      </c>
      <c r="D404" t="s">
        <v>2613</v>
      </c>
      <c r="E404" t="s">
        <v>2949</v>
      </c>
      <c r="F404" t="str">
        <f>LEFT(E404,5)</f>
        <v>서울특별시</v>
      </c>
      <c r="G404" t="str">
        <f t="shared" si="14"/>
        <v xml:space="preserve">강서구 </v>
      </c>
      <c r="H404" t="str">
        <f t="shared" si="15"/>
        <v>화곡동</v>
      </c>
      <c r="I404" t="s">
        <v>2950</v>
      </c>
      <c r="J404" t="s">
        <v>2616</v>
      </c>
      <c r="K404" t="s">
        <v>2951</v>
      </c>
    </row>
    <row r="405" spans="1:11" x14ac:dyDescent="0.4">
      <c r="A405" t="s">
        <v>2612</v>
      </c>
      <c r="B405" t="s">
        <v>9</v>
      </c>
      <c r="C405" t="s">
        <v>10</v>
      </c>
      <c r="D405" t="s">
        <v>2613</v>
      </c>
      <c r="E405" t="s">
        <v>2614</v>
      </c>
      <c r="F405" t="str">
        <f>LEFT(E405,5)</f>
        <v>서울특별시</v>
      </c>
      <c r="G405" t="str">
        <f t="shared" si="14"/>
        <v xml:space="preserve">강서구 </v>
      </c>
      <c r="H405" t="str">
        <f t="shared" si="15"/>
        <v>화곡동</v>
      </c>
      <c r="I405" t="s">
        <v>2615</v>
      </c>
      <c r="J405" t="s">
        <v>2616</v>
      </c>
      <c r="K405" t="s">
        <v>2617</v>
      </c>
    </row>
    <row r="406" spans="1:11" x14ac:dyDescent="0.4">
      <c r="A406" t="s">
        <v>932</v>
      </c>
      <c r="B406" t="s">
        <v>9</v>
      </c>
      <c r="C406" t="s">
        <v>10</v>
      </c>
      <c r="D406" t="s">
        <v>933</v>
      </c>
      <c r="E406" t="s">
        <v>934</v>
      </c>
      <c r="F406" t="str">
        <f>LEFT(E406,5)</f>
        <v>서울특별시</v>
      </c>
      <c r="G406" t="str">
        <f t="shared" si="14"/>
        <v xml:space="preserve">강서구 </v>
      </c>
      <c r="H406" t="str">
        <f t="shared" si="15"/>
        <v>화곡동</v>
      </c>
      <c r="I406" t="s">
        <v>935</v>
      </c>
      <c r="J406" t="s">
        <v>936</v>
      </c>
      <c r="K406" t="s">
        <v>937</v>
      </c>
    </row>
    <row r="407" spans="1:11" x14ac:dyDescent="0.4">
      <c r="A407" t="s">
        <v>1493</v>
      </c>
      <c r="B407" t="s">
        <v>9</v>
      </c>
      <c r="C407" t="s">
        <v>10</v>
      </c>
      <c r="D407" t="s">
        <v>933</v>
      </c>
      <c r="E407" t="s">
        <v>1494</v>
      </c>
      <c r="F407" t="str">
        <f>LEFT(E407,5)</f>
        <v>서울특별시</v>
      </c>
      <c r="G407" t="str">
        <f t="shared" si="14"/>
        <v xml:space="preserve">강서구 </v>
      </c>
      <c r="H407" t="str">
        <f t="shared" si="15"/>
        <v>화곡동</v>
      </c>
      <c r="I407" t="s">
        <v>1495</v>
      </c>
      <c r="J407" t="s">
        <v>936</v>
      </c>
      <c r="K407" t="s">
        <v>1496</v>
      </c>
    </row>
    <row r="408" spans="1:11" x14ac:dyDescent="0.4">
      <c r="A408" t="s">
        <v>2834</v>
      </c>
      <c r="B408" t="s">
        <v>9</v>
      </c>
      <c r="C408" t="s">
        <v>10</v>
      </c>
      <c r="D408" t="s">
        <v>933</v>
      </c>
      <c r="E408" t="s">
        <v>2835</v>
      </c>
      <c r="F408" t="str">
        <f>LEFT(E408,5)</f>
        <v>서울특별시</v>
      </c>
      <c r="G408" t="str">
        <f t="shared" si="14"/>
        <v xml:space="preserve">강서구 </v>
      </c>
      <c r="H408" t="str">
        <f t="shared" si="15"/>
        <v>화곡동</v>
      </c>
      <c r="I408" t="s">
        <v>2836</v>
      </c>
      <c r="J408" t="s">
        <v>936</v>
      </c>
      <c r="K408" t="s">
        <v>2837</v>
      </c>
    </row>
    <row r="409" spans="1:11" x14ac:dyDescent="0.4">
      <c r="A409" t="s">
        <v>6433</v>
      </c>
      <c r="B409" t="s">
        <v>9</v>
      </c>
      <c r="C409" t="s">
        <v>10</v>
      </c>
      <c r="D409" t="s">
        <v>6102</v>
      </c>
      <c r="E409" t="s">
        <v>6434</v>
      </c>
      <c r="F409" t="str">
        <f>LEFT(E409,5)</f>
        <v>서울특별시</v>
      </c>
      <c r="G409" t="str">
        <f t="shared" si="14"/>
        <v xml:space="preserve">강서구 </v>
      </c>
      <c r="H409" t="str">
        <f t="shared" si="15"/>
        <v>화곡동</v>
      </c>
      <c r="I409" t="s">
        <v>6435</v>
      </c>
      <c r="J409" t="s">
        <v>6105</v>
      </c>
      <c r="K409" t="s">
        <v>6436</v>
      </c>
    </row>
    <row r="410" spans="1:11" x14ac:dyDescent="0.4">
      <c r="A410" t="s">
        <v>6101</v>
      </c>
      <c r="B410" t="s">
        <v>9</v>
      </c>
      <c r="C410" t="s">
        <v>10</v>
      </c>
      <c r="D410" t="s">
        <v>6102</v>
      </c>
      <c r="E410" t="s">
        <v>6103</v>
      </c>
      <c r="F410" t="str">
        <f>LEFT(E410,5)</f>
        <v>서울특별시</v>
      </c>
      <c r="G410" t="str">
        <f t="shared" si="14"/>
        <v xml:space="preserve">강서구 </v>
      </c>
      <c r="H410" t="str">
        <f t="shared" si="15"/>
        <v>화곡동</v>
      </c>
      <c r="I410" t="s">
        <v>6104</v>
      </c>
      <c r="J410" t="s">
        <v>6105</v>
      </c>
      <c r="K410" t="s">
        <v>6106</v>
      </c>
    </row>
    <row r="411" spans="1:11" x14ac:dyDescent="0.4">
      <c r="A411" t="s">
        <v>8317</v>
      </c>
      <c r="B411" t="s">
        <v>9</v>
      </c>
      <c r="C411" t="s">
        <v>10</v>
      </c>
      <c r="D411" t="s">
        <v>6102</v>
      </c>
      <c r="E411" t="s">
        <v>8318</v>
      </c>
      <c r="F411" t="str">
        <f>LEFT(E411,5)</f>
        <v>서울특별시</v>
      </c>
      <c r="G411" t="str">
        <f t="shared" si="14"/>
        <v xml:space="preserve">강서구 </v>
      </c>
      <c r="H411" t="str">
        <f t="shared" si="15"/>
        <v>화곡동</v>
      </c>
      <c r="I411" t="s">
        <v>8319</v>
      </c>
      <c r="J411" t="s">
        <v>6105</v>
      </c>
      <c r="K411" t="s">
        <v>8320</v>
      </c>
    </row>
    <row r="412" spans="1:11" x14ac:dyDescent="0.4">
      <c r="A412" t="s">
        <v>8214</v>
      </c>
      <c r="B412" t="s">
        <v>9</v>
      </c>
      <c r="C412" t="s">
        <v>10</v>
      </c>
      <c r="D412" t="s">
        <v>6102</v>
      </c>
      <c r="E412" t="s">
        <v>8215</v>
      </c>
      <c r="F412" t="str">
        <f>LEFT(E412,5)</f>
        <v>서울특별시</v>
      </c>
      <c r="G412" t="str">
        <f t="shared" si="14"/>
        <v xml:space="preserve">강서구 </v>
      </c>
      <c r="H412" t="str">
        <f t="shared" si="15"/>
        <v>화곡동</v>
      </c>
      <c r="I412" t="s">
        <v>8216</v>
      </c>
      <c r="J412" t="s">
        <v>6105</v>
      </c>
      <c r="K412" t="s">
        <v>8217</v>
      </c>
    </row>
    <row r="413" spans="1:11" x14ac:dyDescent="0.4">
      <c r="A413" t="s">
        <v>5648</v>
      </c>
      <c r="B413" t="s">
        <v>9</v>
      </c>
      <c r="C413" t="s">
        <v>10</v>
      </c>
      <c r="D413" t="s">
        <v>4817</v>
      </c>
      <c r="E413" t="s">
        <v>5649</v>
      </c>
      <c r="F413" t="str">
        <f>LEFT(E413,5)</f>
        <v>서울특별시</v>
      </c>
      <c r="G413" t="str">
        <f t="shared" si="14"/>
        <v xml:space="preserve">강서구 </v>
      </c>
      <c r="H413" t="str">
        <f t="shared" si="15"/>
        <v>화곡동</v>
      </c>
      <c r="I413" t="s">
        <v>5650</v>
      </c>
      <c r="J413" t="s">
        <v>5651</v>
      </c>
      <c r="K413" t="s">
        <v>5652</v>
      </c>
    </row>
    <row r="414" spans="1:11" x14ac:dyDescent="0.4">
      <c r="A414" t="s">
        <v>5653</v>
      </c>
      <c r="B414" t="s">
        <v>9</v>
      </c>
      <c r="C414" t="s">
        <v>10</v>
      </c>
      <c r="D414" t="s">
        <v>4817</v>
      </c>
      <c r="E414" t="s">
        <v>5654</v>
      </c>
      <c r="F414" t="str">
        <f>LEFT(E414,5)</f>
        <v>서울특별시</v>
      </c>
      <c r="G414" t="str">
        <f t="shared" si="14"/>
        <v xml:space="preserve">강서구 </v>
      </c>
      <c r="H414" t="str">
        <f t="shared" si="15"/>
        <v>화곡동</v>
      </c>
      <c r="I414" t="s">
        <v>5655</v>
      </c>
      <c r="J414" t="s">
        <v>5656</v>
      </c>
      <c r="K414" t="s">
        <v>3710</v>
      </c>
    </row>
    <row r="415" spans="1:11" x14ac:dyDescent="0.4">
      <c r="A415" t="s">
        <v>8368</v>
      </c>
      <c r="B415" t="s">
        <v>9</v>
      </c>
      <c r="C415" t="s">
        <v>10</v>
      </c>
      <c r="D415" t="s">
        <v>4817</v>
      </c>
      <c r="E415" t="s">
        <v>8369</v>
      </c>
      <c r="F415" t="str">
        <f>LEFT(E415,5)</f>
        <v>서울특별시</v>
      </c>
      <c r="G415" t="str">
        <f t="shared" si="14"/>
        <v xml:space="preserve">강서구 </v>
      </c>
      <c r="H415" t="str">
        <f t="shared" si="15"/>
        <v>화곡동</v>
      </c>
      <c r="I415" t="s">
        <v>8370</v>
      </c>
      <c r="J415" t="s">
        <v>5656</v>
      </c>
      <c r="K415" t="s">
        <v>8371</v>
      </c>
    </row>
    <row r="416" spans="1:11" x14ac:dyDescent="0.4">
      <c r="A416" t="s">
        <v>8278</v>
      </c>
      <c r="B416" t="s">
        <v>9</v>
      </c>
      <c r="C416" t="s">
        <v>10</v>
      </c>
      <c r="D416" t="s">
        <v>4817</v>
      </c>
      <c r="E416" t="s">
        <v>8279</v>
      </c>
      <c r="F416" t="str">
        <f>LEFT(E416,5)</f>
        <v>서울특별시</v>
      </c>
      <c r="G416" t="str">
        <f t="shared" si="14"/>
        <v xml:space="preserve">강서구 </v>
      </c>
      <c r="H416" t="str">
        <f t="shared" si="15"/>
        <v>화곡동</v>
      </c>
      <c r="I416" t="s">
        <v>8280</v>
      </c>
      <c r="J416" t="s">
        <v>8281</v>
      </c>
      <c r="K416" t="s">
        <v>8282</v>
      </c>
    </row>
    <row r="417" spans="1:11" x14ac:dyDescent="0.4">
      <c r="A417" t="s">
        <v>8391</v>
      </c>
      <c r="B417" t="s">
        <v>9</v>
      </c>
      <c r="C417" t="s">
        <v>10</v>
      </c>
      <c r="D417" t="s">
        <v>4817</v>
      </c>
      <c r="E417" t="s">
        <v>8392</v>
      </c>
      <c r="F417" t="str">
        <f>LEFT(E417,5)</f>
        <v>서울특별시</v>
      </c>
      <c r="G417" t="str">
        <f t="shared" si="14"/>
        <v xml:space="preserve">강서구 </v>
      </c>
      <c r="H417" t="str">
        <f t="shared" si="15"/>
        <v>화곡동</v>
      </c>
      <c r="I417" t="s">
        <v>8393</v>
      </c>
      <c r="J417" t="s">
        <v>8281</v>
      </c>
      <c r="K417" t="s">
        <v>5001</v>
      </c>
    </row>
    <row r="418" spans="1:11" x14ac:dyDescent="0.4">
      <c r="A418" t="s">
        <v>4816</v>
      </c>
      <c r="B418" t="s">
        <v>9</v>
      </c>
      <c r="C418" t="s">
        <v>10</v>
      </c>
      <c r="D418" t="s">
        <v>4817</v>
      </c>
      <c r="E418" t="s">
        <v>4818</v>
      </c>
      <c r="F418" t="str">
        <f>LEFT(E418,5)</f>
        <v>서울특별시</v>
      </c>
      <c r="G418" t="str">
        <f t="shared" si="14"/>
        <v xml:space="preserve">강서구 </v>
      </c>
      <c r="H418" t="str">
        <f t="shared" si="15"/>
        <v>화곡동</v>
      </c>
      <c r="I418" t="s">
        <v>4819</v>
      </c>
      <c r="J418" t="s">
        <v>4820</v>
      </c>
      <c r="K418" t="s">
        <v>4821</v>
      </c>
    </row>
    <row r="419" spans="1:11" x14ac:dyDescent="0.4">
      <c r="A419" t="s">
        <v>6313</v>
      </c>
      <c r="B419" t="s">
        <v>9</v>
      </c>
      <c r="C419" t="s">
        <v>10</v>
      </c>
      <c r="D419" t="s">
        <v>6314</v>
      </c>
      <c r="E419" t="s">
        <v>6315</v>
      </c>
      <c r="F419" t="str">
        <f>LEFT(E419,5)</f>
        <v>서울특별시</v>
      </c>
      <c r="G419" t="str">
        <f t="shared" si="14"/>
        <v xml:space="preserve">강서구 </v>
      </c>
      <c r="H419" t="str">
        <f t="shared" si="15"/>
        <v>화곡동</v>
      </c>
      <c r="I419" t="s">
        <v>6316</v>
      </c>
      <c r="J419" t="s">
        <v>6317</v>
      </c>
      <c r="K419" t="s">
        <v>6318</v>
      </c>
    </row>
    <row r="420" spans="1:11" x14ac:dyDescent="0.4">
      <c r="A420" t="s">
        <v>2971</v>
      </c>
      <c r="B420" t="s">
        <v>9</v>
      </c>
      <c r="C420" t="s">
        <v>10</v>
      </c>
      <c r="D420" t="s">
        <v>2972</v>
      </c>
      <c r="E420" t="s">
        <v>2973</v>
      </c>
      <c r="F420" t="str">
        <f>LEFT(E420,5)</f>
        <v>서울특별시</v>
      </c>
      <c r="G420" t="str">
        <f t="shared" si="14"/>
        <v xml:space="preserve">강서구 </v>
      </c>
      <c r="H420" t="str">
        <f t="shared" si="15"/>
        <v>화곡동</v>
      </c>
      <c r="I420" t="s">
        <v>2974</v>
      </c>
      <c r="J420" t="s">
        <v>2975</v>
      </c>
      <c r="K420" t="s">
        <v>2976</v>
      </c>
    </row>
    <row r="421" spans="1:11" x14ac:dyDescent="0.4">
      <c r="A421" t="s">
        <v>6168</v>
      </c>
      <c r="B421" t="s">
        <v>9</v>
      </c>
      <c r="C421" t="s">
        <v>10</v>
      </c>
      <c r="D421" t="s">
        <v>2972</v>
      </c>
      <c r="E421" t="s">
        <v>6169</v>
      </c>
      <c r="F421" t="str">
        <f>LEFT(E421,5)</f>
        <v>서울특별시</v>
      </c>
      <c r="G421" t="str">
        <f t="shared" si="14"/>
        <v xml:space="preserve">강서구 </v>
      </c>
      <c r="H421" t="str">
        <f t="shared" si="15"/>
        <v>화곡동</v>
      </c>
      <c r="I421" t="s">
        <v>6170</v>
      </c>
      <c r="J421" t="s">
        <v>6171</v>
      </c>
      <c r="K421" t="s">
        <v>3319</v>
      </c>
    </row>
    <row r="422" spans="1:11" x14ac:dyDescent="0.4">
      <c r="A422" t="s">
        <v>6626</v>
      </c>
      <c r="B422" t="s">
        <v>9</v>
      </c>
      <c r="C422" t="s">
        <v>10</v>
      </c>
      <c r="D422" t="s">
        <v>2972</v>
      </c>
      <c r="E422" t="s">
        <v>6627</v>
      </c>
      <c r="F422" t="str">
        <f>LEFT(E422,5)</f>
        <v>서울특별시</v>
      </c>
      <c r="G422" t="str">
        <f t="shared" si="14"/>
        <v xml:space="preserve">강서구 </v>
      </c>
      <c r="H422" t="str">
        <f t="shared" si="15"/>
        <v>화곡동</v>
      </c>
      <c r="I422" t="s">
        <v>6628</v>
      </c>
      <c r="J422" t="s">
        <v>2975</v>
      </c>
      <c r="K422" t="s">
        <v>6629</v>
      </c>
    </row>
    <row r="423" spans="1:11" x14ac:dyDescent="0.4">
      <c r="A423" t="s">
        <v>7709</v>
      </c>
      <c r="B423" t="s">
        <v>9</v>
      </c>
      <c r="C423" t="s">
        <v>10</v>
      </c>
      <c r="D423" t="s">
        <v>7710</v>
      </c>
      <c r="E423" t="s">
        <v>7711</v>
      </c>
      <c r="F423" t="str">
        <f>LEFT(E423,5)</f>
        <v>서울특별시</v>
      </c>
      <c r="G423" t="str">
        <f t="shared" si="14"/>
        <v xml:space="preserve">강서구 </v>
      </c>
      <c r="H423" t="str">
        <f t="shared" si="15"/>
        <v>화곡동</v>
      </c>
      <c r="I423" t="s">
        <v>7712</v>
      </c>
      <c r="J423" t="s">
        <v>7713</v>
      </c>
      <c r="K423" t="s">
        <v>7714</v>
      </c>
    </row>
    <row r="424" spans="1:11" x14ac:dyDescent="0.4">
      <c r="A424" t="s">
        <v>8359</v>
      </c>
      <c r="B424" t="s">
        <v>9</v>
      </c>
      <c r="C424" t="s">
        <v>10</v>
      </c>
      <c r="D424" t="s">
        <v>8360</v>
      </c>
      <c r="E424" t="s">
        <v>8361</v>
      </c>
      <c r="F424" t="str">
        <f>LEFT(E424,5)</f>
        <v>서울특별시</v>
      </c>
      <c r="G424" t="str">
        <f t="shared" si="14"/>
        <v xml:space="preserve">강서구 </v>
      </c>
      <c r="H424" t="str">
        <f t="shared" si="15"/>
        <v>화곡동</v>
      </c>
      <c r="I424" t="s">
        <v>8362</v>
      </c>
      <c r="J424" t="s">
        <v>11</v>
      </c>
      <c r="K424" t="s">
        <v>8363</v>
      </c>
    </row>
    <row r="425" spans="1:11" x14ac:dyDescent="0.4">
      <c r="A425" t="s">
        <v>2091</v>
      </c>
      <c r="B425" t="s">
        <v>9</v>
      </c>
      <c r="C425" t="s">
        <v>10</v>
      </c>
      <c r="D425" t="s">
        <v>181</v>
      </c>
      <c r="E425" t="s">
        <v>2092</v>
      </c>
      <c r="F425" t="str">
        <f>LEFT(E425,5)</f>
        <v>서울특별시</v>
      </c>
      <c r="G425" t="str">
        <f t="shared" si="14"/>
        <v xml:space="preserve">강서구 </v>
      </c>
      <c r="H425" t="str">
        <f t="shared" si="15"/>
        <v>화곡동</v>
      </c>
      <c r="I425" t="s">
        <v>2093</v>
      </c>
      <c r="J425" t="s">
        <v>184</v>
      </c>
      <c r="K425" t="s">
        <v>2094</v>
      </c>
    </row>
    <row r="426" spans="1:11" x14ac:dyDescent="0.4">
      <c r="A426" t="s">
        <v>6225</v>
      </c>
      <c r="B426" t="s">
        <v>9</v>
      </c>
      <c r="C426" t="s">
        <v>10</v>
      </c>
      <c r="D426" t="s">
        <v>181</v>
      </c>
      <c r="E426" t="s">
        <v>6226</v>
      </c>
      <c r="F426" t="str">
        <f>LEFT(E426,5)</f>
        <v>서울특별시</v>
      </c>
      <c r="G426" t="str">
        <f t="shared" si="14"/>
        <v xml:space="preserve">강서구 </v>
      </c>
      <c r="H426" t="str">
        <f t="shared" si="15"/>
        <v>화곡동</v>
      </c>
      <c r="I426" t="s">
        <v>6227</v>
      </c>
      <c r="J426" t="s">
        <v>184</v>
      </c>
      <c r="K426" t="s">
        <v>6228</v>
      </c>
    </row>
    <row r="427" spans="1:11" x14ac:dyDescent="0.4">
      <c r="A427" t="s">
        <v>180</v>
      </c>
      <c r="B427" t="s">
        <v>9</v>
      </c>
      <c r="C427" t="s">
        <v>10</v>
      </c>
      <c r="D427" t="s">
        <v>181</v>
      </c>
      <c r="E427" t="s">
        <v>182</v>
      </c>
      <c r="F427" t="str">
        <f>LEFT(E427,5)</f>
        <v>서울특별시</v>
      </c>
      <c r="G427" t="str">
        <f t="shared" si="14"/>
        <v xml:space="preserve">강서구 </v>
      </c>
      <c r="H427" t="str">
        <f t="shared" si="15"/>
        <v>화곡동</v>
      </c>
      <c r="I427" t="s">
        <v>183</v>
      </c>
      <c r="J427" t="s">
        <v>184</v>
      </c>
      <c r="K427" t="s">
        <v>185</v>
      </c>
    </row>
    <row r="428" spans="1:11" x14ac:dyDescent="0.4">
      <c r="A428" t="s">
        <v>2127</v>
      </c>
      <c r="B428" t="s">
        <v>9</v>
      </c>
      <c r="C428" t="s">
        <v>10</v>
      </c>
      <c r="D428" t="s">
        <v>181</v>
      </c>
      <c r="E428" t="s">
        <v>2128</v>
      </c>
      <c r="F428" t="str">
        <f>LEFT(E428,5)</f>
        <v>서울특별시</v>
      </c>
      <c r="G428" t="str">
        <f t="shared" si="14"/>
        <v xml:space="preserve">강서구 </v>
      </c>
      <c r="H428" t="str">
        <f t="shared" si="15"/>
        <v>화곡동</v>
      </c>
      <c r="I428" t="s">
        <v>2129</v>
      </c>
      <c r="J428" t="s">
        <v>184</v>
      </c>
      <c r="K428" t="s">
        <v>2130</v>
      </c>
    </row>
    <row r="429" spans="1:11" x14ac:dyDescent="0.4">
      <c r="A429" t="s">
        <v>1406</v>
      </c>
      <c r="B429" t="s">
        <v>9</v>
      </c>
      <c r="C429" t="s">
        <v>10</v>
      </c>
      <c r="D429" t="s">
        <v>351</v>
      </c>
      <c r="E429" t="s">
        <v>1407</v>
      </c>
      <c r="F429" t="str">
        <f>LEFT(E429,5)</f>
        <v>서울특별시</v>
      </c>
      <c r="G429" t="str">
        <f t="shared" si="14"/>
        <v xml:space="preserve">강서구 </v>
      </c>
      <c r="H429" t="str">
        <f t="shared" si="15"/>
        <v>화곡동</v>
      </c>
      <c r="I429" t="s">
        <v>1408</v>
      </c>
      <c r="J429" t="s">
        <v>354</v>
      </c>
      <c r="K429" t="s">
        <v>1409</v>
      </c>
    </row>
    <row r="430" spans="1:11" x14ac:dyDescent="0.4">
      <c r="A430" t="s">
        <v>2338</v>
      </c>
      <c r="B430" t="s">
        <v>9</v>
      </c>
      <c r="C430" t="s">
        <v>10</v>
      </c>
      <c r="D430" t="s">
        <v>351</v>
      </c>
      <c r="E430" t="s">
        <v>2339</v>
      </c>
      <c r="F430" t="str">
        <f>LEFT(E430,5)</f>
        <v>서울특별시</v>
      </c>
      <c r="G430" t="str">
        <f t="shared" si="14"/>
        <v xml:space="preserve">강서구 </v>
      </c>
      <c r="H430" t="str">
        <f t="shared" si="15"/>
        <v>화곡동</v>
      </c>
      <c r="I430" t="s">
        <v>2340</v>
      </c>
      <c r="J430" t="s">
        <v>354</v>
      </c>
      <c r="K430" t="s">
        <v>2341</v>
      </c>
    </row>
    <row r="431" spans="1:11" x14ac:dyDescent="0.4">
      <c r="A431" t="s">
        <v>1798</v>
      </c>
      <c r="B431" t="s">
        <v>9</v>
      </c>
      <c r="C431" t="s">
        <v>10</v>
      </c>
      <c r="D431" t="s">
        <v>351</v>
      </c>
      <c r="E431" t="s">
        <v>1799</v>
      </c>
      <c r="F431" t="str">
        <f>LEFT(E431,5)</f>
        <v>서울특별시</v>
      </c>
      <c r="G431" t="str">
        <f t="shared" si="14"/>
        <v xml:space="preserve">강서구 </v>
      </c>
      <c r="H431" t="str">
        <f t="shared" si="15"/>
        <v>화곡동</v>
      </c>
      <c r="I431" t="s">
        <v>1800</v>
      </c>
      <c r="J431" t="s">
        <v>1144</v>
      </c>
      <c r="K431" t="s">
        <v>1801</v>
      </c>
    </row>
    <row r="432" spans="1:11" x14ac:dyDescent="0.4">
      <c r="A432" t="s">
        <v>350</v>
      </c>
      <c r="B432" t="s">
        <v>9</v>
      </c>
      <c r="C432" t="s">
        <v>10</v>
      </c>
      <c r="D432" t="s">
        <v>351</v>
      </c>
      <c r="E432" t="s">
        <v>352</v>
      </c>
      <c r="F432" t="str">
        <f>LEFT(E432,5)</f>
        <v>서울특별시</v>
      </c>
      <c r="G432" t="str">
        <f t="shared" si="14"/>
        <v xml:space="preserve">강서구 </v>
      </c>
      <c r="H432" t="str">
        <f t="shared" si="15"/>
        <v>화곡동</v>
      </c>
      <c r="I432" t="s">
        <v>353</v>
      </c>
      <c r="J432" t="s">
        <v>354</v>
      </c>
      <c r="K432" t="s">
        <v>355</v>
      </c>
    </row>
    <row r="433" spans="1:11" x14ac:dyDescent="0.4">
      <c r="A433" t="s">
        <v>920</v>
      </c>
      <c r="B433" t="s">
        <v>9</v>
      </c>
      <c r="C433" t="s">
        <v>10</v>
      </c>
      <c r="D433" t="s">
        <v>351</v>
      </c>
      <c r="E433" t="s">
        <v>921</v>
      </c>
      <c r="F433" t="str">
        <f>LEFT(E433,5)</f>
        <v>서울특별시</v>
      </c>
      <c r="G433" t="str">
        <f t="shared" si="14"/>
        <v xml:space="preserve">강서구 </v>
      </c>
      <c r="H433" t="str">
        <f t="shared" si="15"/>
        <v>화곡동</v>
      </c>
      <c r="I433" t="s">
        <v>922</v>
      </c>
      <c r="J433" t="s">
        <v>354</v>
      </c>
      <c r="K433" t="s">
        <v>923</v>
      </c>
    </row>
    <row r="434" spans="1:11" x14ac:dyDescent="0.4">
      <c r="A434" t="s">
        <v>1445</v>
      </c>
      <c r="B434" t="s">
        <v>9</v>
      </c>
      <c r="C434" t="s">
        <v>10</v>
      </c>
      <c r="D434" t="s">
        <v>351</v>
      </c>
      <c r="E434" t="s">
        <v>1446</v>
      </c>
      <c r="F434" t="str">
        <f>LEFT(E434,5)</f>
        <v>서울특별시</v>
      </c>
      <c r="G434" t="str">
        <f t="shared" si="14"/>
        <v xml:space="preserve">강서구 </v>
      </c>
      <c r="H434" t="str">
        <f t="shared" si="15"/>
        <v>화곡동</v>
      </c>
      <c r="I434" t="s">
        <v>1447</v>
      </c>
      <c r="J434" t="s">
        <v>354</v>
      </c>
      <c r="K434" t="s">
        <v>1448</v>
      </c>
    </row>
    <row r="435" spans="1:11" x14ac:dyDescent="0.4">
      <c r="A435" t="s">
        <v>751</v>
      </c>
      <c r="B435" t="s">
        <v>9</v>
      </c>
      <c r="C435" t="s">
        <v>10</v>
      </c>
      <c r="D435" t="s">
        <v>351</v>
      </c>
      <c r="E435" t="s">
        <v>752</v>
      </c>
      <c r="F435" t="str">
        <f>LEFT(E435,5)</f>
        <v>서울특별시</v>
      </c>
      <c r="G435" t="str">
        <f t="shared" si="14"/>
        <v xml:space="preserve">강서구 </v>
      </c>
      <c r="H435" t="str">
        <f t="shared" si="15"/>
        <v>화곡동</v>
      </c>
      <c r="I435" t="s">
        <v>753</v>
      </c>
      <c r="J435" t="s">
        <v>354</v>
      </c>
      <c r="K435" t="s">
        <v>754</v>
      </c>
    </row>
    <row r="436" spans="1:11" x14ac:dyDescent="0.4">
      <c r="A436" t="s">
        <v>979</v>
      </c>
      <c r="B436" t="s">
        <v>9</v>
      </c>
      <c r="C436" t="s">
        <v>10</v>
      </c>
      <c r="D436" t="s">
        <v>351</v>
      </c>
      <c r="E436" t="s">
        <v>980</v>
      </c>
      <c r="F436" t="str">
        <f>LEFT(E436,5)</f>
        <v>서울특별시</v>
      </c>
      <c r="G436" t="str">
        <f t="shared" si="14"/>
        <v xml:space="preserve">강서구 </v>
      </c>
      <c r="H436" t="str">
        <f t="shared" si="15"/>
        <v>화곡동</v>
      </c>
      <c r="I436" t="s">
        <v>981</v>
      </c>
      <c r="J436" t="s">
        <v>354</v>
      </c>
      <c r="K436" t="s">
        <v>982</v>
      </c>
    </row>
    <row r="437" spans="1:11" x14ac:dyDescent="0.4">
      <c r="A437" t="s">
        <v>8864</v>
      </c>
      <c r="B437" t="s">
        <v>9</v>
      </c>
      <c r="C437" t="s">
        <v>10</v>
      </c>
      <c r="D437" t="s">
        <v>351</v>
      </c>
      <c r="E437" t="s">
        <v>8865</v>
      </c>
      <c r="F437" t="str">
        <f>LEFT(E437,5)</f>
        <v>서울특별시</v>
      </c>
      <c r="G437" t="str">
        <f t="shared" si="14"/>
        <v xml:space="preserve">강서구 </v>
      </c>
      <c r="H437" t="str">
        <f t="shared" si="15"/>
        <v>화곡동</v>
      </c>
      <c r="I437" t="s">
        <v>8866</v>
      </c>
      <c r="J437" t="s">
        <v>11</v>
      </c>
      <c r="K437" t="s">
        <v>8867</v>
      </c>
    </row>
    <row r="438" spans="1:11" x14ac:dyDescent="0.4">
      <c r="A438" t="s">
        <v>708</v>
      </c>
      <c r="B438" t="s">
        <v>9</v>
      </c>
      <c r="C438" t="s">
        <v>10</v>
      </c>
      <c r="D438" t="s">
        <v>351</v>
      </c>
      <c r="E438" t="s">
        <v>709</v>
      </c>
      <c r="F438" t="str">
        <f>LEFT(E438,5)</f>
        <v>서울특별시</v>
      </c>
      <c r="G438" t="str">
        <f t="shared" si="14"/>
        <v xml:space="preserve">강서구 </v>
      </c>
      <c r="H438" t="str">
        <f t="shared" si="15"/>
        <v>화곡동</v>
      </c>
      <c r="I438" t="s">
        <v>710</v>
      </c>
      <c r="J438" t="s">
        <v>354</v>
      </c>
      <c r="K438" t="s">
        <v>711</v>
      </c>
    </row>
    <row r="439" spans="1:11" x14ac:dyDescent="0.4">
      <c r="A439" t="s">
        <v>1161</v>
      </c>
      <c r="B439" t="s">
        <v>9</v>
      </c>
      <c r="C439" t="s">
        <v>10</v>
      </c>
      <c r="D439" t="s">
        <v>351</v>
      </c>
      <c r="E439" t="s">
        <v>1162</v>
      </c>
      <c r="F439" t="str">
        <f>LEFT(E439,5)</f>
        <v>서울특별시</v>
      </c>
      <c r="G439" t="str">
        <f t="shared" si="14"/>
        <v xml:space="preserve">강서구 </v>
      </c>
      <c r="H439" t="str">
        <f t="shared" si="15"/>
        <v>화곡동</v>
      </c>
      <c r="I439" t="s">
        <v>1163</v>
      </c>
      <c r="J439" t="s">
        <v>354</v>
      </c>
      <c r="K439" t="s">
        <v>1164</v>
      </c>
    </row>
    <row r="440" spans="1:11" x14ac:dyDescent="0.4">
      <c r="A440" t="s">
        <v>1173</v>
      </c>
      <c r="B440" t="s">
        <v>9</v>
      </c>
      <c r="C440" t="s">
        <v>10</v>
      </c>
      <c r="D440" t="s">
        <v>351</v>
      </c>
      <c r="E440" t="s">
        <v>1174</v>
      </c>
      <c r="F440" t="str">
        <f>LEFT(E440,5)</f>
        <v>서울특별시</v>
      </c>
      <c r="G440" t="str">
        <f t="shared" si="14"/>
        <v xml:space="preserve">강서구 </v>
      </c>
      <c r="H440" t="str">
        <f t="shared" si="15"/>
        <v>화곡동</v>
      </c>
      <c r="I440" t="s">
        <v>1175</v>
      </c>
      <c r="J440" t="s">
        <v>1144</v>
      </c>
      <c r="K440" t="s">
        <v>1176</v>
      </c>
    </row>
    <row r="441" spans="1:11" x14ac:dyDescent="0.4">
      <c r="A441" t="s">
        <v>1141</v>
      </c>
      <c r="B441" t="s">
        <v>9</v>
      </c>
      <c r="C441" t="s">
        <v>10</v>
      </c>
      <c r="D441" t="s">
        <v>351</v>
      </c>
      <c r="E441" t="s">
        <v>1142</v>
      </c>
      <c r="F441" t="str">
        <f>LEFT(E441,5)</f>
        <v>서울특별시</v>
      </c>
      <c r="G441" t="str">
        <f t="shared" si="14"/>
        <v xml:space="preserve">강서구 </v>
      </c>
      <c r="H441" t="str">
        <f t="shared" si="15"/>
        <v>화곡동</v>
      </c>
      <c r="I441" t="s">
        <v>1143</v>
      </c>
      <c r="J441" t="s">
        <v>1144</v>
      </c>
      <c r="K441" t="s">
        <v>1145</v>
      </c>
    </row>
    <row r="442" spans="1:11" x14ac:dyDescent="0.4">
      <c r="A442" t="s">
        <v>2101</v>
      </c>
      <c r="B442" t="s">
        <v>9</v>
      </c>
      <c r="C442" t="s">
        <v>10</v>
      </c>
      <c r="D442" t="s">
        <v>351</v>
      </c>
      <c r="E442" t="s">
        <v>2102</v>
      </c>
      <c r="F442" t="str">
        <f>LEFT(E442,5)</f>
        <v>서울특별시</v>
      </c>
      <c r="G442" t="str">
        <f t="shared" si="14"/>
        <v xml:space="preserve">강서구 </v>
      </c>
      <c r="H442" t="str">
        <f t="shared" si="15"/>
        <v>화곡동</v>
      </c>
      <c r="I442" t="s">
        <v>2103</v>
      </c>
      <c r="J442" t="s">
        <v>1144</v>
      </c>
      <c r="K442" t="s">
        <v>2104</v>
      </c>
    </row>
    <row r="443" spans="1:11" x14ac:dyDescent="0.4">
      <c r="A443" t="s">
        <v>3449</v>
      </c>
      <c r="B443" t="s">
        <v>9</v>
      </c>
      <c r="C443" t="s">
        <v>10</v>
      </c>
      <c r="D443" t="s">
        <v>55</v>
      </c>
      <c r="E443" t="s">
        <v>3450</v>
      </c>
      <c r="F443" t="str">
        <f>LEFT(E443,5)</f>
        <v>서울특별시</v>
      </c>
      <c r="G443" t="str">
        <f t="shared" si="14"/>
        <v xml:space="preserve">강서구 </v>
      </c>
      <c r="H443" t="str">
        <f t="shared" si="15"/>
        <v>화곡동</v>
      </c>
      <c r="I443" t="s">
        <v>3451</v>
      </c>
      <c r="J443" t="s">
        <v>3452</v>
      </c>
      <c r="K443" t="s">
        <v>3453</v>
      </c>
    </row>
    <row r="444" spans="1:11" x14ac:dyDescent="0.4">
      <c r="A444" t="s">
        <v>928</v>
      </c>
      <c r="B444" t="s">
        <v>9</v>
      </c>
      <c r="C444" t="s">
        <v>10</v>
      </c>
      <c r="D444" t="s">
        <v>55</v>
      </c>
      <c r="E444" t="s">
        <v>929</v>
      </c>
      <c r="F444" t="str">
        <f>LEFT(E444,5)</f>
        <v>서울특별시</v>
      </c>
      <c r="G444" t="str">
        <f t="shared" si="14"/>
        <v xml:space="preserve">강서구 </v>
      </c>
      <c r="H444" t="str">
        <f t="shared" si="15"/>
        <v>화곡동</v>
      </c>
      <c r="I444" t="s">
        <v>930</v>
      </c>
      <c r="J444" t="s">
        <v>662</v>
      </c>
      <c r="K444" t="s">
        <v>931</v>
      </c>
    </row>
    <row r="445" spans="1:11" x14ac:dyDescent="0.4">
      <c r="A445" t="s">
        <v>1794</v>
      </c>
      <c r="B445" t="s">
        <v>9</v>
      </c>
      <c r="C445" t="s">
        <v>10</v>
      </c>
      <c r="D445" t="s">
        <v>55</v>
      </c>
      <c r="E445" t="s">
        <v>1795</v>
      </c>
      <c r="F445" t="str">
        <f>LEFT(E445,5)</f>
        <v>서울특별시</v>
      </c>
      <c r="G445" t="str">
        <f t="shared" si="14"/>
        <v xml:space="preserve">강서구 </v>
      </c>
      <c r="H445" t="str">
        <f t="shared" si="15"/>
        <v>화곡동</v>
      </c>
      <c r="I445" t="s">
        <v>1796</v>
      </c>
      <c r="J445" t="s">
        <v>662</v>
      </c>
      <c r="K445" t="s">
        <v>1797</v>
      </c>
    </row>
    <row r="446" spans="1:11" x14ac:dyDescent="0.4">
      <c r="A446" t="s">
        <v>2155</v>
      </c>
      <c r="B446" t="s">
        <v>9</v>
      </c>
      <c r="C446" t="s">
        <v>10</v>
      </c>
      <c r="D446" t="s">
        <v>55</v>
      </c>
      <c r="E446" t="s">
        <v>2156</v>
      </c>
      <c r="F446" t="str">
        <f>LEFT(E446,5)</f>
        <v>서울특별시</v>
      </c>
      <c r="G446" t="str">
        <f t="shared" si="14"/>
        <v xml:space="preserve">강서구 </v>
      </c>
      <c r="H446" t="str">
        <f t="shared" si="15"/>
        <v>화곡동</v>
      </c>
      <c r="I446" t="s">
        <v>2157</v>
      </c>
      <c r="J446" t="s">
        <v>662</v>
      </c>
      <c r="K446" t="s">
        <v>2158</v>
      </c>
    </row>
    <row r="447" spans="1:11" x14ac:dyDescent="0.4">
      <c r="A447" t="s">
        <v>1506</v>
      </c>
      <c r="B447" t="s">
        <v>9</v>
      </c>
      <c r="C447" t="s">
        <v>10</v>
      </c>
      <c r="D447" t="s">
        <v>55</v>
      </c>
      <c r="E447" t="s">
        <v>1507</v>
      </c>
      <c r="F447" t="str">
        <f>LEFT(E447,5)</f>
        <v>서울특별시</v>
      </c>
      <c r="G447" t="str">
        <f t="shared" si="14"/>
        <v xml:space="preserve">강서구 </v>
      </c>
      <c r="H447" t="str">
        <f t="shared" si="15"/>
        <v>화곡동</v>
      </c>
      <c r="I447" t="s">
        <v>1508</v>
      </c>
      <c r="J447" t="s">
        <v>662</v>
      </c>
      <c r="K447" t="s">
        <v>1509</v>
      </c>
    </row>
    <row r="448" spans="1:11" x14ac:dyDescent="0.4">
      <c r="A448" t="s">
        <v>1430</v>
      </c>
      <c r="B448" t="s">
        <v>9</v>
      </c>
      <c r="C448" t="s">
        <v>10</v>
      </c>
      <c r="D448" t="s">
        <v>55</v>
      </c>
      <c r="E448" t="s">
        <v>1431</v>
      </c>
      <c r="F448" t="str">
        <f>LEFT(E448,5)</f>
        <v>서울특별시</v>
      </c>
      <c r="G448" t="str">
        <f t="shared" si="14"/>
        <v xml:space="preserve">강서구 </v>
      </c>
      <c r="H448" t="str">
        <f t="shared" si="15"/>
        <v>화곡동</v>
      </c>
      <c r="I448" t="s">
        <v>1432</v>
      </c>
      <c r="J448" t="s">
        <v>662</v>
      </c>
      <c r="K448" t="s">
        <v>1433</v>
      </c>
    </row>
    <row r="449" spans="1:11" x14ac:dyDescent="0.4">
      <c r="A449" t="s">
        <v>2078</v>
      </c>
      <c r="B449" t="s">
        <v>9</v>
      </c>
      <c r="C449" t="s">
        <v>10</v>
      </c>
      <c r="D449" t="s">
        <v>55</v>
      </c>
      <c r="E449" t="s">
        <v>2079</v>
      </c>
      <c r="F449" t="str">
        <f>LEFT(E449,5)</f>
        <v>서울특별시</v>
      </c>
      <c r="G449" t="str">
        <f t="shared" si="14"/>
        <v xml:space="preserve">강서구 </v>
      </c>
      <c r="H449" t="str">
        <f t="shared" si="15"/>
        <v>화곡동</v>
      </c>
      <c r="I449" t="s">
        <v>2080</v>
      </c>
      <c r="J449" t="s">
        <v>662</v>
      </c>
      <c r="K449" t="s">
        <v>2081</v>
      </c>
    </row>
    <row r="450" spans="1:11" x14ac:dyDescent="0.4">
      <c r="A450" t="s">
        <v>1962</v>
      </c>
      <c r="B450" t="s">
        <v>9</v>
      </c>
      <c r="C450" t="s">
        <v>10</v>
      </c>
      <c r="D450" t="s">
        <v>55</v>
      </c>
      <c r="E450" t="s">
        <v>1963</v>
      </c>
      <c r="F450" t="str">
        <f>LEFT(E450,5)</f>
        <v>서울특별시</v>
      </c>
      <c r="G450" t="str">
        <f t="shared" si="14"/>
        <v xml:space="preserve">강서구 </v>
      </c>
      <c r="H450" t="str">
        <f t="shared" si="15"/>
        <v>화곡동</v>
      </c>
      <c r="I450" t="s">
        <v>1964</v>
      </c>
      <c r="J450" t="s">
        <v>662</v>
      </c>
      <c r="K450" t="s">
        <v>1965</v>
      </c>
    </row>
    <row r="451" spans="1:11" x14ac:dyDescent="0.4">
      <c r="A451" t="s">
        <v>1368</v>
      </c>
      <c r="B451" t="s">
        <v>9</v>
      </c>
      <c r="C451" t="s">
        <v>10</v>
      </c>
      <c r="D451" t="s">
        <v>55</v>
      </c>
      <c r="E451" t="s">
        <v>1369</v>
      </c>
      <c r="F451" t="str">
        <f>LEFT(E451,5)</f>
        <v>서울특별시</v>
      </c>
      <c r="G451" t="str">
        <f t="shared" ref="G451:G514" si="16">MID(E451,7,4)</f>
        <v xml:space="preserve">강서구 </v>
      </c>
      <c r="H451" t="str">
        <f t="shared" ref="H451:H514" si="17">MID(SUBSTITUTE(E451," ",""),9,3)</f>
        <v>화곡동</v>
      </c>
      <c r="I451" t="s">
        <v>1370</v>
      </c>
      <c r="J451" t="s">
        <v>662</v>
      </c>
      <c r="K451" t="s">
        <v>1371</v>
      </c>
    </row>
    <row r="452" spans="1:11" x14ac:dyDescent="0.4">
      <c r="A452" t="s">
        <v>1671</v>
      </c>
      <c r="B452" t="s">
        <v>9</v>
      </c>
      <c r="C452" t="s">
        <v>10</v>
      </c>
      <c r="D452" t="s">
        <v>55</v>
      </c>
      <c r="E452" t="s">
        <v>1672</v>
      </c>
      <c r="F452" t="str">
        <f>LEFT(E452,5)</f>
        <v>서울특별시</v>
      </c>
      <c r="G452" t="str">
        <f t="shared" si="16"/>
        <v xml:space="preserve">강서구 </v>
      </c>
      <c r="H452" t="str">
        <f t="shared" si="17"/>
        <v>화곡동</v>
      </c>
      <c r="I452" t="s">
        <v>1673</v>
      </c>
      <c r="J452" t="s">
        <v>662</v>
      </c>
      <c r="K452" t="s">
        <v>1674</v>
      </c>
    </row>
    <row r="453" spans="1:11" x14ac:dyDescent="0.4">
      <c r="A453" t="s">
        <v>659</v>
      </c>
      <c r="B453" t="s">
        <v>9</v>
      </c>
      <c r="C453" t="s">
        <v>10</v>
      </c>
      <c r="D453" t="s">
        <v>55</v>
      </c>
      <c r="E453" t="s">
        <v>660</v>
      </c>
      <c r="F453" t="str">
        <f>LEFT(E453,5)</f>
        <v>서울특별시</v>
      </c>
      <c r="G453" t="str">
        <f t="shared" si="16"/>
        <v xml:space="preserve">강서구 </v>
      </c>
      <c r="H453" t="str">
        <f t="shared" si="17"/>
        <v>화곡동</v>
      </c>
      <c r="I453" t="s">
        <v>661</v>
      </c>
      <c r="J453" t="s">
        <v>662</v>
      </c>
      <c r="K453" t="s">
        <v>663</v>
      </c>
    </row>
    <row r="454" spans="1:11" x14ac:dyDescent="0.4">
      <c r="A454" t="s">
        <v>6949</v>
      </c>
      <c r="B454" t="s">
        <v>9</v>
      </c>
      <c r="C454" t="s">
        <v>10</v>
      </c>
      <c r="D454" t="s">
        <v>55</v>
      </c>
      <c r="E454" t="s">
        <v>6950</v>
      </c>
      <c r="F454" t="str">
        <f>LEFT(E454,5)</f>
        <v>서울특별시</v>
      </c>
      <c r="G454" t="str">
        <f t="shared" si="16"/>
        <v xml:space="preserve">강서구 </v>
      </c>
      <c r="H454" t="str">
        <f t="shared" si="17"/>
        <v>화곡동</v>
      </c>
      <c r="I454" t="s">
        <v>6951</v>
      </c>
      <c r="J454" t="s">
        <v>1144</v>
      </c>
      <c r="K454" t="s">
        <v>6952</v>
      </c>
    </row>
    <row r="455" spans="1:11" x14ac:dyDescent="0.4">
      <c r="A455" t="s">
        <v>4871</v>
      </c>
      <c r="B455" t="s">
        <v>9</v>
      </c>
      <c r="C455" t="s">
        <v>10</v>
      </c>
      <c r="D455" t="s">
        <v>55</v>
      </c>
      <c r="E455" t="s">
        <v>4872</v>
      </c>
      <c r="F455" t="str">
        <f>LEFT(E455,5)</f>
        <v>서울특별시</v>
      </c>
      <c r="G455" t="str">
        <f t="shared" si="16"/>
        <v xml:space="preserve">강서구 </v>
      </c>
      <c r="H455" t="str">
        <f t="shared" si="17"/>
        <v>화곡동</v>
      </c>
      <c r="I455" t="s">
        <v>4873</v>
      </c>
      <c r="J455" t="s">
        <v>1144</v>
      </c>
      <c r="K455" t="s">
        <v>281</v>
      </c>
    </row>
    <row r="456" spans="1:11" x14ac:dyDescent="0.4">
      <c r="A456" t="s">
        <v>838</v>
      </c>
      <c r="B456" t="s">
        <v>9</v>
      </c>
      <c r="C456" t="s">
        <v>10</v>
      </c>
      <c r="D456" t="s">
        <v>55</v>
      </c>
      <c r="E456" t="s">
        <v>839</v>
      </c>
      <c r="F456" t="str">
        <f>LEFT(E456,5)</f>
        <v>서울특별시</v>
      </c>
      <c r="G456" t="str">
        <f t="shared" si="16"/>
        <v xml:space="preserve">강서구 </v>
      </c>
      <c r="H456" t="str">
        <f t="shared" si="17"/>
        <v>화곡동</v>
      </c>
      <c r="I456" t="s">
        <v>840</v>
      </c>
      <c r="J456" t="s">
        <v>662</v>
      </c>
      <c r="K456" t="s">
        <v>841</v>
      </c>
    </row>
    <row r="457" spans="1:11" x14ac:dyDescent="0.4">
      <c r="A457" t="s">
        <v>1106</v>
      </c>
      <c r="B457" t="s">
        <v>9</v>
      </c>
      <c r="C457" t="s">
        <v>10</v>
      </c>
      <c r="D457" t="s">
        <v>55</v>
      </c>
      <c r="E457" t="s">
        <v>1107</v>
      </c>
      <c r="F457" t="str">
        <f>LEFT(E457,5)</f>
        <v>서울특별시</v>
      </c>
      <c r="G457" t="str">
        <f t="shared" si="16"/>
        <v xml:space="preserve">강서구 </v>
      </c>
      <c r="H457" t="str">
        <f t="shared" si="17"/>
        <v>화곡동</v>
      </c>
      <c r="I457" t="s">
        <v>1108</v>
      </c>
      <c r="J457" t="s">
        <v>662</v>
      </c>
      <c r="K457" t="s">
        <v>1109</v>
      </c>
    </row>
    <row r="458" spans="1:11" x14ac:dyDescent="0.4">
      <c r="A458" t="s">
        <v>1777</v>
      </c>
      <c r="B458" t="s">
        <v>9</v>
      </c>
      <c r="C458" t="s">
        <v>10</v>
      </c>
      <c r="D458" t="s">
        <v>55</v>
      </c>
      <c r="E458" t="s">
        <v>1778</v>
      </c>
      <c r="F458" t="str">
        <f>LEFT(E458,5)</f>
        <v>서울특별시</v>
      </c>
      <c r="G458" t="str">
        <f t="shared" si="16"/>
        <v xml:space="preserve">강서구 </v>
      </c>
      <c r="H458" t="str">
        <f t="shared" si="17"/>
        <v>화곡동</v>
      </c>
      <c r="I458" t="s">
        <v>1779</v>
      </c>
      <c r="J458" t="s">
        <v>662</v>
      </c>
      <c r="K458" t="s">
        <v>1780</v>
      </c>
    </row>
    <row r="459" spans="1:11" x14ac:dyDescent="0.4">
      <c r="A459" t="s">
        <v>2183</v>
      </c>
      <c r="B459" t="s">
        <v>9</v>
      </c>
      <c r="C459" t="s">
        <v>10</v>
      </c>
      <c r="D459" t="s">
        <v>55</v>
      </c>
      <c r="E459" t="s">
        <v>2184</v>
      </c>
      <c r="F459" t="str">
        <f>LEFT(E459,5)</f>
        <v>서울특별시</v>
      </c>
      <c r="G459" t="str">
        <f t="shared" si="16"/>
        <v xml:space="preserve">강서구 </v>
      </c>
      <c r="H459" t="str">
        <f t="shared" si="17"/>
        <v>화곡동</v>
      </c>
      <c r="I459" t="s">
        <v>2185</v>
      </c>
      <c r="J459" t="s">
        <v>662</v>
      </c>
      <c r="K459" t="s">
        <v>2186</v>
      </c>
    </row>
    <row r="460" spans="1:11" x14ac:dyDescent="0.4">
      <c r="A460" t="s">
        <v>1384</v>
      </c>
      <c r="B460" t="s">
        <v>9</v>
      </c>
      <c r="C460" t="s">
        <v>10</v>
      </c>
      <c r="D460" t="s">
        <v>55</v>
      </c>
      <c r="E460" t="s">
        <v>1385</v>
      </c>
      <c r="F460" t="str">
        <f>LEFT(E460,5)</f>
        <v>서울특별시</v>
      </c>
      <c r="G460" t="str">
        <f t="shared" si="16"/>
        <v xml:space="preserve">강서구 </v>
      </c>
      <c r="H460" t="str">
        <f t="shared" si="17"/>
        <v>화곡동</v>
      </c>
      <c r="I460" t="s">
        <v>1386</v>
      </c>
      <c r="J460" t="s">
        <v>58</v>
      </c>
      <c r="K460" t="s">
        <v>1387</v>
      </c>
    </row>
    <row r="461" spans="1:11" x14ac:dyDescent="0.4">
      <c r="A461" t="s">
        <v>462</v>
      </c>
      <c r="B461" t="s">
        <v>9</v>
      </c>
      <c r="C461" t="s">
        <v>10</v>
      </c>
      <c r="D461" t="s">
        <v>55</v>
      </c>
      <c r="E461" t="s">
        <v>463</v>
      </c>
      <c r="F461" t="str">
        <f>LEFT(E461,5)</f>
        <v>서울특별시</v>
      </c>
      <c r="G461" t="str">
        <f t="shared" si="16"/>
        <v xml:space="preserve">강서구 </v>
      </c>
      <c r="H461" t="str">
        <f t="shared" si="17"/>
        <v>화곡동</v>
      </c>
      <c r="I461" t="s">
        <v>464</v>
      </c>
      <c r="J461" t="s">
        <v>58</v>
      </c>
      <c r="K461" t="s">
        <v>465</v>
      </c>
    </row>
    <row r="462" spans="1:11" x14ac:dyDescent="0.4">
      <c r="A462" t="s">
        <v>322</v>
      </c>
      <c r="B462" t="s">
        <v>9</v>
      </c>
      <c r="C462" t="s">
        <v>10</v>
      </c>
      <c r="D462" t="s">
        <v>55</v>
      </c>
      <c r="E462" t="s">
        <v>323</v>
      </c>
      <c r="F462" t="str">
        <f>LEFT(E462,5)</f>
        <v>서울특별시</v>
      </c>
      <c r="G462" t="str">
        <f t="shared" si="16"/>
        <v xml:space="preserve">강서구 </v>
      </c>
      <c r="H462" t="str">
        <f t="shared" si="17"/>
        <v>화곡동</v>
      </c>
      <c r="I462" t="s">
        <v>324</v>
      </c>
      <c r="J462" t="s">
        <v>58</v>
      </c>
      <c r="K462" t="s">
        <v>325</v>
      </c>
    </row>
    <row r="463" spans="1:11" x14ac:dyDescent="0.4">
      <c r="A463" t="s">
        <v>1026</v>
      </c>
      <c r="B463" t="s">
        <v>9</v>
      </c>
      <c r="C463" t="s">
        <v>10</v>
      </c>
      <c r="D463" t="s">
        <v>55</v>
      </c>
      <c r="E463" t="s">
        <v>1027</v>
      </c>
      <c r="F463" t="str">
        <f>LEFT(E463,5)</f>
        <v>서울특별시</v>
      </c>
      <c r="G463" t="str">
        <f t="shared" si="16"/>
        <v xml:space="preserve">강서구 </v>
      </c>
      <c r="H463" t="str">
        <f t="shared" si="17"/>
        <v>화곡동</v>
      </c>
      <c r="I463" t="s">
        <v>1028</v>
      </c>
      <c r="J463" t="s">
        <v>58</v>
      </c>
      <c r="K463" t="s">
        <v>1029</v>
      </c>
    </row>
    <row r="464" spans="1:11" x14ac:dyDescent="0.4">
      <c r="A464" t="s">
        <v>8718</v>
      </c>
      <c r="B464" t="s">
        <v>9</v>
      </c>
      <c r="C464" t="s">
        <v>10</v>
      </c>
      <c r="D464" t="s">
        <v>55</v>
      </c>
      <c r="E464" t="s">
        <v>8719</v>
      </c>
      <c r="F464" t="str">
        <f>LEFT(E464,5)</f>
        <v>서울특별시</v>
      </c>
      <c r="G464" t="str">
        <f t="shared" si="16"/>
        <v xml:space="preserve">강서구 </v>
      </c>
      <c r="H464" t="str">
        <f t="shared" si="17"/>
        <v>화곡동</v>
      </c>
      <c r="I464" t="s">
        <v>8720</v>
      </c>
      <c r="J464" t="s">
        <v>5335</v>
      </c>
      <c r="K464" t="s">
        <v>8721</v>
      </c>
    </row>
    <row r="465" spans="1:11" x14ac:dyDescent="0.4">
      <c r="A465" t="s">
        <v>5332</v>
      </c>
      <c r="B465" t="s">
        <v>9</v>
      </c>
      <c r="C465" t="s">
        <v>10</v>
      </c>
      <c r="D465" t="s">
        <v>55</v>
      </c>
      <c r="E465" t="s">
        <v>5333</v>
      </c>
      <c r="F465" t="str">
        <f>LEFT(E465,5)</f>
        <v>서울특별시</v>
      </c>
      <c r="G465" t="str">
        <f t="shared" si="16"/>
        <v xml:space="preserve">강서구 </v>
      </c>
      <c r="H465" t="str">
        <f t="shared" si="17"/>
        <v>화곡동</v>
      </c>
      <c r="I465" t="s">
        <v>5334</v>
      </c>
      <c r="J465" t="s">
        <v>5335</v>
      </c>
      <c r="K465" t="s">
        <v>5336</v>
      </c>
    </row>
    <row r="466" spans="1:11" x14ac:dyDescent="0.4">
      <c r="A466" t="s">
        <v>1289</v>
      </c>
      <c r="B466" t="s">
        <v>9</v>
      </c>
      <c r="C466" t="s">
        <v>10</v>
      </c>
      <c r="D466" t="s">
        <v>55</v>
      </c>
      <c r="E466" t="s">
        <v>1290</v>
      </c>
      <c r="F466" t="str">
        <f>LEFT(E466,5)</f>
        <v>서울특별시</v>
      </c>
      <c r="G466" t="str">
        <f t="shared" si="16"/>
        <v xml:space="preserve">강서구 </v>
      </c>
      <c r="H466" t="str">
        <f t="shared" si="17"/>
        <v>화곡동</v>
      </c>
      <c r="I466" t="s">
        <v>1291</v>
      </c>
      <c r="J466" t="s">
        <v>58</v>
      </c>
      <c r="K466" t="s">
        <v>1292</v>
      </c>
    </row>
    <row r="467" spans="1:11" x14ac:dyDescent="0.4">
      <c r="A467" t="s">
        <v>616</v>
      </c>
      <c r="B467" t="s">
        <v>9</v>
      </c>
      <c r="C467" t="s">
        <v>10</v>
      </c>
      <c r="D467" t="s">
        <v>55</v>
      </c>
      <c r="E467" t="s">
        <v>617</v>
      </c>
      <c r="F467" t="str">
        <f>LEFT(E467,5)</f>
        <v>서울특별시</v>
      </c>
      <c r="G467" t="str">
        <f t="shared" si="16"/>
        <v xml:space="preserve">강서구 </v>
      </c>
      <c r="H467" t="str">
        <f t="shared" si="17"/>
        <v>화곡동</v>
      </c>
      <c r="I467" t="s">
        <v>618</v>
      </c>
      <c r="J467" t="s">
        <v>58</v>
      </c>
      <c r="K467" t="s">
        <v>619</v>
      </c>
    </row>
    <row r="468" spans="1:11" x14ac:dyDescent="0.4">
      <c r="A468" t="s">
        <v>673</v>
      </c>
      <c r="B468" t="s">
        <v>9</v>
      </c>
      <c r="C468" t="s">
        <v>10</v>
      </c>
      <c r="D468" t="s">
        <v>55</v>
      </c>
      <c r="E468" t="s">
        <v>674</v>
      </c>
      <c r="F468" t="str">
        <f>LEFT(E468,5)</f>
        <v>서울특별시</v>
      </c>
      <c r="G468" t="str">
        <f t="shared" si="16"/>
        <v xml:space="preserve">강서구 </v>
      </c>
      <c r="H468" t="str">
        <f t="shared" si="17"/>
        <v>화곡동</v>
      </c>
      <c r="I468" t="s">
        <v>675</v>
      </c>
      <c r="J468" t="s">
        <v>58</v>
      </c>
      <c r="K468" t="s">
        <v>676</v>
      </c>
    </row>
    <row r="469" spans="1:11" x14ac:dyDescent="0.4">
      <c r="A469" t="s">
        <v>499</v>
      </c>
      <c r="B469" t="s">
        <v>9</v>
      </c>
      <c r="C469" t="s">
        <v>10</v>
      </c>
      <c r="D469" t="s">
        <v>55</v>
      </c>
      <c r="E469" t="s">
        <v>500</v>
      </c>
      <c r="F469" t="str">
        <f>LEFT(E469,5)</f>
        <v>서울특별시</v>
      </c>
      <c r="G469" t="str">
        <f t="shared" si="16"/>
        <v xml:space="preserve">강서구 </v>
      </c>
      <c r="H469" t="str">
        <f t="shared" si="17"/>
        <v>화곡동</v>
      </c>
      <c r="I469" t="s">
        <v>501</v>
      </c>
      <c r="J469" t="s">
        <v>58</v>
      </c>
      <c r="K469" t="s">
        <v>502</v>
      </c>
    </row>
    <row r="470" spans="1:11" x14ac:dyDescent="0.4">
      <c r="A470" t="s">
        <v>1165</v>
      </c>
      <c r="B470" t="s">
        <v>9</v>
      </c>
      <c r="C470" t="s">
        <v>10</v>
      </c>
      <c r="D470" t="s">
        <v>55</v>
      </c>
      <c r="E470" t="s">
        <v>1166</v>
      </c>
      <c r="F470" t="str">
        <f>LEFT(E470,5)</f>
        <v>서울특별시</v>
      </c>
      <c r="G470" t="str">
        <f t="shared" si="16"/>
        <v xml:space="preserve">강서구 </v>
      </c>
      <c r="H470" t="str">
        <f t="shared" si="17"/>
        <v>화곡동</v>
      </c>
      <c r="I470" t="s">
        <v>1167</v>
      </c>
      <c r="J470" t="s">
        <v>58</v>
      </c>
      <c r="K470" t="s">
        <v>1168</v>
      </c>
    </row>
    <row r="471" spans="1:11" x14ac:dyDescent="0.4">
      <c r="A471" t="s">
        <v>507</v>
      </c>
      <c r="B471" t="s">
        <v>9</v>
      </c>
      <c r="C471" t="s">
        <v>10</v>
      </c>
      <c r="D471" t="s">
        <v>55</v>
      </c>
      <c r="E471" t="s">
        <v>508</v>
      </c>
      <c r="F471" t="str">
        <f>LEFT(E471,5)</f>
        <v>서울특별시</v>
      </c>
      <c r="G471" t="str">
        <f t="shared" si="16"/>
        <v xml:space="preserve">강서구 </v>
      </c>
      <c r="H471" t="str">
        <f t="shared" si="17"/>
        <v>화곡동</v>
      </c>
      <c r="I471" t="s">
        <v>509</v>
      </c>
      <c r="J471" t="s">
        <v>58</v>
      </c>
      <c r="K471" t="s">
        <v>510</v>
      </c>
    </row>
    <row r="472" spans="1:11" x14ac:dyDescent="0.4">
      <c r="A472" t="s">
        <v>503</v>
      </c>
      <c r="B472" t="s">
        <v>9</v>
      </c>
      <c r="C472" t="s">
        <v>10</v>
      </c>
      <c r="D472" t="s">
        <v>55</v>
      </c>
      <c r="E472" t="s">
        <v>504</v>
      </c>
      <c r="F472" t="str">
        <f>LEFT(E472,5)</f>
        <v>서울특별시</v>
      </c>
      <c r="G472" t="str">
        <f t="shared" si="16"/>
        <v xml:space="preserve">강서구 </v>
      </c>
      <c r="H472" t="str">
        <f t="shared" si="17"/>
        <v>화곡동</v>
      </c>
      <c r="I472" t="s">
        <v>505</v>
      </c>
      <c r="J472" t="s">
        <v>58</v>
      </c>
      <c r="K472" t="s">
        <v>506</v>
      </c>
    </row>
    <row r="473" spans="1:11" x14ac:dyDescent="0.4">
      <c r="A473" t="s">
        <v>1785</v>
      </c>
      <c r="B473" t="s">
        <v>9</v>
      </c>
      <c r="C473" t="s">
        <v>10</v>
      </c>
      <c r="D473" t="s">
        <v>55</v>
      </c>
      <c r="E473" t="s">
        <v>1786</v>
      </c>
      <c r="F473" t="str">
        <f>LEFT(E473,5)</f>
        <v>서울특별시</v>
      </c>
      <c r="G473" t="str">
        <f t="shared" si="16"/>
        <v xml:space="preserve">강서구 </v>
      </c>
      <c r="H473" t="str">
        <f t="shared" si="17"/>
        <v>화곡동</v>
      </c>
      <c r="I473" t="s">
        <v>1787</v>
      </c>
      <c r="J473" t="s">
        <v>58</v>
      </c>
      <c r="K473" t="s">
        <v>1788</v>
      </c>
    </row>
    <row r="474" spans="1:11" x14ac:dyDescent="0.4">
      <c r="A474" t="s">
        <v>2037</v>
      </c>
      <c r="B474" t="s">
        <v>9</v>
      </c>
      <c r="C474" t="s">
        <v>10</v>
      </c>
      <c r="D474" t="s">
        <v>55</v>
      </c>
      <c r="E474" t="s">
        <v>2038</v>
      </c>
      <c r="F474" t="str">
        <f>LEFT(E474,5)</f>
        <v>서울특별시</v>
      </c>
      <c r="G474" t="str">
        <f t="shared" si="16"/>
        <v xml:space="preserve">강서구 </v>
      </c>
      <c r="H474" t="str">
        <f t="shared" si="17"/>
        <v>화곡동</v>
      </c>
      <c r="I474" t="s">
        <v>2039</v>
      </c>
      <c r="J474" t="s">
        <v>58</v>
      </c>
      <c r="K474" t="s">
        <v>2040</v>
      </c>
    </row>
    <row r="475" spans="1:11" x14ac:dyDescent="0.4">
      <c r="A475" t="s">
        <v>2957</v>
      </c>
      <c r="B475" t="s">
        <v>9</v>
      </c>
      <c r="C475" t="s">
        <v>10</v>
      </c>
      <c r="D475" t="s">
        <v>55</v>
      </c>
      <c r="E475" t="s">
        <v>2958</v>
      </c>
      <c r="F475" t="str">
        <f>LEFT(E475,5)</f>
        <v>서울특별시</v>
      </c>
      <c r="G475" t="str">
        <f t="shared" si="16"/>
        <v xml:space="preserve">강서구 </v>
      </c>
      <c r="H475" t="str">
        <f t="shared" si="17"/>
        <v>화곡동</v>
      </c>
      <c r="I475" t="s">
        <v>2959</v>
      </c>
      <c r="J475" t="s">
        <v>58</v>
      </c>
      <c r="K475" t="s">
        <v>2960</v>
      </c>
    </row>
    <row r="476" spans="1:11" x14ac:dyDescent="0.4">
      <c r="A476" t="s">
        <v>314</v>
      </c>
      <c r="B476" t="s">
        <v>9</v>
      </c>
      <c r="C476" t="s">
        <v>10</v>
      </c>
      <c r="D476" t="s">
        <v>55</v>
      </c>
      <c r="E476" t="s">
        <v>315</v>
      </c>
      <c r="F476" t="str">
        <f>LEFT(E476,5)</f>
        <v>서울특별시</v>
      </c>
      <c r="G476" t="str">
        <f t="shared" si="16"/>
        <v xml:space="preserve">강서구 </v>
      </c>
      <c r="H476" t="str">
        <f t="shared" si="17"/>
        <v>화곡동</v>
      </c>
      <c r="I476" t="s">
        <v>316</v>
      </c>
      <c r="J476" t="s">
        <v>58</v>
      </c>
      <c r="K476" t="s">
        <v>317</v>
      </c>
    </row>
    <row r="477" spans="1:11" x14ac:dyDescent="0.4">
      <c r="A477" t="s">
        <v>1473</v>
      </c>
      <c r="B477" t="s">
        <v>9</v>
      </c>
      <c r="C477" t="s">
        <v>10</v>
      </c>
      <c r="D477" t="s">
        <v>55</v>
      </c>
      <c r="E477" t="s">
        <v>1474</v>
      </c>
      <c r="F477" t="str">
        <f>LEFT(E477,5)</f>
        <v>서울특별시</v>
      </c>
      <c r="G477" t="str">
        <f t="shared" si="16"/>
        <v xml:space="preserve">강서구 </v>
      </c>
      <c r="H477" t="str">
        <f t="shared" si="17"/>
        <v>화곡동</v>
      </c>
      <c r="I477" t="s">
        <v>1475</v>
      </c>
      <c r="J477" t="s">
        <v>58</v>
      </c>
      <c r="K477" t="s">
        <v>1476</v>
      </c>
    </row>
    <row r="478" spans="1:11" x14ac:dyDescent="0.4">
      <c r="A478" t="s">
        <v>1251</v>
      </c>
      <c r="B478" t="s">
        <v>9</v>
      </c>
      <c r="C478" t="s">
        <v>10</v>
      </c>
      <c r="D478" t="s">
        <v>55</v>
      </c>
      <c r="E478" t="s">
        <v>1252</v>
      </c>
      <c r="F478" t="str">
        <f>LEFT(E478,5)</f>
        <v>서울특별시</v>
      </c>
      <c r="G478" t="str">
        <f t="shared" si="16"/>
        <v xml:space="preserve">강서구 </v>
      </c>
      <c r="H478" t="str">
        <f t="shared" si="17"/>
        <v>화곡동</v>
      </c>
      <c r="I478" t="s">
        <v>1253</v>
      </c>
      <c r="J478" t="s">
        <v>58</v>
      </c>
      <c r="K478" t="s">
        <v>1254</v>
      </c>
    </row>
    <row r="479" spans="1:11" x14ac:dyDescent="0.4">
      <c r="A479" t="s">
        <v>1831</v>
      </c>
      <c r="B479" t="s">
        <v>9</v>
      </c>
      <c r="C479" t="s">
        <v>10</v>
      </c>
      <c r="D479" t="s">
        <v>55</v>
      </c>
      <c r="E479" t="s">
        <v>1832</v>
      </c>
      <c r="F479" t="str">
        <f>LEFT(E479,5)</f>
        <v>서울특별시</v>
      </c>
      <c r="G479" t="str">
        <f t="shared" si="16"/>
        <v xml:space="preserve">강서구 </v>
      </c>
      <c r="H479" t="str">
        <f t="shared" si="17"/>
        <v>화곡동</v>
      </c>
      <c r="I479" t="s">
        <v>1833</v>
      </c>
      <c r="J479" t="s">
        <v>58</v>
      </c>
      <c r="K479" t="s">
        <v>1834</v>
      </c>
    </row>
    <row r="480" spans="1:11" x14ac:dyDescent="0.4">
      <c r="A480" t="s">
        <v>54</v>
      </c>
      <c r="B480" t="s">
        <v>9</v>
      </c>
      <c r="C480" t="s">
        <v>10</v>
      </c>
      <c r="D480" t="s">
        <v>55</v>
      </c>
      <c r="E480" t="s">
        <v>56</v>
      </c>
      <c r="F480" t="str">
        <f>LEFT(E480,5)</f>
        <v>서울특별시</v>
      </c>
      <c r="G480" t="str">
        <f t="shared" si="16"/>
        <v xml:space="preserve">강서구 </v>
      </c>
      <c r="H480" t="str">
        <f t="shared" si="17"/>
        <v>화곡동</v>
      </c>
      <c r="I480" t="s">
        <v>57</v>
      </c>
      <c r="J480" t="s">
        <v>58</v>
      </c>
      <c r="K480" t="s">
        <v>59</v>
      </c>
    </row>
    <row r="481" spans="1:11" x14ac:dyDescent="0.4">
      <c r="A481" t="s">
        <v>4118</v>
      </c>
      <c r="B481" t="s">
        <v>9</v>
      </c>
      <c r="C481" t="s">
        <v>10</v>
      </c>
      <c r="D481" t="s">
        <v>1768</v>
      </c>
      <c r="E481" t="s">
        <v>4119</v>
      </c>
      <c r="F481" t="str">
        <f>LEFT(E481,5)</f>
        <v>서울특별시</v>
      </c>
      <c r="G481" t="str">
        <f t="shared" si="16"/>
        <v xml:space="preserve">강서구 </v>
      </c>
      <c r="H481" t="str">
        <f t="shared" si="17"/>
        <v>화곡동</v>
      </c>
      <c r="I481" t="s">
        <v>4120</v>
      </c>
      <c r="J481" t="s">
        <v>1771</v>
      </c>
      <c r="K481" t="s">
        <v>4121</v>
      </c>
    </row>
    <row r="482" spans="1:11" x14ac:dyDescent="0.4">
      <c r="A482" t="s">
        <v>3921</v>
      </c>
      <c r="B482" t="s">
        <v>9</v>
      </c>
      <c r="C482" t="s">
        <v>10</v>
      </c>
      <c r="D482" t="s">
        <v>1768</v>
      </c>
      <c r="E482" t="s">
        <v>3922</v>
      </c>
      <c r="F482" t="str">
        <f>LEFT(E482,5)</f>
        <v>서울특별시</v>
      </c>
      <c r="G482" t="str">
        <f t="shared" si="16"/>
        <v xml:space="preserve">강서구 </v>
      </c>
      <c r="H482" t="str">
        <f t="shared" si="17"/>
        <v>화곡동</v>
      </c>
      <c r="I482" t="s">
        <v>3923</v>
      </c>
      <c r="J482" t="s">
        <v>1771</v>
      </c>
      <c r="K482" t="s">
        <v>3924</v>
      </c>
    </row>
    <row r="483" spans="1:11" x14ac:dyDescent="0.4">
      <c r="A483" t="s">
        <v>1767</v>
      </c>
      <c r="B483" t="s">
        <v>9</v>
      </c>
      <c r="C483" t="s">
        <v>10</v>
      </c>
      <c r="D483" t="s">
        <v>1768</v>
      </c>
      <c r="E483" t="s">
        <v>1769</v>
      </c>
      <c r="F483" t="str">
        <f>LEFT(E483,5)</f>
        <v>서울특별시</v>
      </c>
      <c r="G483" t="str">
        <f t="shared" si="16"/>
        <v xml:space="preserve">강서구 </v>
      </c>
      <c r="H483" t="str">
        <f t="shared" si="17"/>
        <v>화곡동</v>
      </c>
      <c r="I483" t="s">
        <v>1770</v>
      </c>
      <c r="J483" t="s">
        <v>1771</v>
      </c>
      <c r="K483" t="s">
        <v>1772</v>
      </c>
    </row>
    <row r="484" spans="1:11" x14ac:dyDescent="0.4">
      <c r="A484" t="s">
        <v>1685</v>
      </c>
      <c r="B484" t="s">
        <v>9</v>
      </c>
      <c r="C484" t="s">
        <v>10</v>
      </c>
      <c r="D484" t="s">
        <v>1554</v>
      </c>
      <c r="E484" t="s">
        <v>1686</v>
      </c>
      <c r="F484" t="str">
        <f>LEFT(E484,5)</f>
        <v>서울특별시</v>
      </c>
      <c r="G484" t="str">
        <f t="shared" si="16"/>
        <v xml:space="preserve">관악구 </v>
      </c>
      <c r="H484" t="str">
        <f t="shared" si="17"/>
        <v>남현동</v>
      </c>
      <c r="I484" t="s">
        <v>1687</v>
      </c>
      <c r="J484" t="s">
        <v>1688</v>
      </c>
      <c r="K484" t="s">
        <v>1689</v>
      </c>
    </row>
    <row r="485" spans="1:11" x14ac:dyDescent="0.4">
      <c r="A485" t="s">
        <v>1628</v>
      </c>
      <c r="B485" t="s">
        <v>9</v>
      </c>
      <c r="C485" t="s">
        <v>10</v>
      </c>
      <c r="D485" t="s">
        <v>1554</v>
      </c>
      <c r="E485" t="s">
        <v>1629</v>
      </c>
      <c r="F485" t="str">
        <f>LEFT(E485,5)</f>
        <v>서울특별시</v>
      </c>
      <c r="G485" t="str">
        <f t="shared" si="16"/>
        <v xml:space="preserve">관악구 </v>
      </c>
      <c r="H485" t="str">
        <f t="shared" si="17"/>
        <v>남현동</v>
      </c>
      <c r="I485" t="s">
        <v>1630</v>
      </c>
      <c r="J485" t="s">
        <v>1557</v>
      </c>
      <c r="K485" t="s">
        <v>1631</v>
      </c>
    </row>
    <row r="486" spans="1:11" x14ac:dyDescent="0.4">
      <c r="A486" t="s">
        <v>1553</v>
      </c>
      <c r="B486" t="s">
        <v>9</v>
      </c>
      <c r="C486" t="s">
        <v>10</v>
      </c>
      <c r="D486" t="s">
        <v>1554</v>
      </c>
      <c r="E486" t="s">
        <v>1555</v>
      </c>
      <c r="F486" t="str">
        <f>LEFT(E486,5)</f>
        <v>서울특별시</v>
      </c>
      <c r="G486" t="str">
        <f t="shared" si="16"/>
        <v xml:space="preserve">관악구 </v>
      </c>
      <c r="H486" t="str">
        <f t="shared" si="17"/>
        <v>남현동</v>
      </c>
      <c r="I486" t="s">
        <v>1556</v>
      </c>
      <c r="J486" t="s">
        <v>1557</v>
      </c>
      <c r="K486" t="s">
        <v>1558</v>
      </c>
    </row>
    <row r="487" spans="1:11" x14ac:dyDescent="0.4">
      <c r="A487" t="s">
        <v>1714</v>
      </c>
      <c r="B487" t="s">
        <v>9</v>
      </c>
      <c r="C487" t="s">
        <v>10</v>
      </c>
      <c r="D487" t="s">
        <v>1715</v>
      </c>
      <c r="E487" t="s">
        <v>1716</v>
      </c>
      <c r="F487" t="str">
        <f>LEFT(E487,5)</f>
        <v>서울특별시</v>
      </c>
      <c r="G487" t="str">
        <f t="shared" si="16"/>
        <v xml:space="preserve">관악구 </v>
      </c>
      <c r="H487" t="str">
        <f t="shared" si="17"/>
        <v>남현동</v>
      </c>
      <c r="I487" t="s">
        <v>1717</v>
      </c>
      <c r="J487" t="s">
        <v>1688</v>
      </c>
      <c r="K487" t="s">
        <v>1718</v>
      </c>
    </row>
    <row r="488" spans="1:11" x14ac:dyDescent="0.4">
      <c r="A488" t="s">
        <v>2191</v>
      </c>
      <c r="B488" t="s">
        <v>9</v>
      </c>
      <c r="C488" t="s">
        <v>10</v>
      </c>
      <c r="D488" t="s">
        <v>2192</v>
      </c>
      <c r="E488" t="s">
        <v>2193</v>
      </c>
      <c r="F488" t="str">
        <f>LEFT(E488,5)</f>
        <v>서울특별시</v>
      </c>
      <c r="G488" t="str">
        <f t="shared" si="16"/>
        <v xml:space="preserve">관악구 </v>
      </c>
      <c r="H488" t="str">
        <f t="shared" si="17"/>
        <v>남현동</v>
      </c>
      <c r="I488" t="s">
        <v>2194</v>
      </c>
      <c r="J488" t="s">
        <v>1557</v>
      </c>
      <c r="K488" t="s">
        <v>2195</v>
      </c>
    </row>
    <row r="489" spans="1:11" x14ac:dyDescent="0.4">
      <c r="A489" t="s">
        <v>5337</v>
      </c>
      <c r="B489" t="s">
        <v>9</v>
      </c>
      <c r="C489" t="s">
        <v>10</v>
      </c>
      <c r="D489" t="s">
        <v>2382</v>
      </c>
      <c r="E489" t="s">
        <v>5338</v>
      </c>
      <c r="F489" t="str">
        <f>LEFT(E489,5)</f>
        <v>서울특별시</v>
      </c>
      <c r="G489" t="str">
        <f t="shared" si="16"/>
        <v xml:space="preserve">관악구 </v>
      </c>
      <c r="H489" t="str">
        <f t="shared" si="17"/>
        <v>봉천동</v>
      </c>
      <c r="I489" t="s">
        <v>5339</v>
      </c>
      <c r="J489" t="s">
        <v>2385</v>
      </c>
      <c r="K489" t="s">
        <v>5340</v>
      </c>
    </row>
    <row r="490" spans="1:11" x14ac:dyDescent="0.4">
      <c r="A490" t="s">
        <v>2381</v>
      </c>
      <c r="B490" t="s">
        <v>9</v>
      </c>
      <c r="C490" t="s">
        <v>10</v>
      </c>
      <c r="D490" t="s">
        <v>2382</v>
      </c>
      <c r="E490" t="s">
        <v>2383</v>
      </c>
      <c r="F490" t="str">
        <f>LEFT(E490,5)</f>
        <v>서울특별시</v>
      </c>
      <c r="G490" t="str">
        <f t="shared" si="16"/>
        <v xml:space="preserve">관악구 </v>
      </c>
      <c r="H490" t="str">
        <f t="shared" si="17"/>
        <v>봉천동</v>
      </c>
      <c r="I490" t="s">
        <v>2384</v>
      </c>
      <c r="J490" t="s">
        <v>2385</v>
      </c>
      <c r="K490" t="s">
        <v>2386</v>
      </c>
    </row>
    <row r="491" spans="1:11" x14ac:dyDescent="0.4">
      <c r="A491" t="s">
        <v>2537</v>
      </c>
      <c r="B491" t="s">
        <v>9</v>
      </c>
      <c r="C491" t="s">
        <v>10</v>
      </c>
      <c r="D491" t="s">
        <v>2538</v>
      </c>
      <c r="E491" t="s">
        <v>2539</v>
      </c>
      <c r="F491" t="str">
        <f>LEFT(E491,5)</f>
        <v>서울특별시</v>
      </c>
      <c r="G491" t="str">
        <f t="shared" si="16"/>
        <v xml:space="preserve">관악구 </v>
      </c>
      <c r="H491" t="str">
        <f t="shared" si="17"/>
        <v>봉천동</v>
      </c>
      <c r="I491" t="s">
        <v>2540</v>
      </c>
      <c r="J491" t="s">
        <v>2541</v>
      </c>
      <c r="K491" t="s">
        <v>2542</v>
      </c>
    </row>
    <row r="492" spans="1:11" x14ac:dyDescent="0.4">
      <c r="A492" t="s">
        <v>2586</v>
      </c>
      <c r="B492" t="s">
        <v>9</v>
      </c>
      <c r="C492" t="s">
        <v>10</v>
      </c>
      <c r="D492" t="s">
        <v>2587</v>
      </c>
      <c r="E492" t="s">
        <v>2588</v>
      </c>
      <c r="F492" t="str">
        <f>LEFT(E492,5)</f>
        <v>서울특별시</v>
      </c>
      <c r="G492" t="str">
        <f t="shared" si="16"/>
        <v xml:space="preserve">관악구 </v>
      </c>
      <c r="H492" t="str">
        <f t="shared" si="17"/>
        <v>봉천동</v>
      </c>
      <c r="I492" t="s">
        <v>2589</v>
      </c>
      <c r="J492" t="s">
        <v>2590</v>
      </c>
      <c r="K492" t="s">
        <v>2591</v>
      </c>
    </row>
    <row r="493" spans="1:11" x14ac:dyDescent="0.4">
      <c r="A493" t="s">
        <v>3056</v>
      </c>
      <c r="B493" t="s">
        <v>9</v>
      </c>
      <c r="C493" t="s">
        <v>10</v>
      </c>
      <c r="D493" t="s">
        <v>2587</v>
      </c>
      <c r="E493" t="s">
        <v>3057</v>
      </c>
      <c r="F493" t="str">
        <f>LEFT(E493,5)</f>
        <v>서울특별시</v>
      </c>
      <c r="G493" t="str">
        <f t="shared" si="16"/>
        <v xml:space="preserve">관악구 </v>
      </c>
      <c r="H493" t="str">
        <f t="shared" si="17"/>
        <v>봉천동</v>
      </c>
      <c r="I493" t="s">
        <v>3058</v>
      </c>
      <c r="J493" t="s">
        <v>2590</v>
      </c>
      <c r="K493" t="s">
        <v>3059</v>
      </c>
    </row>
    <row r="494" spans="1:11" x14ac:dyDescent="0.4">
      <c r="A494" t="s">
        <v>7750</v>
      </c>
      <c r="B494" t="s">
        <v>9</v>
      </c>
      <c r="C494" t="s">
        <v>10</v>
      </c>
      <c r="D494" t="s">
        <v>7751</v>
      </c>
      <c r="E494" t="s">
        <v>7752</v>
      </c>
      <c r="F494" t="str">
        <f>LEFT(E494,5)</f>
        <v>서울특별시</v>
      </c>
      <c r="G494" t="str">
        <f t="shared" si="16"/>
        <v xml:space="preserve">관악구 </v>
      </c>
      <c r="H494" t="str">
        <f t="shared" si="17"/>
        <v>봉천동</v>
      </c>
      <c r="I494" t="s">
        <v>7753</v>
      </c>
      <c r="J494" t="s">
        <v>7754</v>
      </c>
      <c r="K494" t="s">
        <v>7755</v>
      </c>
    </row>
    <row r="495" spans="1:11" x14ac:dyDescent="0.4">
      <c r="A495" t="s">
        <v>5209</v>
      </c>
      <c r="B495" t="s">
        <v>9</v>
      </c>
      <c r="C495" t="s">
        <v>10</v>
      </c>
      <c r="D495" t="s">
        <v>5210</v>
      </c>
      <c r="E495" t="s">
        <v>5211</v>
      </c>
      <c r="F495" t="str">
        <f>LEFT(E495,5)</f>
        <v>서울특별시</v>
      </c>
      <c r="G495" t="str">
        <f t="shared" si="16"/>
        <v xml:space="preserve">관악구 </v>
      </c>
      <c r="H495" t="str">
        <f t="shared" si="17"/>
        <v>봉천동</v>
      </c>
      <c r="I495" t="s">
        <v>5212</v>
      </c>
      <c r="J495" t="s">
        <v>1872</v>
      </c>
      <c r="K495" t="s">
        <v>5213</v>
      </c>
    </row>
    <row r="496" spans="1:11" x14ac:dyDescent="0.4">
      <c r="A496" t="s">
        <v>1869</v>
      </c>
      <c r="B496" t="s">
        <v>9</v>
      </c>
      <c r="C496" t="s">
        <v>10</v>
      </c>
      <c r="D496" t="s">
        <v>746</v>
      </c>
      <c r="E496" t="s">
        <v>1870</v>
      </c>
      <c r="F496" t="str">
        <f>LEFT(E496,5)</f>
        <v>서울특별시</v>
      </c>
      <c r="G496" t="str">
        <f t="shared" si="16"/>
        <v xml:space="preserve">관악구 </v>
      </c>
      <c r="H496" t="str">
        <f t="shared" si="17"/>
        <v>봉천동</v>
      </c>
      <c r="I496" t="s">
        <v>1871</v>
      </c>
      <c r="J496" t="s">
        <v>1872</v>
      </c>
      <c r="K496" t="s">
        <v>1873</v>
      </c>
    </row>
    <row r="497" spans="1:11" x14ac:dyDescent="0.4">
      <c r="A497" t="s">
        <v>745</v>
      </c>
      <c r="B497" t="s">
        <v>9</v>
      </c>
      <c r="C497" t="s">
        <v>10</v>
      </c>
      <c r="D497" t="s">
        <v>746</v>
      </c>
      <c r="E497" t="s">
        <v>747</v>
      </c>
      <c r="F497" t="str">
        <f>LEFT(E497,5)</f>
        <v>서울특별시</v>
      </c>
      <c r="G497" t="str">
        <f t="shared" si="16"/>
        <v xml:space="preserve">관악구 </v>
      </c>
      <c r="H497" t="str">
        <f t="shared" si="17"/>
        <v>봉천동</v>
      </c>
      <c r="I497" t="s">
        <v>748</v>
      </c>
      <c r="J497" t="s">
        <v>749</v>
      </c>
      <c r="K497" t="s">
        <v>750</v>
      </c>
    </row>
    <row r="498" spans="1:11" x14ac:dyDescent="0.4">
      <c r="A498" t="s">
        <v>6599</v>
      </c>
      <c r="B498" t="s">
        <v>9</v>
      </c>
      <c r="C498" t="s">
        <v>10</v>
      </c>
      <c r="D498" t="s">
        <v>6600</v>
      </c>
      <c r="E498" t="s">
        <v>6601</v>
      </c>
      <c r="F498" t="str">
        <f>LEFT(E498,5)</f>
        <v>서울특별시</v>
      </c>
      <c r="G498" t="str">
        <f t="shared" si="16"/>
        <v xml:space="preserve">관악구 </v>
      </c>
      <c r="H498" t="str">
        <f t="shared" si="17"/>
        <v>봉천동</v>
      </c>
      <c r="I498" t="s">
        <v>6602</v>
      </c>
      <c r="J498" t="s">
        <v>6603</v>
      </c>
      <c r="K498" t="s">
        <v>6604</v>
      </c>
    </row>
    <row r="499" spans="1:11" x14ac:dyDescent="0.4">
      <c r="A499" t="s">
        <v>2387</v>
      </c>
      <c r="B499" t="s">
        <v>9</v>
      </c>
      <c r="C499" t="s">
        <v>10</v>
      </c>
      <c r="D499" t="s">
        <v>2388</v>
      </c>
      <c r="E499" t="s">
        <v>2389</v>
      </c>
      <c r="F499" t="str">
        <f>LEFT(E499,5)</f>
        <v>서울특별시</v>
      </c>
      <c r="G499" t="str">
        <f t="shared" si="16"/>
        <v xml:space="preserve">관악구 </v>
      </c>
      <c r="H499" t="str">
        <f t="shared" si="17"/>
        <v>봉천동</v>
      </c>
      <c r="I499" t="s">
        <v>2390</v>
      </c>
      <c r="J499" t="s">
        <v>2391</v>
      </c>
      <c r="K499" t="s">
        <v>2392</v>
      </c>
    </row>
    <row r="500" spans="1:11" x14ac:dyDescent="0.4">
      <c r="A500" t="s">
        <v>3392</v>
      </c>
      <c r="B500" t="s">
        <v>9</v>
      </c>
      <c r="C500" t="s">
        <v>10</v>
      </c>
      <c r="D500" t="s">
        <v>3393</v>
      </c>
      <c r="E500" t="s">
        <v>3394</v>
      </c>
      <c r="F500" t="str">
        <f>LEFT(E500,5)</f>
        <v>서울특별시</v>
      </c>
      <c r="G500" t="str">
        <f t="shared" si="16"/>
        <v xml:space="preserve">관악구 </v>
      </c>
      <c r="H500" t="str">
        <f t="shared" si="17"/>
        <v>봉천동</v>
      </c>
      <c r="I500" t="s">
        <v>3395</v>
      </c>
      <c r="J500" t="s">
        <v>2561</v>
      </c>
      <c r="K500" t="s">
        <v>3396</v>
      </c>
    </row>
    <row r="501" spans="1:11" x14ac:dyDescent="0.4">
      <c r="A501" t="s">
        <v>2557</v>
      </c>
      <c r="B501" t="s">
        <v>9</v>
      </c>
      <c r="C501" t="s">
        <v>10</v>
      </c>
      <c r="D501" t="s">
        <v>2558</v>
      </c>
      <c r="E501" t="s">
        <v>2559</v>
      </c>
      <c r="F501" t="str">
        <f>LEFT(E501,5)</f>
        <v>서울특별시</v>
      </c>
      <c r="G501" t="str">
        <f t="shared" si="16"/>
        <v xml:space="preserve">관악구 </v>
      </c>
      <c r="H501" t="str">
        <f t="shared" si="17"/>
        <v>봉천동</v>
      </c>
      <c r="I501" t="s">
        <v>2560</v>
      </c>
      <c r="J501" t="s">
        <v>2561</v>
      </c>
      <c r="K501" t="s">
        <v>2562</v>
      </c>
    </row>
    <row r="502" spans="1:11" x14ac:dyDescent="0.4">
      <c r="A502" t="s">
        <v>6448</v>
      </c>
      <c r="B502" t="s">
        <v>9</v>
      </c>
      <c r="C502" t="s">
        <v>10</v>
      </c>
      <c r="D502" t="s">
        <v>3723</v>
      </c>
      <c r="E502" t="s">
        <v>6449</v>
      </c>
      <c r="F502" t="str">
        <f>LEFT(E502,5)</f>
        <v>서울특별시</v>
      </c>
      <c r="G502" t="str">
        <f t="shared" si="16"/>
        <v xml:space="preserve">관악구 </v>
      </c>
      <c r="H502" t="str">
        <f t="shared" si="17"/>
        <v>봉천동</v>
      </c>
      <c r="I502" t="s">
        <v>6450</v>
      </c>
      <c r="J502" t="s">
        <v>5497</v>
      </c>
      <c r="K502" t="s">
        <v>2681</v>
      </c>
    </row>
    <row r="503" spans="1:11" x14ac:dyDescent="0.4">
      <c r="A503" t="s">
        <v>5494</v>
      </c>
      <c r="B503" t="s">
        <v>9</v>
      </c>
      <c r="C503" t="s">
        <v>10</v>
      </c>
      <c r="D503" t="s">
        <v>3723</v>
      </c>
      <c r="E503" t="s">
        <v>5495</v>
      </c>
      <c r="F503" t="str">
        <f>LEFT(E503,5)</f>
        <v>서울특별시</v>
      </c>
      <c r="G503" t="str">
        <f t="shared" si="16"/>
        <v xml:space="preserve">관악구 </v>
      </c>
      <c r="H503" t="str">
        <f t="shared" si="17"/>
        <v>봉천동</v>
      </c>
      <c r="I503" t="s">
        <v>5496</v>
      </c>
      <c r="J503" t="s">
        <v>5497</v>
      </c>
      <c r="K503" t="s">
        <v>5498</v>
      </c>
    </row>
    <row r="504" spans="1:11" x14ac:dyDescent="0.4">
      <c r="A504" t="s">
        <v>6441</v>
      </c>
      <c r="B504" t="s">
        <v>9</v>
      </c>
      <c r="C504" t="s">
        <v>10</v>
      </c>
      <c r="D504" t="s">
        <v>3723</v>
      </c>
      <c r="E504" t="s">
        <v>6442</v>
      </c>
      <c r="F504" t="str">
        <f>LEFT(E504,5)</f>
        <v>서울특별시</v>
      </c>
      <c r="G504" t="str">
        <f t="shared" si="16"/>
        <v xml:space="preserve">관악구 </v>
      </c>
      <c r="H504" t="str">
        <f t="shared" si="17"/>
        <v>봉천동</v>
      </c>
      <c r="I504" t="s">
        <v>6443</v>
      </c>
      <c r="J504" t="s">
        <v>5497</v>
      </c>
      <c r="K504" t="s">
        <v>6444</v>
      </c>
    </row>
    <row r="505" spans="1:11" x14ac:dyDescent="0.4">
      <c r="A505" t="s">
        <v>6896</v>
      </c>
      <c r="B505" t="s">
        <v>9</v>
      </c>
      <c r="C505" t="s">
        <v>10</v>
      </c>
      <c r="D505" t="s">
        <v>6897</v>
      </c>
      <c r="E505" t="s">
        <v>6898</v>
      </c>
      <c r="F505" t="str">
        <f>LEFT(E505,5)</f>
        <v>서울특별시</v>
      </c>
      <c r="G505" t="str">
        <f t="shared" si="16"/>
        <v xml:space="preserve">관악구 </v>
      </c>
      <c r="H505" t="str">
        <f t="shared" si="17"/>
        <v>봉천동</v>
      </c>
      <c r="I505" t="s">
        <v>6899</v>
      </c>
      <c r="J505" t="s">
        <v>6900</v>
      </c>
      <c r="K505" t="s">
        <v>6901</v>
      </c>
    </row>
    <row r="506" spans="1:11" x14ac:dyDescent="0.4">
      <c r="A506" t="s">
        <v>3722</v>
      </c>
      <c r="B506" t="s">
        <v>9</v>
      </c>
      <c r="C506" t="s">
        <v>10</v>
      </c>
      <c r="D506" t="s">
        <v>3723</v>
      </c>
      <c r="E506" t="s">
        <v>3724</v>
      </c>
      <c r="F506" t="str">
        <f>LEFT(E506,5)</f>
        <v>서울특별시</v>
      </c>
      <c r="G506" t="str">
        <f t="shared" si="16"/>
        <v xml:space="preserve">관악구 </v>
      </c>
      <c r="H506" t="str">
        <f t="shared" si="17"/>
        <v>봉천동</v>
      </c>
      <c r="I506" t="s">
        <v>3725</v>
      </c>
      <c r="J506" t="s">
        <v>3726</v>
      </c>
      <c r="K506" t="s">
        <v>3727</v>
      </c>
    </row>
    <row r="507" spans="1:11" x14ac:dyDescent="0.4">
      <c r="A507" t="s">
        <v>6366</v>
      </c>
      <c r="B507" t="s">
        <v>9</v>
      </c>
      <c r="C507" t="s">
        <v>10</v>
      </c>
      <c r="D507" t="s">
        <v>6367</v>
      </c>
      <c r="E507" t="s">
        <v>6368</v>
      </c>
      <c r="F507" t="str">
        <f>LEFT(E507,5)</f>
        <v>서울특별시</v>
      </c>
      <c r="G507" t="str">
        <f t="shared" si="16"/>
        <v xml:space="preserve">관악구 </v>
      </c>
      <c r="H507" t="str">
        <f t="shared" si="17"/>
        <v>봉천동</v>
      </c>
      <c r="I507" t="s">
        <v>6369</v>
      </c>
      <c r="J507" t="s">
        <v>6370</v>
      </c>
      <c r="K507" t="s">
        <v>6371</v>
      </c>
    </row>
    <row r="508" spans="1:11" x14ac:dyDescent="0.4">
      <c r="A508" t="s">
        <v>2660</v>
      </c>
      <c r="B508" t="s">
        <v>9</v>
      </c>
      <c r="C508" t="s">
        <v>10</v>
      </c>
      <c r="D508" t="s">
        <v>2661</v>
      </c>
      <c r="E508" t="s">
        <v>2662</v>
      </c>
      <c r="F508" t="str">
        <f>LEFT(E508,5)</f>
        <v>서울특별시</v>
      </c>
      <c r="G508" t="str">
        <f t="shared" si="16"/>
        <v xml:space="preserve">관악구 </v>
      </c>
      <c r="H508" t="str">
        <f t="shared" si="17"/>
        <v>신림동</v>
      </c>
      <c r="I508" t="s">
        <v>2663</v>
      </c>
      <c r="J508" t="s">
        <v>2664</v>
      </c>
      <c r="K508" t="s">
        <v>2665</v>
      </c>
    </row>
    <row r="509" spans="1:11" x14ac:dyDescent="0.4">
      <c r="A509" t="s">
        <v>2489</v>
      </c>
      <c r="B509" t="s">
        <v>9</v>
      </c>
      <c r="C509" t="s">
        <v>10</v>
      </c>
      <c r="D509" t="s">
        <v>2490</v>
      </c>
      <c r="E509" t="s">
        <v>2491</v>
      </c>
      <c r="F509" t="str">
        <f>LEFT(E509,5)</f>
        <v>서울특별시</v>
      </c>
      <c r="G509" t="str">
        <f t="shared" si="16"/>
        <v xml:space="preserve">관악구 </v>
      </c>
      <c r="H509" t="str">
        <f t="shared" si="17"/>
        <v>신림동</v>
      </c>
      <c r="I509" t="s">
        <v>2492</v>
      </c>
      <c r="J509" t="s">
        <v>2493</v>
      </c>
      <c r="K509" t="s">
        <v>2494</v>
      </c>
    </row>
    <row r="510" spans="1:11" x14ac:dyDescent="0.4">
      <c r="A510" t="s">
        <v>725</v>
      </c>
      <c r="B510" t="s">
        <v>9</v>
      </c>
      <c r="C510" t="s">
        <v>10</v>
      </c>
      <c r="D510" t="s">
        <v>423</v>
      </c>
      <c r="E510" t="s">
        <v>726</v>
      </c>
      <c r="F510" t="str">
        <f>LEFT(E510,5)</f>
        <v>서울특별시</v>
      </c>
      <c r="G510" t="str">
        <f t="shared" si="16"/>
        <v xml:space="preserve">관악구 </v>
      </c>
      <c r="H510" t="str">
        <f t="shared" si="17"/>
        <v>신림동</v>
      </c>
      <c r="I510" t="s">
        <v>727</v>
      </c>
      <c r="J510" t="s">
        <v>426</v>
      </c>
      <c r="K510" t="s">
        <v>728</v>
      </c>
    </row>
    <row r="511" spans="1:11" x14ac:dyDescent="0.4">
      <c r="A511" t="s">
        <v>1082</v>
      </c>
      <c r="B511" t="s">
        <v>9</v>
      </c>
      <c r="C511" t="s">
        <v>10</v>
      </c>
      <c r="D511" t="s">
        <v>423</v>
      </c>
      <c r="E511" t="s">
        <v>1083</v>
      </c>
      <c r="F511" t="str">
        <f>LEFT(E511,5)</f>
        <v>서울특별시</v>
      </c>
      <c r="G511" t="str">
        <f t="shared" si="16"/>
        <v xml:space="preserve">관악구 </v>
      </c>
      <c r="H511" t="str">
        <f t="shared" si="17"/>
        <v>신림동</v>
      </c>
      <c r="I511" t="s">
        <v>1084</v>
      </c>
      <c r="J511" t="s">
        <v>426</v>
      </c>
      <c r="K511" t="s">
        <v>1085</v>
      </c>
    </row>
    <row r="512" spans="1:11" x14ac:dyDescent="0.4">
      <c r="A512" t="s">
        <v>422</v>
      </c>
      <c r="B512" t="s">
        <v>9</v>
      </c>
      <c r="C512" t="s">
        <v>10</v>
      </c>
      <c r="D512" t="s">
        <v>423</v>
      </c>
      <c r="E512" t="s">
        <v>424</v>
      </c>
      <c r="F512" t="str">
        <f>LEFT(E512,5)</f>
        <v>서울특별시</v>
      </c>
      <c r="G512" t="str">
        <f t="shared" si="16"/>
        <v xml:space="preserve">관악구 </v>
      </c>
      <c r="H512" t="str">
        <f t="shared" si="17"/>
        <v>신림동</v>
      </c>
      <c r="I512" t="s">
        <v>425</v>
      </c>
      <c r="J512" t="s">
        <v>426</v>
      </c>
      <c r="K512" t="s">
        <v>427</v>
      </c>
    </row>
    <row r="513" spans="1:11" x14ac:dyDescent="0.4">
      <c r="A513" t="s">
        <v>1549</v>
      </c>
      <c r="B513" t="s">
        <v>9</v>
      </c>
      <c r="C513" t="s">
        <v>10</v>
      </c>
      <c r="D513" t="s">
        <v>423</v>
      </c>
      <c r="E513" t="s">
        <v>1550</v>
      </c>
      <c r="F513" t="str">
        <f>LEFT(E513,5)</f>
        <v>서울특별시</v>
      </c>
      <c r="G513" t="str">
        <f t="shared" si="16"/>
        <v xml:space="preserve">관악구 </v>
      </c>
      <c r="H513" t="str">
        <f t="shared" si="17"/>
        <v>신림동</v>
      </c>
      <c r="I513" t="s">
        <v>1551</v>
      </c>
      <c r="J513" t="s">
        <v>426</v>
      </c>
      <c r="K513" t="s">
        <v>1552</v>
      </c>
    </row>
    <row r="514" spans="1:11" x14ac:dyDescent="0.4">
      <c r="A514" t="s">
        <v>796</v>
      </c>
      <c r="B514" t="s">
        <v>9</v>
      </c>
      <c r="C514" t="s">
        <v>10</v>
      </c>
      <c r="D514" t="s">
        <v>423</v>
      </c>
      <c r="E514" t="s">
        <v>797</v>
      </c>
      <c r="F514" t="str">
        <f>LEFT(E514,5)</f>
        <v>서울특별시</v>
      </c>
      <c r="G514" t="str">
        <f t="shared" si="16"/>
        <v xml:space="preserve">관악구 </v>
      </c>
      <c r="H514" t="str">
        <f t="shared" si="17"/>
        <v>신림동</v>
      </c>
      <c r="I514" t="s">
        <v>798</v>
      </c>
      <c r="J514" t="s">
        <v>426</v>
      </c>
      <c r="K514" t="s">
        <v>799</v>
      </c>
    </row>
    <row r="515" spans="1:11" x14ac:dyDescent="0.4">
      <c r="A515" t="s">
        <v>7536</v>
      </c>
      <c r="B515" t="s">
        <v>9</v>
      </c>
      <c r="C515" t="s">
        <v>10</v>
      </c>
      <c r="D515" t="s">
        <v>5264</v>
      </c>
      <c r="E515" t="s">
        <v>7537</v>
      </c>
      <c r="F515" t="str">
        <f>LEFT(E515,5)</f>
        <v>서울특별시</v>
      </c>
      <c r="G515" t="str">
        <f t="shared" ref="G515:G578" si="18">MID(E515,7,4)</f>
        <v xml:space="preserve">관악구 </v>
      </c>
      <c r="H515" t="str">
        <f t="shared" ref="H515:H578" si="19">MID(SUBSTITUTE(E515," ",""),9,3)</f>
        <v>신림동</v>
      </c>
      <c r="I515" t="s">
        <v>7538</v>
      </c>
      <c r="J515" t="s">
        <v>7539</v>
      </c>
      <c r="K515" t="s">
        <v>7540</v>
      </c>
    </row>
    <row r="516" spans="1:11" x14ac:dyDescent="0.4">
      <c r="A516" t="s">
        <v>5263</v>
      </c>
      <c r="B516" t="s">
        <v>9</v>
      </c>
      <c r="C516" t="s">
        <v>10</v>
      </c>
      <c r="D516" t="s">
        <v>5264</v>
      </c>
      <c r="E516" t="s">
        <v>5265</v>
      </c>
      <c r="F516" t="str">
        <f>LEFT(E516,5)</f>
        <v>서울특별시</v>
      </c>
      <c r="G516" t="str">
        <f t="shared" si="18"/>
        <v xml:space="preserve">관악구 </v>
      </c>
      <c r="H516" t="str">
        <f t="shared" si="19"/>
        <v>신림동</v>
      </c>
      <c r="I516" t="s">
        <v>5266</v>
      </c>
      <c r="J516" t="s">
        <v>5267</v>
      </c>
      <c r="K516" t="s">
        <v>5268</v>
      </c>
    </row>
    <row r="517" spans="1:11" x14ac:dyDescent="0.4">
      <c r="A517" t="s">
        <v>6212</v>
      </c>
      <c r="B517" t="s">
        <v>9</v>
      </c>
      <c r="C517" t="s">
        <v>10</v>
      </c>
      <c r="D517" t="s">
        <v>5264</v>
      </c>
      <c r="E517" t="s">
        <v>6213</v>
      </c>
      <c r="F517" t="str">
        <f>LEFT(E517,5)</f>
        <v>서울특별시</v>
      </c>
      <c r="G517" t="str">
        <f t="shared" si="18"/>
        <v xml:space="preserve">관악구 </v>
      </c>
      <c r="H517" t="str">
        <f t="shared" si="19"/>
        <v>신림동</v>
      </c>
      <c r="I517" t="s">
        <v>6214</v>
      </c>
      <c r="J517" t="s">
        <v>5267</v>
      </c>
      <c r="K517" t="s">
        <v>6215</v>
      </c>
    </row>
    <row r="518" spans="1:11" x14ac:dyDescent="0.4">
      <c r="A518" t="s">
        <v>7438</v>
      </c>
      <c r="B518" t="s">
        <v>9</v>
      </c>
      <c r="C518" t="s">
        <v>10</v>
      </c>
      <c r="D518" t="s">
        <v>5264</v>
      </c>
      <c r="E518" t="s">
        <v>7439</v>
      </c>
      <c r="F518" t="str">
        <f>LEFT(E518,5)</f>
        <v>서울특별시</v>
      </c>
      <c r="G518" t="str">
        <f t="shared" si="18"/>
        <v xml:space="preserve">관악구 </v>
      </c>
      <c r="H518" t="str">
        <f t="shared" si="19"/>
        <v>신림동</v>
      </c>
      <c r="I518" t="s">
        <v>7440</v>
      </c>
      <c r="J518" t="s">
        <v>5267</v>
      </c>
      <c r="K518" t="s">
        <v>7441</v>
      </c>
    </row>
    <row r="519" spans="1:11" x14ac:dyDescent="0.4">
      <c r="A519" t="s">
        <v>1071</v>
      </c>
      <c r="B519" t="s">
        <v>9</v>
      </c>
      <c r="C519" t="s">
        <v>10</v>
      </c>
      <c r="D519" t="s">
        <v>91</v>
      </c>
      <c r="E519" t="s">
        <v>1072</v>
      </c>
      <c r="F519" t="str">
        <f>LEFT(E519,5)</f>
        <v>서울특별시</v>
      </c>
      <c r="G519" t="str">
        <f t="shared" si="18"/>
        <v xml:space="preserve">관악구 </v>
      </c>
      <c r="H519" t="str">
        <f t="shared" si="19"/>
        <v>신림동</v>
      </c>
      <c r="I519" t="s">
        <v>1073</v>
      </c>
      <c r="J519" t="s">
        <v>1074</v>
      </c>
      <c r="K519" t="s">
        <v>1075</v>
      </c>
    </row>
    <row r="520" spans="1:11" x14ac:dyDescent="0.4">
      <c r="A520" t="s">
        <v>1681</v>
      </c>
      <c r="B520" t="s">
        <v>9</v>
      </c>
      <c r="C520" t="s">
        <v>10</v>
      </c>
      <c r="D520" t="s">
        <v>91</v>
      </c>
      <c r="E520" t="s">
        <v>1682</v>
      </c>
      <c r="F520" t="str">
        <f>LEFT(E520,5)</f>
        <v>서울특별시</v>
      </c>
      <c r="G520" t="str">
        <f t="shared" si="18"/>
        <v xml:space="preserve">관악구 </v>
      </c>
      <c r="H520" t="str">
        <f t="shared" si="19"/>
        <v>신림동</v>
      </c>
      <c r="I520" t="s">
        <v>1683</v>
      </c>
      <c r="J520" t="s">
        <v>1074</v>
      </c>
      <c r="K520" t="s">
        <v>1684</v>
      </c>
    </row>
    <row r="521" spans="1:11" x14ac:dyDescent="0.4">
      <c r="A521" t="s">
        <v>1591</v>
      </c>
      <c r="B521" t="s">
        <v>9</v>
      </c>
      <c r="C521" t="s">
        <v>10</v>
      </c>
      <c r="D521" t="s">
        <v>91</v>
      </c>
      <c r="E521" t="s">
        <v>1592</v>
      </c>
      <c r="F521" t="str">
        <f>LEFT(E521,5)</f>
        <v>서울특별시</v>
      </c>
      <c r="G521" t="str">
        <f t="shared" si="18"/>
        <v xml:space="preserve">관악구 </v>
      </c>
      <c r="H521" t="str">
        <f t="shared" si="19"/>
        <v>신림동</v>
      </c>
      <c r="I521" t="s">
        <v>1593</v>
      </c>
      <c r="J521" t="s">
        <v>1074</v>
      </c>
      <c r="K521" t="s">
        <v>1594</v>
      </c>
    </row>
    <row r="522" spans="1:11" x14ac:dyDescent="0.4">
      <c r="A522" t="s">
        <v>90</v>
      </c>
      <c r="B522" t="s">
        <v>9</v>
      </c>
      <c r="C522" t="s">
        <v>10</v>
      </c>
      <c r="D522" t="s">
        <v>91</v>
      </c>
      <c r="E522" t="s">
        <v>92</v>
      </c>
      <c r="F522" t="str">
        <f>LEFT(E522,5)</f>
        <v>서울특별시</v>
      </c>
      <c r="G522" t="str">
        <f t="shared" si="18"/>
        <v xml:space="preserve">관악구 </v>
      </c>
      <c r="H522" t="str">
        <f t="shared" si="19"/>
        <v>신림동</v>
      </c>
      <c r="I522" t="s">
        <v>93</v>
      </c>
      <c r="J522" t="s">
        <v>94</v>
      </c>
      <c r="K522" t="s">
        <v>95</v>
      </c>
    </row>
    <row r="523" spans="1:11" x14ac:dyDescent="0.4">
      <c r="A523" t="s">
        <v>7632</v>
      </c>
      <c r="B523" t="s">
        <v>9</v>
      </c>
      <c r="C523" t="s">
        <v>10</v>
      </c>
      <c r="D523" t="s">
        <v>91</v>
      </c>
      <c r="E523" t="s">
        <v>7633</v>
      </c>
      <c r="F523" t="str">
        <f>LEFT(E523,5)</f>
        <v>서울특별시</v>
      </c>
      <c r="G523" t="str">
        <f t="shared" si="18"/>
        <v xml:space="preserve">관악구 </v>
      </c>
      <c r="H523" t="str">
        <f t="shared" si="19"/>
        <v>신림동</v>
      </c>
      <c r="I523" t="s">
        <v>7634</v>
      </c>
      <c r="J523" t="s">
        <v>94</v>
      </c>
      <c r="K523" t="s">
        <v>7635</v>
      </c>
    </row>
    <row r="524" spans="1:11" x14ac:dyDescent="0.4">
      <c r="A524" t="s">
        <v>342</v>
      </c>
      <c r="B524" t="s">
        <v>9</v>
      </c>
      <c r="C524" t="s">
        <v>10</v>
      </c>
      <c r="D524" t="s">
        <v>91</v>
      </c>
      <c r="E524" t="s">
        <v>343</v>
      </c>
      <c r="F524" t="str">
        <f>LEFT(E524,5)</f>
        <v>서울특별시</v>
      </c>
      <c r="G524" t="str">
        <f t="shared" si="18"/>
        <v xml:space="preserve">관악구 </v>
      </c>
      <c r="H524" t="str">
        <f t="shared" si="19"/>
        <v>신림동</v>
      </c>
      <c r="I524" t="s">
        <v>344</v>
      </c>
      <c r="J524" t="s">
        <v>94</v>
      </c>
      <c r="K524" t="s">
        <v>345</v>
      </c>
    </row>
    <row r="525" spans="1:11" x14ac:dyDescent="0.4">
      <c r="A525" t="s">
        <v>1585</v>
      </c>
      <c r="B525" t="s">
        <v>9</v>
      </c>
      <c r="C525" t="s">
        <v>10</v>
      </c>
      <c r="D525" t="s">
        <v>1586</v>
      </c>
      <c r="E525" t="s">
        <v>1587</v>
      </c>
      <c r="F525" t="str">
        <f>LEFT(E525,5)</f>
        <v>서울특별시</v>
      </c>
      <c r="G525" t="str">
        <f t="shared" si="18"/>
        <v xml:space="preserve">관악구 </v>
      </c>
      <c r="H525" t="str">
        <f t="shared" si="19"/>
        <v>신림동</v>
      </c>
      <c r="I525" t="s">
        <v>1588</v>
      </c>
      <c r="J525" t="s">
        <v>1589</v>
      </c>
      <c r="K525" t="s">
        <v>1590</v>
      </c>
    </row>
    <row r="526" spans="1:11" x14ac:dyDescent="0.4">
      <c r="A526" t="s">
        <v>4531</v>
      </c>
      <c r="B526" t="s">
        <v>9</v>
      </c>
      <c r="C526" t="s">
        <v>10</v>
      </c>
      <c r="D526" t="s">
        <v>1586</v>
      </c>
      <c r="E526" t="s">
        <v>4532</v>
      </c>
      <c r="F526" t="str">
        <f>LEFT(E526,5)</f>
        <v>서울특별시</v>
      </c>
      <c r="G526" t="str">
        <f t="shared" si="18"/>
        <v xml:space="preserve">관악구 </v>
      </c>
      <c r="H526" t="str">
        <f t="shared" si="19"/>
        <v>신림동</v>
      </c>
      <c r="I526" t="s">
        <v>4533</v>
      </c>
      <c r="J526" t="s">
        <v>1589</v>
      </c>
      <c r="K526" t="s">
        <v>4534</v>
      </c>
    </row>
    <row r="527" spans="1:11" x14ac:dyDescent="0.4">
      <c r="A527" t="s">
        <v>2375</v>
      </c>
      <c r="B527" t="s">
        <v>9</v>
      </c>
      <c r="C527" t="s">
        <v>10</v>
      </c>
      <c r="D527" t="s">
        <v>2376</v>
      </c>
      <c r="E527" t="s">
        <v>2377</v>
      </c>
      <c r="F527" t="str">
        <f>LEFT(E527,5)</f>
        <v>서울특별시</v>
      </c>
      <c r="G527" t="str">
        <f t="shared" si="18"/>
        <v xml:space="preserve">관악구 </v>
      </c>
      <c r="H527" t="str">
        <f t="shared" si="19"/>
        <v>신림동</v>
      </c>
      <c r="I527" t="s">
        <v>2378</v>
      </c>
      <c r="J527" t="s">
        <v>2379</v>
      </c>
      <c r="K527" t="s">
        <v>2380</v>
      </c>
    </row>
    <row r="528" spans="1:11" x14ac:dyDescent="0.4">
      <c r="A528" t="s">
        <v>108</v>
      </c>
      <c r="B528" t="s">
        <v>9</v>
      </c>
      <c r="C528" t="s">
        <v>10</v>
      </c>
      <c r="D528" t="s">
        <v>109</v>
      </c>
      <c r="E528" t="s">
        <v>110</v>
      </c>
      <c r="F528" t="str">
        <f>LEFT(E528,5)</f>
        <v>서울특별시</v>
      </c>
      <c r="G528" t="str">
        <f t="shared" si="18"/>
        <v xml:space="preserve">관악구 </v>
      </c>
      <c r="H528" t="str">
        <f t="shared" si="19"/>
        <v>신림동</v>
      </c>
      <c r="I528" t="s">
        <v>111</v>
      </c>
      <c r="J528" t="s">
        <v>112</v>
      </c>
      <c r="K528" t="s">
        <v>113</v>
      </c>
    </row>
    <row r="529" spans="1:11" x14ac:dyDescent="0.4">
      <c r="A529" t="s">
        <v>298</v>
      </c>
      <c r="B529" t="s">
        <v>9</v>
      </c>
      <c r="C529" t="s">
        <v>10</v>
      </c>
      <c r="D529" t="s">
        <v>109</v>
      </c>
      <c r="E529" t="s">
        <v>299</v>
      </c>
      <c r="F529" t="str">
        <f>LEFT(E529,5)</f>
        <v>서울특별시</v>
      </c>
      <c r="G529" t="str">
        <f t="shared" si="18"/>
        <v xml:space="preserve">관악구 </v>
      </c>
      <c r="H529" t="str">
        <f t="shared" si="19"/>
        <v>신림동</v>
      </c>
      <c r="I529" t="s">
        <v>300</v>
      </c>
      <c r="J529" t="s">
        <v>112</v>
      </c>
      <c r="K529" t="s">
        <v>301</v>
      </c>
    </row>
    <row r="530" spans="1:11" x14ac:dyDescent="0.4">
      <c r="A530" t="s">
        <v>318</v>
      </c>
      <c r="B530" t="s">
        <v>9</v>
      </c>
      <c r="C530" t="s">
        <v>10</v>
      </c>
      <c r="D530" t="s">
        <v>109</v>
      </c>
      <c r="E530" t="s">
        <v>319</v>
      </c>
      <c r="F530" t="str">
        <f>LEFT(E530,5)</f>
        <v>서울특별시</v>
      </c>
      <c r="G530" t="str">
        <f t="shared" si="18"/>
        <v xml:space="preserve">관악구 </v>
      </c>
      <c r="H530" t="str">
        <f t="shared" si="19"/>
        <v>신림동</v>
      </c>
      <c r="I530" t="s">
        <v>320</v>
      </c>
      <c r="J530" t="s">
        <v>112</v>
      </c>
      <c r="K530" t="s">
        <v>321</v>
      </c>
    </row>
    <row r="531" spans="1:11" x14ac:dyDescent="0.4">
      <c r="A531" t="s">
        <v>1410</v>
      </c>
      <c r="B531" t="s">
        <v>9</v>
      </c>
      <c r="C531" t="s">
        <v>10</v>
      </c>
      <c r="D531" t="s">
        <v>109</v>
      </c>
      <c r="E531" t="s">
        <v>1411</v>
      </c>
      <c r="F531" t="str">
        <f>LEFT(E531,5)</f>
        <v>서울특별시</v>
      </c>
      <c r="G531" t="str">
        <f t="shared" si="18"/>
        <v xml:space="preserve">관악구 </v>
      </c>
      <c r="H531" t="str">
        <f t="shared" si="19"/>
        <v>신림동</v>
      </c>
      <c r="I531" t="s">
        <v>1412</v>
      </c>
      <c r="J531" t="s">
        <v>112</v>
      </c>
      <c r="K531" t="s">
        <v>1413</v>
      </c>
    </row>
    <row r="532" spans="1:11" x14ac:dyDescent="0.4">
      <c r="A532" t="s">
        <v>2412</v>
      </c>
      <c r="B532" t="s">
        <v>9</v>
      </c>
      <c r="C532" t="s">
        <v>10</v>
      </c>
      <c r="D532" t="s">
        <v>109</v>
      </c>
      <c r="E532" t="s">
        <v>2413</v>
      </c>
      <c r="F532" t="str">
        <f>LEFT(E532,5)</f>
        <v>서울특별시</v>
      </c>
      <c r="G532" t="str">
        <f t="shared" si="18"/>
        <v xml:space="preserve">관악구 </v>
      </c>
      <c r="H532" t="str">
        <f t="shared" si="19"/>
        <v>신림동</v>
      </c>
      <c r="I532" t="s">
        <v>2414</v>
      </c>
      <c r="J532" t="s">
        <v>2415</v>
      </c>
      <c r="K532" t="s">
        <v>2416</v>
      </c>
    </row>
    <row r="533" spans="1:11" x14ac:dyDescent="0.4">
      <c r="A533" t="s">
        <v>6656</v>
      </c>
      <c r="B533" t="s">
        <v>9</v>
      </c>
      <c r="C533" t="s">
        <v>10</v>
      </c>
      <c r="D533" t="s">
        <v>1564</v>
      </c>
      <c r="E533" t="s">
        <v>6657</v>
      </c>
      <c r="F533" t="str">
        <f>LEFT(E533,5)</f>
        <v>서울특별시</v>
      </c>
      <c r="G533" t="str">
        <f t="shared" si="18"/>
        <v xml:space="preserve">관악구 </v>
      </c>
      <c r="H533" t="str">
        <f t="shared" si="19"/>
        <v>신림동</v>
      </c>
      <c r="I533" t="s">
        <v>6658</v>
      </c>
      <c r="J533" t="s">
        <v>1567</v>
      </c>
      <c r="K533" t="s">
        <v>6659</v>
      </c>
    </row>
    <row r="534" spans="1:11" x14ac:dyDescent="0.4">
      <c r="A534" t="s">
        <v>1563</v>
      </c>
      <c r="B534" t="s">
        <v>9</v>
      </c>
      <c r="C534" t="s">
        <v>10</v>
      </c>
      <c r="D534" t="s">
        <v>1564</v>
      </c>
      <c r="E534" t="s">
        <v>1565</v>
      </c>
      <c r="F534" t="str">
        <f>LEFT(E534,5)</f>
        <v>서울특별시</v>
      </c>
      <c r="G534" t="str">
        <f t="shared" si="18"/>
        <v xml:space="preserve">관악구 </v>
      </c>
      <c r="H534" t="str">
        <f t="shared" si="19"/>
        <v>신림동</v>
      </c>
      <c r="I534" t="s">
        <v>1566</v>
      </c>
      <c r="J534" t="s">
        <v>1567</v>
      </c>
      <c r="K534" t="s">
        <v>1568</v>
      </c>
    </row>
    <row r="535" spans="1:11" x14ac:dyDescent="0.4">
      <c r="A535" t="s">
        <v>1762</v>
      </c>
      <c r="B535" t="s">
        <v>9</v>
      </c>
      <c r="C535" t="s">
        <v>10</v>
      </c>
      <c r="D535" t="s">
        <v>1564</v>
      </c>
      <c r="E535" t="s">
        <v>1763</v>
      </c>
      <c r="F535" t="str">
        <f>LEFT(E535,5)</f>
        <v>서울특별시</v>
      </c>
      <c r="G535" t="str">
        <f t="shared" si="18"/>
        <v xml:space="preserve">관악구 </v>
      </c>
      <c r="H535" t="str">
        <f t="shared" si="19"/>
        <v>신림동</v>
      </c>
      <c r="I535" t="s">
        <v>1764</v>
      </c>
      <c r="J535" t="s">
        <v>1765</v>
      </c>
      <c r="K535" t="s">
        <v>1766</v>
      </c>
    </row>
    <row r="536" spans="1:11" x14ac:dyDescent="0.4">
      <c r="A536" t="s">
        <v>1970</v>
      </c>
      <c r="B536" t="s">
        <v>9</v>
      </c>
      <c r="C536" t="s">
        <v>10</v>
      </c>
      <c r="D536" t="s">
        <v>1564</v>
      </c>
      <c r="E536" t="s">
        <v>1971</v>
      </c>
      <c r="F536" t="str">
        <f>LEFT(E536,5)</f>
        <v>서울특별시</v>
      </c>
      <c r="G536" t="str">
        <f t="shared" si="18"/>
        <v xml:space="preserve">관악구 </v>
      </c>
      <c r="H536" t="str">
        <f t="shared" si="19"/>
        <v>신림동</v>
      </c>
      <c r="I536" t="s">
        <v>1972</v>
      </c>
      <c r="J536" t="s">
        <v>1765</v>
      </c>
      <c r="K536" t="s">
        <v>1973</v>
      </c>
    </row>
    <row r="537" spans="1:11" x14ac:dyDescent="0.4">
      <c r="A537" t="s">
        <v>7992</v>
      </c>
      <c r="B537" t="s">
        <v>9</v>
      </c>
      <c r="C537" t="s">
        <v>10</v>
      </c>
      <c r="D537" t="s">
        <v>1564</v>
      </c>
      <c r="E537" t="s">
        <v>7993</v>
      </c>
      <c r="F537" t="str">
        <f>LEFT(E537,5)</f>
        <v>서울특별시</v>
      </c>
      <c r="G537" t="str">
        <f t="shared" si="18"/>
        <v xml:space="preserve">관악구 </v>
      </c>
      <c r="H537" t="str">
        <f t="shared" si="19"/>
        <v>신림동</v>
      </c>
      <c r="I537" t="s">
        <v>7994</v>
      </c>
      <c r="J537" t="s">
        <v>1765</v>
      </c>
      <c r="K537" t="s">
        <v>7995</v>
      </c>
    </row>
    <row r="538" spans="1:11" x14ac:dyDescent="0.4">
      <c r="A538" t="s">
        <v>6961</v>
      </c>
      <c r="B538" t="s">
        <v>9</v>
      </c>
      <c r="C538" t="s">
        <v>10</v>
      </c>
      <c r="D538" t="s">
        <v>2460</v>
      </c>
      <c r="E538" t="s">
        <v>6962</v>
      </c>
      <c r="F538" t="str">
        <f>LEFT(E538,5)</f>
        <v>서울특별시</v>
      </c>
      <c r="G538" t="str">
        <f t="shared" si="18"/>
        <v xml:space="preserve">관악구 </v>
      </c>
      <c r="H538" t="str">
        <f t="shared" si="19"/>
        <v>신림동</v>
      </c>
      <c r="I538" t="s">
        <v>6963</v>
      </c>
      <c r="J538" t="s">
        <v>1567</v>
      </c>
      <c r="K538" t="s">
        <v>6964</v>
      </c>
    </row>
    <row r="539" spans="1:11" x14ac:dyDescent="0.4">
      <c r="A539" t="s">
        <v>6811</v>
      </c>
      <c r="B539" t="s">
        <v>9</v>
      </c>
      <c r="C539" t="s">
        <v>10</v>
      </c>
      <c r="D539" t="s">
        <v>2460</v>
      </c>
      <c r="E539" t="s">
        <v>6812</v>
      </c>
      <c r="F539" t="str">
        <f>LEFT(E539,5)</f>
        <v>서울특별시</v>
      </c>
      <c r="G539" t="str">
        <f t="shared" si="18"/>
        <v xml:space="preserve">관악구 </v>
      </c>
      <c r="H539" t="str">
        <f t="shared" si="19"/>
        <v>신림동</v>
      </c>
      <c r="I539" t="s">
        <v>6813</v>
      </c>
      <c r="J539" t="s">
        <v>1567</v>
      </c>
      <c r="K539" t="s">
        <v>1572</v>
      </c>
    </row>
    <row r="540" spans="1:11" x14ac:dyDescent="0.4">
      <c r="A540" t="s">
        <v>2459</v>
      </c>
      <c r="B540" t="s">
        <v>9</v>
      </c>
      <c r="C540" t="s">
        <v>10</v>
      </c>
      <c r="D540" t="s">
        <v>2460</v>
      </c>
      <c r="E540" t="s">
        <v>2461</v>
      </c>
      <c r="F540" t="str">
        <f>LEFT(E540,5)</f>
        <v>서울특별시</v>
      </c>
      <c r="G540" t="str">
        <f t="shared" si="18"/>
        <v xml:space="preserve">관악구 </v>
      </c>
      <c r="H540" t="str">
        <f t="shared" si="19"/>
        <v>신림동</v>
      </c>
      <c r="I540" t="s">
        <v>2462</v>
      </c>
      <c r="J540" t="s">
        <v>1567</v>
      </c>
      <c r="K540" t="s">
        <v>2463</v>
      </c>
    </row>
    <row r="541" spans="1:11" x14ac:dyDescent="0.4">
      <c r="A541" t="s">
        <v>8683</v>
      </c>
      <c r="B541" t="s">
        <v>9</v>
      </c>
      <c r="C541" t="s">
        <v>10</v>
      </c>
      <c r="D541" t="s">
        <v>1564</v>
      </c>
      <c r="E541" t="s">
        <v>8684</v>
      </c>
      <c r="F541" t="str">
        <f>LEFT(E541,5)</f>
        <v>서울특별시</v>
      </c>
      <c r="G541" t="str">
        <f t="shared" si="18"/>
        <v xml:space="preserve">관악구 </v>
      </c>
      <c r="H541" t="str">
        <f t="shared" si="19"/>
        <v>신림동</v>
      </c>
      <c r="I541" t="s">
        <v>8685</v>
      </c>
      <c r="J541" t="s">
        <v>1765</v>
      </c>
      <c r="K541" t="s">
        <v>3675</v>
      </c>
    </row>
    <row r="542" spans="1:11" x14ac:dyDescent="0.4">
      <c r="A542" t="s">
        <v>2702</v>
      </c>
      <c r="B542" t="s">
        <v>9</v>
      </c>
      <c r="C542" t="s">
        <v>10</v>
      </c>
      <c r="D542" t="s">
        <v>2460</v>
      </c>
      <c r="E542" t="s">
        <v>2703</v>
      </c>
      <c r="F542" t="str">
        <f>LEFT(E542,5)</f>
        <v>서울특별시</v>
      </c>
      <c r="G542" t="str">
        <f t="shared" si="18"/>
        <v xml:space="preserve">관악구 </v>
      </c>
      <c r="H542" t="str">
        <f t="shared" si="19"/>
        <v>신림동</v>
      </c>
      <c r="I542" t="s">
        <v>2704</v>
      </c>
      <c r="J542" t="s">
        <v>2705</v>
      </c>
      <c r="K542" t="s">
        <v>2706</v>
      </c>
    </row>
    <row r="543" spans="1:11" x14ac:dyDescent="0.4">
      <c r="A543" t="s">
        <v>2580</v>
      </c>
      <c r="B543" t="s">
        <v>9</v>
      </c>
      <c r="C543" t="s">
        <v>10</v>
      </c>
      <c r="D543" t="s">
        <v>2581</v>
      </c>
      <c r="E543" t="s">
        <v>2582</v>
      </c>
      <c r="F543" t="str">
        <f>LEFT(E543,5)</f>
        <v>서울특별시</v>
      </c>
      <c r="G543" t="str">
        <f t="shared" si="18"/>
        <v xml:space="preserve">관악구 </v>
      </c>
      <c r="H543" t="str">
        <f t="shared" si="19"/>
        <v>신림동</v>
      </c>
      <c r="I543" t="s">
        <v>2583</v>
      </c>
      <c r="J543" t="s">
        <v>2584</v>
      </c>
      <c r="K543" t="s">
        <v>2585</v>
      </c>
    </row>
    <row r="544" spans="1:11" x14ac:dyDescent="0.4">
      <c r="A544" t="s">
        <v>5639</v>
      </c>
      <c r="B544" t="s">
        <v>9</v>
      </c>
      <c r="C544" t="s">
        <v>10</v>
      </c>
      <c r="D544" t="s">
        <v>5640</v>
      </c>
      <c r="E544" t="s">
        <v>5641</v>
      </c>
      <c r="F544" t="str">
        <f>LEFT(E544,5)</f>
        <v>서울특별시</v>
      </c>
      <c r="G544" t="str">
        <f t="shared" si="18"/>
        <v xml:space="preserve">관악구 </v>
      </c>
      <c r="H544" t="str">
        <f t="shared" si="19"/>
        <v>신림동</v>
      </c>
      <c r="I544" t="s">
        <v>5642</v>
      </c>
      <c r="J544" t="s">
        <v>5643</v>
      </c>
      <c r="K544" t="s">
        <v>5644</v>
      </c>
    </row>
    <row r="545" spans="1:11" x14ac:dyDescent="0.4">
      <c r="A545" t="s">
        <v>8636</v>
      </c>
      <c r="B545" t="s">
        <v>9</v>
      </c>
      <c r="C545" t="s">
        <v>10</v>
      </c>
      <c r="D545" t="s">
        <v>8637</v>
      </c>
      <c r="E545" t="s">
        <v>8638</v>
      </c>
      <c r="F545" t="str">
        <f>LEFT(E545,5)</f>
        <v>서울특별시</v>
      </c>
      <c r="G545" t="str">
        <f t="shared" si="18"/>
        <v xml:space="preserve">관악구 </v>
      </c>
      <c r="H545" t="str">
        <f t="shared" si="19"/>
        <v>신림동</v>
      </c>
      <c r="I545" t="s">
        <v>8639</v>
      </c>
      <c r="J545" t="s">
        <v>8640</v>
      </c>
      <c r="K545" t="s">
        <v>8641</v>
      </c>
    </row>
    <row r="546" spans="1:11" x14ac:dyDescent="0.4">
      <c r="A546" t="s">
        <v>1817</v>
      </c>
      <c r="B546" t="s">
        <v>9</v>
      </c>
      <c r="C546" t="s">
        <v>10</v>
      </c>
      <c r="D546" t="s">
        <v>169</v>
      </c>
      <c r="E546" t="s">
        <v>1818</v>
      </c>
      <c r="F546" t="str">
        <f>LEFT(E546,5)</f>
        <v>서울특별시</v>
      </c>
      <c r="G546" t="str">
        <f t="shared" si="18"/>
        <v xml:space="preserve">관악구 </v>
      </c>
      <c r="H546" t="str">
        <f t="shared" si="19"/>
        <v>신림동</v>
      </c>
      <c r="I546" t="s">
        <v>1819</v>
      </c>
      <c r="J546" t="s">
        <v>172</v>
      </c>
      <c r="K546" t="s">
        <v>1276</v>
      </c>
    </row>
    <row r="547" spans="1:11" x14ac:dyDescent="0.4">
      <c r="A547" t="s">
        <v>168</v>
      </c>
      <c r="B547" t="s">
        <v>9</v>
      </c>
      <c r="C547" t="s">
        <v>10</v>
      </c>
      <c r="D547" t="s">
        <v>169</v>
      </c>
      <c r="E547" t="s">
        <v>170</v>
      </c>
      <c r="F547" t="str">
        <f>LEFT(E547,5)</f>
        <v>서울특별시</v>
      </c>
      <c r="G547" t="str">
        <f t="shared" si="18"/>
        <v xml:space="preserve">관악구 </v>
      </c>
      <c r="H547" t="str">
        <f t="shared" si="19"/>
        <v>신림동</v>
      </c>
      <c r="I547" t="s">
        <v>171</v>
      </c>
      <c r="J547" t="s">
        <v>172</v>
      </c>
      <c r="K547" t="s">
        <v>173</v>
      </c>
    </row>
    <row r="548" spans="1:11" x14ac:dyDescent="0.4">
      <c r="A548" t="s">
        <v>788</v>
      </c>
      <c r="B548" t="s">
        <v>9</v>
      </c>
      <c r="C548" t="s">
        <v>10</v>
      </c>
      <c r="D548" t="s">
        <v>169</v>
      </c>
      <c r="E548" t="s">
        <v>789</v>
      </c>
      <c r="F548" t="str">
        <f>LEFT(E548,5)</f>
        <v>서울특별시</v>
      </c>
      <c r="G548" t="str">
        <f t="shared" si="18"/>
        <v xml:space="preserve">관악구 </v>
      </c>
      <c r="H548" t="str">
        <f t="shared" si="19"/>
        <v>신림동</v>
      </c>
      <c r="I548" t="s">
        <v>790</v>
      </c>
      <c r="J548" t="s">
        <v>172</v>
      </c>
      <c r="K548" t="s">
        <v>791</v>
      </c>
    </row>
    <row r="549" spans="1:11" x14ac:dyDescent="0.4">
      <c r="A549" t="s">
        <v>963</v>
      </c>
      <c r="B549" t="s">
        <v>9</v>
      </c>
      <c r="C549" t="s">
        <v>10</v>
      </c>
      <c r="D549" t="s">
        <v>169</v>
      </c>
      <c r="E549" t="s">
        <v>964</v>
      </c>
      <c r="F549" t="str">
        <f>LEFT(E549,5)</f>
        <v>서울특별시</v>
      </c>
      <c r="G549" t="str">
        <f t="shared" si="18"/>
        <v xml:space="preserve">관악구 </v>
      </c>
      <c r="H549" t="str">
        <f t="shared" si="19"/>
        <v>신림동</v>
      </c>
      <c r="I549" t="s">
        <v>965</v>
      </c>
      <c r="J549" t="s">
        <v>172</v>
      </c>
      <c r="K549" t="s">
        <v>966</v>
      </c>
    </row>
    <row r="550" spans="1:11" x14ac:dyDescent="0.4">
      <c r="A550" t="s">
        <v>769</v>
      </c>
      <c r="B550" t="s">
        <v>9</v>
      </c>
      <c r="C550" t="s">
        <v>10</v>
      </c>
      <c r="D550" t="s">
        <v>115</v>
      </c>
      <c r="E550" t="s">
        <v>770</v>
      </c>
      <c r="F550" t="str">
        <f>LEFT(E550,5)</f>
        <v>서울특별시</v>
      </c>
      <c r="G550" t="str">
        <f t="shared" si="18"/>
        <v xml:space="preserve">관악구 </v>
      </c>
      <c r="H550" t="str">
        <f t="shared" si="19"/>
        <v>신림동</v>
      </c>
      <c r="I550" t="s">
        <v>771</v>
      </c>
      <c r="J550" t="s">
        <v>118</v>
      </c>
      <c r="K550" t="s">
        <v>772</v>
      </c>
    </row>
    <row r="551" spans="1:11" x14ac:dyDescent="0.4">
      <c r="A551" t="s">
        <v>191</v>
      </c>
      <c r="B551" t="s">
        <v>9</v>
      </c>
      <c r="C551" t="s">
        <v>10</v>
      </c>
      <c r="D551" t="s">
        <v>115</v>
      </c>
      <c r="E551" t="s">
        <v>192</v>
      </c>
      <c r="F551" t="str">
        <f>LEFT(E551,5)</f>
        <v>서울특별시</v>
      </c>
      <c r="G551" t="str">
        <f t="shared" si="18"/>
        <v xml:space="preserve">관악구 </v>
      </c>
      <c r="H551" t="str">
        <f t="shared" si="19"/>
        <v>신림동</v>
      </c>
      <c r="I551" t="s">
        <v>193</v>
      </c>
      <c r="J551" t="s">
        <v>118</v>
      </c>
      <c r="K551" t="s">
        <v>194</v>
      </c>
    </row>
    <row r="552" spans="1:11" x14ac:dyDescent="0.4">
      <c r="A552" t="s">
        <v>220</v>
      </c>
      <c r="B552" t="s">
        <v>9</v>
      </c>
      <c r="C552" t="s">
        <v>10</v>
      </c>
      <c r="D552" t="s">
        <v>115</v>
      </c>
      <c r="E552" t="s">
        <v>221</v>
      </c>
      <c r="F552" t="str">
        <f>LEFT(E552,5)</f>
        <v>서울특별시</v>
      </c>
      <c r="G552" t="str">
        <f t="shared" si="18"/>
        <v xml:space="preserve">관악구 </v>
      </c>
      <c r="H552" t="str">
        <f t="shared" si="19"/>
        <v>신림동</v>
      </c>
      <c r="I552" t="s">
        <v>222</v>
      </c>
      <c r="J552" t="s">
        <v>118</v>
      </c>
      <c r="K552" t="s">
        <v>223</v>
      </c>
    </row>
    <row r="553" spans="1:11" x14ac:dyDescent="0.4">
      <c r="A553" t="s">
        <v>1636</v>
      </c>
      <c r="B553" t="s">
        <v>9</v>
      </c>
      <c r="C553" t="s">
        <v>10</v>
      </c>
      <c r="D553" t="s">
        <v>115</v>
      </c>
      <c r="E553" t="s">
        <v>1637</v>
      </c>
      <c r="F553" t="str">
        <f>LEFT(E553,5)</f>
        <v>서울특별시</v>
      </c>
      <c r="G553" t="str">
        <f t="shared" si="18"/>
        <v xml:space="preserve">관악구 </v>
      </c>
      <c r="H553" t="str">
        <f t="shared" si="19"/>
        <v>신림동</v>
      </c>
      <c r="I553" t="s">
        <v>1638</v>
      </c>
      <c r="J553" t="s">
        <v>118</v>
      </c>
      <c r="K553" t="s">
        <v>1639</v>
      </c>
    </row>
    <row r="554" spans="1:11" x14ac:dyDescent="0.4">
      <c r="A554" t="s">
        <v>114</v>
      </c>
      <c r="B554" t="s">
        <v>9</v>
      </c>
      <c r="C554" t="s">
        <v>10</v>
      </c>
      <c r="D554" t="s">
        <v>115</v>
      </c>
      <c r="E554" t="s">
        <v>116</v>
      </c>
      <c r="F554" t="str">
        <f>LEFT(E554,5)</f>
        <v>서울특별시</v>
      </c>
      <c r="G554" t="str">
        <f t="shared" si="18"/>
        <v xml:space="preserve">관악구 </v>
      </c>
      <c r="H554" t="str">
        <f t="shared" si="19"/>
        <v>신림동</v>
      </c>
      <c r="I554" t="s">
        <v>117</v>
      </c>
      <c r="J554" t="s">
        <v>118</v>
      </c>
      <c r="K554" t="s">
        <v>119</v>
      </c>
    </row>
    <row r="555" spans="1:11" x14ac:dyDescent="0.4">
      <c r="A555" t="s">
        <v>907</v>
      </c>
      <c r="B555" t="s">
        <v>9</v>
      </c>
      <c r="C555" t="s">
        <v>10</v>
      </c>
      <c r="D555" t="s">
        <v>115</v>
      </c>
      <c r="E555" t="s">
        <v>908</v>
      </c>
      <c r="F555" t="str">
        <f>LEFT(E555,5)</f>
        <v>서울특별시</v>
      </c>
      <c r="G555" t="str">
        <f t="shared" si="18"/>
        <v xml:space="preserve">관악구 </v>
      </c>
      <c r="H555" t="str">
        <f t="shared" si="19"/>
        <v>신림동</v>
      </c>
      <c r="I555" t="s">
        <v>909</v>
      </c>
      <c r="J555" t="s">
        <v>118</v>
      </c>
      <c r="K555" t="s">
        <v>910</v>
      </c>
    </row>
    <row r="556" spans="1:11" x14ac:dyDescent="0.4">
      <c r="A556" t="s">
        <v>2369</v>
      </c>
      <c r="B556" t="s">
        <v>9</v>
      </c>
      <c r="C556" t="s">
        <v>10</v>
      </c>
      <c r="D556" t="s">
        <v>2370</v>
      </c>
      <c r="E556" t="s">
        <v>2371</v>
      </c>
      <c r="F556" t="str">
        <f>LEFT(E556,5)</f>
        <v>서울특별시</v>
      </c>
      <c r="G556" t="str">
        <f t="shared" si="18"/>
        <v xml:space="preserve">관악구 </v>
      </c>
      <c r="H556" t="str">
        <f t="shared" si="19"/>
        <v>신림동</v>
      </c>
      <c r="I556" t="s">
        <v>2372</v>
      </c>
      <c r="J556" t="s">
        <v>2373</v>
      </c>
      <c r="K556" t="s">
        <v>2374</v>
      </c>
    </row>
    <row r="557" spans="1:11" x14ac:dyDescent="0.4">
      <c r="A557" t="s">
        <v>8230</v>
      </c>
      <c r="B557" t="s">
        <v>9</v>
      </c>
      <c r="C557" t="s">
        <v>10</v>
      </c>
      <c r="D557" t="s">
        <v>2370</v>
      </c>
      <c r="E557" t="s">
        <v>8231</v>
      </c>
      <c r="F557" t="str">
        <f>LEFT(E557,5)</f>
        <v>서울특별시</v>
      </c>
      <c r="G557" t="str">
        <f t="shared" si="18"/>
        <v xml:space="preserve">관악구 </v>
      </c>
      <c r="H557" t="str">
        <f t="shared" si="19"/>
        <v>신림동</v>
      </c>
      <c r="I557" t="s">
        <v>8232</v>
      </c>
      <c r="J557" t="s">
        <v>11</v>
      </c>
      <c r="K557" t="s">
        <v>8233</v>
      </c>
    </row>
    <row r="558" spans="1:11" x14ac:dyDescent="0.4">
      <c r="A558" t="s">
        <v>4393</v>
      </c>
      <c r="B558" t="s">
        <v>9</v>
      </c>
      <c r="C558" t="s">
        <v>10</v>
      </c>
      <c r="D558" t="s">
        <v>2370</v>
      </c>
      <c r="E558" t="s">
        <v>4394</v>
      </c>
      <c r="F558" t="str">
        <f>LEFT(E558,5)</f>
        <v>서울특별시</v>
      </c>
      <c r="G558" t="str">
        <f t="shared" si="18"/>
        <v xml:space="preserve">관악구 </v>
      </c>
      <c r="H558" t="str">
        <f t="shared" si="19"/>
        <v>신림동</v>
      </c>
      <c r="I558" t="s">
        <v>4395</v>
      </c>
      <c r="J558" t="s">
        <v>2373</v>
      </c>
      <c r="K558" t="s">
        <v>4396</v>
      </c>
    </row>
    <row r="559" spans="1:11" x14ac:dyDescent="0.4">
      <c r="A559" t="s">
        <v>2726</v>
      </c>
      <c r="B559" t="s">
        <v>9</v>
      </c>
      <c r="C559" t="s">
        <v>10</v>
      </c>
      <c r="D559" t="s">
        <v>2727</v>
      </c>
      <c r="E559" t="s">
        <v>2728</v>
      </c>
      <c r="F559" t="str">
        <f>LEFT(E559,5)</f>
        <v>서울특별시</v>
      </c>
      <c r="G559" t="str">
        <f t="shared" si="18"/>
        <v xml:space="preserve">관악구 </v>
      </c>
      <c r="H559" t="str">
        <f t="shared" si="19"/>
        <v>신림동</v>
      </c>
      <c r="I559" t="s">
        <v>2729</v>
      </c>
      <c r="J559" t="s">
        <v>2730</v>
      </c>
      <c r="K559" t="s">
        <v>2731</v>
      </c>
    </row>
    <row r="560" spans="1:11" x14ac:dyDescent="0.4">
      <c r="A560" t="s">
        <v>8250</v>
      </c>
      <c r="B560" t="s">
        <v>9</v>
      </c>
      <c r="C560" t="s">
        <v>10</v>
      </c>
      <c r="D560" t="s">
        <v>8251</v>
      </c>
      <c r="E560" t="s">
        <v>8252</v>
      </c>
      <c r="F560" t="str">
        <f>LEFT(E560,5)</f>
        <v>서울특별시</v>
      </c>
      <c r="G560" t="str">
        <f t="shared" si="18"/>
        <v xml:space="preserve">관악구 </v>
      </c>
      <c r="H560" t="str">
        <f t="shared" si="19"/>
        <v>신림동</v>
      </c>
      <c r="I560" t="s">
        <v>8253</v>
      </c>
      <c r="J560" t="s">
        <v>8254</v>
      </c>
      <c r="K560" t="s">
        <v>8255</v>
      </c>
    </row>
    <row r="561" spans="1:11" x14ac:dyDescent="0.4">
      <c r="A561" t="s">
        <v>7541</v>
      </c>
      <c r="B561" t="s">
        <v>9</v>
      </c>
      <c r="C561" t="s">
        <v>10</v>
      </c>
      <c r="D561" t="s">
        <v>3455</v>
      </c>
      <c r="E561" t="s">
        <v>7542</v>
      </c>
      <c r="F561" t="str">
        <f>LEFT(E561,5)</f>
        <v>서울특별시</v>
      </c>
      <c r="G561" t="str">
        <f t="shared" si="18"/>
        <v xml:space="preserve">광진구 </v>
      </c>
      <c r="H561" t="str">
        <f t="shared" si="19"/>
        <v>광장동</v>
      </c>
      <c r="I561" t="s">
        <v>7543</v>
      </c>
      <c r="J561" t="s">
        <v>3458</v>
      </c>
      <c r="K561" t="s">
        <v>948</v>
      </c>
    </row>
    <row r="562" spans="1:11" x14ac:dyDescent="0.4">
      <c r="A562" t="s">
        <v>3454</v>
      </c>
      <c r="B562" t="s">
        <v>9</v>
      </c>
      <c r="C562" t="s">
        <v>10</v>
      </c>
      <c r="D562" t="s">
        <v>3455</v>
      </c>
      <c r="E562" t="s">
        <v>3456</v>
      </c>
      <c r="F562" t="str">
        <f>LEFT(E562,5)</f>
        <v>서울특별시</v>
      </c>
      <c r="G562" t="str">
        <f t="shared" si="18"/>
        <v xml:space="preserve">광진구 </v>
      </c>
      <c r="H562" t="str">
        <f t="shared" si="19"/>
        <v>광장동</v>
      </c>
      <c r="I562" t="s">
        <v>3457</v>
      </c>
      <c r="J562" t="s">
        <v>3458</v>
      </c>
      <c r="K562" t="s">
        <v>3459</v>
      </c>
    </row>
    <row r="563" spans="1:11" x14ac:dyDescent="0.4">
      <c r="A563" t="s">
        <v>5977</v>
      </c>
      <c r="B563" t="s">
        <v>9</v>
      </c>
      <c r="C563" t="s">
        <v>10</v>
      </c>
      <c r="D563" t="s">
        <v>3581</v>
      </c>
      <c r="E563" t="s">
        <v>5978</v>
      </c>
      <c r="F563" t="str">
        <f>LEFT(E563,5)</f>
        <v>서울특별시</v>
      </c>
      <c r="G563" t="str">
        <f t="shared" si="18"/>
        <v xml:space="preserve">광진구 </v>
      </c>
      <c r="H563" t="str">
        <f t="shared" si="19"/>
        <v>광장동</v>
      </c>
      <c r="I563" t="s">
        <v>5979</v>
      </c>
      <c r="J563" t="s">
        <v>3458</v>
      </c>
      <c r="K563" t="s">
        <v>5980</v>
      </c>
    </row>
    <row r="564" spans="1:11" x14ac:dyDescent="0.4">
      <c r="A564" t="s">
        <v>3992</v>
      </c>
      <c r="B564" t="s">
        <v>9</v>
      </c>
      <c r="C564" t="s">
        <v>10</v>
      </c>
      <c r="D564" t="s">
        <v>3581</v>
      </c>
      <c r="E564" t="s">
        <v>3993</v>
      </c>
      <c r="F564" t="str">
        <f>LEFT(E564,5)</f>
        <v>서울특별시</v>
      </c>
      <c r="G564" t="str">
        <f t="shared" si="18"/>
        <v xml:space="preserve">광진구 </v>
      </c>
      <c r="H564" t="str">
        <f t="shared" si="19"/>
        <v>광장동</v>
      </c>
      <c r="I564" t="s">
        <v>3994</v>
      </c>
      <c r="J564" t="s">
        <v>3458</v>
      </c>
      <c r="K564" t="s">
        <v>3995</v>
      </c>
    </row>
    <row r="565" spans="1:11" x14ac:dyDescent="0.4">
      <c r="A565" t="s">
        <v>3580</v>
      </c>
      <c r="B565" t="s">
        <v>9</v>
      </c>
      <c r="C565" t="s">
        <v>10</v>
      </c>
      <c r="D565" t="s">
        <v>3581</v>
      </c>
      <c r="E565" t="s">
        <v>3582</v>
      </c>
      <c r="F565" t="str">
        <f>LEFT(E565,5)</f>
        <v>서울특별시</v>
      </c>
      <c r="G565" t="str">
        <f t="shared" si="18"/>
        <v xml:space="preserve">광진구 </v>
      </c>
      <c r="H565" t="str">
        <f t="shared" si="19"/>
        <v>광장동</v>
      </c>
      <c r="I565" t="s">
        <v>3583</v>
      </c>
      <c r="J565" t="s">
        <v>3458</v>
      </c>
      <c r="K565" t="s">
        <v>3584</v>
      </c>
    </row>
    <row r="566" spans="1:11" x14ac:dyDescent="0.4">
      <c r="A566" t="s">
        <v>5579</v>
      </c>
      <c r="B566" t="s">
        <v>9</v>
      </c>
      <c r="C566" t="s">
        <v>10</v>
      </c>
      <c r="D566" t="s">
        <v>3581</v>
      </c>
      <c r="E566" t="s">
        <v>5580</v>
      </c>
      <c r="F566" t="str">
        <f>LEFT(E566,5)</f>
        <v>서울특별시</v>
      </c>
      <c r="G566" t="str">
        <f t="shared" si="18"/>
        <v xml:space="preserve">광진구 </v>
      </c>
      <c r="H566" t="str">
        <f t="shared" si="19"/>
        <v>광장동</v>
      </c>
      <c r="I566" t="s">
        <v>5581</v>
      </c>
      <c r="J566" t="s">
        <v>3458</v>
      </c>
      <c r="K566" t="s">
        <v>5582</v>
      </c>
    </row>
    <row r="567" spans="1:11" x14ac:dyDescent="0.4">
      <c r="A567" t="s">
        <v>5431</v>
      </c>
      <c r="B567" t="s">
        <v>9</v>
      </c>
      <c r="C567" t="s">
        <v>10</v>
      </c>
      <c r="D567" t="s">
        <v>5432</v>
      </c>
      <c r="E567" t="s">
        <v>5433</v>
      </c>
      <c r="F567" t="str">
        <f>LEFT(E567,5)</f>
        <v>서울특별시</v>
      </c>
      <c r="G567" t="str">
        <f t="shared" si="18"/>
        <v xml:space="preserve">광진구 </v>
      </c>
      <c r="H567" t="str">
        <f t="shared" si="19"/>
        <v>구의동</v>
      </c>
      <c r="I567" t="s">
        <v>5434</v>
      </c>
      <c r="J567" t="s">
        <v>5435</v>
      </c>
      <c r="K567" t="s">
        <v>5436</v>
      </c>
    </row>
    <row r="568" spans="1:11" x14ac:dyDescent="0.4">
      <c r="A568" t="s">
        <v>6500</v>
      </c>
      <c r="B568" t="s">
        <v>9</v>
      </c>
      <c r="C568" t="s">
        <v>10</v>
      </c>
      <c r="D568" t="s">
        <v>6501</v>
      </c>
      <c r="E568" t="s">
        <v>6502</v>
      </c>
      <c r="F568" t="str">
        <f>LEFT(E568,5)</f>
        <v>서울특별시</v>
      </c>
      <c r="G568" t="str">
        <f t="shared" si="18"/>
        <v xml:space="preserve">광진구 </v>
      </c>
      <c r="H568" t="str">
        <f t="shared" si="19"/>
        <v>구의동</v>
      </c>
      <c r="I568" t="s">
        <v>6503</v>
      </c>
      <c r="J568" t="s">
        <v>6504</v>
      </c>
      <c r="K568" t="s">
        <v>6505</v>
      </c>
    </row>
    <row r="569" spans="1:11" x14ac:dyDescent="0.4">
      <c r="A569" t="s">
        <v>8190</v>
      </c>
      <c r="B569" t="s">
        <v>9</v>
      </c>
      <c r="C569" t="s">
        <v>10</v>
      </c>
      <c r="D569" t="s">
        <v>6501</v>
      </c>
      <c r="E569" t="s">
        <v>8191</v>
      </c>
      <c r="F569" t="str">
        <f>LEFT(E569,5)</f>
        <v>서울특별시</v>
      </c>
      <c r="G569" t="str">
        <f t="shared" si="18"/>
        <v xml:space="preserve">광진구 </v>
      </c>
      <c r="H569" t="str">
        <f t="shared" si="19"/>
        <v>구의동</v>
      </c>
      <c r="I569" t="s">
        <v>8192</v>
      </c>
      <c r="J569" t="s">
        <v>8193</v>
      </c>
      <c r="K569" t="s">
        <v>5113</v>
      </c>
    </row>
    <row r="570" spans="1:11" x14ac:dyDescent="0.4">
      <c r="A570" t="s">
        <v>6553</v>
      </c>
      <c r="B570" t="s">
        <v>9</v>
      </c>
      <c r="C570" t="s">
        <v>10</v>
      </c>
      <c r="D570" t="s">
        <v>6554</v>
      </c>
      <c r="E570" t="s">
        <v>6555</v>
      </c>
      <c r="F570" t="str">
        <f>LEFT(E570,5)</f>
        <v>서울특별시</v>
      </c>
      <c r="G570" t="str">
        <f t="shared" si="18"/>
        <v xml:space="preserve">광진구 </v>
      </c>
      <c r="H570" t="str">
        <f t="shared" si="19"/>
        <v>구의동</v>
      </c>
      <c r="I570" t="s">
        <v>6556</v>
      </c>
      <c r="J570" t="s">
        <v>6557</v>
      </c>
      <c r="K570" t="s">
        <v>1927</v>
      </c>
    </row>
    <row r="571" spans="1:11" x14ac:dyDescent="0.4">
      <c r="A571" t="s">
        <v>7508</v>
      </c>
      <c r="B571" t="s">
        <v>9</v>
      </c>
      <c r="C571" t="s">
        <v>10</v>
      </c>
      <c r="D571" t="s">
        <v>3671</v>
      </c>
      <c r="E571" t="s">
        <v>7509</v>
      </c>
      <c r="F571" t="str">
        <f>LEFT(E571,5)</f>
        <v>서울특별시</v>
      </c>
      <c r="G571" t="str">
        <f t="shared" si="18"/>
        <v xml:space="preserve">광진구 </v>
      </c>
      <c r="H571" t="str">
        <f t="shared" si="19"/>
        <v>구의동</v>
      </c>
      <c r="I571" t="s">
        <v>7510</v>
      </c>
      <c r="J571" t="s">
        <v>3674</v>
      </c>
      <c r="K571" t="s">
        <v>6523</v>
      </c>
    </row>
    <row r="572" spans="1:11" x14ac:dyDescent="0.4">
      <c r="A572" t="s">
        <v>7968</v>
      </c>
      <c r="B572" t="s">
        <v>9</v>
      </c>
      <c r="C572" t="s">
        <v>10</v>
      </c>
      <c r="D572" t="s">
        <v>3671</v>
      </c>
      <c r="E572" t="s">
        <v>7969</v>
      </c>
      <c r="F572" t="str">
        <f>LEFT(E572,5)</f>
        <v>서울특별시</v>
      </c>
      <c r="G572" t="str">
        <f t="shared" si="18"/>
        <v xml:space="preserve">광진구 </v>
      </c>
      <c r="H572" t="str">
        <f t="shared" si="19"/>
        <v>구의동</v>
      </c>
      <c r="I572" t="s">
        <v>7970</v>
      </c>
      <c r="J572" t="s">
        <v>3674</v>
      </c>
      <c r="K572" t="s">
        <v>7971</v>
      </c>
    </row>
    <row r="573" spans="1:11" x14ac:dyDescent="0.4">
      <c r="A573" t="s">
        <v>5090</v>
      </c>
      <c r="B573" t="s">
        <v>9</v>
      </c>
      <c r="C573" t="s">
        <v>10</v>
      </c>
      <c r="D573" t="s">
        <v>5091</v>
      </c>
      <c r="E573" t="s">
        <v>5092</v>
      </c>
      <c r="F573" t="str">
        <f>LEFT(E573,5)</f>
        <v>서울특별시</v>
      </c>
      <c r="G573" t="str">
        <f t="shared" si="18"/>
        <v xml:space="preserve">광진구 </v>
      </c>
      <c r="H573" t="str">
        <f t="shared" si="19"/>
        <v>구의동</v>
      </c>
      <c r="I573" t="s">
        <v>5093</v>
      </c>
      <c r="J573" t="s">
        <v>5094</v>
      </c>
      <c r="K573" t="s">
        <v>5095</v>
      </c>
    </row>
    <row r="574" spans="1:11" x14ac:dyDescent="0.4">
      <c r="A574" t="s">
        <v>7155</v>
      </c>
      <c r="B574" t="s">
        <v>9</v>
      </c>
      <c r="C574" t="s">
        <v>10</v>
      </c>
      <c r="D574" t="s">
        <v>3671</v>
      </c>
      <c r="E574" t="s">
        <v>7156</v>
      </c>
      <c r="F574" t="str">
        <f>LEFT(E574,5)</f>
        <v>서울특별시</v>
      </c>
      <c r="G574" t="str">
        <f t="shared" si="18"/>
        <v xml:space="preserve">광진구 </v>
      </c>
      <c r="H574" t="str">
        <f t="shared" si="19"/>
        <v>구의동</v>
      </c>
      <c r="I574" t="s">
        <v>7157</v>
      </c>
      <c r="J574" t="s">
        <v>3674</v>
      </c>
      <c r="K574" t="s">
        <v>7158</v>
      </c>
    </row>
    <row r="575" spans="1:11" x14ac:dyDescent="0.4">
      <c r="A575" t="s">
        <v>5798</v>
      </c>
      <c r="B575" t="s">
        <v>9</v>
      </c>
      <c r="C575" t="s">
        <v>10</v>
      </c>
      <c r="D575" t="s">
        <v>3671</v>
      </c>
      <c r="E575" t="s">
        <v>5799</v>
      </c>
      <c r="F575" t="str">
        <f>LEFT(E575,5)</f>
        <v>서울특별시</v>
      </c>
      <c r="G575" t="str">
        <f t="shared" si="18"/>
        <v xml:space="preserve">광진구 </v>
      </c>
      <c r="H575" t="str">
        <f t="shared" si="19"/>
        <v>구의동</v>
      </c>
      <c r="I575" t="s">
        <v>5800</v>
      </c>
      <c r="J575" t="s">
        <v>3674</v>
      </c>
      <c r="K575" t="s">
        <v>966</v>
      </c>
    </row>
    <row r="576" spans="1:11" x14ac:dyDescent="0.4">
      <c r="A576" t="s">
        <v>4049</v>
      </c>
      <c r="B576" t="s">
        <v>9</v>
      </c>
      <c r="C576" t="s">
        <v>10</v>
      </c>
      <c r="D576" t="s">
        <v>3671</v>
      </c>
      <c r="E576" t="s">
        <v>4050</v>
      </c>
      <c r="F576" t="str">
        <f>LEFT(E576,5)</f>
        <v>서울특별시</v>
      </c>
      <c r="G576" t="str">
        <f t="shared" si="18"/>
        <v xml:space="preserve">광진구 </v>
      </c>
      <c r="H576" t="str">
        <f t="shared" si="19"/>
        <v>구의동</v>
      </c>
      <c r="I576" t="s">
        <v>4051</v>
      </c>
      <c r="J576" t="s">
        <v>3674</v>
      </c>
      <c r="K576" t="s">
        <v>4052</v>
      </c>
    </row>
    <row r="577" spans="1:11" x14ac:dyDescent="0.4">
      <c r="A577" t="s">
        <v>8246</v>
      </c>
      <c r="B577" t="s">
        <v>9</v>
      </c>
      <c r="C577" t="s">
        <v>10</v>
      </c>
      <c r="D577" t="s">
        <v>3671</v>
      </c>
      <c r="E577" t="s">
        <v>8247</v>
      </c>
      <c r="F577" t="str">
        <f>LEFT(E577,5)</f>
        <v>서울특별시</v>
      </c>
      <c r="G577" t="str">
        <f t="shared" si="18"/>
        <v xml:space="preserve">광진구 </v>
      </c>
      <c r="H577" t="str">
        <f t="shared" si="19"/>
        <v>구의동</v>
      </c>
      <c r="I577" t="s">
        <v>8248</v>
      </c>
      <c r="J577" t="s">
        <v>3674</v>
      </c>
      <c r="K577" t="s">
        <v>8249</v>
      </c>
    </row>
    <row r="578" spans="1:11" x14ac:dyDescent="0.4">
      <c r="A578" t="s">
        <v>3670</v>
      </c>
      <c r="B578" t="s">
        <v>9</v>
      </c>
      <c r="C578" t="s">
        <v>10</v>
      </c>
      <c r="D578" t="s">
        <v>3671</v>
      </c>
      <c r="E578" t="s">
        <v>3672</v>
      </c>
      <c r="F578" t="str">
        <f>LEFT(E578,5)</f>
        <v>서울특별시</v>
      </c>
      <c r="G578" t="str">
        <f t="shared" si="18"/>
        <v xml:space="preserve">광진구 </v>
      </c>
      <c r="H578" t="str">
        <f t="shared" si="19"/>
        <v>구의동</v>
      </c>
      <c r="I578" t="s">
        <v>3673</v>
      </c>
      <c r="J578" t="s">
        <v>3674</v>
      </c>
      <c r="K578" t="s">
        <v>3675</v>
      </c>
    </row>
    <row r="579" spans="1:11" x14ac:dyDescent="0.4">
      <c r="A579" t="s">
        <v>5407</v>
      </c>
      <c r="B579" t="s">
        <v>9</v>
      </c>
      <c r="C579" t="s">
        <v>10</v>
      </c>
      <c r="D579" t="s">
        <v>4433</v>
      </c>
      <c r="E579" t="s">
        <v>5408</v>
      </c>
      <c r="F579" t="str">
        <f>LEFT(E579,5)</f>
        <v>서울특별시</v>
      </c>
      <c r="G579" t="str">
        <f t="shared" ref="G579:G642" si="20">MID(E579,7,4)</f>
        <v xml:space="preserve">광진구 </v>
      </c>
      <c r="H579" t="str">
        <f t="shared" ref="H579:H642" si="21">MID(SUBSTITUTE(E579," ",""),9,3)</f>
        <v>구의동</v>
      </c>
      <c r="I579" t="s">
        <v>5409</v>
      </c>
      <c r="J579" t="s">
        <v>3668</v>
      </c>
      <c r="K579" t="s">
        <v>5410</v>
      </c>
    </row>
    <row r="580" spans="1:11" x14ac:dyDescent="0.4">
      <c r="A580" t="s">
        <v>4432</v>
      </c>
      <c r="B580" t="s">
        <v>9</v>
      </c>
      <c r="C580" t="s">
        <v>10</v>
      </c>
      <c r="D580" t="s">
        <v>4433</v>
      </c>
      <c r="E580" t="s">
        <v>4434</v>
      </c>
      <c r="F580" t="str">
        <f>LEFT(E580,5)</f>
        <v>서울특별시</v>
      </c>
      <c r="G580" t="str">
        <f t="shared" si="20"/>
        <v xml:space="preserve">광진구 </v>
      </c>
      <c r="H580" t="str">
        <f t="shared" si="21"/>
        <v>구의동</v>
      </c>
      <c r="I580" t="s">
        <v>4435</v>
      </c>
      <c r="J580" t="s">
        <v>3668</v>
      </c>
      <c r="K580" t="s">
        <v>4436</v>
      </c>
    </row>
    <row r="581" spans="1:11" x14ac:dyDescent="0.4">
      <c r="A581" t="s">
        <v>3664</v>
      </c>
      <c r="B581" t="s">
        <v>9</v>
      </c>
      <c r="C581" t="s">
        <v>10</v>
      </c>
      <c r="D581" t="s">
        <v>3665</v>
      </c>
      <c r="E581" t="s">
        <v>3666</v>
      </c>
      <c r="F581" t="str">
        <f>LEFT(E581,5)</f>
        <v>서울특별시</v>
      </c>
      <c r="G581" t="str">
        <f t="shared" si="20"/>
        <v xml:space="preserve">광진구 </v>
      </c>
      <c r="H581" t="str">
        <f t="shared" si="21"/>
        <v>구의동</v>
      </c>
      <c r="I581" t="s">
        <v>3667</v>
      </c>
      <c r="J581" t="s">
        <v>3668</v>
      </c>
      <c r="K581" t="s">
        <v>3669</v>
      </c>
    </row>
    <row r="582" spans="1:11" x14ac:dyDescent="0.4">
      <c r="A582" t="s">
        <v>8978</v>
      </c>
      <c r="B582" t="s">
        <v>9</v>
      </c>
      <c r="C582" t="s">
        <v>10</v>
      </c>
      <c r="D582" t="s">
        <v>4433</v>
      </c>
      <c r="E582" t="s">
        <v>8979</v>
      </c>
      <c r="F582" t="str">
        <f>LEFT(E582,5)</f>
        <v>서울특별시</v>
      </c>
      <c r="G582" t="str">
        <f t="shared" si="20"/>
        <v xml:space="preserve">광진구 </v>
      </c>
      <c r="H582" t="str">
        <f t="shared" si="21"/>
        <v>구의동</v>
      </c>
      <c r="I582" t="s">
        <v>8980</v>
      </c>
      <c r="J582" t="s">
        <v>3668</v>
      </c>
      <c r="K582" t="s">
        <v>8981</v>
      </c>
    </row>
    <row r="583" spans="1:11" x14ac:dyDescent="0.4">
      <c r="A583" t="s">
        <v>4147</v>
      </c>
      <c r="B583" t="s">
        <v>9</v>
      </c>
      <c r="C583" t="s">
        <v>10</v>
      </c>
      <c r="D583" t="s">
        <v>3887</v>
      </c>
      <c r="E583" t="s">
        <v>4148</v>
      </c>
      <c r="F583" t="str">
        <f>LEFT(E583,5)</f>
        <v>서울특별시</v>
      </c>
      <c r="G583" t="str">
        <f t="shared" si="20"/>
        <v xml:space="preserve">광진구 </v>
      </c>
      <c r="H583" t="str">
        <f t="shared" si="21"/>
        <v>구의동</v>
      </c>
      <c r="I583" t="s">
        <v>4149</v>
      </c>
      <c r="J583" t="s">
        <v>3890</v>
      </c>
      <c r="K583" t="s">
        <v>4150</v>
      </c>
    </row>
    <row r="584" spans="1:11" x14ac:dyDescent="0.4">
      <c r="A584" t="s">
        <v>3886</v>
      </c>
      <c r="B584" t="s">
        <v>9</v>
      </c>
      <c r="C584" t="s">
        <v>10</v>
      </c>
      <c r="D584" t="s">
        <v>3887</v>
      </c>
      <c r="E584" t="s">
        <v>3888</v>
      </c>
      <c r="F584" t="str">
        <f>LEFT(E584,5)</f>
        <v>서울특별시</v>
      </c>
      <c r="G584" t="str">
        <f t="shared" si="20"/>
        <v xml:space="preserve">광진구 </v>
      </c>
      <c r="H584" t="str">
        <f t="shared" si="21"/>
        <v>구의동</v>
      </c>
      <c r="I584" t="s">
        <v>3889</v>
      </c>
      <c r="J584" t="s">
        <v>3890</v>
      </c>
      <c r="K584" t="s">
        <v>3891</v>
      </c>
    </row>
    <row r="585" spans="1:11" x14ac:dyDescent="0.4">
      <c r="A585" t="s">
        <v>8402</v>
      </c>
      <c r="B585" t="s">
        <v>9</v>
      </c>
      <c r="C585" t="s">
        <v>10</v>
      </c>
      <c r="D585" t="s">
        <v>4586</v>
      </c>
      <c r="E585" t="s">
        <v>8403</v>
      </c>
      <c r="F585" t="str">
        <f>LEFT(E585,5)</f>
        <v>서울특별시</v>
      </c>
      <c r="G585" t="str">
        <f t="shared" si="20"/>
        <v xml:space="preserve">광진구 </v>
      </c>
      <c r="H585" t="str">
        <f t="shared" si="21"/>
        <v>구의동</v>
      </c>
      <c r="I585" t="s">
        <v>8404</v>
      </c>
      <c r="J585" t="s">
        <v>4589</v>
      </c>
      <c r="K585" t="s">
        <v>2597</v>
      </c>
    </row>
    <row r="586" spans="1:11" x14ac:dyDescent="0.4">
      <c r="A586" t="s">
        <v>4585</v>
      </c>
      <c r="B586" t="s">
        <v>9</v>
      </c>
      <c r="C586" t="s">
        <v>10</v>
      </c>
      <c r="D586" t="s">
        <v>4586</v>
      </c>
      <c r="E586" t="s">
        <v>4587</v>
      </c>
      <c r="F586" t="str">
        <f>LEFT(E586,5)</f>
        <v>서울특별시</v>
      </c>
      <c r="G586" t="str">
        <f t="shared" si="20"/>
        <v xml:space="preserve">광진구 </v>
      </c>
      <c r="H586" t="str">
        <f t="shared" si="21"/>
        <v>구의동</v>
      </c>
      <c r="I586" t="s">
        <v>4588</v>
      </c>
      <c r="J586" t="s">
        <v>4589</v>
      </c>
      <c r="K586" t="s">
        <v>4590</v>
      </c>
    </row>
    <row r="587" spans="1:11" x14ac:dyDescent="0.4">
      <c r="A587" t="s">
        <v>4525</v>
      </c>
      <c r="B587" t="s">
        <v>9</v>
      </c>
      <c r="C587" t="s">
        <v>10</v>
      </c>
      <c r="D587" t="s">
        <v>4526</v>
      </c>
      <c r="E587" t="s">
        <v>4527</v>
      </c>
      <c r="F587" t="str">
        <f>LEFT(E587,5)</f>
        <v>서울특별시</v>
      </c>
      <c r="G587" t="str">
        <f t="shared" si="20"/>
        <v xml:space="preserve">광진구 </v>
      </c>
      <c r="H587" t="str">
        <f t="shared" si="21"/>
        <v>군자동</v>
      </c>
      <c r="I587" t="s">
        <v>4528</v>
      </c>
      <c r="J587" t="s">
        <v>4529</v>
      </c>
      <c r="K587" t="s">
        <v>4530</v>
      </c>
    </row>
    <row r="588" spans="1:11" x14ac:dyDescent="0.4">
      <c r="A588" t="s">
        <v>6792</v>
      </c>
      <c r="B588" t="s">
        <v>9</v>
      </c>
      <c r="C588" t="s">
        <v>10</v>
      </c>
      <c r="D588" t="s">
        <v>4526</v>
      </c>
      <c r="E588" t="s">
        <v>6793</v>
      </c>
      <c r="F588" t="str">
        <f>LEFT(E588,5)</f>
        <v>서울특별시</v>
      </c>
      <c r="G588" t="str">
        <f t="shared" si="20"/>
        <v xml:space="preserve">광진구 </v>
      </c>
      <c r="H588" t="str">
        <f t="shared" si="21"/>
        <v>군자동</v>
      </c>
      <c r="I588" t="s">
        <v>6794</v>
      </c>
      <c r="J588" t="s">
        <v>4529</v>
      </c>
      <c r="K588" t="s">
        <v>6795</v>
      </c>
    </row>
    <row r="589" spans="1:11" x14ac:dyDescent="0.4">
      <c r="A589" t="s">
        <v>4591</v>
      </c>
      <c r="B589" t="s">
        <v>9</v>
      </c>
      <c r="C589" t="s">
        <v>10</v>
      </c>
      <c r="D589" t="s">
        <v>4526</v>
      </c>
      <c r="E589" t="s">
        <v>4592</v>
      </c>
      <c r="F589" t="str">
        <f>LEFT(E589,5)</f>
        <v>서울특별시</v>
      </c>
      <c r="G589" t="str">
        <f t="shared" si="20"/>
        <v xml:space="preserve">광진구 </v>
      </c>
      <c r="H589" t="str">
        <f t="shared" si="21"/>
        <v>군자동</v>
      </c>
      <c r="I589" t="s">
        <v>4593</v>
      </c>
      <c r="J589" t="s">
        <v>4594</v>
      </c>
      <c r="K589" t="s">
        <v>4595</v>
      </c>
    </row>
    <row r="590" spans="1:11" x14ac:dyDescent="0.4">
      <c r="A590" t="s">
        <v>6416</v>
      </c>
      <c r="B590" t="s">
        <v>9</v>
      </c>
      <c r="C590" t="s">
        <v>10</v>
      </c>
      <c r="D590" t="s">
        <v>4526</v>
      </c>
      <c r="E590" t="s">
        <v>6417</v>
      </c>
      <c r="F590" t="str">
        <f>LEFT(E590,5)</f>
        <v>서울특별시</v>
      </c>
      <c r="G590" t="str">
        <f t="shared" si="20"/>
        <v xml:space="preserve">광진구 </v>
      </c>
      <c r="H590" t="str">
        <f t="shared" si="21"/>
        <v>군자동</v>
      </c>
      <c r="I590" t="s">
        <v>6418</v>
      </c>
      <c r="J590" t="s">
        <v>4594</v>
      </c>
      <c r="K590" t="s">
        <v>6419</v>
      </c>
    </row>
    <row r="591" spans="1:11" x14ac:dyDescent="0.4">
      <c r="A591" t="s">
        <v>4227</v>
      </c>
      <c r="B591" t="s">
        <v>9</v>
      </c>
      <c r="C591" t="s">
        <v>10</v>
      </c>
      <c r="D591" t="s">
        <v>4228</v>
      </c>
      <c r="E591" t="s">
        <v>4229</v>
      </c>
      <c r="F591" t="str">
        <f>LEFT(E591,5)</f>
        <v>서울특별시</v>
      </c>
      <c r="G591" t="str">
        <f t="shared" si="20"/>
        <v xml:space="preserve">광진구 </v>
      </c>
      <c r="H591" t="str">
        <f t="shared" si="21"/>
        <v>자양동</v>
      </c>
      <c r="I591" t="s">
        <v>4230</v>
      </c>
      <c r="J591" t="s">
        <v>4231</v>
      </c>
      <c r="K591" t="s">
        <v>4232</v>
      </c>
    </row>
    <row r="592" spans="1:11" x14ac:dyDescent="0.4">
      <c r="A592" t="s">
        <v>4935</v>
      </c>
      <c r="B592" t="s">
        <v>9</v>
      </c>
      <c r="C592" t="s">
        <v>10</v>
      </c>
      <c r="D592" t="s">
        <v>4228</v>
      </c>
      <c r="E592" t="s">
        <v>4936</v>
      </c>
      <c r="F592" t="str">
        <f>LEFT(E592,5)</f>
        <v>서울특별시</v>
      </c>
      <c r="G592" t="str">
        <f t="shared" si="20"/>
        <v xml:space="preserve">광진구 </v>
      </c>
      <c r="H592" t="str">
        <f t="shared" si="21"/>
        <v>자양동</v>
      </c>
      <c r="I592" t="s">
        <v>4937</v>
      </c>
      <c r="J592" t="s">
        <v>4231</v>
      </c>
      <c r="K592" t="s">
        <v>4938</v>
      </c>
    </row>
    <row r="593" spans="1:11" x14ac:dyDescent="0.4">
      <c r="A593" t="s">
        <v>5525</v>
      </c>
      <c r="B593" t="s">
        <v>9</v>
      </c>
      <c r="C593" t="s">
        <v>10</v>
      </c>
      <c r="D593" t="s">
        <v>5526</v>
      </c>
      <c r="E593" t="s">
        <v>5527</v>
      </c>
      <c r="F593" t="str">
        <f>LEFT(E593,5)</f>
        <v>서울특별시</v>
      </c>
      <c r="G593" t="str">
        <f t="shared" si="20"/>
        <v xml:space="preserve">광진구 </v>
      </c>
      <c r="H593" t="str">
        <f t="shared" si="21"/>
        <v>자양동</v>
      </c>
      <c r="I593" t="s">
        <v>5528</v>
      </c>
      <c r="J593" t="s">
        <v>5529</v>
      </c>
      <c r="K593" t="s">
        <v>5530</v>
      </c>
    </row>
    <row r="594" spans="1:11" x14ac:dyDescent="0.4">
      <c r="A594" t="s">
        <v>3909</v>
      </c>
      <c r="B594" t="s">
        <v>9</v>
      </c>
      <c r="C594" t="s">
        <v>10</v>
      </c>
      <c r="D594" t="s">
        <v>3910</v>
      </c>
      <c r="E594" t="s">
        <v>3911</v>
      </c>
      <c r="F594" t="str">
        <f>LEFT(E594,5)</f>
        <v>서울특별시</v>
      </c>
      <c r="G594" t="str">
        <f t="shared" si="20"/>
        <v xml:space="preserve">광진구 </v>
      </c>
      <c r="H594" t="str">
        <f t="shared" si="21"/>
        <v>자양동</v>
      </c>
      <c r="I594" t="s">
        <v>3912</v>
      </c>
      <c r="J594" t="s">
        <v>3913</v>
      </c>
      <c r="K594" t="s">
        <v>3914</v>
      </c>
    </row>
    <row r="595" spans="1:11" x14ac:dyDescent="0.4">
      <c r="A595" t="s">
        <v>5222</v>
      </c>
      <c r="B595" t="s">
        <v>9</v>
      </c>
      <c r="C595" t="s">
        <v>10</v>
      </c>
      <c r="D595" t="s">
        <v>3910</v>
      </c>
      <c r="E595" t="s">
        <v>5223</v>
      </c>
      <c r="F595" t="str">
        <f>LEFT(E595,5)</f>
        <v>서울특별시</v>
      </c>
      <c r="G595" t="str">
        <f t="shared" si="20"/>
        <v xml:space="preserve">광진구 </v>
      </c>
      <c r="H595" t="str">
        <f t="shared" si="21"/>
        <v>자양동</v>
      </c>
      <c r="I595" t="s">
        <v>5224</v>
      </c>
      <c r="J595" t="s">
        <v>5225</v>
      </c>
      <c r="K595" t="s">
        <v>5226</v>
      </c>
    </row>
    <row r="596" spans="1:11" x14ac:dyDescent="0.4">
      <c r="A596" t="s">
        <v>8008</v>
      </c>
      <c r="B596" t="s">
        <v>9</v>
      </c>
      <c r="C596" t="s">
        <v>10</v>
      </c>
      <c r="D596" t="s">
        <v>8009</v>
      </c>
      <c r="E596" t="s">
        <v>8010</v>
      </c>
      <c r="F596" t="str">
        <f>LEFT(E596,5)</f>
        <v>서울특별시</v>
      </c>
      <c r="G596" t="str">
        <f t="shared" si="20"/>
        <v xml:space="preserve">광진구 </v>
      </c>
      <c r="H596" t="str">
        <f t="shared" si="21"/>
        <v>자양동</v>
      </c>
      <c r="I596" t="s">
        <v>8011</v>
      </c>
      <c r="J596" t="s">
        <v>8012</v>
      </c>
      <c r="K596" t="s">
        <v>8013</v>
      </c>
    </row>
    <row r="597" spans="1:11" x14ac:dyDescent="0.4">
      <c r="A597" t="s">
        <v>8563</v>
      </c>
      <c r="B597" t="s">
        <v>9</v>
      </c>
      <c r="C597" t="s">
        <v>10</v>
      </c>
      <c r="D597" t="s">
        <v>8564</v>
      </c>
      <c r="E597" t="s">
        <v>8565</v>
      </c>
      <c r="F597" t="str">
        <f>LEFT(E597,5)</f>
        <v>서울특별시</v>
      </c>
      <c r="G597" t="str">
        <f t="shared" si="20"/>
        <v xml:space="preserve">광진구 </v>
      </c>
      <c r="H597" t="str">
        <f t="shared" si="21"/>
        <v>자양동</v>
      </c>
      <c r="I597" t="s">
        <v>8566</v>
      </c>
      <c r="J597" t="s">
        <v>8567</v>
      </c>
      <c r="K597" t="s">
        <v>2597</v>
      </c>
    </row>
    <row r="598" spans="1:11" x14ac:dyDescent="0.4">
      <c r="A598" t="s">
        <v>8260</v>
      </c>
      <c r="B598" t="s">
        <v>9</v>
      </c>
      <c r="C598" t="s">
        <v>10</v>
      </c>
      <c r="D598" t="s">
        <v>6158</v>
      </c>
      <c r="E598" t="s">
        <v>8261</v>
      </c>
      <c r="F598" t="str">
        <f>LEFT(E598,5)</f>
        <v>서울특별시</v>
      </c>
      <c r="G598" t="str">
        <f t="shared" si="20"/>
        <v xml:space="preserve">광진구 </v>
      </c>
      <c r="H598" t="str">
        <f t="shared" si="21"/>
        <v>자양동</v>
      </c>
      <c r="I598" t="s">
        <v>8262</v>
      </c>
      <c r="J598" t="s">
        <v>8263</v>
      </c>
      <c r="K598" t="s">
        <v>8264</v>
      </c>
    </row>
    <row r="599" spans="1:11" x14ac:dyDescent="0.4">
      <c r="A599" t="s">
        <v>6157</v>
      </c>
      <c r="B599" t="s">
        <v>9</v>
      </c>
      <c r="C599" t="s">
        <v>10</v>
      </c>
      <c r="D599" t="s">
        <v>6158</v>
      </c>
      <c r="E599" t="s">
        <v>6159</v>
      </c>
      <c r="F599" t="str">
        <f>LEFT(E599,5)</f>
        <v>서울특별시</v>
      </c>
      <c r="G599" t="str">
        <f t="shared" si="20"/>
        <v xml:space="preserve">광진구 </v>
      </c>
      <c r="H599" t="str">
        <f t="shared" si="21"/>
        <v>자양동</v>
      </c>
      <c r="I599" t="s">
        <v>6160</v>
      </c>
      <c r="J599" t="s">
        <v>6161</v>
      </c>
      <c r="K599" t="s">
        <v>4552</v>
      </c>
    </row>
    <row r="600" spans="1:11" x14ac:dyDescent="0.4">
      <c r="A600" t="s">
        <v>5944</v>
      </c>
      <c r="B600" t="s">
        <v>9</v>
      </c>
      <c r="C600" t="s">
        <v>10</v>
      </c>
      <c r="D600" t="s">
        <v>5945</v>
      </c>
      <c r="E600" t="s">
        <v>5946</v>
      </c>
      <c r="F600" t="str">
        <f>LEFT(E600,5)</f>
        <v>서울특별시</v>
      </c>
      <c r="G600" t="str">
        <f t="shared" si="20"/>
        <v xml:space="preserve">광진구 </v>
      </c>
      <c r="H600" t="str">
        <f t="shared" si="21"/>
        <v>자양동</v>
      </c>
      <c r="I600" t="s">
        <v>5947</v>
      </c>
      <c r="J600" t="s">
        <v>5948</v>
      </c>
      <c r="K600" t="s">
        <v>5949</v>
      </c>
    </row>
    <row r="601" spans="1:11" x14ac:dyDescent="0.4">
      <c r="A601" t="s">
        <v>8513</v>
      </c>
      <c r="B601" t="s">
        <v>9</v>
      </c>
      <c r="C601" t="s">
        <v>10</v>
      </c>
      <c r="D601" t="s">
        <v>5945</v>
      </c>
      <c r="E601" t="s">
        <v>8514</v>
      </c>
      <c r="F601" t="str">
        <f>LEFT(E601,5)</f>
        <v>서울특별시</v>
      </c>
      <c r="G601" t="str">
        <f t="shared" si="20"/>
        <v xml:space="preserve">광진구 </v>
      </c>
      <c r="H601" t="str">
        <f t="shared" si="21"/>
        <v>자양동</v>
      </c>
      <c r="I601" t="s">
        <v>8515</v>
      </c>
      <c r="J601" t="s">
        <v>5948</v>
      </c>
      <c r="K601" t="s">
        <v>2531</v>
      </c>
    </row>
    <row r="602" spans="1:11" x14ac:dyDescent="0.4">
      <c r="A602" t="s">
        <v>7347</v>
      </c>
      <c r="B602" t="s">
        <v>9</v>
      </c>
      <c r="C602" t="s">
        <v>10</v>
      </c>
      <c r="D602" t="s">
        <v>5945</v>
      </c>
      <c r="E602" t="s">
        <v>7348</v>
      </c>
      <c r="F602" t="str">
        <f>LEFT(E602,5)</f>
        <v>서울특별시</v>
      </c>
      <c r="G602" t="str">
        <f t="shared" si="20"/>
        <v xml:space="preserve">광진구 </v>
      </c>
      <c r="H602" t="str">
        <f t="shared" si="21"/>
        <v>자양동</v>
      </c>
      <c r="I602" t="s">
        <v>7349</v>
      </c>
      <c r="J602" t="s">
        <v>5948</v>
      </c>
      <c r="K602" t="s">
        <v>7350</v>
      </c>
    </row>
    <row r="603" spans="1:11" x14ac:dyDescent="0.4">
      <c r="A603" t="s">
        <v>7976</v>
      </c>
      <c r="B603" t="s">
        <v>9</v>
      </c>
      <c r="C603" t="s">
        <v>10</v>
      </c>
      <c r="D603" t="s">
        <v>6308</v>
      </c>
      <c r="E603" t="s">
        <v>7977</v>
      </c>
      <c r="F603" t="str">
        <f>LEFT(E603,5)</f>
        <v>서울특별시</v>
      </c>
      <c r="G603" t="str">
        <f t="shared" si="20"/>
        <v xml:space="preserve">광진구 </v>
      </c>
      <c r="H603" t="str">
        <f t="shared" si="21"/>
        <v>자양동</v>
      </c>
      <c r="I603" t="s">
        <v>7978</v>
      </c>
      <c r="J603" t="s">
        <v>7979</v>
      </c>
      <c r="K603" t="s">
        <v>7980</v>
      </c>
    </row>
    <row r="604" spans="1:11" x14ac:dyDescent="0.4">
      <c r="A604" t="s">
        <v>8152</v>
      </c>
      <c r="B604" t="s">
        <v>9</v>
      </c>
      <c r="C604" t="s">
        <v>10</v>
      </c>
      <c r="D604" t="s">
        <v>6308</v>
      </c>
      <c r="E604" t="s">
        <v>8153</v>
      </c>
      <c r="F604" t="str">
        <f>LEFT(E604,5)</f>
        <v>서울특별시</v>
      </c>
      <c r="G604" t="str">
        <f t="shared" si="20"/>
        <v xml:space="preserve">광진구 </v>
      </c>
      <c r="H604" t="str">
        <f t="shared" si="21"/>
        <v>자양동</v>
      </c>
      <c r="I604" t="s">
        <v>8154</v>
      </c>
      <c r="J604" t="s">
        <v>7979</v>
      </c>
      <c r="K604" t="s">
        <v>900</v>
      </c>
    </row>
    <row r="605" spans="1:11" x14ac:dyDescent="0.4">
      <c r="A605" t="s">
        <v>6307</v>
      </c>
      <c r="B605" t="s">
        <v>9</v>
      </c>
      <c r="C605" t="s">
        <v>10</v>
      </c>
      <c r="D605" t="s">
        <v>6308</v>
      </c>
      <c r="E605" t="s">
        <v>6309</v>
      </c>
      <c r="F605" t="str">
        <f>LEFT(E605,5)</f>
        <v>서울특별시</v>
      </c>
      <c r="G605" t="str">
        <f t="shared" si="20"/>
        <v xml:space="preserve">광진구 </v>
      </c>
      <c r="H605" t="str">
        <f t="shared" si="21"/>
        <v>자양동</v>
      </c>
      <c r="I605" t="s">
        <v>6310</v>
      </c>
      <c r="J605" t="s">
        <v>6311</v>
      </c>
      <c r="K605" t="s">
        <v>6312</v>
      </c>
    </row>
    <row r="606" spans="1:11" x14ac:dyDescent="0.4">
      <c r="A606" t="s">
        <v>5519</v>
      </c>
      <c r="B606" t="s">
        <v>9</v>
      </c>
      <c r="C606" t="s">
        <v>10</v>
      </c>
      <c r="D606" t="s">
        <v>5520</v>
      </c>
      <c r="E606" t="s">
        <v>5521</v>
      </c>
      <c r="F606" t="str">
        <f>LEFT(E606,5)</f>
        <v>서울특별시</v>
      </c>
      <c r="G606" t="str">
        <f t="shared" si="20"/>
        <v xml:space="preserve">광진구 </v>
      </c>
      <c r="H606" t="str">
        <f t="shared" si="21"/>
        <v>중곡동</v>
      </c>
      <c r="I606" t="s">
        <v>5522</v>
      </c>
      <c r="J606" t="s">
        <v>5523</v>
      </c>
      <c r="K606" t="s">
        <v>5524</v>
      </c>
    </row>
    <row r="607" spans="1:11" x14ac:dyDescent="0.4">
      <c r="A607" t="s">
        <v>5881</v>
      </c>
      <c r="B607" t="s">
        <v>9</v>
      </c>
      <c r="C607" t="s">
        <v>10</v>
      </c>
      <c r="D607" t="s">
        <v>5520</v>
      </c>
      <c r="E607" t="s">
        <v>5882</v>
      </c>
      <c r="F607" t="str">
        <f>LEFT(E607,5)</f>
        <v>서울특별시</v>
      </c>
      <c r="G607" t="str">
        <f t="shared" si="20"/>
        <v xml:space="preserve">광진구 </v>
      </c>
      <c r="H607" t="str">
        <f t="shared" si="21"/>
        <v>중곡동</v>
      </c>
      <c r="I607" t="s">
        <v>5883</v>
      </c>
      <c r="J607" t="s">
        <v>5884</v>
      </c>
      <c r="K607" t="s">
        <v>5885</v>
      </c>
    </row>
    <row r="608" spans="1:11" x14ac:dyDescent="0.4">
      <c r="A608" t="s">
        <v>7305</v>
      </c>
      <c r="B608" t="s">
        <v>9</v>
      </c>
      <c r="C608" t="s">
        <v>10</v>
      </c>
      <c r="D608" t="s">
        <v>4138</v>
      </c>
      <c r="E608" t="s">
        <v>7306</v>
      </c>
      <c r="F608" t="str">
        <f>LEFT(E608,5)</f>
        <v>서울특별시</v>
      </c>
      <c r="G608" t="str">
        <f t="shared" si="20"/>
        <v xml:space="preserve">광진구 </v>
      </c>
      <c r="H608" t="str">
        <f t="shared" si="21"/>
        <v>중곡동</v>
      </c>
      <c r="I608" t="s">
        <v>7307</v>
      </c>
      <c r="J608" t="s">
        <v>7308</v>
      </c>
      <c r="K608" t="s">
        <v>7309</v>
      </c>
    </row>
    <row r="609" spans="1:11" x14ac:dyDescent="0.4">
      <c r="A609" t="s">
        <v>4137</v>
      </c>
      <c r="B609" t="s">
        <v>9</v>
      </c>
      <c r="C609" t="s">
        <v>10</v>
      </c>
      <c r="D609" t="s">
        <v>4138</v>
      </c>
      <c r="E609" t="s">
        <v>4139</v>
      </c>
      <c r="F609" t="str">
        <f>LEFT(E609,5)</f>
        <v>서울특별시</v>
      </c>
      <c r="G609" t="str">
        <f t="shared" si="20"/>
        <v xml:space="preserve">광진구 </v>
      </c>
      <c r="H609" t="str">
        <f t="shared" si="21"/>
        <v>중곡동</v>
      </c>
      <c r="I609" t="s">
        <v>4140</v>
      </c>
      <c r="J609" t="s">
        <v>4141</v>
      </c>
      <c r="K609" t="s">
        <v>4142</v>
      </c>
    </row>
    <row r="610" spans="1:11" x14ac:dyDescent="0.4">
      <c r="A610" t="s">
        <v>7197</v>
      </c>
      <c r="B610" t="s">
        <v>9</v>
      </c>
      <c r="C610" t="s">
        <v>10</v>
      </c>
      <c r="D610" t="s">
        <v>7198</v>
      </c>
      <c r="E610" t="s">
        <v>7199</v>
      </c>
      <c r="F610" t="str">
        <f>LEFT(E610,5)</f>
        <v>서울특별시</v>
      </c>
      <c r="G610" t="str">
        <f t="shared" si="20"/>
        <v xml:space="preserve">광진구 </v>
      </c>
      <c r="H610" t="str">
        <f t="shared" si="21"/>
        <v>중곡동</v>
      </c>
      <c r="I610" t="s">
        <v>7200</v>
      </c>
      <c r="J610" t="s">
        <v>4141</v>
      </c>
      <c r="K610" t="s">
        <v>7201</v>
      </c>
    </row>
    <row r="611" spans="1:11" x14ac:dyDescent="0.4">
      <c r="A611" t="s">
        <v>6337</v>
      </c>
      <c r="B611" t="s">
        <v>9</v>
      </c>
      <c r="C611" t="s">
        <v>10</v>
      </c>
      <c r="D611" t="s">
        <v>6338</v>
      </c>
      <c r="E611" t="s">
        <v>6339</v>
      </c>
      <c r="F611" t="str">
        <f>LEFT(E611,5)</f>
        <v>서울특별시</v>
      </c>
      <c r="G611" t="str">
        <f t="shared" si="20"/>
        <v xml:space="preserve">광진구 </v>
      </c>
      <c r="H611" t="str">
        <f t="shared" si="21"/>
        <v>중곡동</v>
      </c>
      <c r="I611" t="s">
        <v>6340</v>
      </c>
      <c r="J611" t="s">
        <v>5884</v>
      </c>
      <c r="K611" t="s">
        <v>6341</v>
      </c>
    </row>
    <row r="612" spans="1:11" x14ac:dyDescent="0.4">
      <c r="A612" t="s">
        <v>4643</v>
      </c>
      <c r="B612" t="s">
        <v>9</v>
      </c>
      <c r="C612" t="s">
        <v>10</v>
      </c>
      <c r="D612" t="s">
        <v>4644</v>
      </c>
      <c r="E612" t="s">
        <v>4645</v>
      </c>
      <c r="F612" t="str">
        <f>LEFT(E612,5)</f>
        <v>서울특별시</v>
      </c>
      <c r="G612" t="str">
        <f t="shared" si="20"/>
        <v xml:space="preserve">광진구 </v>
      </c>
      <c r="H612" t="str">
        <f t="shared" si="21"/>
        <v>중곡동</v>
      </c>
      <c r="I612" t="s">
        <v>4646</v>
      </c>
      <c r="J612" t="s">
        <v>4647</v>
      </c>
      <c r="K612" t="s">
        <v>4648</v>
      </c>
    </row>
    <row r="613" spans="1:11" x14ac:dyDescent="0.4">
      <c r="A613" t="s">
        <v>6965</v>
      </c>
      <c r="B613" t="s">
        <v>9</v>
      </c>
      <c r="C613" t="s">
        <v>10</v>
      </c>
      <c r="D613" t="s">
        <v>4644</v>
      </c>
      <c r="E613" t="s">
        <v>6966</v>
      </c>
      <c r="F613" t="str">
        <f>LEFT(E613,5)</f>
        <v>서울특별시</v>
      </c>
      <c r="G613" t="str">
        <f t="shared" si="20"/>
        <v xml:space="preserve">광진구 </v>
      </c>
      <c r="H613" t="str">
        <f t="shared" si="21"/>
        <v>중곡동</v>
      </c>
      <c r="I613" t="s">
        <v>6967</v>
      </c>
      <c r="J613" t="s">
        <v>6968</v>
      </c>
      <c r="K613" t="s">
        <v>6969</v>
      </c>
    </row>
    <row r="614" spans="1:11" x14ac:dyDescent="0.4">
      <c r="A614" t="s">
        <v>4413</v>
      </c>
      <c r="B614" t="s">
        <v>9</v>
      </c>
      <c r="C614" t="s">
        <v>10</v>
      </c>
      <c r="D614" t="s">
        <v>4414</v>
      </c>
      <c r="E614" t="s">
        <v>4415</v>
      </c>
      <c r="F614" t="str">
        <f>LEFT(E614,5)</f>
        <v>서울특별시</v>
      </c>
      <c r="G614" t="str">
        <f t="shared" si="20"/>
        <v xml:space="preserve">광진구 </v>
      </c>
      <c r="H614" t="str">
        <f t="shared" si="21"/>
        <v>중곡동</v>
      </c>
      <c r="I614" t="s">
        <v>4416</v>
      </c>
      <c r="J614" t="s">
        <v>4417</v>
      </c>
      <c r="K614" t="s">
        <v>4418</v>
      </c>
    </row>
    <row r="615" spans="1:11" x14ac:dyDescent="0.4">
      <c r="A615" t="s">
        <v>4195</v>
      </c>
      <c r="B615" t="s">
        <v>9</v>
      </c>
      <c r="C615" t="s">
        <v>10</v>
      </c>
      <c r="D615" t="s">
        <v>4196</v>
      </c>
      <c r="E615" t="s">
        <v>4197</v>
      </c>
      <c r="F615" t="str">
        <f>LEFT(E615,5)</f>
        <v>서울특별시</v>
      </c>
      <c r="G615" t="str">
        <f t="shared" si="20"/>
        <v xml:space="preserve">광진구 </v>
      </c>
      <c r="H615" t="str">
        <f t="shared" si="21"/>
        <v>중곡동</v>
      </c>
      <c r="I615" t="s">
        <v>4198</v>
      </c>
      <c r="J615" t="s">
        <v>4199</v>
      </c>
      <c r="K615" t="s">
        <v>4200</v>
      </c>
    </row>
    <row r="616" spans="1:11" x14ac:dyDescent="0.4">
      <c r="A616" t="s">
        <v>6247</v>
      </c>
      <c r="B616" t="s">
        <v>9</v>
      </c>
      <c r="C616" t="s">
        <v>10</v>
      </c>
      <c r="D616" t="s">
        <v>4196</v>
      </c>
      <c r="E616" t="s">
        <v>6248</v>
      </c>
      <c r="F616" t="str">
        <f>LEFT(E616,5)</f>
        <v>서울특별시</v>
      </c>
      <c r="G616" t="str">
        <f t="shared" si="20"/>
        <v xml:space="preserve">광진구 </v>
      </c>
      <c r="H616" t="str">
        <f t="shared" si="21"/>
        <v>중곡동</v>
      </c>
      <c r="I616" t="s">
        <v>6249</v>
      </c>
      <c r="J616" t="s">
        <v>6250</v>
      </c>
      <c r="K616" t="s">
        <v>6251</v>
      </c>
    </row>
    <row r="617" spans="1:11" x14ac:dyDescent="0.4">
      <c r="A617" t="s">
        <v>3092</v>
      </c>
      <c r="B617" t="s">
        <v>9</v>
      </c>
      <c r="C617" t="s">
        <v>10</v>
      </c>
      <c r="D617" t="s">
        <v>3093</v>
      </c>
      <c r="E617" t="s">
        <v>3094</v>
      </c>
      <c r="F617" t="str">
        <f>LEFT(E617,5)</f>
        <v>서울특별시</v>
      </c>
      <c r="G617" t="str">
        <f t="shared" si="20"/>
        <v xml:space="preserve">광진구 </v>
      </c>
      <c r="H617" t="str">
        <f t="shared" si="21"/>
        <v>화양동</v>
      </c>
      <c r="I617" t="s">
        <v>3095</v>
      </c>
      <c r="J617" t="s">
        <v>3096</v>
      </c>
      <c r="K617" t="s">
        <v>3097</v>
      </c>
    </row>
    <row r="618" spans="1:11" x14ac:dyDescent="0.4">
      <c r="A618" t="s">
        <v>6910</v>
      </c>
      <c r="B618" t="s">
        <v>9</v>
      </c>
      <c r="C618" t="s">
        <v>10</v>
      </c>
      <c r="D618" t="s">
        <v>3093</v>
      </c>
      <c r="E618" t="s">
        <v>6911</v>
      </c>
      <c r="F618" t="str">
        <f>LEFT(E618,5)</f>
        <v>서울특별시</v>
      </c>
      <c r="G618" t="str">
        <f t="shared" si="20"/>
        <v xml:space="preserve">광진구 </v>
      </c>
      <c r="H618" t="str">
        <f t="shared" si="21"/>
        <v>화양동</v>
      </c>
      <c r="I618" t="s">
        <v>6912</v>
      </c>
      <c r="J618" t="s">
        <v>3096</v>
      </c>
      <c r="K618" t="s">
        <v>6913</v>
      </c>
    </row>
    <row r="619" spans="1:11" x14ac:dyDescent="0.4">
      <c r="A619" t="s">
        <v>3655</v>
      </c>
      <c r="B619" t="s">
        <v>9</v>
      </c>
      <c r="C619" t="s">
        <v>10</v>
      </c>
      <c r="D619" t="s">
        <v>3093</v>
      </c>
      <c r="E619" t="s">
        <v>3656</v>
      </c>
      <c r="F619" t="str">
        <f>LEFT(E619,5)</f>
        <v>서울특별시</v>
      </c>
      <c r="G619" t="str">
        <f t="shared" si="20"/>
        <v xml:space="preserve">광진구 </v>
      </c>
      <c r="H619" t="str">
        <f t="shared" si="21"/>
        <v>화양동</v>
      </c>
      <c r="I619" t="s">
        <v>3657</v>
      </c>
      <c r="J619" t="s">
        <v>3096</v>
      </c>
      <c r="K619" t="s">
        <v>3658</v>
      </c>
    </row>
    <row r="620" spans="1:11" x14ac:dyDescent="0.4">
      <c r="A620" t="s">
        <v>5862</v>
      </c>
      <c r="B620" t="s">
        <v>9</v>
      </c>
      <c r="C620" t="s">
        <v>10</v>
      </c>
      <c r="D620" t="s">
        <v>3093</v>
      </c>
      <c r="E620" t="s">
        <v>5863</v>
      </c>
      <c r="F620" t="str">
        <f>LEFT(E620,5)</f>
        <v>서울특별시</v>
      </c>
      <c r="G620" t="str">
        <f t="shared" si="20"/>
        <v xml:space="preserve">광진구 </v>
      </c>
      <c r="H620" t="str">
        <f t="shared" si="21"/>
        <v>화양동</v>
      </c>
      <c r="I620" t="s">
        <v>5864</v>
      </c>
      <c r="J620" t="s">
        <v>3096</v>
      </c>
      <c r="K620" t="s">
        <v>5865</v>
      </c>
    </row>
    <row r="621" spans="1:11" x14ac:dyDescent="0.4">
      <c r="A621" t="s">
        <v>7501</v>
      </c>
      <c r="B621" t="s">
        <v>9</v>
      </c>
      <c r="C621" t="s">
        <v>10</v>
      </c>
      <c r="D621" t="s">
        <v>3093</v>
      </c>
      <c r="E621" t="s">
        <v>7502</v>
      </c>
      <c r="F621" t="str">
        <f>LEFT(E621,5)</f>
        <v>서울특별시</v>
      </c>
      <c r="G621" t="str">
        <f t="shared" si="20"/>
        <v xml:space="preserve">광진구 </v>
      </c>
      <c r="H621" t="str">
        <f t="shared" si="21"/>
        <v>화양동</v>
      </c>
      <c r="I621" t="s">
        <v>7503</v>
      </c>
      <c r="J621" t="s">
        <v>3096</v>
      </c>
      <c r="K621" t="s">
        <v>3009</v>
      </c>
    </row>
    <row r="622" spans="1:11" x14ac:dyDescent="0.4">
      <c r="A622" t="s">
        <v>4163</v>
      </c>
      <c r="B622" t="s">
        <v>9</v>
      </c>
      <c r="C622" t="s">
        <v>10</v>
      </c>
      <c r="D622" t="s">
        <v>3490</v>
      </c>
      <c r="E622" t="s">
        <v>4164</v>
      </c>
      <c r="F622" t="str">
        <f>LEFT(E622,5)</f>
        <v>서울특별시</v>
      </c>
      <c r="G622" t="str">
        <f t="shared" si="20"/>
        <v xml:space="preserve">광진구 </v>
      </c>
      <c r="H622" t="str">
        <f t="shared" si="21"/>
        <v>화양동</v>
      </c>
      <c r="I622" t="s">
        <v>4165</v>
      </c>
      <c r="J622" t="s">
        <v>4166</v>
      </c>
      <c r="K622" t="s">
        <v>4167</v>
      </c>
    </row>
    <row r="623" spans="1:11" x14ac:dyDescent="0.4">
      <c r="A623" t="s">
        <v>4883</v>
      </c>
      <c r="B623" t="s">
        <v>9</v>
      </c>
      <c r="C623" t="s">
        <v>10</v>
      </c>
      <c r="D623" t="s">
        <v>3490</v>
      </c>
      <c r="E623" t="s">
        <v>4884</v>
      </c>
      <c r="F623" t="str">
        <f>LEFT(E623,5)</f>
        <v>서울특별시</v>
      </c>
      <c r="G623" t="str">
        <f t="shared" si="20"/>
        <v xml:space="preserve">광진구 </v>
      </c>
      <c r="H623" t="str">
        <f t="shared" si="21"/>
        <v>화양동</v>
      </c>
      <c r="I623" t="s">
        <v>4885</v>
      </c>
      <c r="J623" t="s">
        <v>4886</v>
      </c>
      <c r="K623" t="s">
        <v>4519</v>
      </c>
    </row>
    <row r="624" spans="1:11" x14ac:dyDescent="0.4">
      <c r="A624" t="s">
        <v>7446</v>
      </c>
      <c r="B624" t="s">
        <v>9</v>
      </c>
      <c r="C624" t="s">
        <v>10</v>
      </c>
      <c r="D624" t="s">
        <v>3490</v>
      </c>
      <c r="E624" t="s">
        <v>7447</v>
      </c>
      <c r="F624" t="str">
        <f>LEFT(E624,5)</f>
        <v>서울특별시</v>
      </c>
      <c r="G624" t="str">
        <f t="shared" si="20"/>
        <v xml:space="preserve">광진구 </v>
      </c>
      <c r="H624" t="str">
        <f t="shared" si="21"/>
        <v>화양동</v>
      </c>
      <c r="I624" t="s">
        <v>7448</v>
      </c>
      <c r="J624" t="s">
        <v>4166</v>
      </c>
      <c r="K624" t="s">
        <v>1149</v>
      </c>
    </row>
    <row r="625" spans="1:11" x14ac:dyDescent="0.4">
      <c r="A625" t="s">
        <v>3489</v>
      </c>
      <c r="B625" t="s">
        <v>9</v>
      </c>
      <c r="C625" t="s">
        <v>10</v>
      </c>
      <c r="D625" t="s">
        <v>3490</v>
      </c>
      <c r="E625" t="s">
        <v>3491</v>
      </c>
      <c r="F625" t="str">
        <f>LEFT(E625,5)</f>
        <v>서울특별시</v>
      </c>
      <c r="G625" t="str">
        <f t="shared" si="20"/>
        <v xml:space="preserve">광진구 </v>
      </c>
      <c r="H625" t="str">
        <f t="shared" si="21"/>
        <v>화양동</v>
      </c>
      <c r="I625" t="s">
        <v>3492</v>
      </c>
      <c r="J625" t="s">
        <v>3493</v>
      </c>
      <c r="K625" t="s">
        <v>3494</v>
      </c>
    </row>
    <row r="626" spans="1:11" x14ac:dyDescent="0.4">
      <c r="A626" t="s">
        <v>4612</v>
      </c>
      <c r="B626" t="s">
        <v>9</v>
      </c>
      <c r="C626" t="s">
        <v>10</v>
      </c>
      <c r="D626" t="s">
        <v>4613</v>
      </c>
      <c r="E626" t="s">
        <v>4614</v>
      </c>
      <c r="F626" t="str">
        <f>LEFT(E626,5)</f>
        <v>서울특별시</v>
      </c>
      <c r="G626" t="str">
        <f t="shared" si="20"/>
        <v xml:space="preserve">광진구 </v>
      </c>
      <c r="H626" t="str">
        <f t="shared" si="21"/>
        <v>화양동</v>
      </c>
      <c r="I626" t="s">
        <v>4615</v>
      </c>
      <c r="J626" t="s">
        <v>4616</v>
      </c>
      <c r="K626" t="s">
        <v>4617</v>
      </c>
    </row>
    <row r="627" spans="1:11" x14ac:dyDescent="0.4">
      <c r="A627" t="s">
        <v>6437</v>
      </c>
      <c r="B627" t="s">
        <v>9</v>
      </c>
      <c r="C627" t="s">
        <v>10</v>
      </c>
      <c r="D627" t="s">
        <v>4613</v>
      </c>
      <c r="E627" t="s">
        <v>6438</v>
      </c>
      <c r="F627" t="str">
        <f>LEFT(E627,5)</f>
        <v>서울특별시</v>
      </c>
      <c r="G627" t="str">
        <f t="shared" si="20"/>
        <v xml:space="preserve">광진구 </v>
      </c>
      <c r="H627" t="str">
        <f t="shared" si="21"/>
        <v>화양동</v>
      </c>
      <c r="I627" t="s">
        <v>6439</v>
      </c>
      <c r="J627" t="s">
        <v>4886</v>
      </c>
      <c r="K627" t="s">
        <v>6440</v>
      </c>
    </row>
    <row r="628" spans="1:11" x14ac:dyDescent="0.4">
      <c r="A628" t="s">
        <v>7301</v>
      </c>
      <c r="B628" t="s">
        <v>9</v>
      </c>
      <c r="C628" t="s">
        <v>10</v>
      </c>
      <c r="D628" t="s">
        <v>3948</v>
      </c>
      <c r="E628" t="s">
        <v>7302</v>
      </c>
      <c r="F628" t="str">
        <f>LEFT(E628,5)</f>
        <v>서울특별시</v>
      </c>
      <c r="G628" t="str">
        <f t="shared" si="20"/>
        <v xml:space="preserve">구로구 </v>
      </c>
      <c r="H628" t="str">
        <f t="shared" si="21"/>
        <v>가리봉</v>
      </c>
      <c r="I628" t="s">
        <v>7303</v>
      </c>
      <c r="J628" t="s">
        <v>4482</v>
      </c>
      <c r="K628" t="s">
        <v>7304</v>
      </c>
    </row>
    <row r="629" spans="1:11" x14ac:dyDescent="0.4">
      <c r="A629" t="s">
        <v>4479</v>
      </c>
      <c r="B629" t="s">
        <v>9</v>
      </c>
      <c r="C629" t="s">
        <v>10</v>
      </c>
      <c r="D629" t="s">
        <v>3948</v>
      </c>
      <c r="E629" t="s">
        <v>4480</v>
      </c>
      <c r="F629" t="str">
        <f>LEFT(E629,5)</f>
        <v>서울특별시</v>
      </c>
      <c r="G629" t="str">
        <f t="shared" si="20"/>
        <v xml:space="preserve">구로구 </v>
      </c>
      <c r="H629" t="str">
        <f t="shared" si="21"/>
        <v>가리봉</v>
      </c>
      <c r="I629" t="s">
        <v>4481</v>
      </c>
      <c r="J629" t="s">
        <v>4482</v>
      </c>
      <c r="K629" t="s">
        <v>4483</v>
      </c>
    </row>
    <row r="630" spans="1:11" x14ac:dyDescent="0.4">
      <c r="A630" t="s">
        <v>3947</v>
      </c>
      <c r="B630" t="s">
        <v>9</v>
      </c>
      <c r="C630" t="s">
        <v>10</v>
      </c>
      <c r="D630" t="s">
        <v>3948</v>
      </c>
      <c r="E630" t="s">
        <v>3949</v>
      </c>
      <c r="F630" t="str">
        <f>LEFT(E630,5)</f>
        <v>서울특별시</v>
      </c>
      <c r="G630" t="str">
        <f t="shared" si="20"/>
        <v xml:space="preserve">구로구 </v>
      </c>
      <c r="H630" t="str">
        <f t="shared" si="21"/>
        <v>가리봉</v>
      </c>
      <c r="I630" t="s">
        <v>3950</v>
      </c>
      <c r="J630" t="s">
        <v>3951</v>
      </c>
      <c r="K630" t="s">
        <v>3952</v>
      </c>
    </row>
    <row r="631" spans="1:11" x14ac:dyDescent="0.4">
      <c r="A631" t="s">
        <v>7818</v>
      </c>
      <c r="B631" t="s">
        <v>9</v>
      </c>
      <c r="C631" t="s">
        <v>10</v>
      </c>
      <c r="D631" t="s">
        <v>3948</v>
      </c>
      <c r="E631" t="s">
        <v>7819</v>
      </c>
      <c r="F631" t="str">
        <f>LEFT(E631,5)</f>
        <v>서울특별시</v>
      </c>
      <c r="G631" t="str">
        <f t="shared" si="20"/>
        <v xml:space="preserve">구로구 </v>
      </c>
      <c r="H631" t="str">
        <f t="shared" si="21"/>
        <v>가리봉</v>
      </c>
      <c r="I631" t="s">
        <v>7820</v>
      </c>
      <c r="J631" t="s">
        <v>7821</v>
      </c>
      <c r="K631" t="s">
        <v>600</v>
      </c>
    </row>
    <row r="632" spans="1:11" x14ac:dyDescent="0.4">
      <c r="A632" t="s">
        <v>8478</v>
      </c>
      <c r="B632" t="s">
        <v>9</v>
      </c>
      <c r="C632" t="s">
        <v>10</v>
      </c>
      <c r="D632" t="s">
        <v>3640</v>
      </c>
      <c r="E632" t="s">
        <v>8479</v>
      </c>
      <c r="F632" t="str">
        <f>LEFT(E632,5)</f>
        <v>서울특별시</v>
      </c>
      <c r="G632" t="str">
        <f t="shared" si="20"/>
        <v xml:space="preserve">구로구 </v>
      </c>
      <c r="H632" t="str">
        <f t="shared" si="21"/>
        <v>가리봉</v>
      </c>
      <c r="I632" t="s">
        <v>8480</v>
      </c>
      <c r="J632" t="s">
        <v>3643</v>
      </c>
      <c r="K632" t="s">
        <v>8481</v>
      </c>
    </row>
    <row r="633" spans="1:11" x14ac:dyDescent="0.4">
      <c r="A633" t="s">
        <v>3639</v>
      </c>
      <c r="B633" t="s">
        <v>9</v>
      </c>
      <c r="C633" t="s">
        <v>10</v>
      </c>
      <c r="D633" t="s">
        <v>3640</v>
      </c>
      <c r="E633" t="s">
        <v>3641</v>
      </c>
      <c r="F633" t="str">
        <f>LEFT(E633,5)</f>
        <v>서울특별시</v>
      </c>
      <c r="G633" t="str">
        <f t="shared" si="20"/>
        <v xml:space="preserve">구로구 </v>
      </c>
      <c r="H633" t="str">
        <f t="shared" si="21"/>
        <v>가리봉</v>
      </c>
      <c r="I633" t="s">
        <v>3642</v>
      </c>
      <c r="J633" t="s">
        <v>3643</v>
      </c>
      <c r="K633" t="s">
        <v>3644</v>
      </c>
    </row>
    <row r="634" spans="1:11" x14ac:dyDescent="0.4">
      <c r="A634" t="s">
        <v>8436</v>
      </c>
      <c r="B634" t="s">
        <v>9</v>
      </c>
      <c r="C634" t="s">
        <v>10</v>
      </c>
      <c r="D634" t="s">
        <v>3948</v>
      </c>
      <c r="E634" t="s">
        <v>8437</v>
      </c>
      <c r="F634" t="str">
        <f>LEFT(E634,5)</f>
        <v>서울특별시</v>
      </c>
      <c r="G634" t="str">
        <f t="shared" si="20"/>
        <v xml:space="preserve">구로구 </v>
      </c>
      <c r="H634" t="str">
        <f t="shared" si="21"/>
        <v>가리봉</v>
      </c>
      <c r="I634" t="s">
        <v>8438</v>
      </c>
      <c r="J634" t="s">
        <v>4482</v>
      </c>
      <c r="K634" t="s">
        <v>8439</v>
      </c>
    </row>
    <row r="635" spans="1:11" x14ac:dyDescent="0.4">
      <c r="A635" t="s">
        <v>7124</v>
      </c>
      <c r="B635" t="s">
        <v>9</v>
      </c>
      <c r="C635" t="s">
        <v>10</v>
      </c>
      <c r="D635" t="s">
        <v>7125</v>
      </c>
      <c r="E635" t="s">
        <v>7126</v>
      </c>
      <c r="F635" t="str">
        <f>LEFT(E635,5)</f>
        <v>서울특별시</v>
      </c>
      <c r="G635" t="str">
        <f t="shared" si="20"/>
        <v xml:space="preserve">구로구 </v>
      </c>
      <c r="H635" t="str">
        <f t="shared" si="21"/>
        <v>개봉동</v>
      </c>
      <c r="I635" t="s">
        <v>7127</v>
      </c>
      <c r="J635" t="s">
        <v>5834</v>
      </c>
      <c r="K635" t="s">
        <v>7128</v>
      </c>
    </row>
    <row r="636" spans="1:11" x14ac:dyDescent="0.4">
      <c r="A636" t="s">
        <v>4027</v>
      </c>
      <c r="B636" t="s">
        <v>9</v>
      </c>
      <c r="C636" t="s">
        <v>10</v>
      </c>
      <c r="D636" t="s">
        <v>4028</v>
      </c>
      <c r="E636" t="s">
        <v>4029</v>
      </c>
      <c r="F636" t="str">
        <f>LEFT(E636,5)</f>
        <v>서울특별시</v>
      </c>
      <c r="G636" t="str">
        <f t="shared" si="20"/>
        <v xml:space="preserve">구로구 </v>
      </c>
      <c r="H636" t="str">
        <f t="shared" si="21"/>
        <v>개봉동</v>
      </c>
      <c r="I636" t="s">
        <v>4030</v>
      </c>
      <c r="J636" t="s">
        <v>4031</v>
      </c>
      <c r="K636" t="s">
        <v>4032</v>
      </c>
    </row>
    <row r="637" spans="1:11" x14ac:dyDescent="0.4">
      <c r="A637" t="s">
        <v>5085</v>
      </c>
      <c r="B637" t="s">
        <v>9</v>
      </c>
      <c r="C637" t="s">
        <v>10</v>
      </c>
      <c r="D637" t="s">
        <v>4028</v>
      </c>
      <c r="E637" t="s">
        <v>5086</v>
      </c>
      <c r="F637" t="str">
        <f>LEFT(E637,5)</f>
        <v>서울특별시</v>
      </c>
      <c r="G637" t="str">
        <f t="shared" si="20"/>
        <v xml:space="preserve">구로구 </v>
      </c>
      <c r="H637" t="str">
        <f t="shared" si="21"/>
        <v>개봉동</v>
      </c>
      <c r="I637" t="s">
        <v>5087</v>
      </c>
      <c r="J637" t="s">
        <v>5088</v>
      </c>
      <c r="K637" t="s">
        <v>5089</v>
      </c>
    </row>
    <row r="638" spans="1:11" x14ac:dyDescent="0.4">
      <c r="A638" t="s">
        <v>8225</v>
      </c>
      <c r="B638" t="s">
        <v>9</v>
      </c>
      <c r="C638" t="s">
        <v>10</v>
      </c>
      <c r="D638" t="s">
        <v>4249</v>
      </c>
      <c r="E638" t="s">
        <v>8226</v>
      </c>
      <c r="F638" t="str">
        <f>LEFT(E638,5)</f>
        <v>서울특별시</v>
      </c>
      <c r="G638" t="str">
        <f t="shared" si="20"/>
        <v xml:space="preserve">구로구 </v>
      </c>
      <c r="H638" t="str">
        <f t="shared" si="21"/>
        <v>개봉동</v>
      </c>
      <c r="I638" t="s">
        <v>8227</v>
      </c>
      <c r="J638" t="s">
        <v>8228</v>
      </c>
      <c r="K638" t="s">
        <v>8229</v>
      </c>
    </row>
    <row r="639" spans="1:11" x14ac:dyDescent="0.4">
      <c r="A639" t="s">
        <v>5831</v>
      </c>
      <c r="B639" t="s">
        <v>9</v>
      </c>
      <c r="C639" t="s">
        <v>10</v>
      </c>
      <c r="D639" t="s">
        <v>4249</v>
      </c>
      <c r="E639" t="s">
        <v>5832</v>
      </c>
      <c r="F639" t="str">
        <f>LEFT(E639,5)</f>
        <v>서울특별시</v>
      </c>
      <c r="G639" t="str">
        <f t="shared" si="20"/>
        <v xml:space="preserve">구로구 </v>
      </c>
      <c r="H639" t="str">
        <f t="shared" si="21"/>
        <v>개봉동</v>
      </c>
      <c r="I639" t="s">
        <v>5833</v>
      </c>
      <c r="J639" t="s">
        <v>5834</v>
      </c>
      <c r="K639" t="s">
        <v>5835</v>
      </c>
    </row>
    <row r="640" spans="1:11" x14ac:dyDescent="0.4">
      <c r="A640" t="s">
        <v>7177</v>
      </c>
      <c r="B640" t="s">
        <v>9</v>
      </c>
      <c r="C640" t="s">
        <v>10</v>
      </c>
      <c r="D640" t="s">
        <v>4249</v>
      </c>
      <c r="E640" t="s">
        <v>7178</v>
      </c>
      <c r="F640" t="str">
        <f>LEFT(E640,5)</f>
        <v>서울특별시</v>
      </c>
      <c r="G640" t="str">
        <f t="shared" si="20"/>
        <v xml:space="preserve">구로구 </v>
      </c>
      <c r="H640" t="str">
        <f t="shared" si="21"/>
        <v>개봉동</v>
      </c>
      <c r="I640" t="s">
        <v>7179</v>
      </c>
      <c r="J640" t="s">
        <v>4252</v>
      </c>
      <c r="K640" t="s">
        <v>7180</v>
      </c>
    </row>
    <row r="641" spans="1:11" x14ac:dyDescent="0.4">
      <c r="A641" t="s">
        <v>4248</v>
      </c>
      <c r="B641" t="s">
        <v>9</v>
      </c>
      <c r="C641" t="s">
        <v>10</v>
      </c>
      <c r="D641" t="s">
        <v>4249</v>
      </c>
      <c r="E641" t="s">
        <v>4250</v>
      </c>
      <c r="F641" t="str">
        <f>LEFT(E641,5)</f>
        <v>서울특별시</v>
      </c>
      <c r="G641" t="str">
        <f t="shared" si="20"/>
        <v xml:space="preserve">구로구 </v>
      </c>
      <c r="H641" t="str">
        <f t="shared" si="21"/>
        <v>개봉동</v>
      </c>
      <c r="I641" t="s">
        <v>4251</v>
      </c>
      <c r="J641" t="s">
        <v>4252</v>
      </c>
      <c r="K641" t="s">
        <v>4253</v>
      </c>
    </row>
    <row r="642" spans="1:11" x14ac:dyDescent="0.4">
      <c r="A642" t="s">
        <v>7113</v>
      </c>
      <c r="B642" t="s">
        <v>9</v>
      </c>
      <c r="C642" t="s">
        <v>10</v>
      </c>
      <c r="D642" t="s">
        <v>7114</v>
      </c>
      <c r="E642" t="s">
        <v>7115</v>
      </c>
      <c r="F642" t="str">
        <f>LEFT(E642,5)</f>
        <v>서울특별시</v>
      </c>
      <c r="G642" t="str">
        <f t="shared" si="20"/>
        <v xml:space="preserve">구로구 </v>
      </c>
      <c r="H642" t="str">
        <f t="shared" si="21"/>
        <v>고척동</v>
      </c>
      <c r="I642" t="s">
        <v>7116</v>
      </c>
      <c r="J642" t="s">
        <v>7117</v>
      </c>
      <c r="K642" t="s">
        <v>7118</v>
      </c>
    </row>
    <row r="643" spans="1:11" x14ac:dyDescent="0.4">
      <c r="A643" t="s">
        <v>7715</v>
      </c>
      <c r="B643" t="s">
        <v>9</v>
      </c>
      <c r="C643" t="s">
        <v>10</v>
      </c>
      <c r="D643" t="s">
        <v>7716</v>
      </c>
      <c r="E643" t="s">
        <v>7717</v>
      </c>
      <c r="F643" t="str">
        <f>LEFT(E643,5)</f>
        <v>서울특별시</v>
      </c>
      <c r="G643" t="str">
        <f t="shared" ref="G643:G706" si="22">MID(E643,7,4)</f>
        <v xml:space="preserve">구로구 </v>
      </c>
      <c r="H643" t="str">
        <f t="shared" ref="H643:H706" si="23">MID(SUBSTITUTE(E643," ",""),9,3)</f>
        <v>고척동</v>
      </c>
      <c r="I643" t="s">
        <v>7718</v>
      </c>
      <c r="J643" t="s">
        <v>6688</v>
      </c>
      <c r="K643" t="s">
        <v>7719</v>
      </c>
    </row>
    <row r="644" spans="1:11" x14ac:dyDescent="0.4">
      <c r="A644" t="s">
        <v>4407</v>
      </c>
      <c r="B644" t="s">
        <v>9</v>
      </c>
      <c r="C644" t="s">
        <v>10</v>
      </c>
      <c r="D644" t="s">
        <v>4408</v>
      </c>
      <c r="E644" t="s">
        <v>4409</v>
      </c>
      <c r="F644" t="str">
        <f>LEFT(E644,5)</f>
        <v>서울특별시</v>
      </c>
      <c r="G644" t="str">
        <f t="shared" si="22"/>
        <v xml:space="preserve">구로구 </v>
      </c>
      <c r="H644" t="str">
        <f t="shared" si="23"/>
        <v>고척동</v>
      </c>
      <c r="I644" t="s">
        <v>4410</v>
      </c>
      <c r="J644" t="s">
        <v>4411</v>
      </c>
      <c r="K644" t="s">
        <v>4412</v>
      </c>
    </row>
    <row r="645" spans="1:11" x14ac:dyDescent="0.4">
      <c r="A645" t="s">
        <v>6685</v>
      </c>
      <c r="B645" t="s">
        <v>9</v>
      </c>
      <c r="C645" t="s">
        <v>10</v>
      </c>
      <c r="D645" t="s">
        <v>4408</v>
      </c>
      <c r="E645" t="s">
        <v>6686</v>
      </c>
      <c r="F645" t="str">
        <f>LEFT(E645,5)</f>
        <v>서울특별시</v>
      </c>
      <c r="G645" t="str">
        <f t="shared" si="22"/>
        <v xml:space="preserve">구로구 </v>
      </c>
      <c r="H645" t="str">
        <f t="shared" si="23"/>
        <v>고척동</v>
      </c>
      <c r="I645" t="s">
        <v>6687</v>
      </c>
      <c r="J645" t="s">
        <v>6688</v>
      </c>
      <c r="K645" t="s">
        <v>6689</v>
      </c>
    </row>
    <row r="646" spans="1:11" x14ac:dyDescent="0.4">
      <c r="A646" t="s">
        <v>6110</v>
      </c>
      <c r="B646" t="s">
        <v>9</v>
      </c>
      <c r="C646" t="s">
        <v>10</v>
      </c>
      <c r="D646" t="s">
        <v>4408</v>
      </c>
      <c r="E646" t="s">
        <v>6111</v>
      </c>
      <c r="F646" t="str">
        <f>LEFT(E646,5)</f>
        <v>서울특별시</v>
      </c>
      <c r="G646" t="str">
        <f t="shared" si="22"/>
        <v xml:space="preserve">구로구 </v>
      </c>
      <c r="H646" t="str">
        <f t="shared" si="23"/>
        <v>고척동</v>
      </c>
      <c r="I646" t="s">
        <v>6112</v>
      </c>
      <c r="J646" t="s">
        <v>6113</v>
      </c>
      <c r="K646" t="s">
        <v>1405</v>
      </c>
    </row>
    <row r="647" spans="1:11" x14ac:dyDescent="0.4">
      <c r="A647" t="s">
        <v>4973</v>
      </c>
      <c r="B647" t="s">
        <v>9</v>
      </c>
      <c r="C647" t="s">
        <v>10</v>
      </c>
      <c r="D647" t="s">
        <v>4974</v>
      </c>
      <c r="E647" t="s">
        <v>4975</v>
      </c>
      <c r="F647" t="str">
        <f>LEFT(E647,5)</f>
        <v>서울특별시</v>
      </c>
      <c r="G647" t="str">
        <f t="shared" si="22"/>
        <v xml:space="preserve">구로구 </v>
      </c>
      <c r="H647" t="str">
        <f t="shared" si="23"/>
        <v>고척동</v>
      </c>
      <c r="I647" t="s">
        <v>11</v>
      </c>
      <c r="J647" t="s">
        <v>11</v>
      </c>
      <c r="K647" t="s">
        <v>4976</v>
      </c>
    </row>
    <row r="648" spans="1:11" x14ac:dyDescent="0.4">
      <c r="A648" t="s">
        <v>7530</v>
      </c>
      <c r="B648" t="s">
        <v>9</v>
      </c>
      <c r="C648" t="s">
        <v>10</v>
      </c>
      <c r="D648" t="s">
        <v>7531</v>
      </c>
      <c r="E648" t="s">
        <v>7532</v>
      </c>
      <c r="F648" t="str">
        <f>LEFT(E648,5)</f>
        <v>서울특별시</v>
      </c>
      <c r="G648" t="str">
        <f t="shared" si="22"/>
        <v xml:space="preserve">구로구 </v>
      </c>
      <c r="H648" t="str">
        <f t="shared" si="23"/>
        <v>구로동</v>
      </c>
      <c r="I648" t="s">
        <v>7533</v>
      </c>
      <c r="J648" t="s">
        <v>7534</v>
      </c>
      <c r="K648" t="s">
        <v>7535</v>
      </c>
    </row>
    <row r="649" spans="1:11" x14ac:dyDescent="0.4">
      <c r="A649" t="s">
        <v>1510</v>
      </c>
      <c r="B649" t="s">
        <v>9</v>
      </c>
      <c r="C649" t="s">
        <v>10</v>
      </c>
      <c r="D649" t="s">
        <v>361</v>
      </c>
      <c r="E649" t="s">
        <v>1511</v>
      </c>
      <c r="F649" t="str">
        <f>LEFT(E649,5)</f>
        <v>서울특별시</v>
      </c>
      <c r="G649" t="str">
        <f t="shared" si="22"/>
        <v xml:space="preserve">구로구 </v>
      </c>
      <c r="H649" t="str">
        <f t="shared" si="23"/>
        <v>구로동</v>
      </c>
      <c r="I649" t="s">
        <v>1512</v>
      </c>
      <c r="J649" t="s">
        <v>364</v>
      </c>
      <c r="K649" t="s">
        <v>1513</v>
      </c>
    </row>
    <row r="650" spans="1:11" x14ac:dyDescent="0.4">
      <c r="A650" t="s">
        <v>1114</v>
      </c>
      <c r="B650" t="s">
        <v>9</v>
      </c>
      <c r="C650" t="s">
        <v>10</v>
      </c>
      <c r="D650" t="s">
        <v>361</v>
      </c>
      <c r="E650" t="s">
        <v>1115</v>
      </c>
      <c r="F650" t="str">
        <f>LEFT(E650,5)</f>
        <v>서울특별시</v>
      </c>
      <c r="G650" t="str">
        <f t="shared" si="22"/>
        <v xml:space="preserve">구로구 </v>
      </c>
      <c r="H650" t="str">
        <f t="shared" si="23"/>
        <v>구로동</v>
      </c>
      <c r="I650" t="s">
        <v>1116</v>
      </c>
      <c r="J650" t="s">
        <v>364</v>
      </c>
      <c r="K650" t="s">
        <v>1117</v>
      </c>
    </row>
    <row r="651" spans="1:11" x14ac:dyDescent="0.4">
      <c r="A651" t="s">
        <v>1573</v>
      </c>
      <c r="B651" t="s">
        <v>9</v>
      </c>
      <c r="C651" t="s">
        <v>10</v>
      </c>
      <c r="D651" t="s">
        <v>361</v>
      </c>
      <c r="E651" t="s">
        <v>1574</v>
      </c>
      <c r="F651" t="str">
        <f>LEFT(E651,5)</f>
        <v>서울특별시</v>
      </c>
      <c r="G651" t="str">
        <f t="shared" si="22"/>
        <v xml:space="preserve">구로구 </v>
      </c>
      <c r="H651" t="str">
        <f t="shared" si="23"/>
        <v>구로동</v>
      </c>
      <c r="I651" t="s">
        <v>1575</v>
      </c>
      <c r="J651" t="s">
        <v>364</v>
      </c>
      <c r="K651" t="s">
        <v>1576</v>
      </c>
    </row>
    <row r="652" spans="1:11" x14ac:dyDescent="0.4">
      <c r="A652" t="s">
        <v>1402</v>
      </c>
      <c r="B652" t="s">
        <v>9</v>
      </c>
      <c r="C652" t="s">
        <v>10</v>
      </c>
      <c r="D652" t="s">
        <v>361</v>
      </c>
      <c r="E652" t="s">
        <v>1403</v>
      </c>
      <c r="F652" t="str">
        <f>LEFT(E652,5)</f>
        <v>서울특별시</v>
      </c>
      <c r="G652" t="str">
        <f t="shared" si="22"/>
        <v xml:space="preserve">구로구 </v>
      </c>
      <c r="H652" t="str">
        <f t="shared" si="23"/>
        <v>구로동</v>
      </c>
      <c r="I652" t="s">
        <v>1404</v>
      </c>
      <c r="J652" t="s">
        <v>364</v>
      </c>
      <c r="K652" t="s">
        <v>1405</v>
      </c>
    </row>
    <row r="653" spans="1:11" x14ac:dyDescent="0.4">
      <c r="A653" t="s">
        <v>1092</v>
      </c>
      <c r="B653" t="s">
        <v>9</v>
      </c>
      <c r="C653" t="s">
        <v>10</v>
      </c>
      <c r="D653" t="s">
        <v>361</v>
      </c>
      <c r="E653" t="s">
        <v>1093</v>
      </c>
      <c r="F653" t="str">
        <f>LEFT(E653,5)</f>
        <v>서울특별시</v>
      </c>
      <c r="G653" t="str">
        <f t="shared" si="22"/>
        <v xml:space="preserve">구로구 </v>
      </c>
      <c r="H653" t="str">
        <f t="shared" si="23"/>
        <v>구로동</v>
      </c>
      <c r="I653" t="s">
        <v>1094</v>
      </c>
      <c r="J653" t="s">
        <v>364</v>
      </c>
      <c r="K653" t="s">
        <v>1095</v>
      </c>
    </row>
    <row r="654" spans="1:11" x14ac:dyDescent="0.4">
      <c r="A654" t="s">
        <v>1186</v>
      </c>
      <c r="B654" t="s">
        <v>9</v>
      </c>
      <c r="C654" t="s">
        <v>10</v>
      </c>
      <c r="D654" t="s">
        <v>361</v>
      </c>
      <c r="E654" t="s">
        <v>1187</v>
      </c>
      <c r="F654" t="str">
        <f>LEFT(E654,5)</f>
        <v>서울특별시</v>
      </c>
      <c r="G654" t="str">
        <f t="shared" si="22"/>
        <v xml:space="preserve">구로구 </v>
      </c>
      <c r="H654" t="str">
        <f t="shared" si="23"/>
        <v>구로동</v>
      </c>
      <c r="I654" t="s">
        <v>1188</v>
      </c>
      <c r="J654" t="s">
        <v>364</v>
      </c>
      <c r="K654" t="s">
        <v>1189</v>
      </c>
    </row>
    <row r="655" spans="1:11" x14ac:dyDescent="0.4">
      <c r="A655" t="s">
        <v>6666</v>
      </c>
      <c r="B655" t="s">
        <v>9</v>
      </c>
      <c r="C655" t="s">
        <v>10</v>
      </c>
      <c r="D655" t="s">
        <v>361</v>
      </c>
      <c r="E655" t="s">
        <v>6667</v>
      </c>
      <c r="F655" t="str">
        <f>LEFT(E655,5)</f>
        <v>서울특별시</v>
      </c>
      <c r="G655" t="str">
        <f t="shared" si="22"/>
        <v xml:space="preserve">구로구 </v>
      </c>
      <c r="H655" t="str">
        <f t="shared" si="23"/>
        <v>구로동</v>
      </c>
      <c r="I655" t="s">
        <v>6668</v>
      </c>
      <c r="J655" t="s">
        <v>364</v>
      </c>
      <c r="K655" t="s">
        <v>6669</v>
      </c>
    </row>
    <row r="656" spans="1:11" x14ac:dyDescent="0.4">
      <c r="A656" t="s">
        <v>1541</v>
      </c>
      <c r="B656" t="s">
        <v>9</v>
      </c>
      <c r="C656" t="s">
        <v>10</v>
      </c>
      <c r="D656" t="s">
        <v>361</v>
      </c>
      <c r="E656" t="s">
        <v>1542</v>
      </c>
      <c r="F656" t="str">
        <f>LEFT(E656,5)</f>
        <v>서울특별시</v>
      </c>
      <c r="G656" t="str">
        <f t="shared" si="22"/>
        <v xml:space="preserve">구로구 </v>
      </c>
      <c r="H656" t="str">
        <f t="shared" si="23"/>
        <v>구로동</v>
      </c>
      <c r="I656" t="s">
        <v>1543</v>
      </c>
      <c r="J656" t="s">
        <v>364</v>
      </c>
      <c r="K656" t="s">
        <v>1544</v>
      </c>
    </row>
    <row r="657" spans="1:11" x14ac:dyDescent="0.4">
      <c r="A657" t="s">
        <v>360</v>
      </c>
      <c r="B657" t="s">
        <v>9</v>
      </c>
      <c r="C657" t="s">
        <v>10</v>
      </c>
      <c r="D657" t="s">
        <v>361</v>
      </c>
      <c r="E657" t="s">
        <v>362</v>
      </c>
      <c r="F657" t="str">
        <f>LEFT(E657,5)</f>
        <v>서울특별시</v>
      </c>
      <c r="G657" t="str">
        <f t="shared" si="22"/>
        <v xml:space="preserve">구로구 </v>
      </c>
      <c r="H657" t="str">
        <f t="shared" si="23"/>
        <v>구로동</v>
      </c>
      <c r="I657" t="s">
        <v>363</v>
      </c>
      <c r="J657" t="s">
        <v>364</v>
      </c>
      <c r="K657" t="s">
        <v>365</v>
      </c>
    </row>
    <row r="658" spans="1:11" x14ac:dyDescent="0.4">
      <c r="A658" t="s">
        <v>1483</v>
      </c>
      <c r="B658" t="s">
        <v>9</v>
      </c>
      <c r="C658" t="s">
        <v>10</v>
      </c>
      <c r="D658" t="s">
        <v>361</v>
      </c>
      <c r="E658" t="s">
        <v>1484</v>
      </c>
      <c r="F658" t="str">
        <f>LEFT(E658,5)</f>
        <v>서울특별시</v>
      </c>
      <c r="G658" t="str">
        <f t="shared" si="22"/>
        <v xml:space="preserve">구로구 </v>
      </c>
      <c r="H658" t="str">
        <f t="shared" si="23"/>
        <v>구로동</v>
      </c>
      <c r="I658" t="s">
        <v>1485</v>
      </c>
      <c r="J658" t="s">
        <v>364</v>
      </c>
      <c r="K658" t="s">
        <v>1486</v>
      </c>
    </row>
    <row r="659" spans="1:11" x14ac:dyDescent="0.4">
      <c r="A659" t="s">
        <v>5886</v>
      </c>
      <c r="B659" t="s">
        <v>9</v>
      </c>
      <c r="C659" t="s">
        <v>10</v>
      </c>
      <c r="D659" t="s">
        <v>361</v>
      </c>
      <c r="E659" t="s">
        <v>5887</v>
      </c>
      <c r="F659" t="str">
        <f>LEFT(E659,5)</f>
        <v>서울특별시</v>
      </c>
      <c r="G659" t="str">
        <f t="shared" si="22"/>
        <v xml:space="preserve">구로구 </v>
      </c>
      <c r="H659" t="str">
        <f t="shared" si="23"/>
        <v>구로동</v>
      </c>
      <c r="I659" t="s">
        <v>5888</v>
      </c>
      <c r="J659" t="s">
        <v>364</v>
      </c>
      <c r="K659" t="s">
        <v>5889</v>
      </c>
    </row>
    <row r="660" spans="1:11" x14ac:dyDescent="0.4">
      <c r="A660" t="s">
        <v>7103</v>
      </c>
      <c r="B660" t="s">
        <v>9</v>
      </c>
      <c r="C660" t="s">
        <v>10</v>
      </c>
      <c r="D660" t="s">
        <v>361</v>
      </c>
      <c r="E660" t="s">
        <v>7104</v>
      </c>
      <c r="F660" t="str">
        <f>LEFT(E660,5)</f>
        <v>서울특별시</v>
      </c>
      <c r="G660" t="str">
        <f t="shared" si="22"/>
        <v xml:space="preserve">구로구 </v>
      </c>
      <c r="H660" t="str">
        <f t="shared" si="23"/>
        <v>구로동</v>
      </c>
      <c r="I660" t="s">
        <v>7105</v>
      </c>
      <c r="J660" t="s">
        <v>364</v>
      </c>
      <c r="K660" t="s">
        <v>7106</v>
      </c>
    </row>
    <row r="661" spans="1:11" x14ac:dyDescent="0.4">
      <c r="A661" t="s">
        <v>7087</v>
      </c>
      <c r="B661" t="s">
        <v>9</v>
      </c>
      <c r="C661" t="s">
        <v>10</v>
      </c>
      <c r="D661" t="s">
        <v>361</v>
      </c>
      <c r="E661" t="s">
        <v>7088</v>
      </c>
      <c r="F661" t="str">
        <f>LEFT(E661,5)</f>
        <v>서울특별시</v>
      </c>
      <c r="G661" t="str">
        <f t="shared" si="22"/>
        <v xml:space="preserve">구로구 </v>
      </c>
      <c r="H661" t="str">
        <f t="shared" si="23"/>
        <v>구로동</v>
      </c>
      <c r="I661" t="s">
        <v>7089</v>
      </c>
      <c r="J661" t="s">
        <v>364</v>
      </c>
      <c r="K661" t="s">
        <v>7090</v>
      </c>
    </row>
    <row r="662" spans="1:11" x14ac:dyDescent="0.4">
      <c r="A662" t="s">
        <v>1651</v>
      </c>
      <c r="B662" t="s">
        <v>9</v>
      </c>
      <c r="C662" t="s">
        <v>10</v>
      </c>
      <c r="D662" t="s">
        <v>361</v>
      </c>
      <c r="E662" t="s">
        <v>1652</v>
      </c>
      <c r="F662" t="str">
        <f>LEFT(E662,5)</f>
        <v>서울특별시</v>
      </c>
      <c r="G662" t="str">
        <f t="shared" si="22"/>
        <v xml:space="preserve">구로구 </v>
      </c>
      <c r="H662" t="str">
        <f t="shared" si="23"/>
        <v>구로동</v>
      </c>
      <c r="I662" t="s">
        <v>1653</v>
      </c>
      <c r="J662" t="s">
        <v>364</v>
      </c>
      <c r="K662" t="s">
        <v>1654</v>
      </c>
    </row>
    <row r="663" spans="1:11" x14ac:dyDescent="0.4">
      <c r="A663" t="s">
        <v>1690</v>
      </c>
      <c r="B663" t="s">
        <v>9</v>
      </c>
      <c r="C663" t="s">
        <v>10</v>
      </c>
      <c r="D663" t="s">
        <v>361</v>
      </c>
      <c r="E663" t="s">
        <v>1691</v>
      </c>
      <c r="F663" t="str">
        <f>LEFT(E663,5)</f>
        <v>서울특별시</v>
      </c>
      <c r="G663" t="str">
        <f t="shared" si="22"/>
        <v xml:space="preserve">구로구 </v>
      </c>
      <c r="H663" t="str">
        <f t="shared" si="23"/>
        <v>구로동</v>
      </c>
      <c r="I663" t="s">
        <v>11</v>
      </c>
      <c r="J663" t="s">
        <v>11</v>
      </c>
      <c r="K663" t="s">
        <v>1276</v>
      </c>
    </row>
    <row r="664" spans="1:11" x14ac:dyDescent="0.4">
      <c r="A664" t="s">
        <v>630</v>
      </c>
      <c r="B664" t="s">
        <v>9</v>
      </c>
      <c r="C664" t="s">
        <v>10</v>
      </c>
      <c r="D664" t="s">
        <v>361</v>
      </c>
      <c r="E664" t="s">
        <v>631</v>
      </c>
      <c r="F664" t="str">
        <f>LEFT(E664,5)</f>
        <v>서울특별시</v>
      </c>
      <c r="G664" t="str">
        <f t="shared" si="22"/>
        <v xml:space="preserve">구로구 </v>
      </c>
      <c r="H664" t="str">
        <f t="shared" si="23"/>
        <v>구로동</v>
      </c>
      <c r="I664" t="s">
        <v>632</v>
      </c>
      <c r="J664" t="s">
        <v>364</v>
      </c>
      <c r="K664" t="s">
        <v>633</v>
      </c>
    </row>
    <row r="665" spans="1:11" x14ac:dyDescent="0.4">
      <c r="A665" t="s">
        <v>1739</v>
      </c>
      <c r="B665" t="s">
        <v>9</v>
      </c>
      <c r="C665" t="s">
        <v>10</v>
      </c>
      <c r="D665" t="s">
        <v>361</v>
      </c>
      <c r="E665" t="s">
        <v>1740</v>
      </c>
      <c r="F665" t="str">
        <f>LEFT(E665,5)</f>
        <v>서울특별시</v>
      </c>
      <c r="G665" t="str">
        <f t="shared" si="22"/>
        <v xml:space="preserve">구로구 </v>
      </c>
      <c r="H665" t="str">
        <f t="shared" si="23"/>
        <v>구로동</v>
      </c>
      <c r="I665" t="s">
        <v>11</v>
      </c>
      <c r="J665" t="s">
        <v>11</v>
      </c>
      <c r="K665" t="s">
        <v>1741</v>
      </c>
    </row>
    <row r="666" spans="1:11" x14ac:dyDescent="0.4">
      <c r="A666" t="s">
        <v>2171</v>
      </c>
      <c r="B666" t="s">
        <v>9</v>
      </c>
      <c r="C666" t="s">
        <v>10</v>
      </c>
      <c r="D666" t="s">
        <v>361</v>
      </c>
      <c r="E666" t="s">
        <v>2172</v>
      </c>
      <c r="F666" t="str">
        <f>LEFT(E666,5)</f>
        <v>서울특별시</v>
      </c>
      <c r="G666" t="str">
        <f t="shared" si="22"/>
        <v xml:space="preserve">구로구 </v>
      </c>
      <c r="H666" t="str">
        <f t="shared" si="23"/>
        <v>구로동</v>
      </c>
      <c r="I666" t="s">
        <v>2173</v>
      </c>
      <c r="J666" t="s">
        <v>364</v>
      </c>
      <c r="K666" t="s">
        <v>2174</v>
      </c>
    </row>
    <row r="667" spans="1:11" x14ac:dyDescent="0.4">
      <c r="A667" t="s">
        <v>3827</v>
      </c>
      <c r="B667" t="s">
        <v>9</v>
      </c>
      <c r="C667" t="s">
        <v>10</v>
      </c>
      <c r="D667" t="s">
        <v>361</v>
      </c>
      <c r="E667" t="s">
        <v>3828</v>
      </c>
      <c r="F667" t="str">
        <f>LEFT(E667,5)</f>
        <v>서울특별시</v>
      </c>
      <c r="G667" t="str">
        <f t="shared" si="22"/>
        <v xml:space="preserve">구로구 </v>
      </c>
      <c r="H667" t="str">
        <f t="shared" si="23"/>
        <v>구로동</v>
      </c>
      <c r="I667" t="s">
        <v>3829</v>
      </c>
      <c r="J667" t="s">
        <v>3830</v>
      </c>
      <c r="K667" t="s">
        <v>3675</v>
      </c>
    </row>
    <row r="668" spans="1:11" x14ac:dyDescent="0.4">
      <c r="A668" t="s">
        <v>7091</v>
      </c>
      <c r="B668" t="s">
        <v>9</v>
      </c>
      <c r="C668" t="s">
        <v>10</v>
      </c>
      <c r="D668" t="s">
        <v>7092</v>
      </c>
      <c r="E668" t="s">
        <v>7093</v>
      </c>
      <c r="F668" t="str">
        <f>LEFT(E668,5)</f>
        <v>서울특별시</v>
      </c>
      <c r="G668" t="str">
        <f t="shared" si="22"/>
        <v xml:space="preserve">구로구 </v>
      </c>
      <c r="H668" t="str">
        <f t="shared" si="23"/>
        <v>구로동</v>
      </c>
      <c r="I668" t="s">
        <v>7094</v>
      </c>
      <c r="J668" t="s">
        <v>7095</v>
      </c>
      <c r="K668" t="s">
        <v>7096</v>
      </c>
    </row>
    <row r="669" spans="1:11" x14ac:dyDescent="0.4">
      <c r="A669" t="s">
        <v>5711</v>
      </c>
      <c r="B669" t="s">
        <v>9</v>
      </c>
      <c r="C669" t="s">
        <v>10</v>
      </c>
      <c r="D669" t="s">
        <v>5712</v>
      </c>
      <c r="E669" t="s">
        <v>5713</v>
      </c>
      <c r="F669" t="str">
        <f>LEFT(E669,5)</f>
        <v>서울특별시</v>
      </c>
      <c r="G669" t="str">
        <f t="shared" si="22"/>
        <v xml:space="preserve">구로구 </v>
      </c>
      <c r="H669" t="str">
        <f t="shared" si="23"/>
        <v>구로동</v>
      </c>
      <c r="I669" t="s">
        <v>5714</v>
      </c>
      <c r="J669" t="s">
        <v>5715</v>
      </c>
      <c r="K669" t="s">
        <v>5716</v>
      </c>
    </row>
    <row r="670" spans="1:11" x14ac:dyDescent="0.4">
      <c r="A670" t="s">
        <v>7368</v>
      </c>
      <c r="B670" t="s">
        <v>9</v>
      </c>
      <c r="C670" t="s">
        <v>10</v>
      </c>
      <c r="D670" t="s">
        <v>4268</v>
      </c>
      <c r="E670" t="s">
        <v>7369</v>
      </c>
      <c r="F670" t="str">
        <f>LEFT(E670,5)</f>
        <v>서울특별시</v>
      </c>
      <c r="G670" t="str">
        <f t="shared" si="22"/>
        <v xml:space="preserve">구로구 </v>
      </c>
      <c r="H670" t="str">
        <f t="shared" si="23"/>
        <v>구로동</v>
      </c>
      <c r="I670" t="s">
        <v>7370</v>
      </c>
      <c r="J670" t="s">
        <v>7371</v>
      </c>
      <c r="K670" t="s">
        <v>7372</v>
      </c>
    </row>
    <row r="671" spans="1:11" x14ac:dyDescent="0.4">
      <c r="A671" t="s">
        <v>7141</v>
      </c>
      <c r="B671" t="s">
        <v>9</v>
      </c>
      <c r="C671" t="s">
        <v>10</v>
      </c>
      <c r="D671" t="s">
        <v>7142</v>
      </c>
      <c r="E671" t="s">
        <v>7143</v>
      </c>
      <c r="F671" t="str">
        <f>LEFT(E671,5)</f>
        <v>서울특별시</v>
      </c>
      <c r="G671" t="str">
        <f t="shared" si="22"/>
        <v xml:space="preserve">구로구 </v>
      </c>
      <c r="H671" t="str">
        <f t="shared" si="23"/>
        <v>구로동</v>
      </c>
      <c r="I671" t="s">
        <v>7144</v>
      </c>
      <c r="J671" t="s">
        <v>7145</v>
      </c>
      <c r="K671" t="s">
        <v>7146</v>
      </c>
    </row>
    <row r="672" spans="1:11" x14ac:dyDescent="0.4">
      <c r="A672" t="s">
        <v>6021</v>
      </c>
      <c r="B672" t="s">
        <v>9</v>
      </c>
      <c r="C672" t="s">
        <v>10</v>
      </c>
      <c r="D672" t="s">
        <v>6022</v>
      </c>
      <c r="E672" t="s">
        <v>6023</v>
      </c>
      <c r="F672" t="str">
        <f>LEFT(E672,5)</f>
        <v>서울특별시</v>
      </c>
      <c r="G672" t="str">
        <f t="shared" si="22"/>
        <v xml:space="preserve">구로구 </v>
      </c>
      <c r="H672" t="str">
        <f t="shared" si="23"/>
        <v>구로동</v>
      </c>
      <c r="I672" t="s">
        <v>6024</v>
      </c>
      <c r="J672" t="s">
        <v>6025</v>
      </c>
      <c r="K672" t="s">
        <v>6026</v>
      </c>
    </row>
    <row r="673" spans="1:11" x14ac:dyDescent="0.4">
      <c r="A673" t="s">
        <v>4951</v>
      </c>
      <c r="B673" t="s">
        <v>9</v>
      </c>
      <c r="C673" t="s">
        <v>10</v>
      </c>
      <c r="D673" t="s">
        <v>4268</v>
      </c>
      <c r="E673" t="s">
        <v>4952</v>
      </c>
      <c r="F673" t="str">
        <f>LEFT(E673,5)</f>
        <v>서울특별시</v>
      </c>
      <c r="G673" t="str">
        <f t="shared" si="22"/>
        <v xml:space="preserve">구로구 </v>
      </c>
      <c r="H673" t="str">
        <f t="shared" si="23"/>
        <v>구로동</v>
      </c>
      <c r="I673" t="s">
        <v>4953</v>
      </c>
      <c r="J673" t="s">
        <v>4271</v>
      </c>
      <c r="K673" t="s">
        <v>4954</v>
      </c>
    </row>
    <row r="674" spans="1:11" x14ac:dyDescent="0.4">
      <c r="A674" t="s">
        <v>7430</v>
      </c>
      <c r="B674" t="s">
        <v>9</v>
      </c>
      <c r="C674" t="s">
        <v>10</v>
      </c>
      <c r="D674" t="s">
        <v>4268</v>
      </c>
      <c r="E674" t="s">
        <v>7431</v>
      </c>
      <c r="F674" t="str">
        <f>LEFT(E674,5)</f>
        <v>서울특별시</v>
      </c>
      <c r="G674" t="str">
        <f t="shared" si="22"/>
        <v xml:space="preserve">구로구 </v>
      </c>
      <c r="H674" t="str">
        <f t="shared" si="23"/>
        <v>구로동</v>
      </c>
      <c r="I674" t="s">
        <v>7432</v>
      </c>
      <c r="J674" t="s">
        <v>4271</v>
      </c>
      <c r="K674" t="s">
        <v>7433</v>
      </c>
    </row>
    <row r="675" spans="1:11" x14ac:dyDescent="0.4">
      <c r="A675" t="s">
        <v>4267</v>
      </c>
      <c r="B675" t="s">
        <v>9</v>
      </c>
      <c r="C675" t="s">
        <v>10</v>
      </c>
      <c r="D675" t="s">
        <v>4268</v>
      </c>
      <c r="E675" t="s">
        <v>4269</v>
      </c>
      <c r="F675" t="str">
        <f>LEFT(E675,5)</f>
        <v>서울특별시</v>
      </c>
      <c r="G675" t="str">
        <f t="shared" si="22"/>
        <v xml:space="preserve">구로구 </v>
      </c>
      <c r="H675" t="str">
        <f t="shared" si="23"/>
        <v>구로동</v>
      </c>
      <c r="I675" t="s">
        <v>4270</v>
      </c>
      <c r="J675" t="s">
        <v>4271</v>
      </c>
      <c r="K675" t="s">
        <v>4272</v>
      </c>
    </row>
    <row r="676" spans="1:11" x14ac:dyDescent="0.4">
      <c r="A676" t="s">
        <v>6401</v>
      </c>
      <c r="B676" t="s">
        <v>9</v>
      </c>
      <c r="C676" t="s">
        <v>10</v>
      </c>
      <c r="D676" t="s">
        <v>4627</v>
      </c>
      <c r="E676" t="s">
        <v>6402</v>
      </c>
      <c r="F676" t="str">
        <f>LEFT(E676,5)</f>
        <v>서울특별시</v>
      </c>
      <c r="G676" t="str">
        <f t="shared" si="22"/>
        <v xml:space="preserve">구로구 </v>
      </c>
      <c r="H676" t="str">
        <f t="shared" si="23"/>
        <v>구로동</v>
      </c>
      <c r="I676" t="s">
        <v>6403</v>
      </c>
      <c r="J676" t="s">
        <v>6404</v>
      </c>
      <c r="K676" t="s">
        <v>6405</v>
      </c>
    </row>
    <row r="677" spans="1:11" x14ac:dyDescent="0.4">
      <c r="A677" t="s">
        <v>4626</v>
      </c>
      <c r="B677" t="s">
        <v>9</v>
      </c>
      <c r="C677" t="s">
        <v>10</v>
      </c>
      <c r="D677" t="s">
        <v>4627</v>
      </c>
      <c r="E677" t="s">
        <v>4628</v>
      </c>
      <c r="F677" t="str">
        <f>LEFT(E677,5)</f>
        <v>서울특별시</v>
      </c>
      <c r="G677" t="str">
        <f t="shared" si="22"/>
        <v xml:space="preserve">구로구 </v>
      </c>
      <c r="H677" t="str">
        <f t="shared" si="23"/>
        <v>구로동</v>
      </c>
      <c r="I677" t="s">
        <v>4629</v>
      </c>
      <c r="J677" t="s">
        <v>4630</v>
      </c>
      <c r="K677" t="s">
        <v>4631</v>
      </c>
    </row>
    <row r="678" spans="1:11" x14ac:dyDescent="0.4">
      <c r="A678" t="s">
        <v>6992</v>
      </c>
      <c r="B678" t="s">
        <v>9</v>
      </c>
      <c r="C678" t="s">
        <v>10</v>
      </c>
      <c r="D678" t="s">
        <v>6993</v>
      </c>
      <c r="E678" t="s">
        <v>6994</v>
      </c>
      <c r="F678" t="str">
        <f>LEFT(E678,5)</f>
        <v>서울특별시</v>
      </c>
      <c r="G678" t="str">
        <f t="shared" si="22"/>
        <v xml:space="preserve">구로구 </v>
      </c>
      <c r="H678" t="str">
        <f t="shared" si="23"/>
        <v>구로동</v>
      </c>
      <c r="I678" t="s">
        <v>6995</v>
      </c>
      <c r="J678" t="s">
        <v>6996</v>
      </c>
      <c r="K678" t="s">
        <v>1594</v>
      </c>
    </row>
    <row r="679" spans="1:11" x14ac:dyDescent="0.4">
      <c r="A679" t="s">
        <v>3867</v>
      </c>
      <c r="B679" t="s">
        <v>9</v>
      </c>
      <c r="C679" t="s">
        <v>10</v>
      </c>
      <c r="D679" t="s">
        <v>3868</v>
      </c>
      <c r="E679" t="s">
        <v>3869</v>
      </c>
      <c r="F679" t="str">
        <f>LEFT(E679,5)</f>
        <v>서울특별시</v>
      </c>
      <c r="G679" t="str">
        <f t="shared" si="22"/>
        <v xml:space="preserve">구로구 </v>
      </c>
      <c r="H679" t="str">
        <f t="shared" si="23"/>
        <v>구로동</v>
      </c>
      <c r="I679" t="s">
        <v>3870</v>
      </c>
      <c r="J679" t="s">
        <v>3871</v>
      </c>
      <c r="K679" t="s">
        <v>3872</v>
      </c>
    </row>
    <row r="680" spans="1:11" x14ac:dyDescent="0.4">
      <c r="A680" t="s">
        <v>4858</v>
      </c>
      <c r="B680" t="s">
        <v>9</v>
      </c>
      <c r="C680" t="s">
        <v>10</v>
      </c>
      <c r="D680" t="s">
        <v>3868</v>
      </c>
      <c r="E680" t="s">
        <v>4859</v>
      </c>
      <c r="F680" t="str">
        <f>LEFT(E680,5)</f>
        <v>서울특별시</v>
      </c>
      <c r="G680" t="str">
        <f t="shared" si="22"/>
        <v xml:space="preserve">구로구 </v>
      </c>
      <c r="H680" t="str">
        <f t="shared" si="23"/>
        <v>구로동</v>
      </c>
      <c r="I680" t="s">
        <v>4860</v>
      </c>
      <c r="J680" t="s">
        <v>3871</v>
      </c>
      <c r="K680" t="s">
        <v>3956</v>
      </c>
    </row>
    <row r="681" spans="1:11" x14ac:dyDescent="0.4">
      <c r="A681" t="s">
        <v>6519</v>
      </c>
      <c r="B681" t="s">
        <v>9</v>
      </c>
      <c r="C681" t="s">
        <v>10</v>
      </c>
      <c r="D681" t="s">
        <v>4960</v>
      </c>
      <c r="E681" t="s">
        <v>6520</v>
      </c>
      <c r="F681" t="str">
        <f>LEFT(E681,5)</f>
        <v>서울특별시</v>
      </c>
      <c r="G681" t="str">
        <f t="shared" si="22"/>
        <v xml:space="preserve">구로구 </v>
      </c>
      <c r="H681" t="str">
        <f t="shared" si="23"/>
        <v>구로동</v>
      </c>
      <c r="I681" t="s">
        <v>6521</v>
      </c>
      <c r="J681" t="s">
        <v>6522</v>
      </c>
      <c r="K681" t="s">
        <v>6523</v>
      </c>
    </row>
    <row r="682" spans="1:11" x14ac:dyDescent="0.4">
      <c r="A682" t="s">
        <v>4959</v>
      </c>
      <c r="B682" t="s">
        <v>9</v>
      </c>
      <c r="C682" t="s">
        <v>10</v>
      </c>
      <c r="D682" t="s">
        <v>4960</v>
      </c>
      <c r="E682" t="s">
        <v>4961</v>
      </c>
      <c r="F682" t="str">
        <f>LEFT(E682,5)</f>
        <v>서울특별시</v>
      </c>
      <c r="G682" t="str">
        <f t="shared" si="22"/>
        <v xml:space="preserve">구로구 </v>
      </c>
      <c r="H682" t="str">
        <f t="shared" si="23"/>
        <v>구로동</v>
      </c>
      <c r="I682" t="s">
        <v>11</v>
      </c>
      <c r="J682" t="s">
        <v>11</v>
      </c>
      <c r="K682" t="s">
        <v>4962</v>
      </c>
    </row>
    <row r="683" spans="1:11" x14ac:dyDescent="0.4">
      <c r="A683" t="s">
        <v>6711</v>
      </c>
      <c r="B683" t="s">
        <v>9</v>
      </c>
      <c r="C683" t="s">
        <v>10</v>
      </c>
      <c r="D683" t="s">
        <v>3532</v>
      </c>
      <c r="E683" t="s">
        <v>6712</v>
      </c>
      <c r="F683" t="str">
        <f>LEFT(E683,5)</f>
        <v>서울특별시</v>
      </c>
      <c r="G683" t="str">
        <f t="shared" si="22"/>
        <v xml:space="preserve">구로구 </v>
      </c>
      <c r="H683" t="str">
        <f t="shared" si="23"/>
        <v>구로동</v>
      </c>
      <c r="I683" t="s">
        <v>6713</v>
      </c>
      <c r="J683" t="s">
        <v>3535</v>
      </c>
      <c r="K683" t="s">
        <v>6714</v>
      </c>
    </row>
    <row r="684" spans="1:11" x14ac:dyDescent="0.4">
      <c r="A684" t="s">
        <v>3749</v>
      </c>
      <c r="B684" t="s">
        <v>9</v>
      </c>
      <c r="C684" t="s">
        <v>10</v>
      </c>
      <c r="D684" t="s">
        <v>3532</v>
      </c>
      <c r="E684" t="s">
        <v>3750</v>
      </c>
      <c r="F684" t="str">
        <f>LEFT(E684,5)</f>
        <v>서울특별시</v>
      </c>
      <c r="G684" t="str">
        <f t="shared" si="22"/>
        <v xml:space="preserve">구로구 </v>
      </c>
      <c r="H684" t="str">
        <f t="shared" si="23"/>
        <v>구로동</v>
      </c>
      <c r="I684" t="s">
        <v>3751</v>
      </c>
      <c r="J684" t="s">
        <v>3535</v>
      </c>
      <c r="K684" t="s">
        <v>3752</v>
      </c>
    </row>
    <row r="685" spans="1:11" x14ac:dyDescent="0.4">
      <c r="A685" t="s">
        <v>3531</v>
      </c>
      <c r="B685" t="s">
        <v>9</v>
      </c>
      <c r="C685" t="s">
        <v>10</v>
      </c>
      <c r="D685" t="s">
        <v>3532</v>
      </c>
      <c r="E685" t="s">
        <v>3533</v>
      </c>
      <c r="F685" t="str">
        <f>LEFT(E685,5)</f>
        <v>서울특별시</v>
      </c>
      <c r="G685" t="str">
        <f t="shared" si="22"/>
        <v xml:space="preserve">구로구 </v>
      </c>
      <c r="H685" t="str">
        <f t="shared" si="23"/>
        <v>구로동</v>
      </c>
      <c r="I685" t="s">
        <v>3534</v>
      </c>
      <c r="J685" t="s">
        <v>3535</v>
      </c>
      <c r="K685" t="s">
        <v>3536</v>
      </c>
    </row>
    <row r="686" spans="1:11" x14ac:dyDescent="0.4">
      <c r="A686" t="s">
        <v>4757</v>
      </c>
      <c r="B686" t="s">
        <v>9</v>
      </c>
      <c r="C686" t="s">
        <v>10</v>
      </c>
      <c r="D686" t="s">
        <v>4758</v>
      </c>
      <c r="E686" t="s">
        <v>4759</v>
      </c>
      <c r="F686" t="str">
        <f>LEFT(E686,5)</f>
        <v>서울특별시</v>
      </c>
      <c r="G686" t="str">
        <f t="shared" si="22"/>
        <v xml:space="preserve">구로구 </v>
      </c>
      <c r="H686" t="str">
        <f t="shared" si="23"/>
        <v>구로동</v>
      </c>
      <c r="I686" t="s">
        <v>4760</v>
      </c>
      <c r="J686" t="s">
        <v>4761</v>
      </c>
      <c r="K686" t="s">
        <v>4762</v>
      </c>
    </row>
    <row r="687" spans="1:11" x14ac:dyDescent="0.4">
      <c r="A687" t="s">
        <v>6018</v>
      </c>
      <c r="B687" t="s">
        <v>9</v>
      </c>
      <c r="C687" t="s">
        <v>10</v>
      </c>
      <c r="D687" t="s">
        <v>4842</v>
      </c>
      <c r="E687" t="s">
        <v>6019</v>
      </c>
      <c r="F687" t="str">
        <f>LEFT(E687,5)</f>
        <v>서울특별시</v>
      </c>
      <c r="G687" t="str">
        <f t="shared" si="22"/>
        <v xml:space="preserve">구로구 </v>
      </c>
      <c r="H687" t="str">
        <f t="shared" si="23"/>
        <v>구로동</v>
      </c>
      <c r="I687" t="s">
        <v>6020</v>
      </c>
      <c r="J687" t="s">
        <v>4845</v>
      </c>
      <c r="K687" t="s">
        <v>2937</v>
      </c>
    </row>
    <row r="688" spans="1:11" x14ac:dyDescent="0.4">
      <c r="A688" t="s">
        <v>6870</v>
      </c>
      <c r="B688" t="s">
        <v>9</v>
      </c>
      <c r="C688" t="s">
        <v>10</v>
      </c>
      <c r="D688" t="s">
        <v>4842</v>
      </c>
      <c r="E688" t="s">
        <v>6871</v>
      </c>
      <c r="F688" t="str">
        <f>LEFT(E688,5)</f>
        <v>서울특별시</v>
      </c>
      <c r="G688" t="str">
        <f t="shared" si="22"/>
        <v xml:space="preserve">구로구 </v>
      </c>
      <c r="H688" t="str">
        <f t="shared" si="23"/>
        <v>구로동</v>
      </c>
      <c r="I688" t="s">
        <v>6872</v>
      </c>
      <c r="J688" t="s">
        <v>4845</v>
      </c>
      <c r="K688" t="s">
        <v>2597</v>
      </c>
    </row>
    <row r="689" spans="1:11" x14ac:dyDescent="0.4">
      <c r="A689" t="s">
        <v>4841</v>
      </c>
      <c r="B689" t="s">
        <v>9</v>
      </c>
      <c r="C689" t="s">
        <v>10</v>
      </c>
      <c r="D689" t="s">
        <v>4842</v>
      </c>
      <c r="E689" t="s">
        <v>4843</v>
      </c>
      <c r="F689" t="str">
        <f>LEFT(E689,5)</f>
        <v>서울특별시</v>
      </c>
      <c r="G689" t="str">
        <f t="shared" si="22"/>
        <v xml:space="preserve">구로구 </v>
      </c>
      <c r="H689" t="str">
        <f t="shared" si="23"/>
        <v>구로동</v>
      </c>
      <c r="I689" t="s">
        <v>4844</v>
      </c>
      <c r="J689" t="s">
        <v>4845</v>
      </c>
      <c r="K689" t="s">
        <v>4846</v>
      </c>
    </row>
    <row r="690" spans="1:11" x14ac:dyDescent="0.4">
      <c r="A690" t="s">
        <v>4073</v>
      </c>
      <c r="B690" t="s">
        <v>9</v>
      </c>
      <c r="C690" t="s">
        <v>10</v>
      </c>
      <c r="D690" t="s">
        <v>3250</v>
      </c>
      <c r="E690" t="s">
        <v>4074</v>
      </c>
      <c r="F690" t="str">
        <f>LEFT(E690,5)</f>
        <v>서울특별시</v>
      </c>
      <c r="G690" t="str">
        <f t="shared" si="22"/>
        <v xml:space="preserve">구로구 </v>
      </c>
      <c r="H690" t="str">
        <f t="shared" si="23"/>
        <v>신도림</v>
      </c>
      <c r="I690" t="s">
        <v>4075</v>
      </c>
      <c r="J690" t="s">
        <v>4076</v>
      </c>
      <c r="K690" t="s">
        <v>894</v>
      </c>
    </row>
    <row r="691" spans="1:11" x14ac:dyDescent="0.4">
      <c r="A691" t="s">
        <v>3510</v>
      </c>
      <c r="B691" t="s">
        <v>9</v>
      </c>
      <c r="C691" t="s">
        <v>10</v>
      </c>
      <c r="D691" t="s">
        <v>3250</v>
      </c>
      <c r="E691" t="s">
        <v>3511</v>
      </c>
      <c r="F691" t="str">
        <f>LEFT(E691,5)</f>
        <v>서울특별시</v>
      </c>
      <c r="G691" t="str">
        <f t="shared" si="22"/>
        <v xml:space="preserve">구로구 </v>
      </c>
      <c r="H691" t="str">
        <f t="shared" si="23"/>
        <v>신도림</v>
      </c>
      <c r="I691" t="s">
        <v>3512</v>
      </c>
      <c r="J691" t="s">
        <v>3513</v>
      </c>
      <c r="K691" t="s">
        <v>3514</v>
      </c>
    </row>
    <row r="692" spans="1:11" x14ac:dyDescent="0.4">
      <c r="A692" t="s">
        <v>3249</v>
      </c>
      <c r="B692" t="s">
        <v>9</v>
      </c>
      <c r="C692" t="s">
        <v>10</v>
      </c>
      <c r="D692" t="s">
        <v>3250</v>
      </c>
      <c r="E692" t="s">
        <v>3251</v>
      </c>
      <c r="F692" t="str">
        <f>LEFT(E692,5)</f>
        <v>서울특별시</v>
      </c>
      <c r="G692" t="str">
        <f t="shared" si="22"/>
        <v xml:space="preserve">구로구 </v>
      </c>
      <c r="H692" t="str">
        <f t="shared" si="23"/>
        <v>신도림</v>
      </c>
      <c r="I692" t="s">
        <v>3252</v>
      </c>
      <c r="J692" t="s">
        <v>3253</v>
      </c>
      <c r="K692" t="s">
        <v>3254</v>
      </c>
    </row>
    <row r="693" spans="1:11" x14ac:dyDescent="0.4">
      <c r="A693" t="s">
        <v>5874</v>
      </c>
      <c r="B693" t="s">
        <v>9</v>
      </c>
      <c r="C693" t="s">
        <v>10</v>
      </c>
      <c r="D693" t="s">
        <v>5875</v>
      </c>
      <c r="E693" t="s">
        <v>5876</v>
      </c>
      <c r="F693" t="str">
        <f>LEFT(E693,5)</f>
        <v>서울특별시</v>
      </c>
      <c r="G693" t="str">
        <f t="shared" si="22"/>
        <v xml:space="preserve">구로구 </v>
      </c>
      <c r="H693" t="str">
        <f t="shared" si="23"/>
        <v>신도림</v>
      </c>
      <c r="I693" t="s">
        <v>5877</v>
      </c>
      <c r="J693" t="s">
        <v>11</v>
      </c>
      <c r="K693" t="s">
        <v>3136</v>
      </c>
    </row>
    <row r="694" spans="1:11" x14ac:dyDescent="0.4">
      <c r="A694" t="s">
        <v>1118</v>
      </c>
      <c r="B694" t="s">
        <v>9</v>
      </c>
      <c r="C694" t="s">
        <v>10</v>
      </c>
      <c r="D694" t="s">
        <v>1119</v>
      </c>
      <c r="E694" t="s">
        <v>1120</v>
      </c>
      <c r="F694" t="str">
        <f>LEFT(E694,5)</f>
        <v>서울특별시</v>
      </c>
      <c r="G694" t="str">
        <f t="shared" si="22"/>
        <v xml:space="preserve">구로구 </v>
      </c>
      <c r="H694" t="str">
        <f t="shared" si="23"/>
        <v>오류동</v>
      </c>
      <c r="I694" t="s">
        <v>1121</v>
      </c>
      <c r="J694" t="s">
        <v>1122</v>
      </c>
      <c r="K694" t="s">
        <v>1123</v>
      </c>
    </row>
    <row r="695" spans="1:11" x14ac:dyDescent="0.4">
      <c r="A695" t="s">
        <v>546</v>
      </c>
      <c r="B695" t="s">
        <v>9</v>
      </c>
      <c r="C695" t="s">
        <v>10</v>
      </c>
      <c r="D695" t="s">
        <v>386</v>
      </c>
      <c r="E695" t="s">
        <v>547</v>
      </c>
      <c r="F695" t="str">
        <f>LEFT(E695,5)</f>
        <v>서울특별시</v>
      </c>
      <c r="G695" t="str">
        <f t="shared" si="22"/>
        <v xml:space="preserve">구로구 </v>
      </c>
      <c r="H695" t="str">
        <f t="shared" si="23"/>
        <v>오류동</v>
      </c>
      <c r="I695" t="s">
        <v>548</v>
      </c>
      <c r="J695" t="s">
        <v>389</v>
      </c>
      <c r="K695" t="s">
        <v>549</v>
      </c>
    </row>
    <row r="696" spans="1:11" x14ac:dyDescent="0.4">
      <c r="A696" t="s">
        <v>385</v>
      </c>
      <c r="B696" t="s">
        <v>9</v>
      </c>
      <c r="C696" t="s">
        <v>10</v>
      </c>
      <c r="D696" t="s">
        <v>386</v>
      </c>
      <c r="E696" t="s">
        <v>387</v>
      </c>
      <c r="F696" t="str">
        <f>LEFT(E696,5)</f>
        <v>서울특별시</v>
      </c>
      <c r="G696" t="str">
        <f t="shared" si="22"/>
        <v xml:space="preserve">구로구 </v>
      </c>
      <c r="H696" t="str">
        <f t="shared" si="23"/>
        <v>오류동</v>
      </c>
      <c r="I696" t="s">
        <v>388</v>
      </c>
      <c r="J696" t="s">
        <v>389</v>
      </c>
      <c r="K696" t="s">
        <v>390</v>
      </c>
    </row>
    <row r="697" spans="1:11" x14ac:dyDescent="0.4">
      <c r="A697" t="s">
        <v>530</v>
      </c>
      <c r="B697" t="s">
        <v>9</v>
      </c>
      <c r="C697" t="s">
        <v>10</v>
      </c>
      <c r="D697" t="s">
        <v>386</v>
      </c>
      <c r="E697" t="s">
        <v>531</v>
      </c>
      <c r="F697" t="str">
        <f>LEFT(E697,5)</f>
        <v>서울특별시</v>
      </c>
      <c r="G697" t="str">
        <f t="shared" si="22"/>
        <v xml:space="preserve">구로구 </v>
      </c>
      <c r="H697" t="str">
        <f t="shared" si="23"/>
        <v>오류동</v>
      </c>
      <c r="I697" t="s">
        <v>532</v>
      </c>
      <c r="J697" t="s">
        <v>389</v>
      </c>
      <c r="K697" t="s">
        <v>533</v>
      </c>
    </row>
    <row r="698" spans="1:11" x14ac:dyDescent="0.4">
      <c r="A698" t="s">
        <v>4108</v>
      </c>
      <c r="B698" t="s">
        <v>9</v>
      </c>
      <c r="C698" t="s">
        <v>10</v>
      </c>
      <c r="D698" t="s">
        <v>386</v>
      </c>
      <c r="E698" t="s">
        <v>4109</v>
      </c>
      <c r="F698" t="str">
        <f>LEFT(E698,5)</f>
        <v>서울특별시</v>
      </c>
      <c r="G698" t="str">
        <f t="shared" si="22"/>
        <v xml:space="preserve">구로구 </v>
      </c>
      <c r="H698" t="str">
        <f t="shared" si="23"/>
        <v>오류동</v>
      </c>
      <c r="I698" t="s">
        <v>4110</v>
      </c>
      <c r="J698" t="s">
        <v>4111</v>
      </c>
      <c r="K698" t="s">
        <v>4112</v>
      </c>
    </row>
    <row r="699" spans="1:11" x14ac:dyDescent="0.4">
      <c r="A699" t="s">
        <v>2255</v>
      </c>
      <c r="B699" t="s">
        <v>9</v>
      </c>
      <c r="C699" t="s">
        <v>10</v>
      </c>
      <c r="D699" t="s">
        <v>1256</v>
      </c>
      <c r="E699" t="s">
        <v>2256</v>
      </c>
      <c r="F699" t="str">
        <f>LEFT(E699,5)</f>
        <v>서울특별시</v>
      </c>
      <c r="G699" t="str">
        <f t="shared" si="22"/>
        <v xml:space="preserve">금천구 </v>
      </c>
      <c r="H699" t="str">
        <f t="shared" si="23"/>
        <v>가산동</v>
      </c>
      <c r="I699" t="s">
        <v>2257</v>
      </c>
      <c r="J699" t="s">
        <v>1259</v>
      </c>
      <c r="K699" t="s">
        <v>2258</v>
      </c>
    </row>
    <row r="700" spans="1:11" x14ac:dyDescent="0.4">
      <c r="A700" t="s">
        <v>1255</v>
      </c>
      <c r="B700" t="s">
        <v>9</v>
      </c>
      <c r="C700" t="s">
        <v>10</v>
      </c>
      <c r="D700" t="s">
        <v>1256</v>
      </c>
      <c r="E700" t="s">
        <v>1257</v>
      </c>
      <c r="F700" t="str">
        <f>LEFT(E700,5)</f>
        <v>서울특별시</v>
      </c>
      <c r="G700" t="str">
        <f t="shared" si="22"/>
        <v xml:space="preserve">금천구 </v>
      </c>
      <c r="H700" t="str">
        <f t="shared" si="23"/>
        <v>가산동</v>
      </c>
      <c r="I700" t="s">
        <v>1258</v>
      </c>
      <c r="J700" t="s">
        <v>1259</v>
      </c>
      <c r="K700" t="s">
        <v>1260</v>
      </c>
    </row>
    <row r="701" spans="1:11" x14ac:dyDescent="0.4">
      <c r="A701" t="s">
        <v>8696</v>
      </c>
      <c r="B701" t="s">
        <v>9</v>
      </c>
      <c r="C701" t="s">
        <v>10</v>
      </c>
      <c r="D701" t="s">
        <v>1256</v>
      </c>
      <c r="E701" t="s">
        <v>8697</v>
      </c>
      <c r="F701" t="str">
        <f>LEFT(E701,5)</f>
        <v>서울특별시</v>
      </c>
      <c r="G701" t="str">
        <f t="shared" si="22"/>
        <v xml:space="preserve">금천구 </v>
      </c>
      <c r="H701" t="str">
        <f t="shared" si="23"/>
        <v>가산동</v>
      </c>
      <c r="I701" t="s">
        <v>8698</v>
      </c>
      <c r="J701" t="s">
        <v>1259</v>
      </c>
      <c r="K701" t="s">
        <v>8699</v>
      </c>
    </row>
    <row r="702" spans="1:11" x14ac:dyDescent="0.4">
      <c r="A702" t="s">
        <v>6220</v>
      </c>
      <c r="B702" t="s">
        <v>9</v>
      </c>
      <c r="C702" t="s">
        <v>10</v>
      </c>
      <c r="D702" t="s">
        <v>3744</v>
      </c>
      <c r="E702" t="s">
        <v>6221</v>
      </c>
      <c r="F702" t="str">
        <f>LEFT(E702,5)</f>
        <v>서울특별시</v>
      </c>
      <c r="G702" t="str">
        <f t="shared" si="22"/>
        <v xml:space="preserve">금천구 </v>
      </c>
      <c r="H702" t="str">
        <f t="shared" si="23"/>
        <v>독산동</v>
      </c>
      <c r="I702" t="s">
        <v>6222</v>
      </c>
      <c r="J702" t="s">
        <v>6223</v>
      </c>
      <c r="K702" t="s">
        <v>6224</v>
      </c>
    </row>
    <row r="703" spans="1:11" x14ac:dyDescent="0.4">
      <c r="A703" t="s">
        <v>7627</v>
      </c>
      <c r="B703" t="s">
        <v>9</v>
      </c>
      <c r="C703" t="s">
        <v>10</v>
      </c>
      <c r="D703" t="s">
        <v>3744</v>
      </c>
      <c r="E703" t="s">
        <v>7628</v>
      </c>
      <c r="F703" t="str">
        <f>LEFT(E703,5)</f>
        <v>서울특별시</v>
      </c>
      <c r="G703" t="str">
        <f t="shared" si="22"/>
        <v xml:space="preserve">금천구 </v>
      </c>
      <c r="H703" t="str">
        <f t="shared" si="23"/>
        <v>독산동</v>
      </c>
      <c r="I703" t="s">
        <v>7629</v>
      </c>
      <c r="J703" t="s">
        <v>7630</v>
      </c>
      <c r="K703" t="s">
        <v>7631</v>
      </c>
    </row>
    <row r="704" spans="1:11" x14ac:dyDescent="0.4">
      <c r="A704" t="s">
        <v>3743</v>
      </c>
      <c r="B704" t="s">
        <v>9</v>
      </c>
      <c r="C704" t="s">
        <v>10</v>
      </c>
      <c r="D704" t="s">
        <v>3744</v>
      </c>
      <c r="E704" t="s">
        <v>3745</v>
      </c>
      <c r="F704" t="str">
        <f>LEFT(E704,5)</f>
        <v>서울특별시</v>
      </c>
      <c r="G704" t="str">
        <f t="shared" si="22"/>
        <v xml:space="preserve">금천구 </v>
      </c>
      <c r="H704" t="str">
        <f t="shared" si="23"/>
        <v>독산동</v>
      </c>
      <c r="I704" t="s">
        <v>3746</v>
      </c>
      <c r="J704" t="s">
        <v>3747</v>
      </c>
      <c r="K704" t="s">
        <v>3748</v>
      </c>
    </row>
    <row r="705" spans="1:11" x14ac:dyDescent="0.4">
      <c r="A705" t="s">
        <v>5923</v>
      </c>
      <c r="B705" t="s">
        <v>9</v>
      </c>
      <c r="C705" t="s">
        <v>10</v>
      </c>
      <c r="D705" t="s">
        <v>5820</v>
      </c>
      <c r="E705" t="s">
        <v>5924</v>
      </c>
      <c r="F705" t="str">
        <f>LEFT(E705,5)</f>
        <v>서울특별시</v>
      </c>
      <c r="G705" t="str">
        <f t="shared" si="22"/>
        <v xml:space="preserve">금천구 </v>
      </c>
      <c r="H705" t="str">
        <f t="shared" si="23"/>
        <v>독산동</v>
      </c>
      <c r="I705" t="s">
        <v>5925</v>
      </c>
      <c r="J705" t="s">
        <v>3747</v>
      </c>
      <c r="K705" t="s">
        <v>5926</v>
      </c>
    </row>
    <row r="706" spans="1:11" x14ac:dyDescent="0.4">
      <c r="A706" t="s">
        <v>2001</v>
      </c>
      <c r="B706" t="s">
        <v>9</v>
      </c>
      <c r="C706" t="s">
        <v>10</v>
      </c>
      <c r="D706" t="s">
        <v>1676</v>
      </c>
      <c r="E706" t="s">
        <v>2002</v>
      </c>
      <c r="F706" t="str">
        <f>LEFT(E706,5)</f>
        <v>서울특별시</v>
      </c>
      <c r="G706" t="str">
        <f t="shared" si="22"/>
        <v xml:space="preserve">금천구 </v>
      </c>
      <c r="H706" t="str">
        <f t="shared" si="23"/>
        <v>독산동</v>
      </c>
      <c r="I706" t="s">
        <v>2003</v>
      </c>
      <c r="J706" t="s">
        <v>1679</v>
      </c>
      <c r="K706" t="s">
        <v>2004</v>
      </c>
    </row>
    <row r="707" spans="1:11" x14ac:dyDescent="0.4">
      <c r="A707" t="s">
        <v>1675</v>
      </c>
      <c r="B707" t="s">
        <v>9</v>
      </c>
      <c r="C707" t="s">
        <v>10</v>
      </c>
      <c r="D707" t="s">
        <v>1676</v>
      </c>
      <c r="E707" t="s">
        <v>1677</v>
      </c>
      <c r="F707" t="str">
        <f>LEFT(E707,5)</f>
        <v>서울특별시</v>
      </c>
      <c r="G707" t="str">
        <f t="shared" ref="G707:G770" si="24">MID(E707,7,4)</f>
        <v xml:space="preserve">금천구 </v>
      </c>
      <c r="H707" t="str">
        <f t="shared" ref="H707:H770" si="25">MID(SUBSTITUTE(E707," ",""),9,3)</f>
        <v>독산동</v>
      </c>
      <c r="I707" t="s">
        <v>1678</v>
      </c>
      <c r="J707" t="s">
        <v>1679</v>
      </c>
      <c r="K707" t="s">
        <v>1680</v>
      </c>
    </row>
    <row r="708" spans="1:11" x14ac:dyDescent="0.4">
      <c r="A708" t="s">
        <v>5076</v>
      </c>
      <c r="B708" t="s">
        <v>9</v>
      </c>
      <c r="C708" t="s">
        <v>10</v>
      </c>
      <c r="D708" t="s">
        <v>1676</v>
      </c>
      <c r="E708" t="s">
        <v>5077</v>
      </c>
      <c r="F708" t="str">
        <f>LEFT(E708,5)</f>
        <v>서울특별시</v>
      </c>
      <c r="G708" t="str">
        <f t="shared" si="24"/>
        <v xml:space="preserve">금천구 </v>
      </c>
      <c r="H708" t="str">
        <f t="shared" si="25"/>
        <v>독산동</v>
      </c>
      <c r="I708" t="s">
        <v>5078</v>
      </c>
      <c r="J708" t="s">
        <v>5079</v>
      </c>
      <c r="K708" t="s">
        <v>2045</v>
      </c>
    </row>
    <row r="709" spans="1:11" x14ac:dyDescent="0.4">
      <c r="A709" t="s">
        <v>6013</v>
      </c>
      <c r="B709" t="s">
        <v>9</v>
      </c>
      <c r="C709" t="s">
        <v>10</v>
      </c>
      <c r="D709" t="s">
        <v>4450</v>
      </c>
      <c r="E709" t="s">
        <v>6014</v>
      </c>
      <c r="F709" t="str">
        <f>LEFT(E709,5)</f>
        <v>서울특별시</v>
      </c>
      <c r="G709" t="str">
        <f t="shared" si="24"/>
        <v xml:space="preserve">금천구 </v>
      </c>
      <c r="H709" t="str">
        <f t="shared" si="25"/>
        <v>독산동</v>
      </c>
      <c r="I709" t="s">
        <v>6015</v>
      </c>
      <c r="J709" t="s">
        <v>6016</v>
      </c>
      <c r="K709" t="s">
        <v>6017</v>
      </c>
    </row>
    <row r="710" spans="1:11" x14ac:dyDescent="0.4">
      <c r="A710" t="s">
        <v>4449</v>
      </c>
      <c r="B710" t="s">
        <v>9</v>
      </c>
      <c r="C710" t="s">
        <v>10</v>
      </c>
      <c r="D710" t="s">
        <v>4450</v>
      </c>
      <c r="E710" t="s">
        <v>4451</v>
      </c>
      <c r="F710" t="str">
        <f>LEFT(E710,5)</f>
        <v>서울특별시</v>
      </c>
      <c r="G710" t="str">
        <f t="shared" si="24"/>
        <v xml:space="preserve">금천구 </v>
      </c>
      <c r="H710" t="str">
        <f t="shared" si="25"/>
        <v>독산동</v>
      </c>
      <c r="I710" t="s">
        <v>4452</v>
      </c>
      <c r="J710" t="s">
        <v>4453</v>
      </c>
      <c r="K710" t="s">
        <v>4454</v>
      </c>
    </row>
    <row r="711" spans="1:11" x14ac:dyDescent="0.4">
      <c r="A711" t="s">
        <v>2787</v>
      </c>
      <c r="B711" t="s">
        <v>9</v>
      </c>
      <c r="C711" t="s">
        <v>10</v>
      </c>
      <c r="D711" t="s">
        <v>2788</v>
      </c>
      <c r="E711" t="s">
        <v>2789</v>
      </c>
      <c r="F711" t="str">
        <f>LEFT(E711,5)</f>
        <v>서울특별시</v>
      </c>
      <c r="G711" t="str">
        <f t="shared" si="24"/>
        <v xml:space="preserve">금천구 </v>
      </c>
      <c r="H711" t="str">
        <f t="shared" si="25"/>
        <v>독산동</v>
      </c>
      <c r="I711" t="s">
        <v>2790</v>
      </c>
      <c r="J711" t="s">
        <v>2791</v>
      </c>
      <c r="K711" t="s">
        <v>2792</v>
      </c>
    </row>
    <row r="712" spans="1:11" x14ac:dyDescent="0.4">
      <c r="A712" t="s">
        <v>2865</v>
      </c>
      <c r="B712" t="s">
        <v>9</v>
      </c>
      <c r="C712" t="s">
        <v>10</v>
      </c>
      <c r="D712" t="s">
        <v>2788</v>
      </c>
      <c r="E712" t="s">
        <v>2866</v>
      </c>
      <c r="F712" t="str">
        <f>LEFT(E712,5)</f>
        <v>서울특별시</v>
      </c>
      <c r="G712" t="str">
        <f t="shared" si="24"/>
        <v xml:space="preserve">금천구 </v>
      </c>
      <c r="H712" t="str">
        <f t="shared" si="25"/>
        <v>독산동</v>
      </c>
      <c r="I712" t="s">
        <v>2867</v>
      </c>
      <c r="J712" t="s">
        <v>2868</v>
      </c>
      <c r="K712" t="s">
        <v>2869</v>
      </c>
    </row>
    <row r="713" spans="1:11" x14ac:dyDescent="0.4">
      <c r="A713" t="s">
        <v>4687</v>
      </c>
      <c r="B713" t="s">
        <v>9</v>
      </c>
      <c r="C713" t="s">
        <v>10</v>
      </c>
      <c r="D713" t="s">
        <v>2933</v>
      </c>
      <c r="E713" t="s">
        <v>4688</v>
      </c>
      <c r="F713" t="str">
        <f>LEFT(E713,5)</f>
        <v>서울특별시</v>
      </c>
      <c r="G713" t="str">
        <f t="shared" si="24"/>
        <v xml:space="preserve">금천구 </v>
      </c>
      <c r="H713" t="str">
        <f t="shared" si="25"/>
        <v>독산동</v>
      </c>
      <c r="I713" t="s">
        <v>4689</v>
      </c>
      <c r="J713" t="s">
        <v>2936</v>
      </c>
      <c r="K713" t="s">
        <v>4690</v>
      </c>
    </row>
    <row r="714" spans="1:11" x14ac:dyDescent="0.4">
      <c r="A714" t="s">
        <v>2932</v>
      </c>
      <c r="B714" t="s">
        <v>9</v>
      </c>
      <c r="C714" t="s">
        <v>10</v>
      </c>
      <c r="D714" t="s">
        <v>2933</v>
      </c>
      <c r="E714" t="s">
        <v>2934</v>
      </c>
      <c r="F714" t="str">
        <f>LEFT(E714,5)</f>
        <v>서울특별시</v>
      </c>
      <c r="G714" t="str">
        <f t="shared" si="24"/>
        <v xml:space="preserve">금천구 </v>
      </c>
      <c r="H714" t="str">
        <f t="shared" si="25"/>
        <v>독산동</v>
      </c>
      <c r="I714" t="s">
        <v>2935</v>
      </c>
      <c r="J714" t="s">
        <v>2936</v>
      </c>
      <c r="K714" t="s">
        <v>2937</v>
      </c>
    </row>
    <row r="715" spans="1:11" x14ac:dyDescent="0.4">
      <c r="A715" t="s">
        <v>7871</v>
      </c>
      <c r="B715" t="s">
        <v>9</v>
      </c>
      <c r="C715" t="s">
        <v>10</v>
      </c>
      <c r="D715" t="s">
        <v>2933</v>
      </c>
      <c r="E715" t="s">
        <v>7872</v>
      </c>
      <c r="F715" t="str">
        <f>LEFT(E715,5)</f>
        <v>서울특별시</v>
      </c>
      <c r="G715" t="str">
        <f t="shared" si="24"/>
        <v xml:space="preserve">금천구 </v>
      </c>
      <c r="H715" t="str">
        <f t="shared" si="25"/>
        <v>독산동</v>
      </c>
      <c r="I715" t="s">
        <v>7873</v>
      </c>
      <c r="J715" t="s">
        <v>2936</v>
      </c>
      <c r="K715" t="s">
        <v>7874</v>
      </c>
    </row>
    <row r="716" spans="1:11" x14ac:dyDescent="0.4">
      <c r="A716" t="s">
        <v>5963</v>
      </c>
      <c r="B716" t="s">
        <v>9</v>
      </c>
      <c r="C716" t="s">
        <v>10</v>
      </c>
      <c r="D716" t="s">
        <v>5964</v>
      </c>
      <c r="E716" t="s">
        <v>5965</v>
      </c>
      <c r="F716" t="str">
        <f>LEFT(E716,5)</f>
        <v>서울특별시</v>
      </c>
      <c r="G716" t="str">
        <f t="shared" si="24"/>
        <v xml:space="preserve">금천구 </v>
      </c>
      <c r="H716" t="str">
        <f t="shared" si="25"/>
        <v>독산동</v>
      </c>
      <c r="I716" t="s">
        <v>5966</v>
      </c>
      <c r="J716" t="s">
        <v>5967</v>
      </c>
      <c r="K716" t="s">
        <v>5968</v>
      </c>
    </row>
    <row r="717" spans="1:11" x14ac:dyDescent="0.4">
      <c r="A717" t="s">
        <v>6586</v>
      </c>
      <c r="B717" t="s">
        <v>9</v>
      </c>
      <c r="C717" t="s">
        <v>10</v>
      </c>
      <c r="D717" t="s">
        <v>6578</v>
      </c>
      <c r="E717" t="s">
        <v>6587</v>
      </c>
      <c r="F717" t="str">
        <f>LEFT(E717,5)</f>
        <v>서울특별시</v>
      </c>
      <c r="G717" t="str">
        <f t="shared" si="24"/>
        <v xml:space="preserve">금천구 </v>
      </c>
      <c r="H717" t="str">
        <f t="shared" si="25"/>
        <v>독산동</v>
      </c>
      <c r="I717" t="s">
        <v>6588</v>
      </c>
      <c r="J717" t="s">
        <v>3965</v>
      </c>
      <c r="K717" t="s">
        <v>2531</v>
      </c>
    </row>
    <row r="718" spans="1:11" x14ac:dyDescent="0.4">
      <c r="A718" t="s">
        <v>6577</v>
      </c>
      <c r="B718" t="s">
        <v>9</v>
      </c>
      <c r="C718" t="s">
        <v>10</v>
      </c>
      <c r="D718" t="s">
        <v>6578</v>
      </c>
      <c r="E718" t="s">
        <v>6579</v>
      </c>
      <c r="F718" t="str">
        <f>LEFT(E718,5)</f>
        <v>서울특별시</v>
      </c>
      <c r="G718" t="str">
        <f t="shared" si="24"/>
        <v xml:space="preserve">금천구 </v>
      </c>
      <c r="H718" t="str">
        <f t="shared" si="25"/>
        <v>독산동</v>
      </c>
      <c r="I718" t="s">
        <v>6580</v>
      </c>
      <c r="J718" t="s">
        <v>3965</v>
      </c>
      <c r="K718" t="s">
        <v>6581</v>
      </c>
    </row>
    <row r="719" spans="1:11" x14ac:dyDescent="0.4">
      <c r="A719" t="s">
        <v>7079</v>
      </c>
      <c r="B719" t="s">
        <v>9</v>
      </c>
      <c r="C719" t="s">
        <v>10</v>
      </c>
      <c r="D719" t="s">
        <v>996</v>
      </c>
      <c r="E719" t="s">
        <v>7080</v>
      </c>
      <c r="F719" t="str">
        <f>LEFT(E719,5)</f>
        <v>서울특별시</v>
      </c>
      <c r="G719" t="str">
        <f t="shared" si="24"/>
        <v xml:space="preserve">금천구 </v>
      </c>
      <c r="H719" t="str">
        <f t="shared" si="25"/>
        <v>독산동</v>
      </c>
      <c r="I719" t="s">
        <v>7081</v>
      </c>
      <c r="J719" t="s">
        <v>999</v>
      </c>
      <c r="K719" t="s">
        <v>7082</v>
      </c>
    </row>
    <row r="720" spans="1:11" x14ac:dyDescent="0.4">
      <c r="A720" t="s">
        <v>1569</v>
      </c>
      <c r="B720" t="s">
        <v>9</v>
      </c>
      <c r="C720" t="s">
        <v>10</v>
      </c>
      <c r="D720" t="s">
        <v>996</v>
      </c>
      <c r="E720" t="s">
        <v>1570</v>
      </c>
      <c r="F720" t="str">
        <f>LEFT(E720,5)</f>
        <v>서울특별시</v>
      </c>
      <c r="G720" t="str">
        <f t="shared" si="24"/>
        <v xml:space="preserve">금천구 </v>
      </c>
      <c r="H720" t="str">
        <f t="shared" si="25"/>
        <v>독산동</v>
      </c>
      <c r="I720" t="s">
        <v>1571</v>
      </c>
      <c r="J720" t="s">
        <v>999</v>
      </c>
      <c r="K720" t="s">
        <v>1572</v>
      </c>
    </row>
    <row r="721" spans="1:11" x14ac:dyDescent="0.4">
      <c r="A721" t="s">
        <v>1710</v>
      </c>
      <c r="B721" t="s">
        <v>9</v>
      </c>
      <c r="C721" t="s">
        <v>10</v>
      </c>
      <c r="D721" t="s">
        <v>996</v>
      </c>
      <c r="E721" t="s">
        <v>1711</v>
      </c>
      <c r="F721" t="str">
        <f>LEFT(E721,5)</f>
        <v>서울특별시</v>
      </c>
      <c r="G721" t="str">
        <f t="shared" si="24"/>
        <v xml:space="preserve">금천구 </v>
      </c>
      <c r="H721" t="str">
        <f t="shared" si="25"/>
        <v>독산동</v>
      </c>
      <c r="I721" t="s">
        <v>1712</v>
      </c>
      <c r="J721" t="s">
        <v>999</v>
      </c>
      <c r="K721" t="s">
        <v>1713</v>
      </c>
    </row>
    <row r="722" spans="1:11" x14ac:dyDescent="0.4">
      <c r="A722" t="s">
        <v>995</v>
      </c>
      <c r="B722" t="s">
        <v>9</v>
      </c>
      <c r="C722" t="s">
        <v>10</v>
      </c>
      <c r="D722" t="s">
        <v>996</v>
      </c>
      <c r="E722" t="s">
        <v>997</v>
      </c>
      <c r="F722" t="str">
        <f>LEFT(E722,5)</f>
        <v>서울특별시</v>
      </c>
      <c r="G722" t="str">
        <f t="shared" si="24"/>
        <v xml:space="preserve">금천구 </v>
      </c>
      <c r="H722" t="str">
        <f t="shared" si="25"/>
        <v>독산동</v>
      </c>
      <c r="I722" t="s">
        <v>998</v>
      </c>
      <c r="J722" t="s">
        <v>999</v>
      </c>
      <c r="K722" t="s">
        <v>1000</v>
      </c>
    </row>
    <row r="723" spans="1:11" x14ac:dyDescent="0.4">
      <c r="A723" t="s">
        <v>3962</v>
      </c>
      <c r="B723" t="s">
        <v>9</v>
      </c>
      <c r="C723" t="s">
        <v>10</v>
      </c>
      <c r="D723" t="s">
        <v>996</v>
      </c>
      <c r="E723" t="s">
        <v>3963</v>
      </c>
      <c r="F723" t="str">
        <f>LEFT(E723,5)</f>
        <v>서울특별시</v>
      </c>
      <c r="G723" t="str">
        <f t="shared" si="24"/>
        <v xml:space="preserve">금천구 </v>
      </c>
      <c r="H723" t="str">
        <f t="shared" si="25"/>
        <v>독산동</v>
      </c>
      <c r="I723" t="s">
        <v>3964</v>
      </c>
      <c r="J723" t="s">
        <v>3965</v>
      </c>
      <c r="K723" t="s">
        <v>3966</v>
      </c>
    </row>
    <row r="724" spans="1:11" x14ac:dyDescent="0.4">
      <c r="A724" t="s">
        <v>6857</v>
      </c>
      <c r="B724" t="s">
        <v>9</v>
      </c>
      <c r="C724" t="s">
        <v>10</v>
      </c>
      <c r="D724" t="s">
        <v>996</v>
      </c>
      <c r="E724" t="s">
        <v>6858</v>
      </c>
      <c r="F724" t="str">
        <f>LEFT(E724,5)</f>
        <v>서울특별시</v>
      </c>
      <c r="G724" t="str">
        <f t="shared" si="24"/>
        <v xml:space="preserve">금천구 </v>
      </c>
      <c r="H724" t="str">
        <f t="shared" si="25"/>
        <v>독산동</v>
      </c>
      <c r="I724" t="s">
        <v>6859</v>
      </c>
      <c r="J724" t="s">
        <v>6860</v>
      </c>
      <c r="K724" t="s">
        <v>6861</v>
      </c>
    </row>
    <row r="725" spans="1:11" x14ac:dyDescent="0.4">
      <c r="A725" t="s">
        <v>3376</v>
      </c>
      <c r="B725" t="s">
        <v>9</v>
      </c>
      <c r="C725" t="s">
        <v>10</v>
      </c>
      <c r="D725" t="s">
        <v>3377</v>
      </c>
      <c r="E725" t="s">
        <v>3378</v>
      </c>
      <c r="F725" t="str">
        <f>LEFT(E725,5)</f>
        <v>서울특별시</v>
      </c>
      <c r="G725" t="str">
        <f t="shared" si="24"/>
        <v xml:space="preserve">금천구 </v>
      </c>
      <c r="H725" t="str">
        <f t="shared" si="25"/>
        <v>독산동</v>
      </c>
      <c r="I725" t="s">
        <v>3379</v>
      </c>
      <c r="J725" t="s">
        <v>3259</v>
      </c>
      <c r="K725" t="s">
        <v>3380</v>
      </c>
    </row>
    <row r="726" spans="1:11" x14ac:dyDescent="0.4">
      <c r="A726" t="s">
        <v>8388</v>
      </c>
      <c r="B726" t="s">
        <v>9</v>
      </c>
      <c r="C726" t="s">
        <v>10</v>
      </c>
      <c r="D726" t="s">
        <v>3256</v>
      </c>
      <c r="E726" t="s">
        <v>8389</v>
      </c>
      <c r="F726" t="str">
        <f>LEFT(E726,5)</f>
        <v>서울특별시</v>
      </c>
      <c r="G726" t="str">
        <f t="shared" si="24"/>
        <v xml:space="preserve">금천구 </v>
      </c>
      <c r="H726" t="str">
        <f t="shared" si="25"/>
        <v>독산동</v>
      </c>
      <c r="I726" t="s">
        <v>8390</v>
      </c>
      <c r="J726" t="s">
        <v>3259</v>
      </c>
      <c r="K726" t="s">
        <v>4162</v>
      </c>
    </row>
    <row r="727" spans="1:11" x14ac:dyDescent="0.4">
      <c r="A727" t="s">
        <v>3255</v>
      </c>
      <c r="B727" t="s">
        <v>9</v>
      </c>
      <c r="C727" t="s">
        <v>10</v>
      </c>
      <c r="D727" t="s">
        <v>3256</v>
      </c>
      <c r="E727" t="s">
        <v>3257</v>
      </c>
      <c r="F727" t="str">
        <f>LEFT(E727,5)</f>
        <v>서울특별시</v>
      </c>
      <c r="G727" t="str">
        <f t="shared" si="24"/>
        <v xml:space="preserve">금천구 </v>
      </c>
      <c r="H727" t="str">
        <f t="shared" si="25"/>
        <v>독산동</v>
      </c>
      <c r="I727" t="s">
        <v>3258</v>
      </c>
      <c r="J727" t="s">
        <v>3259</v>
      </c>
      <c r="K727" t="s">
        <v>3260</v>
      </c>
    </row>
    <row r="728" spans="1:11" x14ac:dyDescent="0.4">
      <c r="A728" t="s">
        <v>4747</v>
      </c>
      <c r="B728" t="s">
        <v>9</v>
      </c>
      <c r="C728" t="s">
        <v>10</v>
      </c>
      <c r="D728" t="s">
        <v>4748</v>
      </c>
      <c r="E728" t="s">
        <v>4749</v>
      </c>
      <c r="F728" t="str">
        <f>LEFT(E728,5)</f>
        <v>서울특별시</v>
      </c>
      <c r="G728" t="str">
        <f t="shared" si="24"/>
        <v xml:space="preserve">금천구 </v>
      </c>
      <c r="H728" t="str">
        <f t="shared" si="25"/>
        <v>독산동</v>
      </c>
      <c r="I728" t="s">
        <v>4750</v>
      </c>
      <c r="J728" t="s">
        <v>4751</v>
      </c>
      <c r="K728" t="s">
        <v>4752</v>
      </c>
    </row>
    <row r="729" spans="1:11" x14ac:dyDescent="0.4">
      <c r="A729" t="s">
        <v>6378</v>
      </c>
      <c r="B729" t="s">
        <v>9</v>
      </c>
      <c r="C729" t="s">
        <v>10</v>
      </c>
      <c r="D729" t="s">
        <v>3707</v>
      </c>
      <c r="E729" t="s">
        <v>6379</v>
      </c>
      <c r="F729" t="str">
        <f>LEFT(E729,5)</f>
        <v>서울특별시</v>
      </c>
      <c r="G729" t="str">
        <f t="shared" si="24"/>
        <v xml:space="preserve">금천구 </v>
      </c>
      <c r="H729" t="str">
        <f t="shared" si="25"/>
        <v>독산동</v>
      </c>
      <c r="I729" t="s">
        <v>6380</v>
      </c>
      <c r="J729" t="s">
        <v>3259</v>
      </c>
      <c r="K729" t="s">
        <v>6381</v>
      </c>
    </row>
    <row r="730" spans="1:11" x14ac:dyDescent="0.4">
      <c r="A730" t="s">
        <v>3706</v>
      </c>
      <c r="B730" t="s">
        <v>9</v>
      </c>
      <c r="C730" t="s">
        <v>10</v>
      </c>
      <c r="D730" t="s">
        <v>3707</v>
      </c>
      <c r="E730" t="s">
        <v>3708</v>
      </c>
      <c r="F730" t="str">
        <f>LEFT(E730,5)</f>
        <v>서울특별시</v>
      </c>
      <c r="G730" t="str">
        <f t="shared" si="24"/>
        <v xml:space="preserve">금천구 </v>
      </c>
      <c r="H730" t="str">
        <f t="shared" si="25"/>
        <v>독산동</v>
      </c>
      <c r="I730" t="s">
        <v>3709</v>
      </c>
      <c r="J730" t="s">
        <v>3259</v>
      </c>
      <c r="K730" t="s">
        <v>3710</v>
      </c>
    </row>
    <row r="731" spans="1:11" x14ac:dyDescent="0.4">
      <c r="A731" t="s">
        <v>4515</v>
      </c>
      <c r="B731" t="s">
        <v>9</v>
      </c>
      <c r="C731" t="s">
        <v>10</v>
      </c>
      <c r="D731" t="s">
        <v>3707</v>
      </c>
      <c r="E731" t="s">
        <v>4516</v>
      </c>
      <c r="F731" t="str">
        <f>LEFT(E731,5)</f>
        <v>서울특별시</v>
      </c>
      <c r="G731" t="str">
        <f t="shared" si="24"/>
        <v xml:space="preserve">금천구 </v>
      </c>
      <c r="H731" t="str">
        <f t="shared" si="25"/>
        <v>독산동</v>
      </c>
      <c r="I731" t="s">
        <v>4517</v>
      </c>
      <c r="J731" t="s">
        <v>4518</v>
      </c>
      <c r="K731" t="s">
        <v>4519</v>
      </c>
    </row>
    <row r="732" spans="1:11" x14ac:dyDescent="0.4">
      <c r="A732" t="s">
        <v>6574</v>
      </c>
      <c r="B732" t="s">
        <v>9</v>
      </c>
      <c r="C732" t="s">
        <v>10</v>
      </c>
      <c r="D732" t="s">
        <v>3707</v>
      </c>
      <c r="E732" t="s">
        <v>6575</v>
      </c>
      <c r="F732" t="str">
        <f>LEFT(E732,5)</f>
        <v>서울특별시</v>
      </c>
      <c r="G732" t="str">
        <f t="shared" si="24"/>
        <v xml:space="preserve">금천구 </v>
      </c>
      <c r="H732" t="str">
        <f t="shared" si="25"/>
        <v>독산동</v>
      </c>
      <c r="I732" t="s">
        <v>6576</v>
      </c>
      <c r="J732" t="s">
        <v>4518</v>
      </c>
      <c r="K732" t="s">
        <v>3001</v>
      </c>
    </row>
    <row r="733" spans="1:11" x14ac:dyDescent="0.4">
      <c r="A733" t="s">
        <v>5819</v>
      </c>
      <c r="B733" t="s">
        <v>9</v>
      </c>
      <c r="C733" t="s">
        <v>10</v>
      </c>
      <c r="D733" t="s">
        <v>5820</v>
      </c>
      <c r="E733" t="s">
        <v>5821</v>
      </c>
      <c r="F733" t="str">
        <f>LEFT(E733,5)</f>
        <v>서울특별시</v>
      </c>
      <c r="G733" t="str">
        <f t="shared" si="24"/>
        <v xml:space="preserve">금천구 </v>
      </c>
      <c r="H733" t="str">
        <f t="shared" si="25"/>
        <v>독산동</v>
      </c>
      <c r="I733" t="s">
        <v>5822</v>
      </c>
      <c r="J733" t="s">
        <v>5823</v>
      </c>
      <c r="K733" t="s">
        <v>5824</v>
      </c>
    </row>
    <row r="734" spans="1:11" x14ac:dyDescent="0.4">
      <c r="A734" t="s">
        <v>8708</v>
      </c>
      <c r="B734" t="s">
        <v>9</v>
      </c>
      <c r="C734" t="s">
        <v>10</v>
      </c>
      <c r="D734" t="s">
        <v>5820</v>
      </c>
      <c r="E734" t="s">
        <v>8709</v>
      </c>
      <c r="F734" t="str">
        <f>LEFT(E734,5)</f>
        <v>서울특별시</v>
      </c>
      <c r="G734" t="str">
        <f t="shared" si="24"/>
        <v xml:space="preserve">금천구 </v>
      </c>
      <c r="H734" t="str">
        <f t="shared" si="25"/>
        <v>독산동</v>
      </c>
      <c r="I734" t="s">
        <v>8710</v>
      </c>
      <c r="J734" t="s">
        <v>5823</v>
      </c>
      <c r="K734" t="s">
        <v>8711</v>
      </c>
    </row>
    <row r="735" spans="1:11" x14ac:dyDescent="0.4">
      <c r="A735" t="s">
        <v>7250</v>
      </c>
      <c r="B735" t="s">
        <v>9</v>
      </c>
      <c r="C735" t="s">
        <v>10</v>
      </c>
      <c r="D735" t="s">
        <v>7251</v>
      </c>
      <c r="E735" t="s">
        <v>7252</v>
      </c>
      <c r="F735" t="str">
        <f>LEFT(E735,5)</f>
        <v>서울특별시</v>
      </c>
      <c r="G735" t="str">
        <f t="shared" si="24"/>
        <v xml:space="preserve">금천구 </v>
      </c>
      <c r="H735" t="str">
        <f t="shared" si="25"/>
        <v>독산동</v>
      </c>
      <c r="I735" t="s">
        <v>7253</v>
      </c>
      <c r="J735" t="s">
        <v>7254</v>
      </c>
      <c r="K735" t="s">
        <v>7255</v>
      </c>
    </row>
    <row r="736" spans="1:11" x14ac:dyDescent="0.4">
      <c r="A736" t="s">
        <v>7810</v>
      </c>
      <c r="B736" t="s">
        <v>9</v>
      </c>
      <c r="C736" t="s">
        <v>10</v>
      </c>
      <c r="D736" t="s">
        <v>7251</v>
      </c>
      <c r="E736" t="s">
        <v>7811</v>
      </c>
      <c r="F736" t="str">
        <f>LEFT(E736,5)</f>
        <v>서울특별시</v>
      </c>
      <c r="G736" t="str">
        <f t="shared" si="24"/>
        <v xml:space="preserve">금천구 </v>
      </c>
      <c r="H736" t="str">
        <f t="shared" si="25"/>
        <v>독산동</v>
      </c>
      <c r="I736" t="s">
        <v>7812</v>
      </c>
      <c r="J736" t="s">
        <v>7813</v>
      </c>
      <c r="K736" t="s">
        <v>7814</v>
      </c>
    </row>
    <row r="737" spans="1:11" x14ac:dyDescent="0.4">
      <c r="A737" t="s">
        <v>1212</v>
      </c>
      <c r="B737" t="s">
        <v>9</v>
      </c>
      <c r="C737" t="s">
        <v>10</v>
      </c>
      <c r="D737" t="s">
        <v>1213</v>
      </c>
      <c r="E737" t="s">
        <v>1214</v>
      </c>
      <c r="F737" t="str">
        <f>LEFT(E737,5)</f>
        <v>서울특별시</v>
      </c>
      <c r="G737" t="str">
        <f t="shared" si="24"/>
        <v xml:space="preserve">금천구 </v>
      </c>
      <c r="H737" t="str">
        <f t="shared" si="25"/>
        <v>시흥동</v>
      </c>
      <c r="I737" t="s">
        <v>1215</v>
      </c>
      <c r="J737" t="s">
        <v>1216</v>
      </c>
      <c r="K737" t="s">
        <v>1217</v>
      </c>
    </row>
    <row r="738" spans="1:11" x14ac:dyDescent="0.4">
      <c r="A738" t="s">
        <v>5290</v>
      </c>
      <c r="B738" t="s">
        <v>9</v>
      </c>
      <c r="C738" t="s">
        <v>10</v>
      </c>
      <c r="D738" t="s">
        <v>5291</v>
      </c>
      <c r="E738" t="s">
        <v>5292</v>
      </c>
      <c r="F738" t="str">
        <f>LEFT(E738,5)</f>
        <v>서울특별시</v>
      </c>
      <c r="G738" t="str">
        <f t="shared" si="24"/>
        <v xml:space="preserve">금천구 </v>
      </c>
      <c r="H738" t="str">
        <f t="shared" si="25"/>
        <v>시흥동</v>
      </c>
      <c r="I738" t="s">
        <v>5293</v>
      </c>
      <c r="J738" t="s">
        <v>5294</v>
      </c>
      <c r="K738" t="s">
        <v>5295</v>
      </c>
    </row>
    <row r="739" spans="1:11" x14ac:dyDescent="0.4">
      <c r="A739" t="s">
        <v>4077</v>
      </c>
      <c r="B739" t="s">
        <v>9</v>
      </c>
      <c r="C739" t="s">
        <v>10</v>
      </c>
      <c r="D739" t="s">
        <v>4078</v>
      </c>
      <c r="E739" t="s">
        <v>4079</v>
      </c>
      <c r="F739" t="str">
        <f>LEFT(E739,5)</f>
        <v>서울특별시</v>
      </c>
      <c r="G739" t="str">
        <f t="shared" si="24"/>
        <v xml:space="preserve">금천구 </v>
      </c>
      <c r="H739" t="str">
        <f t="shared" si="25"/>
        <v>시흥동</v>
      </c>
      <c r="I739" t="s">
        <v>4080</v>
      </c>
      <c r="J739" t="s">
        <v>4081</v>
      </c>
      <c r="K739" t="s">
        <v>4082</v>
      </c>
    </row>
    <row r="740" spans="1:11" x14ac:dyDescent="0.4">
      <c r="A740" t="s">
        <v>4638</v>
      </c>
      <c r="B740" t="s">
        <v>9</v>
      </c>
      <c r="C740" t="s">
        <v>10</v>
      </c>
      <c r="D740" t="s">
        <v>4078</v>
      </c>
      <c r="E740" t="s">
        <v>4639</v>
      </c>
      <c r="F740" t="str">
        <f>LEFT(E740,5)</f>
        <v>서울특별시</v>
      </c>
      <c r="G740" t="str">
        <f t="shared" si="24"/>
        <v xml:space="preserve">금천구 </v>
      </c>
      <c r="H740" t="str">
        <f t="shared" si="25"/>
        <v>시흥동</v>
      </c>
      <c r="I740" t="s">
        <v>4640</v>
      </c>
      <c r="J740" t="s">
        <v>4641</v>
      </c>
      <c r="K740" t="s">
        <v>4642</v>
      </c>
    </row>
    <row r="741" spans="1:11" x14ac:dyDescent="0.4">
      <c r="A741" t="s">
        <v>466</v>
      </c>
      <c r="B741" t="s">
        <v>9</v>
      </c>
      <c r="C741" t="s">
        <v>10</v>
      </c>
      <c r="D741" t="s">
        <v>467</v>
      </c>
      <c r="E741" t="s">
        <v>468</v>
      </c>
      <c r="F741" t="str">
        <f>LEFT(E741,5)</f>
        <v>서울특별시</v>
      </c>
      <c r="G741" t="str">
        <f t="shared" si="24"/>
        <v xml:space="preserve">금천구 </v>
      </c>
      <c r="H741" t="str">
        <f t="shared" si="25"/>
        <v>시흥동</v>
      </c>
      <c r="I741" t="s">
        <v>469</v>
      </c>
      <c r="J741" t="s">
        <v>470</v>
      </c>
      <c r="K741" t="s">
        <v>471</v>
      </c>
    </row>
    <row r="742" spans="1:11" x14ac:dyDescent="0.4">
      <c r="A742" t="s">
        <v>1581</v>
      </c>
      <c r="B742" t="s">
        <v>9</v>
      </c>
      <c r="C742" t="s">
        <v>10</v>
      </c>
      <c r="D742" t="s">
        <v>24</v>
      </c>
      <c r="E742" t="s">
        <v>1582</v>
      </c>
      <c r="F742" t="str">
        <f>LEFT(E742,5)</f>
        <v>서울특별시</v>
      </c>
      <c r="G742" t="str">
        <f t="shared" si="24"/>
        <v xml:space="preserve">금천구 </v>
      </c>
      <c r="H742" t="str">
        <f t="shared" si="25"/>
        <v>시흥동</v>
      </c>
      <c r="I742" t="s">
        <v>1583</v>
      </c>
      <c r="J742" t="s">
        <v>27</v>
      </c>
      <c r="K742" t="s">
        <v>1584</v>
      </c>
    </row>
    <row r="743" spans="1:11" x14ac:dyDescent="0.4">
      <c r="A743" t="s">
        <v>612</v>
      </c>
      <c r="B743" t="s">
        <v>9</v>
      </c>
      <c r="C743" t="s">
        <v>10</v>
      </c>
      <c r="D743" t="s">
        <v>24</v>
      </c>
      <c r="E743" t="s">
        <v>613</v>
      </c>
      <c r="F743" t="str">
        <f>LEFT(E743,5)</f>
        <v>서울특별시</v>
      </c>
      <c r="G743" t="str">
        <f t="shared" si="24"/>
        <v xml:space="preserve">금천구 </v>
      </c>
      <c r="H743" t="str">
        <f t="shared" si="25"/>
        <v>시흥동</v>
      </c>
      <c r="I743" t="s">
        <v>614</v>
      </c>
      <c r="J743" t="s">
        <v>27</v>
      </c>
      <c r="K743" t="s">
        <v>615</v>
      </c>
    </row>
    <row r="744" spans="1:11" x14ac:dyDescent="0.4">
      <c r="A744" t="s">
        <v>554</v>
      </c>
      <c r="B744" t="s">
        <v>9</v>
      </c>
      <c r="C744" t="s">
        <v>10</v>
      </c>
      <c r="D744" t="s">
        <v>24</v>
      </c>
      <c r="E744" t="s">
        <v>555</v>
      </c>
      <c r="F744" t="str">
        <f>LEFT(E744,5)</f>
        <v>서울특별시</v>
      </c>
      <c r="G744" t="str">
        <f t="shared" si="24"/>
        <v xml:space="preserve">금천구 </v>
      </c>
      <c r="H744" t="str">
        <f t="shared" si="25"/>
        <v>시흥동</v>
      </c>
      <c r="I744" t="s">
        <v>556</v>
      </c>
      <c r="J744" t="s">
        <v>27</v>
      </c>
      <c r="K744" t="s">
        <v>557</v>
      </c>
    </row>
    <row r="745" spans="1:11" x14ac:dyDescent="0.4">
      <c r="A745" t="s">
        <v>1169</v>
      </c>
      <c r="B745" t="s">
        <v>9</v>
      </c>
      <c r="C745" t="s">
        <v>10</v>
      </c>
      <c r="D745" t="s">
        <v>24</v>
      </c>
      <c r="E745" t="s">
        <v>1170</v>
      </c>
      <c r="F745" t="str">
        <f>LEFT(E745,5)</f>
        <v>서울특별시</v>
      </c>
      <c r="G745" t="str">
        <f t="shared" si="24"/>
        <v xml:space="preserve">금천구 </v>
      </c>
      <c r="H745" t="str">
        <f t="shared" si="25"/>
        <v>시흥동</v>
      </c>
      <c r="I745" t="s">
        <v>1171</v>
      </c>
      <c r="J745" t="s">
        <v>27</v>
      </c>
      <c r="K745" t="s">
        <v>1172</v>
      </c>
    </row>
    <row r="746" spans="1:11" x14ac:dyDescent="0.4">
      <c r="A746" t="s">
        <v>4374</v>
      </c>
      <c r="B746" t="s">
        <v>9</v>
      </c>
      <c r="C746" t="s">
        <v>10</v>
      </c>
      <c r="D746" t="s">
        <v>24</v>
      </c>
      <c r="E746" t="s">
        <v>4375</v>
      </c>
      <c r="F746" t="str">
        <f>LEFT(E746,5)</f>
        <v>서울특별시</v>
      </c>
      <c r="G746" t="str">
        <f t="shared" si="24"/>
        <v xml:space="preserve">금천구 </v>
      </c>
      <c r="H746" t="str">
        <f t="shared" si="25"/>
        <v>시흥동</v>
      </c>
      <c r="I746" t="s">
        <v>4376</v>
      </c>
      <c r="J746" t="s">
        <v>27</v>
      </c>
      <c r="K746" t="s">
        <v>4377</v>
      </c>
    </row>
    <row r="747" spans="1:11" x14ac:dyDescent="0.4">
      <c r="A747" t="s">
        <v>8741</v>
      </c>
      <c r="B747" t="s">
        <v>9</v>
      </c>
      <c r="C747" t="s">
        <v>10</v>
      </c>
      <c r="D747" t="s">
        <v>24</v>
      </c>
      <c r="E747" t="s">
        <v>8742</v>
      </c>
      <c r="F747" t="str">
        <f>LEFT(E747,5)</f>
        <v>서울특별시</v>
      </c>
      <c r="G747" t="str">
        <f t="shared" si="24"/>
        <v xml:space="preserve">금천구 </v>
      </c>
      <c r="H747" t="str">
        <f t="shared" si="25"/>
        <v>시흥동</v>
      </c>
      <c r="I747" t="s">
        <v>8743</v>
      </c>
      <c r="J747" t="s">
        <v>27</v>
      </c>
      <c r="K747" t="s">
        <v>8744</v>
      </c>
    </row>
    <row r="748" spans="1:11" x14ac:dyDescent="0.4">
      <c r="A748" t="s">
        <v>1394</v>
      </c>
      <c r="B748" t="s">
        <v>9</v>
      </c>
      <c r="C748" t="s">
        <v>10</v>
      </c>
      <c r="D748" t="s">
        <v>24</v>
      </c>
      <c r="E748" t="s">
        <v>1395</v>
      </c>
      <c r="F748" t="str">
        <f>LEFT(E748,5)</f>
        <v>서울특별시</v>
      </c>
      <c r="G748" t="str">
        <f t="shared" si="24"/>
        <v xml:space="preserve">금천구 </v>
      </c>
      <c r="H748" t="str">
        <f t="shared" si="25"/>
        <v>시흥동</v>
      </c>
      <c r="I748" t="s">
        <v>1396</v>
      </c>
      <c r="J748" t="s">
        <v>27</v>
      </c>
      <c r="K748" t="s">
        <v>1397</v>
      </c>
    </row>
    <row r="749" spans="1:11" x14ac:dyDescent="0.4">
      <c r="A749" t="s">
        <v>522</v>
      </c>
      <c r="B749" t="s">
        <v>9</v>
      </c>
      <c r="C749" t="s">
        <v>10</v>
      </c>
      <c r="D749" t="s">
        <v>24</v>
      </c>
      <c r="E749" t="s">
        <v>523</v>
      </c>
      <c r="F749" t="str">
        <f>LEFT(E749,5)</f>
        <v>서울특별시</v>
      </c>
      <c r="G749" t="str">
        <f t="shared" si="24"/>
        <v xml:space="preserve">금천구 </v>
      </c>
      <c r="H749" t="str">
        <f t="shared" si="25"/>
        <v>시흥동</v>
      </c>
      <c r="I749" t="s">
        <v>524</v>
      </c>
      <c r="J749" t="s">
        <v>27</v>
      </c>
      <c r="K749" t="s">
        <v>525</v>
      </c>
    </row>
    <row r="750" spans="1:11" x14ac:dyDescent="0.4">
      <c r="A750" t="s">
        <v>3190</v>
      </c>
      <c r="B750" t="s">
        <v>9</v>
      </c>
      <c r="C750" t="s">
        <v>10</v>
      </c>
      <c r="D750" t="s">
        <v>3003</v>
      </c>
      <c r="E750" t="s">
        <v>3191</v>
      </c>
      <c r="F750" t="str">
        <f>LEFT(E750,5)</f>
        <v>서울특별시</v>
      </c>
      <c r="G750" t="str">
        <f t="shared" si="24"/>
        <v xml:space="preserve">금천구 </v>
      </c>
      <c r="H750" t="str">
        <f t="shared" si="25"/>
        <v>시흥동</v>
      </c>
      <c r="I750" t="s">
        <v>3192</v>
      </c>
      <c r="J750" t="s">
        <v>27</v>
      </c>
      <c r="K750" t="s">
        <v>3193</v>
      </c>
    </row>
    <row r="751" spans="1:11" x14ac:dyDescent="0.4">
      <c r="A751" t="s">
        <v>1514</v>
      </c>
      <c r="B751" t="s">
        <v>9</v>
      </c>
      <c r="C751" t="s">
        <v>10</v>
      </c>
      <c r="D751" t="s">
        <v>24</v>
      </c>
      <c r="E751" t="s">
        <v>1515</v>
      </c>
      <c r="F751" t="str">
        <f>LEFT(E751,5)</f>
        <v>서울특별시</v>
      </c>
      <c r="G751" t="str">
        <f t="shared" si="24"/>
        <v xml:space="preserve">금천구 </v>
      </c>
      <c r="H751" t="str">
        <f t="shared" si="25"/>
        <v>시흥동</v>
      </c>
      <c r="I751" t="s">
        <v>1516</v>
      </c>
      <c r="J751" t="s">
        <v>27</v>
      </c>
      <c r="K751" t="s">
        <v>1517</v>
      </c>
    </row>
    <row r="752" spans="1:11" x14ac:dyDescent="0.4">
      <c r="A752" t="s">
        <v>2320</v>
      </c>
      <c r="B752" t="s">
        <v>9</v>
      </c>
      <c r="C752" t="s">
        <v>10</v>
      </c>
      <c r="D752" t="s">
        <v>24</v>
      </c>
      <c r="E752" t="s">
        <v>2321</v>
      </c>
      <c r="F752" t="str">
        <f>LEFT(E752,5)</f>
        <v>서울특별시</v>
      </c>
      <c r="G752" t="str">
        <f t="shared" si="24"/>
        <v xml:space="preserve">금천구 </v>
      </c>
      <c r="H752" t="str">
        <f t="shared" si="25"/>
        <v>시흥동</v>
      </c>
      <c r="I752" t="s">
        <v>2322</v>
      </c>
      <c r="J752" t="s">
        <v>27</v>
      </c>
      <c r="K752" t="s">
        <v>2323</v>
      </c>
    </row>
    <row r="753" spans="1:11" x14ac:dyDescent="0.4">
      <c r="A753" t="s">
        <v>1351</v>
      </c>
      <c r="B753" t="s">
        <v>9</v>
      </c>
      <c r="C753" t="s">
        <v>10</v>
      </c>
      <c r="D753" t="s">
        <v>24</v>
      </c>
      <c r="E753" t="s">
        <v>1352</v>
      </c>
      <c r="F753" t="str">
        <f>LEFT(E753,5)</f>
        <v>서울특별시</v>
      </c>
      <c r="G753" t="str">
        <f t="shared" si="24"/>
        <v xml:space="preserve">금천구 </v>
      </c>
      <c r="H753" t="str">
        <f t="shared" si="25"/>
        <v>시흥동</v>
      </c>
      <c r="I753" t="s">
        <v>1353</v>
      </c>
      <c r="J753" t="s">
        <v>27</v>
      </c>
      <c r="K753" t="s">
        <v>1354</v>
      </c>
    </row>
    <row r="754" spans="1:11" x14ac:dyDescent="0.4">
      <c r="A754" t="s">
        <v>634</v>
      </c>
      <c r="B754" t="s">
        <v>9</v>
      </c>
      <c r="C754" t="s">
        <v>10</v>
      </c>
      <c r="D754" t="s">
        <v>24</v>
      </c>
      <c r="E754" t="s">
        <v>635</v>
      </c>
      <c r="F754" t="str">
        <f>LEFT(E754,5)</f>
        <v>서울특별시</v>
      </c>
      <c r="G754" t="str">
        <f t="shared" si="24"/>
        <v xml:space="preserve">금천구 </v>
      </c>
      <c r="H754" t="str">
        <f t="shared" si="25"/>
        <v>시흥동</v>
      </c>
      <c r="I754" t="s">
        <v>636</v>
      </c>
      <c r="J754" t="s">
        <v>27</v>
      </c>
      <c r="K754" t="s">
        <v>637</v>
      </c>
    </row>
    <row r="755" spans="1:11" x14ac:dyDescent="0.4">
      <c r="A755" t="s">
        <v>23</v>
      </c>
      <c r="B755" t="s">
        <v>9</v>
      </c>
      <c r="C755" t="s">
        <v>10</v>
      </c>
      <c r="D755" t="s">
        <v>24</v>
      </c>
      <c r="E755" t="s">
        <v>25</v>
      </c>
      <c r="F755" t="str">
        <f>LEFT(E755,5)</f>
        <v>서울특별시</v>
      </c>
      <c r="G755" t="str">
        <f t="shared" si="24"/>
        <v xml:space="preserve">금천구 </v>
      </c>
      <c r="H755" t="str">
        <f t="shared" si="25"/>
        <v>시흥동</v>
      </c>
      <c r="I755" t="s">
        <v>26</v>
      </c>
      <c r="J755" t="s">
        <v>27</v>
      </c>
      <c r="K755" t="s">
        <v>28</v>
      </c>
    </row>
    <row r="756" spans="1:11" x14ac:dyDescent="0.4">
      <c r="A756" t="s">
        <v>6516</v>
      </c>
      <c r="B756" t="s">
        <v>9</v>
      </c>
      <c r="C756" t="s">
        <v>10</v>
      </c>
      <c r="D756" t="s">
        <v>24</v>
      </c>
      <c r="E756" t="s">
        <v>6517</v>
      </c>
      <c r="F756" t="str">
        <f>LEFT(E756,5)</f>
        <v>서울특별시</v>
      </c>
      <c r="G756" t="str">
        <f t="shared" si="24"/>
        <v xml:space="preserve">금천구 </v>
      </c>
      <c r="H756" t="str">
        <f t="shared" si="25"/>
        <v>시흥동</v>
      </c>
      <c r="I756" t="s">
        <v>6518</v>
      </c>
      <c r="J756" t="s">
        <v>5132</v>
      </c>
      <c r="K756" t="s">
        <v>4340</v>
      </c>
    </row>
    <row r="757" spans="1:11" x14ac:dyDescent="0.4">
      <c r="A757" t="s">
        <v>5129</v>
      </c>
      <c r="B757" t="s">
        <v>9</v>
      </c>
      <c r="C757" t="s">
        <v>10</v>
      </c>
      <c r="D757" t="s">
        <v>24</v>
      </c>
      <c r="E757" t="s">
        <v>5130</v>
      </c>
      <c r="F757" t="str">
        <f>LEFT(E757,5)</f>
        <v>서울특별시</v>
      </c>
      <c r="G757" t="str">
        <f t="shared" si="24"/>
        <v xml:space="preserve">금천구 </v>
      </c>
      <c r="H757" t="str">
        <f t="shared" si="25"/>
        <v>시흥동</v>
      </c>
      <c r="I757" t="s">
        <v>5131</v>
      </c>
      <c r="J757" t="s">
        <v>5132</v>
      </c>
      <c r="K757" t="s">
        <v>5133</v>
      </c>
    </row>
    <row r="758" spans="1:11" x14ac:dyDescent="0.4">
      <c r="A758" t="s">
        <v>7207</v>
      </c>
      <c r="B758" t="s">
        <v>9</v>
      </c>
      <c r="C758" t="s">
        <v>10</v>
      </c>
      <c r="D758" t="s">
        <v>24</v>
      </c>
      <c r="E758" t="s">
        <v>7208</v>
      </c>
      <c r="F758" t="str">
        <f>LEFT(E758,5)</f>
        <v>서울특별시</v>
      </c>
      <c r="G758" t="str">
        <f t="shared" si="24"/>
        <v xml:space="preserve">금천구 </v>
      </c>
      <c r="H758" t="str">
        <f t="shared" si="25"/>
        <v>시흥동</v>
      </c>
      <c r="I758" t="s">
        <v>7209</v>
      </c>
      <c r="J758" t="s">
        <v>7210</v>
      </c>
      <c r="K758" t="s">
        <v>4642</v>
      </c>
    </row>
    <row r="759" spans="1:11" x14ac:dyDescent="0.4">
      <c r="A759" t="s">
        <v>8419</v>
      </c>
      <c r="B759" t="s">
        <v>9</v>
      </c>
      <c r="C759" t="s">
        <v>10</v>
      </c>
      <c r="D759" t="s">
        <v>8420</v>
      </c>
      <c r="E759" t="s">
        <v>8421</v>
      </c>
      <c r="F759" t="str">
        <f>LEFT(E759,5)</f>
        <v>서울특별시</v>
      </c>
      <c r="G759" t="str">
        <f t="shared" si="24"/>
        <v xml:space="preserve">금천구 </v>
      </c>
      <c r="H759" t="str">
        <f t="shared" si="25"/>
        <v>시흥동</v>
      </c>
      <c r="I759" t="s">
        <v>8422</v>
      </c>
      <c r="J759" t="s">
        <v>8423</v>
      </c>
      <c r="K759" t="s">
        <v>8424</v>
      </c>
    </row>
    <row r="760" spans="1:11" x14ac:dyDescent="0.4">
      <c r="A760" t="s">
        <v>120</v>
      </c>
      <c r="B760" t="s">
        <v>9</v>
      </c>
      <c r="C760" t="s">
        <v>10</v>
      </c>
      <c r="D760" t="s">
        <v>49</v>
      </c>
      <c r="E760" t="s">
        <v>121</v>
      </c>
      <c r="F760" t="str">
        <f>LEFT(E760,5)</f>
        <v>서울특별시</v>
      </c>
      <c r="G760" t="str">
        <f t="shared" si="24"/>
        <v xml:space="preserve">금천구 </v>
      </c>
      <c r="H760" t="str">
        <f t="shared" si="25"/>
        <v>시흥동</v>
      </c>
      <c r="I760" t="s">
        <v>122</v>
      </c>
      <c r="J760" t="s">
        <v>123</v>
      </c>
      <c r="K760" t="s">
        <v>124</v>
      </c>
    </row>
    <row r="761" spans="1:11" x14ac:dyDescent="0.4">
      <c r="A761" t="s">
        <v>991</v>
      </c>
      <c r="B761" t="s">
        <v>9</v>
      </c>
      <c r="C761" t="s">
        <v>10</v>
      </c>
      <c r="D761" t="s">
        <v>49</v>
      </c>
      <c r="E761" t="s">
        <v>992</v>
      </c>
      <c r="F761" t="str">
        <f>LEFT(E761,5)</f>
        <v>서울특별시</v>
      </c>
      <c r="G761" t="str">
        <f t="shared" si="24"/>
        <v xml:space="preserve">금천구 </v>
      </c>
      <c r="H761" t="str">
        <f t="shared" si="25"/>
        <v>시흥동</v>
      </c>
      <c r="I761" t="s">
        <v>993</v>
      </c>
      <c r="J761" t="s">
        <v>123</v>
      </c>
      <c r="K761" t="s">
        <v>994</v>
      </c>
    </row>
    <row r="762" spans="1:11" x14ac:dyDescent="0.4">
      <c r="A762" t="s">
        <v>48</v>
      </c>
      <c r="B762" t="s">
        <v>9</v>
      </c>
      <c r="C762" t="s">
        <v>10</v>
      </c>
      <c r="D762" t="s">
        <v>49</v>
      </c>
      <c r="E762" t="s">
        <v>50</v>
      </c>
      <c r="F762" t="str">
        <f>LEFT(E762,5)</f>
        <v>서울특별시</v>
      </c>
      <c r="G762" t="str">
        <f t="shared" si="24"/>
        <v xml:space="preserve">금천구 </v>
      </c>
      <c r="H762" t="str">
        <f t="shared" si="25"/>
        <v>시흥동</v>
      </c>
      <c r="I762" t="s">
        <v>51</v>
      </c>
      <c r="J762" t="s">
        <v>52</v>
      </c>
      <c r="K762" t="s">
        <v>53</v>
      </c>
    </row>
    <row r="763" spans="1:11" x14ac:dyDescent="0.4">
      <c r="A763" t="s">
        <v>496</v>
      </c>
      <c r="B763" t="s">
        <v>9</v>
      </c>
      <c r="C763" t="s">
        <v>10</v>
      </c>
      <c r="D763" t="s">
        <v>49</v>
      </c>
      <c r="E763" t="s">
        <v>50</v>
      </c>
      <c r="F763" t="str">
        <f>LEFT(E763,5)</f>
        <v>서울특별시</v>
      </c>
      <c r="G763" t="str">
        <f t="shared" si="24"/>
        <v xml:space="preserve">금천구 </v>
      </c>
      <c r="H763" t="str">
        <f t="shared" si="25"/>
        <v>시흥동</v>
      </c>
      <c r="I763" t="s">
        <v>497</v>
      </c>
      <c r="J763" t="s">
        <v>52</v>
      </c>
      <c r="K763" t="s">
        <v>498</v>
      </c>
    </row>
    <row r="764" spans="1:11" x14ac:dyDescent="0.4">
      <c r="A764" t="s">
        <v>3002</v>
      </c>
      <c r="B764" t="s">
        <v>9</v>
      </c>
      <c r="C764" t="s">
        <v>10</v>
      </c>
      <c r="D764" t="s">
        <v>3003</v>
      </c>
      <c r="E764" t="s">
        <v>3004</v>
      </c>
      <c r="F764" t="str">
        <f>LEFT(E764,5)</f>
        <v>서울특별시</v>
      </c>
      <c r="G764" t="str">
        <f t="shared" si="24"/>
        <v xml:space="preserve">금천구 </v>
      </c>
      <c r="H764" t="str">
        <f t="shared" si="25"/>
        <v>시흥동</v>
      </c>
      <c r="I764" t="s">
        <v>3005</v>
      </c>
      <c r="J764" t="s">
        <v>52</v>
      </c>
      <c r="K764" t="s">
        <v>1594</v>
      </c>
    </row>
    <row r="765" spans="1:11" x14ac:dyDescent="0.4">
      <c r="A765" t="s">
        <v>5231</v>
      </c>
      <c r="B765" t="s">
        <v>9</v>
      </c>
      <c r="C765" t="s">
        <v>10</v>
      </c>
      <c r="D765" t="s">
        <v>3701</v>
      </c>
      <c r="E765" t="s">
        <v>5232</v>
      </c>
      <c r="F765" t="str">
        <f>LEFT(E765,5)</f>
        <v>서울특별시</v>
      </c>
      <c r="G765" t="str">
        <f t="shared" si="24"/>
        <v xml:space="preserve">노원구 </v>
      </c>
      <c r="H765" t="str">
        <f t="shared" si="25"/>
        <v>공릉동</v>
      </c>
      <c r="I765" t="s">
        <v>5233</v>
      </c>
      <c r="J765" t="s">
        <v>5234</v>
      </c>
      <c r="K765" t="s">
        <v>5235</v>
      </c>
    </row>
    <row r="766" spans="1:11" x14ac:dyDescent="0.4">
      <c r="A766" t="s">
        <v>3901</v>
      </c>
      <c r="B766" t="s">
        <v>9</v>
      </c>
      <c r="C766" t="s">
        <v>10</v>
      </c>
      <c r="D766" t="s">
        <v>3701</v>
      </c>
      <c r="E766" t="s">
        <v>3902</v>
      </c>
      <c r="F766" t="str">
        <f>LEFT(E766,5)</f>
        <v>서울특별시</v>
      </c>
      <c r="G766" t="str">
        <f t="shared" si="24"/>
        <v xml:space="preserve">노원구 </v>
      </c>
      <c r="H766" t="str">
        <f t="shared" si="25"/>
        <v>공릉동</v>
      </c>
      <c r="I766" t="s">
        <v>3903</v>
      </c>
      <c r="J766" t="s">
        <v>3704</v>
      </c>
      <c r="K766" t="s">
        <v>3904</v>
      </c>
    </row>
    <row r="767" spans="1:11" x14ac:dyDescent="0.4">
      <c r="A767" t="s">
        <v>3700</v>
      </c>
      <c r="B767" t="s">
        <v>9</v>
      </c>
      <c r="C767" t="s">
        <v>10</v>
      </c>
      <c r="D767" t="s">
        <v>3701</v>
      </c>
      <c r="E767" t="s">
        <v>3702</v>
      </c>
      <c r="F767" t="str">
        <f>LEFT(E767,5)</f>
        <v>서울특별시</v>
      </c>
      <c r="G767" t="str">
        <f t="shared" si="24"/>
        <v xml:space="preserve">노원구 </v>
      </c>
      <c r="H767" t="str">
        <f t="shared" si="25"/>
        <v>공릉동</v>
      </c>
      <c r="I767" t="s">
        <v>3703</v>
      </c>
      <c r="J767" t="s">
        <v>3704</v>
      </c>
      <c r="K767" t="s">
        <v>3705</v>
      </c>
    </row>
    <row r="768" spans="1:11" x14ac:dyDescent="0.4">
      <c r="A768" t="s">
        <v>1034</v>
      </c>
      <c r="B768" t="s">
        <v>9</v>
      </c>
      <c r="C768" t="s">
        <v>10</v>
      </c>
      <c r="D768" t="s">
        <v>1035</v>
      </c>
      <c r="E768" t="s">
        <v>1036</v>
      </c>
      <c r="F768" t="str">
        <f>LEFT(E768,5)</f>
        <v>서울특별시</v>
      </c>
      <c r="G768" t="str">
        <f t="shared" si="24"/>
        <v xml:space="preserve">노원구 </v>
      </c>
      <c r="H768" t="str">
        <f t="shared" si="25"/>
        <v>공릉동</v>
      </c>
      <c r="I768" t="s">
        <v>1037</v>
      </c>
      <c r="J768" t="s">
        <v>1038</v>
      </c>
      <c r="K768" t="s">
        <v>665</v>
      </c>
    </row>
    <row r="769" spans="1:11" x14ac:dyDescent="0.4">
      <c r="A769" t="s">
        <v>1918</v>
      </c>
      <c r="B769" t="s">
        <v>9</v>
      </c>
      <c r="C769" t="s">
        <v>10</v>
      </c>
      <c r="D769" t="s">
        <v>1035</v>
      </c>
      <c r="E769" t="s">
        <v>1919</v>
      </c>
      <c r="F769" t="str">
        <f>LEFT(E769,5)</f>
        <v>서울특별시</v>
      </c>
      <c r="G769" t="str">
        <f t="shared" si="24"/>
        <v xml:space="preserve">노원구 </v>
      </c>
      <c r="H769" t="str">
        <f t="shared" si="25"/>
        <v>공릉동</v>
      </c>
      <c r="I769" t="s">
        <v>1920</v>
      </c>
      <c r="J769" t="s">
        <v>1038</v>
      </c>
      <c r="K769" t="s">
        <v>1921</v>
      </c>
    </row>
    <row r="770" spans="1:11" x14ac:dyDescent="0.4">
      <c r="A770" t="s">
        <v>8464</v>
      </c>
      <c r="B770" t="s">
        <v>9</v>
      </c>
      <c r="C770" t="s">
        <v>10</v>
      </c>
      <c r="D770" t="s">
        <v>1035</v>
      </c>
      <c r="E770" t="s">
        <v>8465</v>
      </c>
      <c r="F770" t="str">
        <f>LEFT(E770,5)</f>
        <v>서울특별시</v>
      </c>
      <c r="G770" t="str">
        <f t="shared" si="24"/>
        <v xml:space="preserve">노원구 </v>
      </c>
      <c r="H770" t="str">
        <f t="shared" si="25"/>
        <v>공릉동</v>
      </c>
      <c r="I770" t="s">
        <v>8466</v>
      </c>
      <c r="J770" t="s">
        <v>1038</v>
      </c>
      <c r="K770" t="s">
        <v>8467</v>
      </c>
    </row>
    <row r="771" spans="1:11" x14ac:dyDescent="0.4">
      <c r="A771" t="s">
        <v>5427</v>
      </c>
      <c r="B771" t="s">
        <v>9</v>
      </c>
      <c r="C771" t="s">
        <v>10</v>
      </c>
      <c r="D771" t="s">
        <v>1035</v>
      </c>
      <c r="E771" t="s">
        <v>5428</v>
      </c>
      <c r="F771" t="str">
        <f>LEFT(E771,5)</f>
        <v>서울특별시</v>
      </c>
      <c r="G771" t="str">
        <f t="shared" ref="G771:G834" si="26">MID(E771,7,4)</f>
        <v xml:space="preserve">노원구 </v>
      </c>
      <c r="H771" t="str">
        <f t="shared" ref="H771:H834" si="27">MID(SUBSTITUTE(E771," ",""),9,3)</f>
        <v>공릉동</v>
      </c>
      <c r="I771" t="s">
        <v>5429</v>
      </c>
      <c r="J771" t="s">
        <v>1038</v>
      </c>
      <c r="K771" t="s">
        <v>5430</v>
      </c>
    </row>
    <row r="772" spans="1:11" x14ac:dyDescent="0.4">
      <c r="A772" t="s">
        <v>7879</v>
      </c>
      <c r="B772" t="s">
        <v>9</v>
      </c>
      <c r="C772" t="s">
        <v>10</v>
      </c>
      <c r="D772" t="s">
        <v>7880</v>
      </c>
      <c r="E772" t="s">
        <v>7881</v>
      </c>
      <c r="F772" t="str">
        <f>LEFT(E772,5)</f>
        <v>서울특별시</v>
      </c>
      <c r="G772" t="str">
        <f t="shared" si="26"/>
        <v xml:space="preserve">노원구 </v>
      </c>
      <c r="H772" t="str">
        <f t="shared" si="27"/>
        <v>상계동</v>
      </c>
      <c r="I772" t="s">
        <v>7882</v>
      </c>
      <c r="J772" t="s">
        <v>7883</v>
      </c>
      <c r="K772" t="s">
        <v>7884</v>
      </c>
    </row>
    <row r="773" spans="1:11" x14ac:dyDescent="0.4">
      <c r="A773" t="s">
        <v>4207</v>
      </c>
      <c r="B773" t="s">
        <v>9</v>
      </c>
      <c r="C773" t="s">
        <v>10</v>
      </c>
      <c r="D773" t="s">
        <v>4208</v>
      </c>
      <c r="E773" t="s">
        <v>4209</v>
      </c>
      <c r="F773" t="str">
        <f>LEFT(E773,5)</f>
        <v>서울특별시</v>
      </c>
      <c r="G773" t="str">
        <f t="shared" si="26"/>
        <v xml:space="preserve">노원구 </v>
      </c>
      <c r="H773" t="str">
        <f t="shared" si="27"/>
        <v>상계동</v>
      </c>
      <c r="I773" t="s">
        <v>4210</v>
      </c>
      <c r="J773" t="s">
        <v>4211</v>
      </c>
      <c r="K773" t="s">
        <v>4212</v>
      </c>
    </row>
    <row r="774" spans="1:11" x14ac:dyDescent="0.4">
      <c r="A774" t="s">
        <v>7459</v>
      </c>
      <c r="B774" t="s">
        <v>9</v>
      </c>
      <c r="C774" t="s">
        <v>10</v>
      </c>
      <c r="D774" t="s">
        <v>4208</v>
      </c>
      <c r="E774" t="s">
        <v>7460</v>
      </c>
      <c r="F774" t="str">
        <f>LEFT(E774,5)</f>
        <v>서울특별시</v>
      </c>
      <c r="G774" t="str">
        <f t="shared" si="26"/>
        <v xml:space="preserve">노원구 </v>
      </c>
      <c r="H774" t="str">
        <f t="shared" si="27"/>
        <v>상계동</v>
      </c>
      <c r="I774" t="s">
        <v>7461</v>
      </c>
      <c r="J774" t="s">
        <v>5703</v>
      </c>
      <c r="K774" t="s">
        <v>7462</v>
      </c>
    </row>
    <row r="775" spans="1:11" x14ac:dyDescent="0.4">
      <c r="A775" t="s">
        <v>8129</v>
      </c>
      <c r="B775" t="s">
        <v>9</v>
      </c>
      <c r="C775" t="s">
        <v>10</v>
      </c>
      <c r="D775" t="s">
        <v>4574</v>
      </c>
      <c r="E775" t="s">
        <v>8130</v>
      </c>
      <c r="F775" t="str">
        <f>LEFT(E775,5)</f>
        <v>서울특별시</v>
      </c>
      <c r="G775" t="str">
        <f t="shared" si="26"/>
        <v xml:space="preserve">노원구 </v>
      </c>
      <c r="H775" t="str">
        <f t="shared" si="27"/>
        <v>상계동</v>
      </c>
      <c r="I775" t="s">
        <v>8131</v>
      </c>
      <c r="J775" t="s">
        <v>4814</v>
      </c>
      <c r="K775" t="s">
        <v>8132</v>
      </c>
    </row>
    <row r="776" spans="1:11" x14ac:dyDescent="0.4">
      <c r="A776" t="s">
        <v>4573</v>
      </c>
      <c r="B776" t="s">
        <v>9</v>
      </c>
      <c r="C776" t="s">
        <v>10</v>
      </c>
      <c r="D776" t="s">
        <v>4574</v>
      </c>
      <c r="E776" t="s">
        <v>4575</v>
      </c>
      <c r="F776" t="str">
        <f>LEFT(E776,5)</f>
        <v>서울특별시</v>
      </c>
      <c r="G776" t="str">
        <f t="shared" si="26"/>
        <v xml:space="preserve">노원구 </v>
      </c>
      <c r="H776" t="str">
        <f t="shared" si="27"/>
        <v>상계동</v>
      </c>
      <c r="I776" t="s">
        <v>4576</v>
      </c>
      <c r="J776" t="s">
        <v>4577</v>
      </c>
      <c r="K776" t="s">
        <v>4578</v>
      </c>
    </row>
    <row r="777" spans="1:11" x14ac:dyDescent="0.4">
      <c r="A777" t="s">
        <v>4811</v>
      </c>
      <c r="B777" t="s">
        <v>9</v>
      </c>
      <c r="C777" t="s">
        <v>10</v>
      </c>
      <c r="D777" t="s">
        <v>4574</v>
      </c>
      <c r="E777" t="s">
        <v>4812</v>
      </c>
      <c r="F777" t="str">
        <f>LEFT(E777,5)</f>
        <v>서울특별시</v>
      </c>
      <c r="G777" t="str">
        <f t="shared" si="26"/>
        <v xml:space="preserve">노원구 </v>
      </c>
      <c r="H777" t="str">
        <f t="shared" si="27"/>
        <v>상계동</v>
      </c>
      <c r="I777" t="s">
        <v>4813</v>
      </c>
      <c r="J777" t="s">
        <v>4814</v>
      </c>
      <c r="K777" t="s">
        <v>4815</v>
      </c>
    </row>
    <row r="778" spans="1:11" x14ac:dyDescent="0.4">
      <c r="A778" t="s">
        <v>5700</v>
      </c>
      <c r="B778" t="s">
        <v>9</v>
      </c>
      <c r="C778" t="s">
        <v>10</v>
      </c>
      <c r="D778" t="s">
        <v>4574</v>
      </c>
      <c r="E778" t="s">
        <v>5701</v>
      </c>
      <c r="F778" t="str">
        <f>LEFT(E778,5)</f>
        <v>서울특별시</v>
      </c>
      <c r="G778" t="str">
        <f t="shared" si="26"/>
        <v xml:space="preserve">노원구 </v>
      </c>
      <c r="H778" t="str">
        <f t="shared" si="27"/>
        <v>상계동</v>
      </c>
      <c r="I778" t="s">
        <v>5702</v>
      </c>
      <c r="J778" t="s">
        <v>5703</v>
      </c>
      <c r="K778" t="s">
        <v>5704</v>
      </c>
    </row>
    <row r="779" spans="1:11" x14ac:dyDescent="0.4">
      <c r="A779" t="s">
        <v>8654</v>
      </c>
      <c r="B779" t="s">
        <v>9</v>
      </c>
      <c r="C779" t="s">
        <v>10</v>
      </c>
      <c r="D779" t="s">
        <v>4574</v>
      </c>
      <c r="E779" t="s">
        <v>8655</v>
      </c>
      <c r="F779" t="str">
        <f>LEFT(E779,5)</f>
        <v>서울특별시</v>
      </c>
      <c r="G779" t="str">
        <f t="shared" si="26"/>
        <v xml:space="preserve">노원구 </v>
      </c>
      <c r="H779" t="str">
        <f t="shared" si="27"/>
        <v>상계동</v>
      </c>
      <c r="I779" t="s">
        <v>8656</v>
      </c>
      <c r="J779" t="s">
        <v>4211</v>
      </c>
      <c r="K779" t="s">
        <v>8657</v>
      </c>
    </row>
    <row r="780" spans="1:11" x14ac:dyDescent="0.4">
      <c r="A780" t="s">
        <v>3050</v>
      </c>
      <c r="B780" t="s">
        <v>9</v>
      </c>
      <c r="C780" t="s">
        <v>10</v>
      </c>
      <c r="D780" t="s">
        <v>3051</v>
      </c>
      <c r="E780" t="s">
        <v>3052</v>
      </c>
      <c r="F780" t="str">
        <f>LEFT(E780,5)</f>
        <v>서울특별시</v>
      </c>
      <c r="G780" t="str">
        <f t="shared" si="26"/>
        <v xml:space="preserve">노원구 </v>
      </c>
      <c r="H780" t="str">
        <f t="shared" si="27"/>
        <v>상계동</v>
      </c>
      <c r="I780" t="s">
        <v>3053</v>
      </c>
      <c r="J780" t="s">
        <v>3054</v>
      </c>
      <c r="K780" t="s">
        <v>3055</v>
      </c>
    </row>
    <row r="781" spans="1:11" x14ac:dyDescent="0.4">
      <c r="A781" t="s">
        <v>5028</v>
      </c>
      <c r="B781" t="s">
        <v>9</v>
      </c>
      <c r="C781" t="s">
        <v>10</v>
      </c>
      <c r="D781" t="s">
        <v>5029</v>
      </c>
      <c r="E781" t="s">
        <v>5030</v>
      </c>
      <c r="F781" t="str">
        <f>LEFT(E781,5)</f>
        <v>서울특별시</v>
      </c>
      <c r="G781" t="str">
        <f t="shared" si="26"/>
        <v xml:space="preserve">노원구 </v>
      </c>
      <c r="H781" t="str">
        <f t="shared" si="27"/>
        <v>상계동</v>
      </c>
      <c r="I781" t="s">
        <v>5031</v>
      </c>
      <c r="J781" t="s">
        <v>3054</v>
      </c>
      <c r="K781" t="s">
        <v>5032</v>
      </c>
    </row>
    <row r="782" spans="1:11" x14ac:dyDescent="0.4">
      <c r="A782" t="s">
        <v>5499</v>
      </c>
      <c r="B782" t="s">
        <v>9</v>
      </c>
      <c r="C782" t="s">
        <v>10</v>
      </c>
      <c r="D782" t="s">
        <v>5029</v>
      </c>
      <c r="E782" t="s">
        <v>5500</v>
      </c>
      <c r="F782" t="str">
        <f>LEFT(E782,5)</f>
        <v>서울특별시</v>
      </c>
      <c r="G782" t="str">
        <f t="shared" si="26"/>
        <v xml:space="preserve">노원구 </v>
      </c>
      <c r="H782" t="str">
        <f t="shared" si="27"/>
        <v>상계동</v>
      </c>
      <c r="I782" t="s">
        <v>5501</v>
      </c>
      <c r="J782" t="s">
        <v>5502</v>
      </c>
      <c r="K782" t="s">
        <v>5503</v>
      </c>
    </row>
    <row r="783" spans="1:11" x14ac:dyDescent="0.4">
      <c r="A783" t="s">
        <v>5059</v>
      </c>
      <c r="B783" t="s">
        <v>9</v>
      </c>
      <c r="C783" t="s">
        <v>10</v>
      </c>
      <c r="D783" t="s">
        <v>5029</v>
      </c>
      <c r="E783" t="s">
        <v>5060</v>
      </c>
      <c r="F783" t="str">
        <f>LEFT(E783,5)</f>
        <v>서울특별시</v>
      </c>
      <c r="G783" t="str">
        <f t="shared" si="26"/>
        <v xml:space="preserve">노원구 </v>
      </c>
      <c r="H783" t="str">
        <f t="shared" si="27"/>
        <v>상계동</v>
      </c>
      <c r="I783" t="s">
        <v>5061</v>
      </c>
      <c r="J783" t="s">
        <v>3054</v>
      </c>
      <c r="K783" t="s">
        <v>2085</v>
      </c>
    </row>
    <row r="784" spans="1:11" x14ac:dyDescent="0.4">
      <c r="A784" t="s">
        <v>8026</v>
      </c>
      <c r="B784" t="s">
        <v>9</v>
      </c>
      <c r="C784" t="s">
        <v>10</v>
      </c>
      <c r="D784" t="s">
        <v>5029</v>
      </c>
      <c r="E784" t="s">
        <v>8027</v>
      </c>
      <c r="F784" t="str">
        <f>LEFT(E784,5)</f>
        <v>서울특별시</v>
      </c>
      <c r="G784" t="str">
        <f t="shared" si="26"/>
        <v xml:space="preserve">노원구 </v>
      </c>
      <c r="H784" t="str">
        <f t="shared" si="27"/>
        <v>상계동</v>
      </c>
      <c r="I784" t="s">
        <v>8028</v>
      </c>
      <c r="J784" t="s">
        <v>8029</v>
      </c>
      <c r="K784" t="s">
        <v>8030</v>
      </c>
    </row>
    <row r="785" spans="1:11" x14ac:dyDescent="0.4">
      <c r="A785" t="s">
        <v>7544</v>
      </c>
      <c r="B785" t="s">
        <v>9</v>
      </c>
      <c r="C785" t="s">
        <v>10</v>
      </c>
      <c r="D785" t="s">
        <v>6002</v>
      </c>
      <c r="E785" t="s">
        <v>7545</v>
      </c>
      <c r="F785" t="str">
        <f>LEFT(E785,5)</f>
        <v>서울특별시</v>
      </c>
      <c r="G785" t="str">
        <f t="shared" si="26"/>
        <v xml:space="preserve">노원구 </v>
      </c>
      <c r="H785" t="str">
        <f t="shared" si="27"/>
        <v>상계동</v>
      </c>
      <c r="I785" t="s">
        <v>7546</v>
      </c>
      <c r="J785" t="s">
        <v>4577</v>
      </c>
      <c r="K785" t="s">
        <v>7547</v>
      </c>
    </row>
    <row r="786" spans="1:11" x14ac:dyDescent="0.4">
      <c r="A786" t="s">
        <v>8222</v>
      </c>
      <c r="B786" t="s">
        <v>9</v>
      </c>
      <c r="C786" t="s">
        <v>10</v>
      </c>
      <c r="D786" t="s">
        <v>6002</v>
      </c>
      <c r="E786" t="s">
        <v>8223</v>
      </c>
      <c r="F786" t="str">
        <f>LEFT(E786,5)</f>
        <v>서울특별시</v>
      </c>
      <c r="G786" t="str">
        <f t="shared" si="26"/>
        <v xml:space="preserve">노원구 </v>
      </c>
      <c r="H786" t="str">
        <f t="shared" si="27"/>
        <v>상계동</v>
      </c>
      <c r="I786" t="s">
        <v>8224</v>
      </c>
      <c r="J786" t="s">
        <v>4577</v>
      </c>
      <c r="K786" t="s">
        <v>6392</v>
      </c>
    </row>
    <row r="787" spans="1:11" x14ac:dyDescent="0.4">
      <c r="A787" t="s">
        <v>8339</v>
      </c>
      <c r="B787" t="s">
        <v>9</v>
      </c>
      <c r="C787" t="s">
        <v>10</v>
      </c>
      <c r="D787" t="s">
        <v>6002</v>
      </c>
      <c r="E787" t="s">
        <v>8340</v>
      </c>
      <c r="F787" t="str">
        <f>LEFT(E787,5)</f>
        <v>서울특별시</v>
      </c>
      <c r="G787" t="str">
        <f t="shared" si="26"/>
        <v xml:space="preserve">노원구 </v>
      </c>
      <c r="H787" t="str">
        <f t="shared" si="27"/>
        <v>상계동</v>
      </c>
      <c r="I787" t="s">
        <v>8341</v>
      </c>
      <c r="J787" t="s">
        <v>4577</v>
      </c>
      <c r="K787" t="s">
        <v>8342</v>
      </c>
    </row>
    <row r="788" spans="1:11" x14ac:dyDescent="0.4">
      <c r="A788" t="s">
        <v>7746</v>
      </c>
      <c r="B788" t="s">
        <v>9</v>
      </c>
      <c r="C788" t="s">
        <v>10</v>
      </c>
      <c r="D788" t="s">
        <v>6002</v>
      </c>
      <c r="E788" t="s">
        <v>7747</v>
      </c>
      <c r="F788" t="str">
        <f>LEFT(E788,5)</f>
        <v>서울특별시</v>
      </c>
      <c r="G788" t="str">
        <f t="shared" si="26"/>
        <v xml:space="preserve">노원구 </v>
      </c>
      <c r="H788" t="str">
        <f t="shared" si="27"/>
        <v>상계동</v>
      </c>
      <c r="I788" t="s">
        <v>7748</v>
      </c>
      <c r="J788" t="s">
        <v>4577</v>
      </c>
      <c r="K788" t="s">
        <v>7749</v>
      </c>
    </row>
    <row r="789" spans="1:11" x14ac:dyDescent="0.4">
      <c r="A789" t="s">
        <v>6001</v>
      </c>
      <c r="B789" t="s">
        <v>9</v>
      </c>
      <c r="C789" t="s">
        <v>10</v>
      </c>
      <c r="D789" t="s">
        <v>6002</v>
      </c>
      <c r="E789" t="s">
        <v>6003</v>
      </c>
      <c r="F789" t="str">
        <f>LEFT(E789,5)</f>
        <v>서울특별시</v>
      </c>
      <c r="G789" t="str">
        <f t="shared" si="26"/>
        <v xml:space="preserve">노원구 </v>
      </c>
      <c r="H789" t="str">
        <f t="shared" si="27"/>
        <v>상계동</v>
      </c>
      <c r="I789" t="s">
        <v>6004</v>
      </c>
      <c r="J789" t="s">
        <v>4577</v>
      </c>
      <c r="K789" t="s">
        <v>6005</v>
      </c>
    </row>
    <row r="790" spans="1:11" x14ac:dyDescent="0.4">
      <c r="A790" t="s">
        <v>8461</v>
      </c>
      <c r="B790" t="s">
        <v>9</v>
      </c>
      <c r="C790" t="s">
        <v>10</v>
      </c>
      <c r="D790" t="s">
        <v>6002</v>
      </c>
      <c r="E790" t="s">
        <v>8462</v>
      </c>
      <c r="F790" t="str">
        <f>LEFT(E790,5)</f>
        <v>서울특별시</v>
      </c>
      <c r="G790" t="str">
        <f t="shared" si="26"/>
        <v xml:space="preserve">노원구 </v>
      </c>
      <c r="H790" t="str">
        <f t="shared" si="27"/>
        <v>상계동</v>
      </c>
      <c r="I790" t="s">
        <v>8463</v>
      </c>
      <c r="J790" t="s">
        <v>11</v>
      </c>
      <c r="K790" t="s">
        <v>4326</v>
      </c>
    </row>
    <row r="791" spans="1:11" x14ac:dyDescent="0.4">
      <c r="A791" t="s">
        <v>6469</v>
      </c>
      <c r="B791" t="s">
        <v>9</v>
      </c>
      <c r="C791" t="s">
        <v>10</v>
      </c>
      <c r="D791" t="s">
        <v>6002</v>
      </c>
      <c r="E791" t="s">
        <v>6470</v>
      </c>
      <c r="F791" t="str">
        <f>LEFT(E791,5)</f>
        <v>서울특별시</v>
      </c>
      <c r="G791" t="str">
        <f t="shared" si="26"/>
        <v xml:space="preserve">노원구 </v>
      </c>
      <c r="H791" t="str">
        <f t="shared" si="27"/>
        <v>상계동</v>
      </c>
      <c r="I791" t="s">
        <v>6471</v>
      </c>
      <c r="J791" t="s">
        <v>4577</v>
      </c>
      <c r="K791" t="s">
        <v>6472</v>
      </c>
    </row>
    <row r="792" spans="1:11" x14ac:dyDescent="0.4">
      <c r="A792" t="s">
        <v>3104</v>
      </c>
      <c r="B792" t="s">
        <v>9</v>
      </c>
      <c r="C792" t="s">
        <v>10</v>
      </c>
      <c r="D792" t="s">
        <v>3105</v>
      </c>
      <c r="E792" t="s">
        <v>3106</v>
      </c>
      <c r="F792" t="str">
        <f>LEFT(E792,5)</f>
        <v>서울특별시</v>
      </c>
      <c r="G792" t="str">
        <f t="shared" si="26"/>
        <v xml:space="preserve">노원구 </v>
      </c>
      <c r="H792" t="str">
        <f t="shared" si="27"/>
        <v>상계동</v>
      </c>
      <c r="I792" t="s">
        <v>3107</v>
      </c>
      <c r="J792" t="s">
        <v>3054</v>
      </c>
      <c r="K792" t="s">
        <v>3108</v>
      </c>
    </row>
    <row r="793" spans="1:11" x14ac:dyDescent="0.4">
      <c r="A793" t="s">
        <v>4000</v>
      </c>
      <c r="B793" t="s">
        <v>9</v>
      </c>
      <c r="C793" t="s">
        <v>10</v>
      </c>
      <c r="D793" t="s">
        <v>4001</v>
      </c>
      <c r="E793" t="s">
        <v>4002</v>
      </c>
      <c r="F793" t="str">
        <f>LEFT(E793,5)</f>
        <v>서울특별시</v>
      </c>
      <c r="G793" t="str">
        <f t="shared" si="26"/>
        <v xml:space="preserve">노원구 </v>
      </c>
      <c r="H793" t="str">
        <f t="shared" si="27"/>
        <v>상계동</v>
      </c>
      <c r="I793" t="s">
        <v>4003</v>
      </c>
      <c r="J793" t="s">
        <v>4004</v>
      </c>
      <c r="K793" t="s">
        <v>4005</v>
      </c>
    </row>
    <row r="794" spans="1:11" x14ac:dyDescent="0.4">
      <c r="A794" t="s">
        <v>5645</v>
      </c>
      <c r="B794" t="s">
        <v>9</v>
      </c>
      <c r="C794" t="s">
        <v>10</v>
      </c>
      <c r="D794" t="s">
        <v>2197</v>
      </c>
      <c r="E794" t="s">
        <v>5646</v>
      </c>
      <c r="F794" t="str">
        <f>LEFT(E794,5)</f>
        <v>서울특별시</v>
      </c>
      <c r="G794" t="str">
        <f t="shared" si="26"/>
        <v xml:space="preserve">노원구 </v>
      </c>
      <c r="H794" t="str">
        <f t="shared" si="27"/>
        <v>상계동</v>
      </c>
      <c r="I794" t="s">
        <v>5647</v>
      </c>
      <c r="J794" t="s">
        <v>2771</v>
      </c>
      <c r="K794" t="s">
        <v>5253</v>
      </c>
    </row>
    <row r="795" spans="1:11" x14ac:dyDescent="0.4">
      <c r="A795" t="s">
        <v>8376</v>
      </c>
      <c r="B795" t="s">
        <v>9</v>
      </c>
      <c r="C795" t="s">
        <v>10</v>
      </c>
      <c r="D795" t="s">
        <v>2197</v>
      </c>
      <c r="E795" t="s">
        <v>8377</v>
      </c>
      <c r="F795" t="str">
        <f>LEFT(E795,5)</f>
        <v>서울특별시</v>
      </c>
      <c r="G795" t="str">
        <f t="shared" si="26"/>
        <v xml:space="preserve">노원구 </v>
      </c>
      <c r="H795" t="str">
        <f t="shared" si="27"/>
        <v>상계동</v>
      </c>
      <c r="I795" t="s">
        <v>8378</v>
      </c>
      <c r="J795" t="s">
        <v>2771</v>
      </c>
      <c r="K795" t="s">
        <v>8379</v>
      </c>
    </row>
    <row r="796" spans="1:11" x14ac:dyDescent="0.4">
      <c r="A796" t="s">
        <v>2768</v>
      </c>
      <c r="B796" t="s">
        <v>9</v>
      </c>
      <c r="C796" t="s">
        <v>10</v>
      </c>
      <c r="D796" t="s">
        <v>2197</v>
      </c>
      <c r="E796" t="s">
        <v>2769</v>
      </c>
      <c r="F796" t="str">
        <f>LEFT(E796,5)</f>
        <v>서울특별시</v>
      </c>
      <c r="G796" t="str">
        <f t="shared" si="26"/>
        <v xml:space="preserve">노원구 </v>
      </c>
      <c r="H796" t="str">
        <f t="shared" si="27"/>
        <v>상계동</v>
      </c>
      <c r="I796" t="s">
        <v>2770</v>
      </c>
      <c r="J796" t="s">
        <v>2771</v>
      </c>
      <c r="K796" t="s">
        <v>2772</v>
      </c>
    </row>
    <row r="797" spans="1:11" x14ac:dyDescent="0.4">
      <c r="A797" t="s">
        <v>4332</v>
      </c>
      <c r="B797" t="s">
        <v>9</v>
      </c>
      <c r="C797" t="s">
        <v>10</v>
      </c>
      <c r="D797" t="s">
        <v>3105</v>
      </c>
      <c r="E797" t="s">
        <v>4333</v>
      </c>
      <c r="F797" t="str">
        <f>LEFT(E797,5)</f>
        <v>서울특별시</v>
      </c>
      <c r="G797" t="str">
        <f t="shared" si="26"/>
        <v xml:space="preserve">노원구 </v>
      </c>
      <c r="H797" t="str">
        <f t="shared" si="27"/>
        <v>상계동</v>
      </c>
      <c r="I797" t="s">
        <v>4334</v>
      </c>
      <c r="J797" t="s">
        <v>3054</v>
      </c>
      <c r="K797" t="s">
        <v>1149</v>
      </c>
    </row>
    <row r="798" spans="1:11" x14ac:dyDescent="0.4">
      <c r="A798" t="s">
        <v>953</v>
      </c>
      <c r="B798" t="s">
        <v>9</v>
      </c>
      <c r="C798" t="s">
        <v>10</v>
      </c>
      <c r="D798" t="s">
        <v>954</v>
      </c>
      <c r="E798" t="s">
        <v>955</v>
      </c>
      <c r="F798" t="str">
        <f>LEFT(E798,5)</f>
        <v>서울특별시</v>
      </c>
      <c r="G798" t="str">
        <f t="shared" si="26"/>
        <v xml:space="preserve">노원구 </v>
      </c>
      <c r="H798" t="str">
        <f t="shared" si="27"/>
        <v>상계동</v>
      </c>
      <c r="I798" t="s">
        <v>956</v>
      </c>
      <c r="J798" t="s">
        <v>957</v>
      </c>
      <c r="K798" t="s">
        <v>958</v>
      </c>
    </row>
    <row r="799" spans="1:11" x14ac:dyDescent="0.4">
      <c r="A799" t="s">
        <v>3065</v>
      </c>
      <c r="B799" t="s">
        <v>9</v>
      </c>
      <c r="C799" t="s">
        <v>10</v>
      </c>
      <c r="D799" t="s">
        <v>954</v>
      </c>
      <c r="E799" t="s">
        <v>3066</v>
      </c>
      <c r="F799" t="str">
        <f>LEFT(E799,5)</f>
        <v>서울특별시</v>
      </c>
      <c r="G799" t="str">
        <f t="shared" si="26"/>
        <v xml:space="preserve">노원구 </v>
      </c>
      <c r="H799" t="str">
        <f t="shared" si="27"/>
        <v>상계동</v>
      </c>
      <c r="I799" t="s">
        <v>3067</v>
      </c>
      <c r="J799" t="s">
        <v>11</v>
      </c>
      <c r="K799" t="s">
        <v>3068</v>
      </c>
    </row>
    <row r="800" spans="1:11" x14ac:dyDescent="0.4">
      <c r="A800" t="s">
        <v>2196</v>
      </c>
      <c r="B800" t="s">
        <v>9</v>
      </c>
      <c r="C800" t="s">
        <v>10</v>
      </c>
      <c r="D800" t="s">
        <v>2197</v>
      </c>
      <c r="E800" t="s">
        <v>2198</v>
      </c>
      <c r="F800" t="str">
        <f>LEFT(E800,5)</f>
        <v>서울특별시</v>
      </c>
      <c r="G800" t="str">
        <f t="shared" si="26"/>
        <v xml:space="preserve">노원구 </v>
      </c>
      <c r="H800" t="str">
        <f t="shared" si="27"/>
        <v>상계동</v>
      </c>
      <c r="I800" t="s">
        <v>2199</v>
      </c>
      <c r="J800" t="s">
        <v>2200</v>
      </c>
      <c r="K800" t="s">
        <v>2201</v>
      </c>
    </row>
    <row r="801" spans="1:11" x14ac:dyDescent="0.4">
      <c r="A801" t="s">
        <v>3409</v>
      </c>
      <c r="B801" t="s">
        <v>9</v>
      </c>
      <c r="C801" t="s">
        <v>10</v>
      </c>
      <c r="D801" t="s">
        <v>3410</v>
      </c>
      <c r="E801" t="s">
        <v>3411</v>
      </c>
      <c r="F801" t="str">
        <f>LEFT(E801,5)</f>
        <v>서울특별시</v>
      </c>
      <c r="G801" t="str">
        <f t="shared" si="26"/>
        <v xml:space="preserve">노원구 </v>
      </c>
      <c r="H801" t="str">
        <f t="shared" si="27"/>
        <v>상계동</v>
      </c>
      <c r="I801" t="s">
        <v>3412</v>
      </c>
      <c r="J801" t="s">
        <v>2200</v>
      </c>
      <c r="K801" t="s">
        <v>3306</v>
      </c>
    </row>
    <row r="802" spans="1:11" x14ac:dyDescent="0.4">
      <c r="A802" t="s">
        <v>2495</v>
      </c>
      <c r="B802" t="s">
        <v>9</v>
      </c>
      <c r="C802" t="s">
        <v>10</v>
      </c>
      <c r="D802" t="s">
        <v>2496</v>
      </c>
      <c r="E802" t="s">
        <v>2497</v>
      </c>
      <c r="F802" t="str">
        <f>LEFT(E802,5)</f>
        <v>서울특별시</v>
      </c>
      <c r="G802" t="str">
        <f t="shared" si="26"/>
        <v xml:space="preserve">도봉구 </v>
      </c>
      <c r="H802" t="str">
        <f t="shared" si="27"/>
        <v>도봉동</v>
      </c>
      <c r="I802" t="s">
        <v>2498</v>
      </c>
      <c r="J802" t="s">
        <v>2499</v>
      </c>
      <c r="K802" t="s">
        <v>2500</v>
      </c>
    </row>
    <row r="803" spans="1:11" x14ac:dyDescent="0.4">
      <c r="A803" t="s">
        <v>3560</v>
      </c>
      <c r="B803" t="s">
        <v>9</v>
      </c>
      <c r="C803" t="s">
        <v>10</v>
      </c>
      <c r="D803" t="s">
        <v>3561</v>
      </c>
      <c r="E803" t="s">
        <v>3562</v>
      </c>
      <c r="F803" t="str">
        <f>LEFT(E803,5)</f>
        <v>서울특별시</v>
      </c>
      <c r="G803" t="str">
        <f t="shared" si="26"/>
        <v xml:space="preserve">도봉구 </v>
      </c>
      <c r="H803" t="str">
        <f t="shared" si="27"/>
        <v>도봉동</v>
      </c>
      <c r="I803" t="s">
        <v>3563</v>
      </c>
      <c r="J803" t="s">
        <v>2499</v>
      </c>
      <c r="K803" t="s">
        <v>3564</v>
      </c>
    </row>
    <row r="804" spans="1:11" x14ac:dyDescent="0.4">
      <c r="A804" t="s">
        <v>5607</v>
      </c>
      <c r="B804" t="s">
        <v>9</v>
      </c>
      <c r="C804" t="s">
        <v>10</v>
      </c>
      <c r="D804" t="s">
        <v>5608</v>
      </c>
      <c r="E804" t="s">
        <v>5609</v>
      </c>
      <c r="F804" t="str">
        <f>LEFT(E804,5)</f>
        <v>서울특별시</v>
      </c>
      <c r="G804" t="str">
        <f t="shared" si="26"/>
        <v xml:space="preserve">도봉구 </v>
      </c>
      <c r="H804" t="str">
        <f t="shared" si="27"/>
        <v>도봉동</v>
      </c>
      <c r="I804" t="s">
        <v>5610</v>
      </c>
      <c r="J804" t="s">
        <v>5611</v>
      </c>
      <c r="K804" t="s">
        <v>5612</v>
      </c>
    </row>
    <row r="805" spans="1:11" x14ac:dyDescent="0.4">
      <c r="A805" t="s">
        <v>8271</v>
      </c>
      <c r="B805" t="s">
        <v>9</v>
      </c>
      <c r="C805" t="s">
        <v>10</v>
      </c>
      <c r="D805" t="s">
        <v>2515</v>
      </c>
      <c r="E805" t="s">
        <v>8272</v>
      </c>
      <c r="F805" t="str">
        <f>LEFT(E805,5)</f>
        <v>서울특별시</v>
      </c>
      <c r="G805" t="str">
        <f t="shared" si="26"/>
        <v xml:space="preserve">도봉구 </v>
      </c>
      <c r="H805" t="str">
        <f t="shared" si="27"/>
        <v>도봉동</v>
      </c>
      <c r="I805" t="s">
        <v>8273</v>
      </c>
      <c r="J805" t="s">
        <v>2518</v>
      </c>
      <c r="K805" t="s">
        <v>2718</v>
      </c>
    </row>
    <row r="806" spans="1:11" x14ac:dyDescent="0.4">
      <c r="A806" t="s">
        <v>2514</v>
      </c>
      <c r="B806" t="s">
        <v>9</v>
      </c>
      <c r="C806" t="s">
        <v>10</v>
      </c>
      <c r="D806" t="s">
        <v>2515</v>
      </c>
      <c r="E806" t="s">
        <v>2516</v>
      </c>
      <c r="F806" t="str">
        <f>LEFT(E806,5)</f>
        <v>서울특별시</v>
      </c>
      <c r="G806" t="str">
        <f t="shared" si="26"/>
        <v xml:space="preserve">도봉구 </v>
      </c>
      <c r="H806" t="str">
        <f t="shared" si="27"/>
        <v>도봉동</v>
      </c>
      <c r="I806" t="s">
        <v>2517</v>
      </c>
      <c r="J806" t="s">
        <v>2518</v>
      </c>
      <c r="K806" t="s">
        <v>2519</v>
      </c>
    </row>
    <row r="807" spans="1:11" x14ac:dyDescent="0.4">
      <c r="A807" t="s">
        <v>7832</v>
      </c>
      <c r="B807" t="s">
        <v>9</v>
      </c>
      <c r="C807" t="s">
        <v>10</v>
      </c>
      <c r="D807" t="s">
        <v>2894</v>
      </c>
      <c r="E807" t="s">
        <v>7833</v>
      </c>
      <c r="F807" t="str">
        <f>LEFT(E807,5)</f>
        <v>서울특별시</v>
      </c>
      <c r="G807" t="str">
        <f t="shared" si="26"/>
        <v xml:space="preserve">도봉구 </v>
      </c>
      <c r="H807" t="str">
        <f t="shared" si="27"/>
        <v>도봉동</v>
      </c>
      <c r="I807" t="s">
        <v>7834</v>
      </c>
      <c r="J807" t="s">
        <v>2897</v>
      </c>
      <c r="K807" t="s">
        <v>7835</v>
      </c>
    </row>
    <row r="808" spans="1:11" x14ac:dyDescent="0.4">
      <c r="A808" t="s">
        <v>2893</v>
      </c>
      <c r="B808" t="s">
        <v>9</v>
      </c>
      <c r="C808" t="s">
        <v>10</v>
      </c>
      <c r="D808" t="s">
        <v>2894</v>
      </c>
      <c r="E808" t="s">
        <v>2895</v>
      </c>
      <c r="F808" t="str">
        <f>LEFT(E808,5)</f>
        <v>서울특별시</v>
      </c>
      <c r="G808" t="str">
        <f t="shared" si="26"/>
        <v xml:space="preserve">도봉구 </v>
      </c>
      <c r="H808" t="str">
        <f t="shared" si="27"/>
        <v>도봉동</v>
      </c>
      <c r="I808" t="s">
        <v>2896</v>
      </c>
      <c r="J808" t="s">
        <v>2897</v>
      </c>
      <c r="K808" t="s">
        <v>2898</v>
      </c>
    </row>
    <row r="809" spans="1:11" x14ac:dyDescent="0.4">
      <c r="A809" t="s">
        <v>4726</v>
      </c>
      <c r="B809" t="s">
        <v>9</v>
      </c>
      <c r="C809" t="s">
        <v>10</v>
      </c>
      <c r="D809" t="s">
        <v>4727</v>
      </c>
      <c r="E809" t="s">
        <v>4728</v>
      </c>
      <c r="F809" t="str">
        <f>LEFT(E809,5)</f>
        <v>서울특별시</v>
      </c>
      <c r="G809" t="str">
        <f t="shared" si="26"/>
        <v xml:space="preserve">도봉구 </v>
      </c>
      <c r="H809" t="str">
        <f t="shared" si="27"/>
        <v>방학동</v>
      </c>
      <c r="I809" t="s">
        <v>4729</v>
      </c>
      <c r="J809" t="s">
        <v>4730</v>
      </c>
      <c r="K809" t="s">
        <v>4731</v>
      </c>
    </row>
    <row r="810" spans="1:11" x14ac:dyDescent="0.4">
      <c r="A810" t="s">
        <v>4738</v>
      </c>
      <c r="B810" t="s">
        <v>9</v>
      </c>
      <c r="C810" t="s">
        <v>10</v>
      </c>
      <c r="D810" t="s">
        <v>4739</v>
      </c>
      <c r="E810" t="s">
        <v>4740</v>
      </c>
      <c r="F810" t="str">
        <f>LEFT(E810,5)</f>
        <v>서울특별시</v>
      </c>
      <c r="G810" t="str">
        <f t="shared" si="26"/>
        <v xml:space="preserve">도봉구 </v>
      </c>
      <c r="H810" t="str">
        <f t="shared" si="27"/>
        <v>방학동</v>
      </c>
      <c r="I810" t="s">
        <v>4741</v>
      </c>
      <c r="J810" t="s">
        <v>4742</v>
      </c>
      <c r="K810" t="s">
        <v>4743</v>
      </c>
    </row>
    <row r="811" spans="1:11" x14ac:dyDescent="0.4">
      <c r="A811" t="s">
        <v>4327</v>
      </c>
      <c r="B811" t="s">
        <v>9</v>
      </c>
      <c r="C811" t="s">
        <v>10</v>
      </c>
      <c r="D811" t="s">
        <v>4328</v>
      </c>
      <c r="E811" t="s">
        <v>4329</v>
      </c>
      <c r="F811" t="str">
        <f>LEFT(E811,5)</f>
        <v>서울특별시</v>
      </c>
      <c r="G811" t="str">
        <f t="shared" si="26"/>
        <v xml:space="preserve">도봉구 </v>
      </c>
      <c r="H811" t="str">
        <f t="shared" si="27"/>
        <v>방학동</v>
      </c>
      <c r="I811" t="s">
        <v>4330</v>
      </c>
      <c r="J811" t="s">
        <v>4331</v>
      </c>
      <c r="K811" t="s">
        <v>3291</v>
      </c>
    </row>
    <row r="812" spans="1:11" x14ac:dyDescent="0.4">
      <c r="A812" t="s">
        <v>8301</v>
      </c>
      <c r="B812" t="s">
        <v>9</v>
      </c>
      <c r="C812" t="s">
        <v>10</v>
      </c>
      <c r="D812" t="s">
        <v>4328</v>
      </c>
      <c r="E812" t="s">
        <v>8302</v>
      </c>
      <c r="F812" t="str">
        <f>LEFT(E812,5)</f>
        <v>서울특별시</v>
      </c>
      <c r="G812" t="str">
        <f t="shared" si="26"/>
        <v xml:space="preserve">도봉구 </v>
      </c>
      <c r="H812" t="str">
        <f t="shared" si="27"/>
        <v>방학동</v>
      </c>
      <c r="I812" t="s">
        <v>8303</v>
      </c>
      <c r="J812" t="s">
        <v>4890</v>
      </c>
      <c r="K812" t="s">
        <v>8304</v>
      </c>
    </row>
    <row r="813" spans="1:11" x14ac:dyDescent="0.4">
      <c r="A813" t="s">
        <v>4887</v>
      </c>
      <c r="B813" t="s">
        <v>9</v>
      </c>
      <c r="C813" t="s">
        <v>10</v>
      </c>
      <c r="D813" t="s">
        <v>4328</v>
      </c>
      <c r="E813" t="s">
        <v>4888</v>
      </c>
      <c r="F813" t="str">
        <f>LEFT(E813,5)</f>
        <v>서울특별시</v>
      </c>
      <c r="G813" t="str">
        <f t="shared" si="26"/>
        <v xml:space="preserve">도봉구 </v>
      </c>
      <c r="H813" t="str">
        <f t="shared" si="27"/>
        <v>방학동</v>
      </c>
      <c r="I813" t="s">
        <v>4889</v>
      </c>
      <c r="J813" t="s">
        <v>4890</v>
      </c>
      <c r="K813" t="s">
        <v>4891</v>
      </c>
    </row>
    <row r="814" spans="1:11" x14ac:dyDescent="0.4">
      <c r="A814" t="s">
        <v>4179</v>
      </c>
      <c r="B814" t="s">
        <v>9</v>
      </c>
      <c r="C814" t="s">
        <v>10</v>
      </c>
      <c r="D814" t="s">
        <v>3631</v>
      </c>
      <c r="E814" t="s">
        <v>4180</v>
      </c>
      <c r="F814" t="str">
        <f>LEFT(E814,5)</f>
        <v>서울특별시</v>
      </c>
      <c r="G814" t="str">
        <f t="shared" si="26"/>
        <v xml:space="preserve">도봉구 </v>
      </c>
      <c r="H814" t="str">
        <f t="shared" si="27"/>
        <v>방학동</v>
      </c>
      <c r="I814" t="s">
        <v>4181</v>
      </c>
      <c r="J814" t="s">
        <v>4182</v>
      </c>
      <c r="K814" t="s">
        <v>966</v>
      </c>
    </row>
    <row r="815" spans="1:11" x14ac:dyDescent="0.4">
      <c r="A815" t="s">
        <v>6636</v>
      </c>
      <c r="B815" t="s">
        <v>9</v>
      </c>
      <c r="C815" t="s">
        <v>10</v>
      </c>
      <c r="D815" t="s">
        <v>3631</v>
      </c>
      <c r="E815" t="s">
        <v>6637</v>
      </c>
      <c r="F815" t="str">
        <f>LEFT(E815,5)</f>
        <v>서울특별시</v>
      </c>
      <c r="G815" t="str">
        <f t="shared" si="26"/>
        <v xml:space="preserve">도봉구 </v>
      </c>
      <c r="H815" t="str">
        <f t="shared" si="27"/>
        <v>방학동</v>
      </c>
      <c r="I815" t="s">
        <v>6638</v>
      </c>
      <c r="J815" t="s">
        <v>3634</v>
      </c>
      <c r="K815" t="s">
        <v>6639</v>
      </c>
    </row>
    <row r="816" spans="1:11" x14ac:dyDescent="0.4">
      <c r="A816" t="s">
        <v>3630</v>
      </c>
      <c r="B816" t="s">
        <v>9</v>
      </c>
      <c r="C816" t="s">
        <v>10</v>
      </c>
      <c r="D816" t="s">
        <v>3631</v>
      </c>
      <c r="E816" t="s">
        <v>3632</v>
      </c>
      <c r="F816" t="str">
        <f>LEFT(E816,5)</f>
        <v>서울특별시</v>
      </c>
      <c r="G816" t="str">
        <f t="shared" si="26"/>
        <v xml:space="preserve">도봉구 </v>
      </c>
      <c r="H816" t="str">
        <f t="shared" si="27"/>
        <v>방학동</v>
      </c>
      <c r="I816" t="s">
        <v>3633</v>
      </c>
      <c r="J816" t="s">
        <v>3634</v>
      </c>
      <c r="K816" t="s">
        <v>900</v>
      </c>
    </row>
    <row r="817" spans="1:11" x14ac:dyDescent="0.4">
      <c r="A817" t="s">
        <v>8555</v>
      </c>
      <c r="B817" t="s">
        <v>9</v>
      </c>
      <c r="C817" t="s">
        <v>10</v>
      </c>
      <c r="D817" t="s">
        <v>4602</v>
      </c>
      <c r="E817" t="s">
        <v>8556</v>
      </c>
      <c r="F817" t="str">
        <f>LEFT(E817,5)</f>
        <v>서울특별시</v>
      </c>
      <c r="G817" t="str">
        <f t="shared" si="26"/>
        <v xml:space="preserve">도봉구 </v>
      </c>
      <c r="H817" t="str">
        <f t="shared" si="27"/>
        <v>방학동</v>
      </c>
      <c r="I817" t="s">
        <v>8557</v>
      </c>
      <c r="J817" t="s">
        <v>4605</v>
      </c>
      <c r="K817" t="s">
        <v>8558</v>
      </c>
    </row>
    <row r="818" spans="1:11" x14ac:dyDescent="0.4">
      <c r="A818" t="s">
        <v>4601</v>
      </c>
      <c r="B818" t="s">
        <v>9</v>
      </c>
      <c r="C818" t="s">
        <v>10</v>
      </c>
      <c r="D818" t="s">
        <v>4602</v>
      </c>
      <c r="E818" t="s">
        <v>4603</v>
      </c>
      <c r="F818" t="str">
        <f>LEFT(E818,5)</f>
        <v>서울특별시</v>
      </c>
      <c r="G818" t="str">
        <f t="shared" si="26"/>
        <v xml:space="preserve">도봉구 </v>
      </c>
      <c r="H818" t="str">
        <f t="shared" si="27"/>
        <v>방학동</v>
      </c>
      <c r="I818" t="s">
        <v>4604</v>
      </c>
      <c r="J818" t="s">
        <v>4605</v>
      </c>
      <c r="K818" t="s">
        <v>4606</v>
      </c>
    </row>
    <row r="819" spans="1:11" x14ac:dyDescent="0.4">
      <c r="A819" t="s">
        <v>5313</v>
      </c>
      <c r="B819" t="s">
        <v>9</v>
      </c>
      <c r="C819" t="s">
        <v>10</v>
      </c>
      <c r="D819" t="s">
        <v>4602</v>
      </c>
      <c r="E819" t="s">
        <v>5314</v>
      </c>
      <c r="F819" t="str">
        <f>LEFT(E819,5)</f>
        <v>서울특별시</v>
      </c>
      <c r="G819" t="str">
        <f t="shared" si="26"/>
        <v xml:space="preserve">도봉구 </v>
      </c>
      <c r="H819" t="str">
        <f t="shared" si="27"/>
        <v>방학동</v>
      </c>
      <c r="I819" t="s">
        <v>5315</v>
      </c>
      <c r="J819" t="s">
        <v>5316</v>
      </c>
      <c r="K819" t="s">
        <v>5317</v>
      </c>
    </row>
    <row r="820" spans="1:11" x14ac:dyDescent="0.4">
      <c r="A820" t="s">
        <v>7394</v>
      </c>
      <c r="B820" t="s">
        <v>9</v>
      </c>
      <c r="C820" t="s">
        <v>10</v>
      </c>
      <c r="D820" t="s">
        <v>7395</v>
      </c>
      <c r="E820" t="s">
        <v>7396</v>
      </c>
      <c r="F820" t="str">
        <f>LEFT(E820,5)</f>
        <v>서울특별시</v>
      </c>
      <c r="G820" t="str">
        <f t="shared" si="26"/>
        <v xml:space="preserve">도봉구 </v>
      </c>
      <c r="H820" t="str">
        <f t="shared" si="27"/>
        <v>방학동</v>
      </c>
      <c r="I820" t="s">
        <v>7397</v>
      </c>
      <c r="J820" t="s">
        <v>7398</v>
      </c>
      <c r="K820" t="s">
        <v>7399</v>
      </c>
    </row>
    <row r="821" spans="1:11" x14ac:dyDescent="0.4">
      <c r="A821" t="s">
        <v>3537</v>
      </c>
      <c r="B821" t="s">
        <v>9</v>
      </c>
      <c r="C821" t="s">
        <v>10</v>
      </c>
      <c r="D821" t="s">
        <v>3538</v>
      </c>
      <c r="E821" t="s">
        <v>3539</v>
      </c>
      <c r="F821" t="str">
        <f>LEFT(E821,5)</f>
        <v>서울특별시</v>
      </c>
      <c r="G821" t="str">
        <f t="shared" si="26"/>
        <v xml:space="preserve">도봉구 </v>
      </c>
      <c r="H821" t="str">
        <f t="shared" si="27"/>
        <v>방학동</v>
      </c>
      <c r="I821" t="s">
        <v>3540</v>
      </c>
      <c r="J821" t="s">
        <v>3541</v>
      </c>
      <c r="K821" t="s">
        <v>3542</v>
      </c>
    </row>
    <row r="822" spans="1:11" x14ac:dyDescent="0.4">
      <c r="A822" t="s">
        <v>4053</v>
      </c>
      <c r="B822" t="s">
        <v>9</v>
      </c>
      <c r="C822" t="s">
        <v>10</v>
      </c>
      <c r="D822" t="s">
        <v>3538</v>
      </c>
      <c r="E822" t="s">
        <v>4054</v>
      </c>
      <c r="F822" t="str">
        <f>LEFT(E822,5)</f>
        <v>서울특별시</v>
      </c>
      <c r="G822" t="str">
        <f t="shared" si="26"/>
        <v xml:space="preserve">도봉구 </v>
      </c>
      <c r="H822" t="str">
        <f t="shared" si="27"/>
        <v>방학동</v>
      </c>
      <c r="I822" t="s">
        <v>4055</v>
      </c>
      <c r="J822" t="s">
        <v>3541</v>
      </c>
      <c r="K822" t="s">
        <v>4056</v>
      </c>
    </row>
    <row r="823" spans="1:11" x14ac:dyDescent="0.4">
      <c r="A823" t="s">
        <v>4963</v>
      </c>
      <c r="B823" t="s">
        <v>9</v>
      </c>
      <c r="C823" t="s">
        <v>10</v>
      </c>
      <c r="D823" t="s">
        <v>3538</v>
      </c>
      <c r="E823" t="s">
        <v>4964</v>
      </c>
      <c r="F823" t="str">
        <f>LEFT(E823,5)</f>
        <v>서울특별시</v>
      </c>
      <c r="G823" t="str">
        <f t="shared" si="26"/>
        <v xml:space="preserve">도봉구 </v>
      </c>
      <c r="H823" t="str">
        <f t="shared" si="27"/>
        <v>방학동</v>
      </c>
      <c r="I823" t="s">
        <v>4965</v>
      </c>
      <c r="J823" t="s">
        <v>3541</v>
      </c>
      <c r="K823" t="s">
        <v>4966</v>
      </c>
    </row>
    <row r="824" spans="1:11" x14ac:dyDescent="0.4">
      <c r="A824" t="s">
        <v>4419</v>
      </c>
      <c r="B824" t="s">
        <v>9</v>
      </c>
      <c r="C824" t="s">
        <v>10</v>
      </c>
      <c r="D824" t="s">
        <v>4420</v>
      </c>
      <c r="E824" t="s">
        <v>4421</v>
      </c>
      <c r="F824" t="str">
        <f>LEFT(E824,5)</f>
        <v>서울특별시</v>
      </c>
      <c r="G824" t="str">
        <f t="shared" si="26"/>
        <v xml:space="preserve">도봉구 </v>
      </c>
      <c r="H824" t="str">
        <f t="shared" si="27"/>
        <v>방학동</v>
      </c>
      <c r="I824" t="s">
        <v>4422</v>
      </c>
      <c r="J824" t="s">
        <v>4423</v>
      </c>
      <c r="K824" t="s">
        <v>3214</v>
      </c>
    </row>
    <row r="825" spans="1:11" x14ac:dyDescent="0.4">
      <c r="A825" t="s">
        <v>8169</v>
      </c>
      <c r="B825" t="s">
        <v>9</v>
      </c>
      <c r="C825" t="s">
        <v>10</v>
      </c>
      <c r="D825" t="s">
        <v>8170</v>
      </c>
      <c r="E825" t="s">
        <v>8171</v>
      </c>
      <c r="F825" t="str">
        <f>LEFT(E825,5)</f>
        <v>서울특별시</v>
      </c>
      <c r="G825" t="str">
        <f t="shared" si="26"/>
        <v xml:space="preserve">도봉구 </v>
      </c>
      <c r="H825" t="str">
        <f t="shared" si="27"/>
        <v>쌍문동</v>
      </c>
      <c r="I825" t="s">
        <v>8172</v>
      </c>
      <c r="J825" t="s">
        <v>8173</v>
      </c>
      <c r="K825" t="s">
        <v>1276</v>
      </c>
    </row>
    <row r="826" spans="1:11" x14ac:dyDescent="0.4">
      <c r="A826" t="s">
        <v>7953</v>
      </c>
      <c r="B826" t="s">
        <v>9</v>
      </c>
      <c r="C826" t="s">
        <v>10</v>
      </c>
      <c r="D826" t="s">
        <v>7954</v>
      </c>
      <c r="E826" t="s">
        <v>7955</v>
      </c>
      <c r="F826" t="str">
        <f>LEFT(E826,5)</f>
        <v>서울특별시</v>
      </c>
      <c r="G826" t="str">
        <f t="shared" si="26"/>
        <v xml:space="preserve">도봉구 </v>
      </c>
      <c r="H826" t="str">
        <f t="shared" si="27"/>
        <v>쌍문동</v>
      </c>
      <c r="I826" t="s">
        <v>7956</v>
      </c>
      <c r="J826" t="s">
        <v>7957</v>
      </c>
      <c r="K826" t="s">
        <v>7958</v>
      </c>
    </row>
    <row r="827" spans="1:11" x14ac:dyDescent="0.4">
      <c r="A827" t="s">
        <v>7963</v>
      </c>
      <c r="B827" t="s">
        <v>9</v>
      </c>
      <c r="C827" t="s">
        <v>10</v>
      </c>
      <c r="D827" t="s">
        <v>7954</v>
      </c>
      <c r="E827" t="s">
        <v>7964</v>
      </c>
      <c r="F827" t="str">
        <f>LEFT(E827,5)</f>
        <v>서울특별시</v>
      </c>
      <c r="G827" t="str">
        <f t="shared" si="26"/>
        <v xml:space="preserve">도봉구 </v>
      </c>
      <c r="H827" t="str">
        <f t="shared" si="27"/>
        <v>쌍문동</v>
      </c>
      <c r="I827" t="s">
        <v>7965</v>
      </c>
      <c r="J827" t="s">
        <v>7966</v>
      </c>
      <c r="K827" t="s">
        <v>7967</v>
      </c>
    </row>
    <row r="828" spans="1:11" x14ac:dyDescent="0.4">
      <c r="A828" t="s">
        <v>478</v>
      </c>
      <c r="B828" t="s">
        <v>9</v>
      </c>
      <c r="C828" t="s">
        <v>10</v>
      </c>
      <c r="D828" t="s">
        <v>479</v>
      </c>
      <c r="E828" t="s">
        <v>480</v>
      </c>
      <c r="F828" t="str">
        <f>LEFT(E828,5)</f>
        <v>서울특별시</v>
      </c>
      <c r="G828" t="str">
        <f t="shared" si="26"/>
        <v xml:space="preserve">도봉구 </v>
      </c>
      <c r="H828" t="str">
        <f>MID(SUBSTITUTE(E828," ",""),9,2)</f>
        <v>창동</v>
      </c>
      <c r="I828" t="s">
        <v>481</v>
      </c>
      <c r="J828" t="s">
        <v>482</v>
      </c>
      <c r="K828" t="s">
        <v>483</v>
      </c>
    </row>
    <row r="829" spans="1:11" x14ac:dyDescent="0.4">
      <c r="A829" t="s">
        <v>864</v>
      </c>
      <c r="B829" t="s">
        <v>9</v>
      </c>
      <c r="C829" t="s">
        <v>10</v>
      </c>
      <c r="D829" t="s">
        <v>479</v>
      </c>
      <c r="E829" t="s">
        <v>865</v>
      </c>
      <c r="F829" t="str">
        <f>LEFT(E829,5)</f>
        <v>서울특별시</v>
      </c>
      <c r="G829" t="str">
        <f t="shared" si="26"/>
        <v xml:space="preserve">도봉구 </v>
      </c>
      <c r="H829" t="str">
        <f t="shared" ref="H829:H843" si="28">MID(SUBSTITUTE(E829," ",""),9,2)</f>
        <v>창동</v>
      </c>
      <c r="I829" t="s">
        <v>866</v>
      </c>
      <c r="J829" t="s">
        <v>482</v>
      </c>
      <c r="K829" t="s">
        <v>867</v>
      </c>
    </row>
    <row r="830" spans="1:11" x14ac:dyDescent="0.4">
      <c r="A830" t="s">
        <v>7355</v>
      </c>
      <c r="B830" t="s">
        <v>9</v>
      </c>
      <c r="C830" t="s">
        <v>10</v>
      </c>
      <c r="D830" t="s">
        <v>12</v>
      </c>
      <c r="E830" t="s">
        <v>7356</v>
      </c>
      <c r="F830" t="str">
        <f>LEFT(E830,5)</f>
        <v>서울특별시</v>
      </c>
      <c r="G830" t="str">
        <f t="shared" si="26"/>
        <v xml:space="preserve">도봉구 </v>
      </c>
      <c r="H830" t="str">
        <f t="shared" si="28"/>
        <v>창동</v>
      </c>
      <c r="I830" t="s">
        <v>7357</v>
      </c>
      <c r="J830" t="s">
        <v>15</v>
      </c>
      <c r="K830" t="s">
        <v>5253</v>
      </c>
    </row>
    <row r="831" spans="1:11" x14ac:dyDescent="0.4">
      <c r="A831" t="s">
        <v>8</v>
      </c>
      <c r="B831" t="s">
        <v>9</v>
      </c>
      <c r="C831" t="s">
        <v>10</v>
      </c>
      <c r="D831" t="s">
        <v>12</v>
      </c>
      <c r="E831" t="s">
        <v>13</v>
      </c>
      <c r="F831" t="str">
        <f>LEFT(E831,5)</f>
        <v>서울특별시</v>
      </c>
      <c r="G831" t="str">
        <f t="shared" si="26"/>
        <v xml:space="preserve">도봉구 </v>
      </c>
      <c r="H831" t="str">
        <f t="shared" si="28"/>
        <v>창동</v>
      </c>
      <c r="I831" t="s">
        <v>14</v>
      </c>
      <c r="J831" t="s">
        <v>15</v>
      </c>
      <c r="K831" t="s">
        <v>16</v>
      </c>
    </row>
    <row r="832" spans="1:11" x14ac:dyDescent="0.4">
      <c r="A832" t="s">
        <v>8440</v>
      </c>
      <c r="B832" t="s">
        <v>9</v>
      </c>
      <c r="C832" t="s">
        <v>10</v>
      </c>
      <c r="D832" t="s">
        <v>4925</v>
      </c>
      <c r="E832" t="s">
        <v>8441</v>
      </c>
      <c r="F832" t="str">
        <f>LEFT(E832,5)</f>
        <v>서울특별시</v>
      </c>
      <c r="G832" t="str">
        <f t="shared" si="26"/>
        <v xml:space="preserve">도봉구 </v>
      </c>
      <c r="H832" t="str">
        <f t="shared" si="28"/>
        <v>창동</v>
      </c>
      <c r="I832" t="s">
        <v>8442</v>
      </c>
      <c r="J832" t="s">
        <v>8443</v>
      </c>
      <c r="K832" t="s">
        <v>8444</v>
      </c>
    </row>
    <row r="833" spans="1:11" x14ac:dyDescent="0.4">
      <c r="A833" t="s">
        <v>4924</v>
      </c>
      <c r="B833" t="s">
        <v>9</v>
      </c>
      <c r="C833" t="s">
        <v>10</v>
      </c>
      <c r="D833" t="s">
        <v>4925</v>
      </c>
      <c r="E833" t="s">
        <v>4926</v>
      </c>
      <c r="F833" t="str">
        <f>LEFT(E833,5)</f>
        <v>서울특별시</v>
      </c>
      <c r="G833" t="str">
        <f t="shared" si="26"/>
        <v xml:space="preserve">도봉구 </v>
      </c>
      <c r="H833" t="str">
        <f t="shared" si="28"/>
        <v>창동</v>
      </c>
      <c r="I833" t="s">
        <v>4927</v>
      </c>
      <c r="J833" t="s">
        <v>4928</v>
      </c>
      <c r="K833" t="s">
        <v>4929</v>
      </c>
    </row>
    <row r="834" spans="1:11" x14ac:dyDescent="0.4">
      <c r="A834" t="s">
        <v>5018</v>
      </c>
      <c r="B834" t="s">
        <v>9</v>
      </c>
      <c r="C834" t="s">
        <v>10</v>
      </c>
      <c r="D834" t="s">
        <v>4925</v>
      </c>
      <c r="E834" t="s">
        <v>5019</v>
      </c>
      <c r="F834" t="str">
        <f>LEFT(E834,5)</f>
        <v>서울특별시</v>
      </c>
      <c r="G834" t="str">
        <f t="shared" si="26"/>
        <v xml:space="preserve">도봉구 </v>
      </c>
      <c r="H834" t="str">
        <f t="shared" si="28"/>
        <v>창동</v>
      </c>
      <c r="I834" t="s">
        <v>5020</v>
      </c>
      <c r="J834" t="s">
        <v>4928</v>
      </c>
      <c r="K834" t="s">
        <v>5021</v>
      </c>
    </row>
    <row r="835" spans="1:11" x14ac:dyDescent="0.4">
      <c r="A835" t="s">
        <v>5391</v>
      </c>
      <c r="B835" t="s">
        <v>9</v>
      </c>
      <c r="C835" t="s">
        <v>10</v>
      </c>
      <c r="D835" t="s">
        <v>5392</v>
      </c>
      <c r="E835" t="s">
        <v>5393</v>
      </c>
      <c r="F835" t="str">
        <f>LEFT(E835,5)</f>
        <v>서울특별시</v>
      </c>
      <c r="G835" t="str">
        <f t="shared" ref="G835:G898" si="29">MID(E835,7,4)</f>
        <v xml:space="preserve">도봉구 </v>
      </c>
      <c r="H835" t="str">
        <f t="shared" si="28"/>
        <v>창동</v>
      </c>
      <c r="I835" t="s">
        <v>5394</v>
      </c>
      <c r="J835" t="s">
        <v>5395</v>
      </c>
      <c r="K835" t="s">
        <v>5396</v>
      </c>
    </row>
    <row r="836" spans="1:11" x14ac:dyDescent="0.4">
      <c r="A836" t="s">
        <v>8003</v>
      </c>
      <c r="B836" t="s">
        <v>9</v>
      </c>
      <c r="C836" t="s">
        <v>10</v>
      </c>
      <c r="D836" t="s">
        <v>8004</v>
      </c>
      <c r="E836" t="s">
        <v>8005</v>
      </c>
      <c r="F836" t="str">
        <f>LEFT(E836,5)</f>
        <v>서울특별시</v>
      </c>
      <c r="G836" t="str">
        <f t="shared" si="29"/>
        <v xml:space="preserve">도봉구 </v>
      </c>
      <c r="H836" t="str">
        <f t="shared" si="28"/>
        <v>창동</v>
      </c>
      <c r="I836" t="s">
        <v>8006</v>
      </c>
      <c r="J836" t="s">
        <v>160</v>
      </c>
      <c r="K836" t="s">
        <v>8007</v>
      </c>
    </row>
    <row r="837" spans="1:11" x14ac:dyDescent="0.4">
      <c r="A837" t="s">
        <v>156</v>
      </c>
      <c r="B837" t="s">
        <v>9</v>
      </c>
      <c r="C837" t="s">
        <v>10</v>
      </c>
      <c r="D837" t="s">
        <v>157</v>
      </c>
      <c r="E837" t="s">
        <v>158</v>
      </c>
      <c r="F837" t="str">
        <f>LEFT(E837,5)</f>
        <v>서울특별시</v>
      </c>
      <c r="G837" t="str">
        <f t="shared" si="29"/>
        <v xml:space="preserve">도봉구 </v>
      </c>
      <c r="H837" t="str">
        <f t="shared" si="28"/>
        <v>창동</v>
      </c>
      <c r="I837" t="s">
        <v>159</v>
      </c>
      <c r="J837" t="s">
        <v>160</v>
      </c>
      <c r="K837" t="s">
        <v>161</v>
      </c>
    </row>
    <row r="838" spans="1:11" x14ac:dyDescent="0.4">
      <c r="A838" t="s">
        <v>1302</v>
      </c>
      <c r="B838" t="s">
        <v>9</v>
      </c>
      <c r="C838" t="s">
        <v>10</v>
      </c>
      <c r="D838" t="s">
        <v>157</v>
      </c>
      <c r="E838" t="s">
        <v>1303</v>
      </c>
      <c r="F838" t="str">
        <f>LEFT(E838,5)</f>
        <v>서울특별시</v>
      </c>
      <c r="G838" t="str">
        <f t="shared" si="29"/>
        <v xml:space="preserve">도봉구 </v>
      </c>
      <c r="H838" t="str">
        <f t="shared" si="28"/>
        <v>창동</v>
      </c>
      <c r="I838" t="s">
        <v>1304</v>
      </c>
      <c r="J838" t="s">
        <v>160</v>
      </c>
      <c r="K838" t="s">
        <v>1305</v>
      </c>
    </row>
    <row r="839" spans="1:11" x14ac:dyDescent="0.4">
      <c r="A839" t="s">
        <v>1595</v>
      </c>
      <c r="B839" t="s">
        <v>9</v>
      </c>
      <c r="C839" t="s">
        <v>10</v>
      </c>
      <c r="D839" t="s">
        <v>157</v>
      </c>
      <c r="E839" t="s">
        <v>1596</v>
      </c>
      <c r="F839" t="str">
        <f>LEFT(E839,5)</f>
        <v>서울특별시</v>
      </c>
      <c r="G839" t="str">
        <f t="shared" si="29"/>
        <v xml:space="preserve">도봉구 </v>
      </c>
      <c r="H839" t="str">
        <f t="shared" si="28"/>
        <v>창동</v>
      </c>
      <c r="I839" t="s">
        <v>1597</v>
      </c>
      <c r="J839" t="s">
        <v>1598</v>
      </c>
      <c r="K839" t="s">
        <v>1599</v>
      </c>
    </row>
    <row r="840" spans="1:11" x14ac:dyDescent="0.4">
      <c r="A840" t="s">
        <v>8521</v>
      </c>
      <c r="B840" t="s">
        <v>9</v>
      </c>
      <c r="C840" t="s">
        <v>10</v>
      </c>
      <c r="D840" t="s">
        <v>157</v>
      </c>
      <c r="E840" t="s">
        <v>8522</v>
      </c>
      <c r="F840" t="str">
        <f>LEFT(E840,5)</f>
        <v>서울특별시</v>
      </c>
      <c r="G840" t="str">
        <f t="shared" si="29"/>
        <v xml:space="preserve">도봉구 </v>
      </c>
      <c r="H840" t="str">
        <f t="shared" si="28"/>
        <v>창동</v>
      </c>
      <c r="I840" t="s">
        <v>8523</v>
      </c>
      <c r="J840" t="s">
        <v>1598</v>
      </c>
      <c r="K840" t="s">
        <v>2743</v>
      </c>
    </row>
    <row r="841" spans="1:11" x14ac:dyDescent="0.4">
      <c r="A841" t="s">
        <v>949</v>
      </c>
      <c r="B841" t="s">
        <v>9</v>
      </c>
      <c r="C841" t="s">
        <v>10</v>
      </c>
      <c r="D841" t="s">
        <v>479</v>
      </c>
      <c r="E841" t="s">
        <v>950</v>
      </c>
      <c r="F841" t="str">
        <f>LEFT(E841,5)</f>
        <v>서울특별시</v>
      </c>
      <c r="G841" t="str">
        <f t="shared" si="29"/>
        <v xml:space="preserve">도봉구 </v>
      </c>
      <c r="H841" t="str">
        <f t="shared" si="28"/>
        <v>창동</v>
      </c>
      <c r="I841" t="s">
        <v>951</v>
      </c>
      <c r="J841" t="s">
        <v>482</v>
      </c>
      <c r="K841" t="s">
        <v>952</v>
      </c>
    </row>
    <row r="842" spans="1:11" x14ac:dyDescent="0.4">
      <c r="A842" t="s">
        <v>5593</v>
      </c>
      <c r="B842" t="s">
        <v>9</v>
      </c>
      <c r="C842" t="s">
        <v>10</v>
      </c>
      <c r="D842" t="s">
        <v>5594</v>
      </c>
      <c r="E842" t="s">
        <v>5595</v>
      </c>
      <c r="F842" t="str">
        <f>LEFT(E842,5)</f>
        <v>서울특별시</v>
      </c>
      <c r="G842" t="str">
        <f t="shared" si="29"/>
        <v xml:space="preserve">도봉구 </v>
      </c>
      <c r="H842" t="str">
        <f t="shared" si="28"/>
        <v>창동</v>
      </c>
      <c r="I842" t="s">
        <v>5596</v>
      </c>
      <c r="J842" t="s">
        <v>5597</v>
      </c>
      <c r="K842" t="s">
        <v>5598</v>
      </c>
    </row>
    <row r="843" spans="1:11" x14ac:dyDescent="0.4">
      <c r="A843" t="s">
        <v>3155</v>
      </c>
      <c r="B843" t="s">
        <v>9</v>
      </c>
      <c r="C843" t="s">
        <v>10</v>
      </c>
      <c r="D843" t="s">
        <v>479</v>
      </c>
      <c r="E843" t="s">
        <v>3156</v>
      </c>
      <c r="F843" t="str">
        <f>LEFT(E843,5)</f>
        <v>서울특별시</v>
      </c>
      <c r="G843" t="str">
        <f t="shared" si="29"/>
        <v xml:space="preserve">도봉구 </v>
      </c>
      <c r="H843" t="str">
        <f t="shared" si="28"/>
        <v>창동</v>
      </c>
      <c r="I843" t="s">
        <v>3157</v>
      </c>
      <c r="J843" t="s">
        <v>482</v>
      </c>
      <c r="K843" t="s">
        <v>1594</v>
      </c>
    </row>
    <row r="844" spans="1:11" x14ac:dyDescent="0.4">
      <c r="A844" t="s">
        <v>8397</v>
      </c>
      <c r="B844" t="s">
        <v>9</v>
      </c>
      <c r="C844" t="s">
        <v>10</v>
      </c>
      <c r="D844" t="s">
        <v>3127</v>
      </c>
      <c r="E844" t="s">
        <v>8398</v>
      </c>
      <c r="F844" t="str">
        <f>LEFT(E844,5)</f>
        <v>서울특별시</v>
      </c>
      <c r="G844" t="str">
        <f t="shared" si="29"/>
        <v>동대문구</v>
      </c>
      <c r="H844" t="str">
        <f>MID(SUBSTITUTE(E844," ",""),10,4)</f>
        <v>답십리동</v>
      </c>
      <c r="I844" t="s">
        <v>8399</v>
      </c>
      <c r="J844" t="s">
        <v>8400</v>
      </c>
      <c r="K844" t="s">
        <v>8401</v>
      </c>
    </row>
    <row r="845" spans="1:11" x14ac:dyDescent="0.4">
      <c r="A845" t="s">
        <v>3126</v>
      </c>
      <c r="B845" t="s">
        <v>9</v>
      </c>
      <c r="C845" t="s">
        <v>10</v>
      </c>
      <c r="D845" t="s">
        <v>3127</v>
      </c>
      <c r="E845" t="s">
        <v>3128</v>
      </c>
      <c r="F845" t="str">
        <f>LEFT(E845,5)</f>
        <v>서울특별시</v>
      </c>
      <c r="G845" t="str">
        <f t="shared" si="29"/>
        <v>동대문구</v>
      </c>
      <c r="H845" t="str">
        <f t="shared" ref="H845:H908" si="30">MID(SUBSTITUTE(E845," ",""),10,4)</f>
        <v>답십리동</v>
      </c>
      <c r="I845" t="s">
        <v>3129</v>
      </c>
      <c r="J845" t="s">
        <v>3130</v>
      </c>
      <c r="K845" t="s">
        <v>2144</v>
      </c>
    </row>
    <row r="846" spans="1:11" x14ac:dyDescent="0.4">
      <c r="A846" t="s">
        <v>3659</v>
      </c>
      <c r="B846" t="s">
        <v>9</v>
      </c>
      <c r="C846" t="s">
        <v>10</v>
      </c>
      <c r="D846" t="s">
        <v>853</v>
      </c>
      <c r="E846" t="s">
        <v>3660</v>
      </c>
      <c r="F846" t="str">
        <f>LEFT(E846,5)</f>
        <v>서울특별시</v>
      </c>
      <c r="G846" t="str">
        <f t="shared" si="29"/>
        <v>동대문구</v>
      </c>
      <c r="H846" t="str">
        <f t="shared" si="30"/>
        <v>답십리동</v>
      </c>
      <c r="I846" t="s">
        <v>3661</v>
      </c>
      <c r="J846" t="s">
        <v>3662</v>
      </c>
      <c r="K846" t="s">
        <v>3663</v>
      </c>
    </row>
    <row r="847" spans="1:11" x14ac:dyDescent="0.4">
      <c r="A847" t="s">
        <v>852</v>
      </c>
      <c r="B847" t="s">
        <v>9</v>
      </c>
      <c r="C847" t="s">
        <v>10</v>
      </c>
      <c r="D847" t="s">
        <v>853</v>
      </c>
      <c r="E847" t="s">
        <v>854</v>
      </c>
      <c r="F847" t="str">
        <f>LEFT(E847,5)</f>
        <v>서울특별시</v>
      </c>
      <c r="G847" t="str">
        <f t="shared" si="29"/>
        <v>동대문구</v>
      </c>
      <c r="H847" t="str">
        <f t="shared" si="30"/>
        <v>답십리동</v>
      </c>
      <c r="I847" t="s">
        <v>855</v>
      </c>
      <c r="J847" t="s">
        <v>856</v>
      </c>
      <c r="K847" t="s">
        <v>857</v>
      </c>
    </row>
    <row r="848" spans="1:11" x14ac:dyDescent="0.4">
      <c r="A848" t="s">
        <v>1928</v>
      </c>
      <c r="B848" t="s">
        <v>9</v>
      </c>
      <c r="C848" t="s">
        <v>10</v>
      </c>
      <c r="D848" t="s">
        <v>853</v>
      </c>
      <c r="E848" t="s">
        <v>1929</v>
      </c>
      <c r="F848" t="str">
        <f>LEFT(E848,5)</f>
        <v>서울특별시</v>
      </c>
      <c r="G848" t="str">
        <f t="shared" si="29"/>
        <v>동대문구</v>
      </c>
      <c r="H848" t="str">
        <f t="shared" si="30"/>
        <v>답십리동</v>
      </c>
      <c r="I848" t="s">
        <v>1930</v>
      </c>
      <c r="J848" t="s">
        <v>1931</v>
      </c>
      <c r="K848" t="s">
        <v>1932</v>
      </c>
    </row>
    <row r="849" spans="1:11" x14ac:dyDescent="0.4">
      <c r="A849" t="s">
        <v>832</v>
      </c>
      <c r="B849" t="s">
        <v>9</v>
      </c>
      <c r="C849" t="s">
        <v>10</v>
      </c>
      <c r="D849" t="s">
        <v>833</v>
      </c>
      <c r="E849" t="s">
        <v>834</v>
      </c>
      <c r="F849" t="str">
        <f>LEFT(E849,5)</f>
        <v>서울특별시</v>
      </c>
      <c r="G849" t="str">
        <f t="shared" si="29"/>
        <v>동대문구</v>
      </c>
      <c r="H849" t="str">
        <f t="shared" si="30"/>
        <v>답십리동</v>
      </c>
      <c r="I849" t="s">
        <v>835</v>
      </c>
      <c r="J849" t="s">
        <v>836</v>
      </c>
      <c r="K849" t="s">
        <v>837</v>
      </c>
    </row>
    <row r="850" spans="1:11" x14ac:dyDescent="0.4">
      <c r="A850" t="s">
        <v>8624</v>
      </c>
      <c r="B850" t="s">
        <v>9</v>
      </c>
      <c r="C850" t="s">
        <v>10</v>
      </c>
      <c r="D850" t="s">
        <v>833</v>
      </c>
      <c r="E850" t="s">
        <v>8625</v>
      </c>
      <c r="F850" t="str">
        <f>LEFT(E850,5)</f>
        <v>서울특별시</v>
      </c>
      <c r="G850" t="str">
        <f t="shared" si="29"/>
        <v>동대문구</v>
      </c>
      <c r="H850" t="str">
        <f t="shared" si="30"/>
        <v>답십리동</v>
      </c>
      <c r="I850" t="s">
        <v>8626</v>
      </c>
      <c r="J850" t="s">
        <v>8627</v>
      </c>
      <c r="K850" t="s">
        <v>8628</v>
      </c>
    </row>
    <row r="851" spans="1:11" x14ac:dyDescent="0.4">
      <c r="A851" t="s">
        <v>6530</v>
      </c>
      <c r="B851" t="s">
        <v>9</v>
      </c>
      <c r="C851" t="s">
        <v>10</v>
      </c>
      <c r="D851" t="s">
        <v>3893</v>
      </c>
      <c r="E851" t="s">
        <v>6531</v>
      </c>
      <c r="F851" t="str">
        <f>LEFT(E851,5)</f>
        <v>서울특별시</v>
      </c>
      <c r="G851" t="str">
        <f t="shared" si="29"/>
        <v>동대문구</v>
      </c>
      <c r="H851" t="str">
        <f>MID(SUBSTITUTE(E851," ",""),10,3)</f>
        <v>신설동</v>
      </c>
      <c r="I851" t="s">
        <v>6532</v>
      </c>
      <c r="J851" t="s">
        <v>2644</v>
      </c>
      <c r="K851" t="s">
        <v>6533</v>
      </c>
    </row>
    <row r="852" spans="1:11" x14ac:dyDescent="0.4">
      <c r="A852" t="s">
        <v>3892</v>
      </c>
      <c r="B852" t="s">
        <v>9</v>
      </c>
      <c r="C852" t="s">
        <v>10</v>
      </c>
      <c r="D852" t="s">
        <v>3893</v>
      </c>
      <c r="E852" t="s">
        <v>3894</v>
      </c>
      <c r="F852" t="str">
        <f>LEFT(E852,5)</f>
        <v>서울특별시</v>
      </c>
      <c r="G852" t="str">
        <f t="shared" si="29"/>
        <v>동대문구</v>
      </c>
      <c r="H852" t="str">
        <f t="shared" ref="H852:H899" si="31">MID(SUBSTITUTE(E852," ",""),10,3)</f>
        <v>신설동</v>
      </c>
      <c r="I852" t="s">
        <v>3895</v>
      </c>
      <c r="J852" t="s">
        <v>2644</v>
      </c>
      <c r="K852" t="s">
        <v>3896</v>
      </c>
    </row>
    <row r="853" spans="1:11" x14ac:dyDescent="0.4">
      <c r="A853" t="s">
        <v>7373</v>
      </c>
      <c r="B853" t="s">
        <v>9</v>
      </c>
      <c r="C853" t="s">
        <v>10</v>
      </c>
      <c r="D853" t="s">
        <v>3893</v>
      </c>
      <c r="E853" t="s">
        <v>7374</v>
      </c>
      <c r="F853" t="str">
        <f>LEFT(E853,5)</f>
        <v>서울특별시</v>
      </c>
      <c r="G853" t="str">
        <f t="shared" si="29"/>
        <v>동대문구</v>
      </c>
      <c r="H853" t="str">
        <f t="shared" si="31"/>
        <v>신설동</v>
      </c>
      <c r="I853" t="s">
        <v>7375</v>
      </c>
      <c r="J853" t="s">
        <v>7376</v>
      </c>
      <c r="K853" t="s">
        <v>7377</v>
      </c>
    </row>
    <row r="854" spans="1:11" x14ac:dyDescent="0.4">
      <c r="A854" t="s">
        <v>8148</v>
      </c>
      <c r="B854" t="s">
        <v>9</v>
      </c>
      <c r="C854" t="s">
        <v>10</v>
      </c>
      <c r="D854" t="s">
        <v>2641</v>
      </c>
      <c r="E854" t="s">
        <v>8149</v>
      </c>
      <c r="F854" t="str">
        <f>LEFT(E854,5)</f>
        <v>서울특별시</v>
      </c>
      <c r="G854" t="str">
        <f t="shared" si="29"/>
        <v>동대문구</v>
      </c>
      <c r="H854" t="str">
        <f t="shared" si="31"/>
        <v>신설동</v>
      </c>
      <c r="I854" t="s">
        <v>8150</v>
      </c>
      <c r="J854" t="s">
        <v>2644</v>
      </c>
      <c r="K854" t="s">
        <v>8151</v>
      </c>
    </row>
    <row r="855" spans="1:11" x14ac:dyDescent="0.4">
      <c r="A855" t="s">
        <v>2640</v>
      </c>
      <c r="B855" t="s">
        <v>9</v>
      </c>
      <c r="C855" t="s">
        <v>10</v>
      </c>
      <c r="D855" t="s">
        <v>2641</v>
      </c>
      <c r="E855" t="s">
        <v>2642</v>
      </c>
      <c r="F855" t="str">
        <f>LEFT(E855,5)</f>
        <v>서울특별시</v>
      </c>
      <c r="G855" t="str">
        <f t="shared" si="29"/>
        <v>동대문구</v>
      </c>
      <c r="H855" t="str">
        <f t="shared" si="31"/>
        <v>신설동</v>
      </c>
      <c r="I855" t="s">
        <v>2643</v>
      </c>
      <c r="J855" t="s">
        <v>2644</v>
      </c>
      <c r="K855" t="s">
        <v>2645</v>
      </c>
    </row>
    <row r="856" spans="1:11" x14ac:dyDescent="0.4">
      <c r="A856" t="s">
        <v>5740</v>
      </c>
      <c r="B856" t="s">
        <v>9</v>
      </c>
      <c r="C856" t="s">
        <v>10</v>
      </c>
      <c r="D856" t="s">
        <v>2641</v>
      </c>
      <c r="E856" t="s">
        <v>5741</v>
      </c>
      <c r="F856" t="str">
        <f>LEFT(E856,5)</f>
        <v>서울특별시</v>
      </c>
      <c r="G856" t="str">
        <f t="shared" si="29"/>
        <v>동대문구</v>
      </c>
      <c r="H856" t="str">
        <f t="shared" si="31"/>
        <v>신설동</v>
      </c>
      <c r="I856" t="s">
        <v>5742</v>
      </c>
      <c r="J856" t="s">
        <v>2644</v>
      </c>
      <c r="K856" t="s">
        <v>5743</v>
      </c>
    </row>
    <row r="857" spans="1:11" x14ac:dyDescent="0.4">
      <c r="A857" t="s">
        <v>4403</v>
      </c>
      <c r="B857" t="s">
        <v>9</v>
      </c>
      <c r="C857" t="s">
        <v>10</v>
      </c>
      <c r="D857" t="s">
        <v>2641</v>
      </c>
      <c r="E857" t="s">
        <v>4404</v>
      </c>
      <c r="F857" t="str">
        <f>LEFT(E857,5)</f>
        <v>서울특별시</v>
      </c>
      <c r="G857" t="str">
        <f t="shared" si="29"/>
        <v>동대문구</v>
      </c>
      <c r="H857" t="str">
        <f t="shared" si="31"/>
        <v>신설동</v>
      </c>
      <c r="I857" t="s">
        <v>4405</v>
      </c>
      <c r="J857" t="s">
        <v>2644</v>
      </c>
      <c r="K857" t="s">
        <v>4406</v>
      </c>
    </row>
    <row r="858" spans="1:11" x14ac:dyDescent="0.4">
      <c r="A858" t="s">
        <v>155</v>
      </c>
      <c r="B858" t="s">
        <v>9</v>
      </c>
      <c r="C858" t="s">
        <v>10</v>
      </c>
      <c r="D858" t="s">
        <v>654</v>
      </c>
      <c r="E858" t="s">
        <v>655</v>
      </c>
      <c r="F858" t="str">
        <f>LEFT(E858,5)</f>
        <v>서울특별시</v>
      </c>
      <c r="G858" t="str">
        <f t="shared" si="29"/>
        <v>동대문구</v>
      </c>
      <c r="H858" t="str">
        <f t="shared" si="31"/>
        <v>용두동</v>
      </c>
      <c r="I858" t="s">
        <v>656</v>
      </c>
      <c r="J858" t="s">
        <v>657</v>
      </c>
      <c r="K858" t="s">
        <v>658</v>
      </c>
    </row>
    <row r="859" spans="1:11" x14ac:dyDescent="0.4">
      <c r="A859" t="s">
        <v>6482</v>
      </c>
      <c r="B859" t="s">
        <v>9</v>
      </c>
      <c r="C859" t="s">
        <v>10</v>
      </c>
      <c r="D859" t="s">
        <v>654</v>
      </c>
      <c r="E859" t="s">
        <v>6483</v>
      </c>
      <c r="F859" t="str">
        <f>LEFT(E859,5)</f>
        <v>서울특별시</v>
      </c>
      <c r="G859" t="str">
        <f t="shared" si="29"/>
        <v>동대문구</v>
      </c>
      <c r="H859" t="str">
        <f t="shared" si="31"/>
        <v>용두동</v>
      </c>
      <c r="I859" t="s">
        <v>6484</v>
      </c>
      <c r="J859" t="s">
        <v>6485</v>
      </c>
      <c r="K859" t="s">
        <v>4442</v>
      </c>
    </row>
    <row r="860" spans="1:11" x14ac:dyDescent="0.4">
      <c r="A860" t="s">
        <v>2243</v>
      </c>
      <c r="B860" t="s">
        <v>9</v>
      </c>
      <c r="C860" t="s">
        <v>10</v>
      </c>
      <c r="D860" t="s">
        <v>1656</v>
      </c>
      <c r="E860" t="s">
        <v>2244</v>
      </c>
      <c r="F860" t="str">
        <f>LEFT(E860,5)</f>
        <v>서울특별시</v>
      </c>
      <c r="G860" t="str">
        <f t="shared" si="29"/>
        <v>동대문구</v>
      </c>
      <c r="H860" t="str">
        <f t="shared" si="31"/>
        <v>용두동</v>
      </c>
      <c r="I860" t="s">
        <v>2245</v>
      </c>
      <c r="J860" t="s">
        <v>1792</v>
      </c>
      <c r="K860" t="s">
        <v>2246</v>
      </c>
    </row>
    <row r="861" spans="1:11" x14ac:dyDescent="0.4">
      <c r="A861" t="s">
        <v>7857</v>
      </c>
      <c r="B861" t="s">
        <v>9</v>
      </c>
      <c r="C861" t="s">
        <v>10</v>
      </c>
      <c r="D861" t="s">
        <v>7858</v>
      </c>
      <c r="E861" t="s">
        <v>7859</v>
      </c>
      <c r="F861" t="str">
        <f>LEFT(E861,5)</f>
        <v>서울특별시</v>
      </c>
      <c r="G861" t="str">
        <f t="shared" si="29"/>
        <v>동대문구</v>
      </c>
      <c r="H861" t="str">
        <f t="shared" si="31"/>
        <v>용두동</v>
      </c>
      <c r="I861" t="s">
        <v>7860</v>
      </c>
      <c r="J861" t="s">
        <v>7861</v>
      </c>
      <c r="K861" t="s">
        <v>7862</v>
      </c>
    </row>
    <row r="862" spans="1:11" x14ac:dyDescent="0.4">
      <c r="A862" t="s">
        <v>2636</v>
      </c>
      <c r="B862" t="s">
        <v>9</v>
      </c>
      <c r="C862" t="s">
        <v>10</v>
      </c>
      <c r="D862" t="s">
        <v>1656</v>
      </c>
      <c r="E862" t="s">
        <v>2637</v>
      </c>
      <c r="F862" t="str">
        <f>LEFT(E862,5)</f>
        <v>서울특별시</v>
      </c>
      <c r="G862" t="str">
        <f t="shared" si="29"/>
        <v>동대문구</v>
      </c>
      <c r="H862" t="str">
        <f t="shared" si="31"/>
        <v>용두동</v>
      </c>
      <c r="I862" t="s">
        <v>2638</v>
      </c>
      <c r="J862" t="s">
        <v>1792</v>
      </c>
      <c r="K862" t="s">
        <v>2639</v>
      </c>
    </row>
    <row r="863" spans="1:11" x14ac:dyDescent="0.4">
      <c r="A863" t="s">
        <v>1789</v>
      </c>
      <c r="B863" t="s">
        <v>9</v>
      </c>
      <c r="C863" t="s">
        <v>10</v>
      </c>
      <c r="D863" t="s">
        <v>1656</v>
      </c>
      <c r="E863" t="s">
        <v>1790</v>
      </c>
      <c r="F863" t="str">
        <f>LEFT(E863,5)</f>
        <v>서울특별시</v>
      </c>
      <c r="G863" t="str">
        <f t="shared" si="29"/>
        <v>동대문구</v>
      </c>
      <c r="H863" t="str">
        <f t="shared" si="31"/>
        <v>용두동</v>
      </c>
      <c r="I863" t="s">
        <v>1791</v>
      </c>
      <c r="J863" t="s">
        <v>1792</v>
      </c>
      <c r="K863" t="s">
        <v>1793</v>
      </c>
    </row>
    <row r="864" spans="1:11" x14ac:dyDescent="0.4">
      <c r="A864" t="s">
        <v>1655</v>
      </c>
      <c r="B864" t="s">
        <v>9</v>
      </c>
      <c r="C864" t="s">
        <v>10</v>
      </c>
      <c r="D864" t="s">
        <v>1656</v>
      </c>
      <c r="E864" t="s">
        <v>1657</v>
      </c>
      <c r="F864" t="str">
        <f>LEFT(E864,5)</f>
        <v>서울특별시</v>
      </c>
      <c r="G864" t="str">
        <f t="shared" si="29"/>
        <v>동대문구</v>
      </c>
      <c r="H864" t="str">
        <f t="shared" si="31"/>
        <v>용두동</v>
      </c>
      <c r="I864" t="s">
        <v>1658</v>
      </c>
      <c r="J864" t="s">
        <v>1659</v>
      </c>
      <c r="K864" t="s">
        <v>1660</v>
      </c>
    </row>
    <row r="865" spans="1:11" x14ac:dyDescent="0.4">
      <c r="A865" t="s">
        <v>4291</v>
      </c>
      <c r="B865" t="s">
        <v>9</v>
      </c>
      <c r="C865" t="s">
        <v>10</v>
      </c>
      <c r="D865" t="s">
        <v>4292</v>
      </c>
      <c r="E865" t="s">
        <v>4293</v>
      </c>
      <c r="F865" t="str">
        <f>LEFT(E865,5)</f>
        <v>서울특별시</v>
      </c>
      <c r="G865" t="str">
        <f t="shared" si="29"/>
        <v>동대문구</v>
      </c>
      <c r="H865" t="str">
        <f t="shared" si="31"/>
        <v>이문동</v>
      </c>
      <c r="I865" t="s">
        <v>4294</v>
      </c>
      <c r="J865" t="s">
        <v>4295</v>
      </c>
      <c r="K865" t="s">
        <v>4296</v>
      </c>
    </row>
    <row r="866" spans="1:11" x14ac:dyDescent="0.4">
      <c r="A866" t="s">
        <v>5825</v>
      </c>
      <c r="B866" t="s">
        <v>9</v>
      </c>
      <c r="C866" t="s">
        <v>10</v>
      </c>
      <c r="D866" t="s">
        <v>5826</v>
      </c>
      <c r="E866" t="s">
        <v>5827</v>
      </c>
      <c r="F866" t="str">
        <f>LEFT(E866,5)</f>
        <v>서울특별시</v>
      </c>
      <c r="G866" t="str">
        <f t="shared" si="29"/>
        <v>동대문구</v>
      </c>
      <c r="H866" t="str">
        <f t="shared" si="31"/>
        <v>이문동</v>
      </c>
      <c r="I866" t="s">
        <v>5828</v>
      </c>
      <c r="J866" t="s">
        <v>5829</v>
      </c>
      <c r="K866" t="s">
        <v>5830</v>
      </c>
    </row>
    <row r="867" spans="1:11" x14ac:dyDescent="0.4">
      <c r="A867" t="s">
        <v>4297</v>
      </c>
      <c r="B867" t="s">
        <v>9</v>
      </c>
      <c r="C867" t="s">
        <v>10</v>
      </c>
      <c r="D867" t="s">
        <v>4298</v>
      </c>
      <c r="E867" t="s">
        <v>4299</v>
      </c>
      <c r="F867" t="str">
        <f>LEFT(E867,5)</f>
        <v>서울특별시</v>
      </c>
      <c r="G867" t="str">
        <f t="shared" si="29"/>
        <v>동대문구</v>
      </c>
      <c r="H867" t="str">
        <f t="shared" si="31"/>
        <v>장안동</v>
      </c>
      <c r="I867" t="s">
        <v>4300</v>
      </c>
      <c r="J867" t="s">
        <v>4301</v>
      </c>
      <c r="K867" t="s">
        <v>4302</v>
      </c>
    </row>
    <row r="868" spans="1:11" x14ac:dyDescent="0.4">
      <c r="A868" t="s">
        <v>3397</v>
      </c>
      <c r="B868" t="s">
        <v>9</v>
      </c>
      <c r="C868" t="s">
        <v>10</v>
      </c>
      <c r="D868" t="s">
        <v>3398</v>
      </c>
      <c r="E868" t="s">
        <v>3399</v>
      </c>
      <c r="F868" t="str">
        <f>LEFT(E868,5)</f>
        <v>서울특별시</v>
      </c>
      <c r="G868" t="str">
        <f t="shared" si="29"/>
        <v>동대문구</v>
      </c>
      <c r="H868" t="str">
        <f t="shared" si="31"/>
        <v>장안동</v>
      </c>
      <c r="I868" t="s">
        <v>3400</v>
      </c>
      <c r="J868" t="s">
        <v>3401</v>
      </c>
      <c r="K868" t="s">
        <v>3402</v>
      </c>
    </row>
    <row r="869" spans="1:11" x14ac:dyDescent="0.4">
      <c r="A869" t="s">
        <v>5634</v>
      </c>
      <c r="B869" t="s">
        <v>9</v>
      </c>
      <c r="C869" t="s">
        <v>10</v>
      </c>
      <c r="D869" t="s">
        <v>3015</v>
      </c>
      <c r="E869" t="s">
        <v>5635</v>
      </c>
      <c r="F869" t="str">
        <f>LEFT(E869,5)</f>
        <v>서울특별시</v>
      </c>
      <c r="G869" t="str">
        <f t="shared" si="29"/>
        <v>동대문구</v>
      </c>
      <c r="H869" t="str">
        <f t="shared" si="31"/>
        <v>장안동</v>
      </c>
      <c r="I869" t="s">
        <v>5636</v>
      </c>
      <c r="J869" t="s">
        <v>5637</v>
      </c>
      <c r="K869" t="s">
        <v>5638</v>
      </c>
    </row>
    <row r="870" spans="1:11" x14ac:dyDescent="0.4">
      <c r="A870" t="s">
        <v>3014</v>
      </c>
      <c r="B870" t="s">
        <v>9</v>
      </c>
      <c r="C870" t="s">
        <v>10</v>
      </c>
      <c r="D870" t="s">
        <v>3015</v>
      </c>
      <c r="E870" t="s">
        <v>3016</v>
      </c>
      <c r="F870" t="str">
        <f>LEFT(E870,5)</f>
        <v>서울특별시</v>
      </c>
      <c r="G870" t="str">
        <f t="shared" si="29"/>
        <v>동대문구</v>
      </c>
      <c r="H870" t="str">
        <f t="shared" si="31"/>
        <v>장안동</v>
      </c>
      <c r="I870" t="s">
        <v>3017</v>
      </c>
      <c r="J870" t="s">
        <v>3018</v>
      </c>
      <c r="K870" t="s">
        <v>3019</v>
      </c>
    </row>
    <row r="871" spans="1:11" x14ac:dyDescent="0.4">
      <c r="A871" t="s">
        <v>125</v>
      </c>
      <c r="B871" t="s">
        <v>9</v>
      </c>
      <c r="C871" t="s">
        <v>10</v>
      </c>
      <c r="D871" t="s">
        <v>126</v>
      </c>
      <c r="E871" t="s">
        <v>127</v>
      </c>
      <c r="F871" t="str">
        <f>LEFT(E871,5)</f>
        <v>서울특별시</v>
      </c>
      <c r="G871" t="str">
        <f t="shared" si="29"/>
        <v>동대문구</v>
      </c>
      <c r="H871" t="str">
        <f t="shared" si="31"/>
        <v>장안동</v>
      </c>
      <c r="I871" t="s">
        <v>128</v>
      </c>
      <c r="J871" t="s">
        <v>129</v>
      </c>
      <c r="K871" t="s">
        <v>130</v>
      </c>
    </row>
    <row r="872" spans="1:11" x14ac:dyDescent="0.4">
      <c r="A872" t="s">
        <v>821</v>
      </c>
      <c r="B872" t="s">
        <v>9</v>
      </c>
      <c r="C872" t="s">
        <v>10</v>
      </c>
      <c r="D872" t="s">
        <v>126</v>
      </c>
      <c r="E872" t="s">
        <v>822</v>
      </c>
      <c r="F872" t="str">
        <f>LEFT(E872,5)</f>
        <v>서울특별시</v>
      </c>
      <c r="G872" t="str">
        <f t="shared" si="29"/>
        <v>동대문구</v>
      </c>
      <c r="H872" t="str">
        <f t="shared" si="31"/>
        <v>장안동</v>
      </c>
      <c r="I872" t="s">
        <v>823</v>
      </c>
      <c r="J872" t="s">
        <v>129</v>
      </c>
      <c r="K872" t="s">
        <v>824</v>
      </c>
    </row>
    <row r="873" spans="1:11" x14ac:dyDescent="0.4">
      <c r="A873" t="s">
        <v>2082</v>
      </c>
      <c r="B873" t="s">
        <v>9</v>
      </c>
      <c r="C873" t="s">
        <v>10</v>
      </c>
      <c r="D873" t="s">
        <v>126</v>
      </c>
      <c r="E873" t="s">
        <v>2083</v>
      </c>
      <c r="F873" t="str">
        <f>LEFT(E873,5)</f>
        <v>서울특별시</v>
      </c>
      <c r="G873" t="str">
        <f t="shared" si="29"/>
        <v>동대문구</v>
      </c>
      <c r="H873" t="str">
        <f t="shared" si="31"/>
        <v>장안동</v>
      </c>
      <c r="I873" t="s">
        <v>2084</v>
      </c>
      <c r="J873" t="s">
        <v>129</v>
      </c>
      <c r="K873" t="s">
        <v>2085</v>
      </c>
    </row>
    <row r="874" spans="1:11" x14ac:dyDescent="0.4">
      <c r="A874" t="s">
        <v>35</v>
      </c>
      <c r="B874" t="s">
        <v>9</v>
      </c>
      <c r="C874" t="s">
        <v>10</v>
      </c>
      <c r="D874" t="s">
        <v>126</v>
      </c>
      <c r="E874" t="s">
        <v>779</v>
      </c>
      <c r="F874" t="str">
        <f>LEFT(E874,5)</f>
        <v>서울특별시</v>
      </c>
      <c r="G874" t="str">
        <f t="shared" si="29"/>
        <v>동대문구</v>
      </c>
      <c r="H874" t="str">
        <f t="shared" si="31"/>
        <v>장안동</v>
      </c>
      <c r="I874" t="s">
        <v>780</v>
      </c>
      <c r="J874" t="s">
        <v>129</v>
      </c>
      <c r="K874" t="s">
        <v>781</v>
      </c>
    </row>
    <row r="875" spans="1:11" x14ac:dyDescent="0.4">
      <c r="A875" t="s">
        <v>1827</v>
      </c>
      <c r="B875" t="s">
        <v>9</v>
      </c>
      <c r="C875" t="s">
        <v>10</v>
      </c>
      <c r="D875" t="s">
        <v>126</v>
      </c>
      <c r="E875" t="s">
        <v>1828</v>
      </c>
      <c r="F875" t="str">
        <f>LEFT(E875,5)</f>
        <v>서울특별시</v>
      </c>
      <c r="G875" t="str">
        <f t="shared" si="29"/>
        <v>동대문구</v>
      </c>
      <c r="H875" t="str">
        <f t="shared" si="31"/>
        <v>장안동</v>
      </c>
      <c r="I875" t="s">
        <v>1829</v>
      </c>
      <c r="J875" t="s">
        <v>129</v>
      </c>
      <c r="K875" t="s">
        <v>1830</v>
      </c>
    </row>
    <row r="876" spans="1:11" x14ac:dyDescent="0.4">
      <c r="A876" t="s">
        <v>5985</v>
      </c>
      <c r="B876" t="s">
        <v>9</v>
      </c>
      <c r="C876" t="s">
        <v>10</v>
      </c>
      <c r="D876" t="s">
        <v>126</v>
      </c>
      <c r="E876" t="s">
        <v>5986</v>
      </c>
      <c r="F876" t="str">
        <f>LEFT(E876,5)</f>
        <v>서울특별시</v>
      </c>
      <c r="G876" t="str">
        <f t="shared" si="29"/>
        <v>동대문구</v>
      </c>
      <c r="H876" t="str">
        <f t="shared" si="31"/>
        <v>장안동</v>
      </c>
      <c r="I876" t="s">
        <v>5987</v>
      </c>
      <c r="J876" t="s">
        <v>764</v>
      </c>
      <c r="K876" t="s">
        <v>5988</v>
      </c>
    </row>
    <row r="877" spans="1:11" x14ac:dyDescent="0.4">
      <c r="A877" t="s">
        <v>1137</v>
      </c>
      <c r="B877" t="s">
        <v>9</v>
      </c>
      <c r="C877" t="s">
        <v>10</v>
      </c>
      <c r="D877" t="s">
        <v>126</v>
      </c>
      <c r="E877" t="s">
        <v>1138</v>
      </c>
      <c r="F877" t="str">
        <f>LEFT(E877,5)</f>
        <v>서울특별시</v>
      </c>
      <c r="G877" t="str">
        <f t="shared" si="29"/>
        <v>동대문구</v>
      </c>
      <c r="H877" t="str">
        <f t="shared" si="31"/>
        <v>장안동</v>
      </c>
      <c r="I877" t="s">
        <v>1139</v>
      </c>
      <c r="J877" t="s">
        <v>764</v>
      </c>
      <c r="K877" t="s">
        <v>1140</v>
      </c>
    </row>
    <row r="878" spans="1:11" x14ac:dyDescent="0.4">
      <c r="A878" t="s">
        <v>2830</v>
      </c>
      <c r="B878" t="s">
        <v>9</v>
      </c>
      <c r="C878" t="s">
        <v>10</v>
      </c>
      <c r="D878" t="s">
        <v>126</v>
      </c>
      <c r="E878" t="s">
        <v>2831</v>
      </c>
      <c r="F878" t="str">
        <f>LEFT(E878,5)</f>
        <v>서울특별시</v>
      </c>
      <c r="G878" t="str">
        <f t="shared" si="29"/>
        <v>동대문구</v>
      </c>
      <c r="H878" t="str">
        <f t="shared" si="31"/>
        <v>장안동</v>
      </c>
      <c r="I878" t="s">
        <v>2832</v>
      </c>
      <c r="J878" t="s">
        <v>764</v>
      </c>
      <c r="K878" t="s">
        <v>2833</v>
      </c>
    </row>
    <row r="879" spans="1:11" x14ac:dyDescent="0.4">
      <c r="A879" t="s">
        <v>1233</v>
      </c>
      <c r="B879" t="s">
        <v>9</v>
      </c>
      <c r="C879" t="s">
        <v>10</v>
      </c>
      <c r="D879" t="s">
        <v>126</v>
      </c>
      <c r="E879" t="s">
        <v>1234</v>
      </c>
      <c r="F879" t="str">
        <f>LEFT(E879,5)</f>
        <v>서울특별시</v>
      </c>
      <c r="G879" t="str">
        <f t="shared" si="29"/>
        <v>동대문구</v>
      </c>
      <c r="H879" t="str">
        <f t="shared" si="31"/>
        <v>장안동</v>
      </c>
      <c r="I879" t="s">
        <v>1235</v>
      </c>
      <c r="J879" t="s">
        <v>764</v>
      </c>
      <c r="K879" t="s">
        <v>1236</v>
      </c>
    </row>
    <row r="880" spans="1:11" x14ac:dyDescent="0.4">
      <c r="A880" t="s">
        <v>761</v>
      </c>
      <c r="B880" t="s">
        <v>9</v>
      </c>
      <c r="C880" t="s">
        <v>10</v>
      </c>
      <c r="D880" t="s">
        <v>126</v>
      </c>
      <c r="E880" t="s">
        <v>762</v>
      </c>
      <c r="F880" t="str">
        <f>LEFT(E880,5)</f>
        <v>서울특별시</v>
      </c>
      <c r="G880" t="str">
        <f t="shared" si="29"/>
        <v>동대문구</v>
      </c>
      <c r="H880" t="str">
        <f t="shared" si="31"/>
        <v>장안동</v>
      </c>
      <c r="I880" t="s">
        <v>763</v>
      </c>
      <c r="J880" t="s">
        <v>764</v>
      </c>
      <c r="K880" t="s">
        <v>765</v>
      </c>
    </row>
    <row r="881" spans="1:11" x14ac:dyDescent="0.4">
      <c r="A881" t="s">
        <v>1729</v>
      </c>
      <c r="B881" t="s">
        <v>9</v>
      </c>
      <c r="C881" t="s">
        <v>10</v>
      </c>
      <c r="D881" t="s">
        <v>126</v>
      </c>
      <c r="E881" t="s">
        <v>1730</v>
      </c>
      <c r="F881" t="str">
        <f>LEFT(E881,5)</f>
        <v>서울특별시</v>
      </c>
      <c r="G881" t="str">
        <f t="shared" si="29"/>
        <v>동대문구</v>
      </c>
      <c r="H881" t="str">
        <f t="shared" si="31"/>
        <v>장안동</v>
      </c>
      <c r="I881" t="s">
        <v>1731</v>
      </c>
      <c r="J881" t="s">
        <v>129</v>
      </c>
      <c r="K881" t="s">
        <v>1732</v>
      </c>
    </row>
    <row r="882" spans="1:11" x14ac:dyDescent="0.4">
      <c r="A882" t="s">
        <v>1802</v>
      </c>
      <c r="B882" t="s">
        <v>9</v>
      </c>
      <c r="C882" t="s">
        <v>10</v>
      </c>
      <c r="D882" t="s">
        <v>126</v>
      </c>
      <c r="E882" t="s">
        <v>1803</v>
      </c>
      <c r="F882" t="str">
        <f>LEFT(E882,5)</f>
        <v>서울특별시</v>
      </c>
      <c r="G882" t="str">
        <f t="shared" si="29"/>
        <v>동대문구</v>
      </c>
      <c r="H882" t="str">
        <f t="shared" si="31"/>
        <v>장안동</v>
      </c>
      <c r="I882" t="s">
        <v>1804</v>
      </c>
      <c r="J882" t="s">
        <v>129</v>
      </c>
      <c r="K882" t="s">
        <v>1805</v>
      </c>
    </row>
    <row r="883" spans="1:11" x14ac:dyDescent="0.4">
      <c r="A883" t="s">
        <v>1996</v>
      </c>
      <c r="B883" t="s">
        <v>9</v>
      </c>
      <c r="C883" t="s">
        <v>10</v>
      </c>
      <c r="D883" t="s">
        <v>1997</v>
      </c>
      <c r="E883" t="s">
        <v>1998</v>
      </c>
      <c r="F883" t="str">
        <f>LEFT(E883,5)</f>
        <v>서울특별시</v>
      </c>
      <c r="G883" t="str">
        <f t="shared" si="29"/>
        <v>동대문구</v>
      </c>
      <c r="H883" t="str">
        <f t="shared" si="31"/>
        <v>장안동</v>
      </c>
      <c r="I883" t="s">
        <v>1999</v>
      </c>
      <c r="J883" t="s">
        <v>664</v>
      </c>
      <c r="K883" t="s">
        <v>2000</v>
      </c>
    </row>
    <row r="884" spans="1:11" x14ac:dyDescent="0.4">
      <c r="A884" t="s">
        <v>8811</v>
      </c>
      <c r="B884" t="s">
        <v>9</v>
      </c>
      <c r="C884" t="s">
        <v>10</v>
      </c>
      <c r="D884" t="s">
        <v>1997</v>
      </c>
      <c r="E884" t="s">
        <v>8812</v>
      </c>
      <c r="F884" t="str">
        <f>LEFT(E884,5)</f>
        <v>서울특별시</v>
      </c>
      <c r="G884" t="str">
        <f t="shared" si="29"/>
        <v>동대문구</v>
      </c>
      <c r="H884" t="str">
        <f t="shared" si="31"/>
        <v>장안동</v>
      </c>
      <c r="I884" t="s">
        <v>8813</v>
      </c>
      <c r="J884" t="s">
        <v>8814</v>
      </c>
      <c r="K884" t="s">
        <v>8815</v>
      </c>
    </row>
    <row r="885" spans="1:11" x14ac:dyDescent="0.4">
      <c r="A885" t="s">
        <v>2221</v>
      </c>
      <c r="B885" t="s">
        <v>9</v>
      </c>
      <c r="C885" t="s">
        <v>10</v>
      </c>
      <c r="D885" t="s">
        <v>1997</v>
      </c>
      <c r="E885" t="s">
        <v>2222</v>
      </c>
      <c r="F885" t="str">
        <f>LEFT(E885,5)</f>
        <v>서울특별시</v>
      </c>
      <c r="G885" t="str">
        <f t="shared" si="29"/>
        <v>동대문구</v>
      </c>
      <c r="H885" t="str">
        <f t="shared" si="31"/>
        <v>장안동</v>
      </c>
      <c r="I885" t="s">
        <v>2223</v>
      </c>
      <c r="J885" t="s">
        <v>664</v>
      </c>
      <c r="K885" t="s">
        <v>2045</v>
      </c>
    </row>
    <row r="886" spans="1:11" x14ac:dyDescent="0.4">
      <c r="A886" t="s">
        <v>2052</v>
      </c>
      <c r="B886" t="s">
        <v>9</v>
      </c>
      <c r="C886" t="s">
        <v>10</v>
      </c>
      <c r="D886" t="s">
        <v>2053</v>
      </c>
      <c r="E886" t="s">
        <v>2054</v>
      </c>
      <c r="F886" t="str">
        <f>LEFT(E886,5)</f>
        <v>서울특별시</v>
      </c>
      <c r="G886" t="str">
        <f t="shared" si="29"/>
        <v>동대문구</v>
      </c>
      <c r="H886" t="str">
        <f t="shared" si="31"/>
        <v>장안동</v>
      </c>
      <c r="I886" t="s">
        <v>2055</v>
      </c>
      <c r="J886" t="s">
        <v>2056</v>
      </c>
      <c r="K886" t="s">
        <v>2057</v>
      </c>
    </row>
    <row r="887" spans="1:11" x14ac:dyDescent="0.4">
      <c r="A887" t="s">
        <v>6605</v>
      </c>
      <c r="B887" t="s">
        <v>9</v>
      </c>
      <c r="C887" t="s">
        <v>10</v>
      </c>
      <c r="D887" t="s">
        <v>6606</v>
      </c>
      <c r="E887" t="s">
        <v>6607</v>
      </c>
      <c r="F887" t="str">
        <f>LEFT(E887,5)</f>
        <v>서울특별시</v>
      </c>
      <c r="G887" t="str">
        <f t="shared" si="29"/>
        <v>동대문구</v>
      </c>
      <c r="H887" t="str">
        <f t="shared" si="31"/>
        <v>장안동</v>
      </c>
      <c r="I887" t="s">
        <v>6608</v>
      </c>
      <c r="J887" t="s">
        <v>3305</v>
      </c>
      <c r="K887" t="s">
        <v>6609</v>
      </c>
    </row>
    <row r="888" spans="1:11" x14ac:dyDescent="0.4">
      <c r="A888" t="s">
        <v>8180</v>
      </c>
      <c r="B888" t="s">
        <v>9</v>
      </c>
      <c r="C888" t="s">
        <v>10</v>
      </c>
      <c r="D888" t="s">
        <v>1532</v>
      </c>
      <c r="E888" t="s">
        <v>8181</v>
      </c>
      <c r="F888" t="str">
        <f>LEFT(E888,5)</f>
        <v>서울특별시</v>
      </c>
      <c r="G888" t="str">
        <f t="shared" si="29"/>
        <v>동대문구</v>
      </c>
      <c r="H888" t="str">
        <f t="shared" si="31"/>
        <v>장안동</v>
      </c>
      <c r="I888" t="s">
        <v>8182</v>
      </c>
      <c r="J888" t="s">
        <v>3305</v>
      </c>
      <c r="K888" t="s">
        <v>8183</v>
      </c>
    </row>
    <row r="889" spans="1:11" x14ac:dyDescent="0.4">
      <c r="A889" t="s">
        <v>3302</v>
      </c>
      <c r="B889" t="s">
        <v>9</v>
      </c>
      <c r="C889" t="s">
        <v>10</v>
      </c>
      <c r="D889" t="s">
        <v>1532</v>
      </c>
      <c r="E889" t="s">
        <v>3303</v>
      </c>
      <c r="F889" t="str">
        <f>LEFT(E889,5)</f>
        <v>서울특별시</v>
      </c>
      <c r="G889" t="str">
        <f t="shared" si="29"/>
        <v>동대문구</v>
      </c>
      <c r="H889" t="str">
        <f t="shared" si="31"/>
        <v>장안동</v>
      </c>
      <c r="I889" t="s">
        <v>3304</v>
      </c>
      <c r="J889" t="s">
        <v>3305</v>
      </c>
      <c r="K889" t="s">
        <v>3306</v>
      </c>
    </row>
    <row r="890" spans="1:11" x14ac:dyDescent="0.4">
      <c r="A890" t="s">
        <v>1531</v>
      </c>
      <c r="B890" t="s">
        <v>9</v>
      </c>
      <c r="C890" t="s">
        <v>10</v>
      </c>
      <c r="D890" t="s">
        <v>1532</v>
      </c>
      <c r="E890" t="s">
        <v>1533</v>
      </c>
      <c r="F890" t="str">
        <f>LEFT(E890,5)</f>
        <v>서울특별시</v>
      </c>
      <c r="G890" t="str">
        <f t="shared" si="29"/>
        <v>동대문구</v>
      </c>
      <c r="H890" t="str">
        <f t="shared" si="31"/>
        <v>장안동</v>
      </c>
      <c r="I890" t="s">
        <v>1534</v>
      </c>
      <c r="J890" t="s">
        <v>1535</v>
      </c>
      <c r="K890" t="s">
        <v>1536</v>
      </c>
    </row>
    <row r="891" spans="1:11" x14ac:dyDescent="0.4">
      <c r="A891" t="s">
        <v>6036</v>
      </c>
      <c r="B891" t="s">
        <v>9</v>
      </c>
      <c r="C891" t="s">
        <v>10</v>
      </c>
      <c r="D891" t="s">
        <v>6037</v>
      </c>
      <c r="E891" t="s">
        <v>6038</v>
      </c>
      <c r="F891" t="str">
        <f>LEFT(E891,5)</f>
        <v>서울특별시</v>
      </c>
      <c r="G891" t="str">
        <f t="shared" si="29"/>
        <v>동대문구</v>
      </c>
      <c r="H891" t="str">
        <f t="shared" si="31"/>
        <v>장안동</v>
      </c>
      <c r="I891" t="s">
        <v>6039</v>
      </c>
      <c r="J891" t="s">
        <v>6040</v>
      </c>
      <c r="K891" t="s">
        <v>6041</v>
      </c>
    </row>
    <row r="892" spans="1:11" x14ac:dyDescent="0.4">
      <c r="A892" t="s">
        <v>6742</v>
      </c>
      <c r="B892" t="s">
        <v>9</v>
      </c>
      <c r="C892" t="s">
        <v>10</v>
      </c>
      <c r="D892" t="s">
        <v>6743</v>
      </c>
      <c r="E892" t="s">
        <v>6744</v>
      </c>
      <c r="F892" t="str">
        <f>LEFT(E892,5)</f>
        <v>서울특별시</v>
      </c>
      <c r="G892" t="str">
        <f t="shared" si="29"/>
        <v>동대문구</v>
      </c>
      <c r="H892" t="str">
        <f t="shared" si="31"/>
        <v>전농동</v>
      </c>
      <c r="I892" t="s">
        <v>6745</v>
      </c>
      <c r="J892" t="s">
        <v>6746</v>
      </c>
      <c r="K892" t="s">
        <v>6747</v>
      </c>
    </row>
    <row r="893" spans="1:11" x14ac:dyDescent="0.4">
      <c r="A893" t="s">
        <v>3098</v>
      </c>
      <c r="B893" t="s">
        <v>9</v>
      </c>
      <c r="C893" t="s">
        <v>10</v>
      </c>
      <c r="D893" t="s">
        <v>3099</v>
      </c>
      <c r="E893" t="s">
        <v>3100</v>
      </c>
      <c r="F893" t="str">
        <f>LEFT(E893,5)</f>
        <v>서울특별시</v>
      </c>
      <c r="G893" t="str">
        <f t="shared" si="29"/>
        <v>동대문구</v>
      </c>
      <c r="H893" t="str">
        <f t="shared" si="31"/>
        <v>전농동</v>
      </c>
      <c r="I893" t="s">
        <v>3101</v>
      </c>
      <c r="J893" t="s">
        <v>3102</v>
      </c>
      <c r="K893" t="s">
        <v>3103</v>
      </c>
    </row>
    <row r="894" spans="1:11" x14ac:dyDescent="0.4">
      <c r="A894" t="s">
        <v>7119</v>
      </c>
      <c r="B894" t="s">
        <v>9</v>
      </c>
      <c r="C894" t="s">
        <v>10</v>
      </c>
      <c r="D894" t="s">
        <v>4879</v>
      </c>
      <c r="E894" t="s">
        <v>7120</v>
      </c>
      <c r="F894" t="str">
        <f>LEFT(E894,5)</f>
        <v>서울특별시</v>
      </c>
      <c r="G894" t="str">
        <f t="shared" si="29"/>
        <v>동대문구</v>
      </c>
      <c r="H894" t="str">
        <f t="shared" si="31"/>
        <v>전농동</v>
      </c>
      <c r="I894" t="s">
        <v>7121</v>
      </c>
      <c r="J894" t="s">
        <v>7122</v>
      </c>
      <c r="K894" t="s">
        <v>7123</v>
      </c>
    </row>
    <row r="895" spans="1:11" x14ac:dyDescent="0.4">
      <c r="A895" t="s">
        <v>4878</v>
      </c>
      <c r="B895" t="s">
        <v>9</v>
      </c>
      <c r="C895" t="s">
        <v>10</v>
      </c>
      <c r="D895" t="s">
        <v>4879</v>
      </c>
      <c r="E895" t="s">
        <v>4880</v>
      </c>
      <c r="F895" t="str">
        <f>LEFT(E895,5)</f>
        <v>서울특별시</v>
      </c>
      <c r="G895" t="str">
        <f t="shared" si="29"/>
        <v>동대문구</v>
      </c>
      <c r="H895" t="str">
        <f t="shared" si="31"/>
        <v>전농동</v>
      </c>
      <c r="I895" t="s">
        <v>4881</v>
      </c>
      <c r="J895" t="s">
        <v>4882</v>
      </c>
      <c r="K895" t="s">
        <v>2246</v>
      </c>
    </row>
    <row r="896" spans="1:11" x14ac:dyDescent="0.4">
      <c r="A896" t="s">
        <v>8759</v>
      </c>
      <c r="B896" t="s">
        <v>9</v>
      </c>
      <c r="C896" t="s">
        <v>10</v>
      </c>
      <c r="D896" t="s">
        <v>451</v>
      </c>
      <c r="E896" t="s">
        <v>8760</v>
      </c>
      <c r="F896" t="str">
        <f>LEFT(E896,5)</f>
        <v>서울특별시</v>
      </c>
      <c r="G896" t="str">
        <f t="shared" si="29"/>
        <v>동대문구</v>
      </c>
      <c r="H896" t="str">
        <f t="shared" si="31"/>
        <v>전농동</v>
      </c>
      <c r="I896" t="s">
        <v>8761</v>
      </c>
      <c r="J896" t="s">
        <v>454</v>
      </c>
      <c r="K896" t="s">
        <v>8762</v>
      </c>
    </row>
    <row r="897" spans="1:11" x14ac:dyDescent="0.4">
      <c r="A897" t="s">
        <v>1876</v>
      </c>
      <c r="B897" t="s">
        <v>9</v>
      </c>
      <c r="C897" t="s">
        <v>10</v>
      </c>
      <c r="D897" t="s">
        <v>451</v>
      </c>
      <c r="E897" t="s">
        <v>1877</v>
      </c>
      <c r="F897" t="str">
        <f>LEFT(E897,5)</f>
        <v>서울특별시</v>
      </c>
      <c r="G897" t="str">
        <f t="shared" si="29"/>
        <v>동대문구</v>
      </c>
      <c r="H897" t="str">
        <f t="shared" si="31"/>
        <v>전농동</v>
      </c>
      <c r="I897" t="s">
        <v>1878</v>
      </c>
      <c r="J897" t="s">
        <v>454</v>
      </c>
      <c r="K897" t="s">
        <v>978</v>
      </c>
    </row>
    <row r="898" spans="1:11" x14ac:dyDescent="0.4">
      <c r="A898" t="s">
        <v>450</v>
      </c>
      <c r="B898" t="s">
        <v>9</v>
      </c>
      <c r="C898" t="s">
        <v>10</v>
      </c>
      <c r="D898" t="s">
        <v>451</v>
      </c>
      <c r="E898" t="s">
        <v>452</v>
      </c>
      <c r="F898" t="str">
        <f>LEFT(E898,5)</f>
        <v>서울특별시</v>
      </c>
      <c r="G898" t="str">
        <f t="shared" si="29"/>
        <v>동대문구</v>
      </c>
      <c r="H898" t="str">
        <f t="shared" si="31"/>
        <v>전농동</v>
      </c>
      <c r="I898" t="s">
        <v>453</v>
      </c>
      <c r="J898" t="s">
        <v>454</v>
      </c>
      <c r="K898" t="s">
        <v>455</v>
      </c>
    </row>
    <row r="899" spans="1:11" x14ac:dyDescent="0.4">
      <c r="A899" t="s">
        <v>7219</v>
      </c>
      <c r="B899" t="s">
        <v>9</v>
      </c>
      <c r="C899" t="s">
        <v>10</v>
      </c>
      <c r="D899" t="s">
        <v>7220</v>
      </c>
      <c r="E899" t="s">
        <v>7221</v>
      </c>
      <c r="F899" t="str">
        <f>LEFT(E899,5)</f>
        <v>서울특별시</v>
      </c>
      <c r="G899" t="str">
        <f t="shared" ref="G899:G962" si="32">MID(E899,7,4)</f>
        <v>동대문구</v>
      </c>
      <c r="H899" t="str">
        <f t="shared" si="31"/>
        <v>제기동</v>
      </c>
      <c r="I899" t="s">
        <v>7222</v>
      </c>
      <c r="J899" t="s">
        <v>7223</v>
      </c>
      <c r="K899" t="s">
        <v>6035</v>
      </c>
    </row>
    <row r="900" spans="1:11" x14ac:dyDescent="0.4">
      <c r="A900" t="s">
        <v>8527</v>
      </c>
      <c r="B900" t="s">
        <v>9</v>
      </c>
      <c r="C900" t="s">
        <v>10</v>
      </c>
      <c r="D900" t="s">
        <v>1458</v>
      </c>
      <c r="E900" t="s">
        <v>8528</v>
      </c>
      <c r="F900" t="str">
        <f>LEFT(E900,5)</f>
        <v>서울특별시</v>
      </c>
      <c r="G900" t="str">
        <f t="shared" si="32"/>
        <v>동대문구</v>
      </c>
      <c r="H900" t="str">
        <f t="shared" si="30"/>
        <v>청량리동</v>
      </c>
      <c r="I900" t="s">
        <v>8529</v>
      </c>
      <c r="J900" t="s">
        <v>8530</v>
      </c>
      <c r="K900" t="s">
        <v>8531</v>
      </c>
    </row>
    <row r="901" spans="1:11" x14ac:dyDescent="0.4">
      <c r="A901" t="s">
        <v>4774</v>
      </c>
      <c r="B901" t="s">
        <v>9</v>
      </c>
      <c r="C901" t="s">
        <v>10</v>
      </c>
      <c r="D901" t="s">
        <v>4775</v>
      </c>
      <c r="E901" t="s">
        <v>4776</v>
      </c>
      <c r="F901" t="str">
        <f>LEFT(E901,5)</f>
        <v>서울특별시</v>
      </c>
      <c r="G901" t="str">
        <f t="shared" si="32"/>
        <v>동대문구</v>
      </c>
      <c r="H901" t="str">
        <f t="shared" si="30"/>
        <v>청량리동</v>
      </c>
      <c r="I901" t="s">
        <v>4777</v>
      </c>
      <c r="J901" t="s">
        <v>1461</v>
      </c>
      <c r="K901" t="s">
        <v>4778</v>
      </c>
    </row>
    <row r="902" spans="1:11" x14ac:dyDescent="0.4">
      <c r="A902" t="s">
        <v>1457</v>
      </c>
      <c r="B902" t="s">
        <v>9</v>
      </c>
      <c r="C902" t="s">
        <v>10</v>
      </c>
      <c r="D902" t="s">
        <v>1458</v>
      </c>
      <c r="E902" t="s">
        <v>1459</v>
      </c>
      <c r="F902" t="str">
        <f>LEFT(E902,5)</f>
        <v>서울특별시</v>
      </c>
      <c r="G902" t="str">
        <f t="shared" si="32"/>
        <v>동대문구</v>
      </c>
      <c r="H902" t="str">
        <f t="shared" si="30"/>
        <v>청량리동</v>
      </c>
      <c r="I902" t="s">
        <v>1460</v>
      </c>
      <c r="J902" t="s">
        <v>1461</v>
      </c>
      <c r="K902" t="s">
        <v>1462</v>
      </c>
    </row>
    <row r="903" spans="1:11" x14ac:dyDescent="0.4">
      <c r="A903" t="s">
        <v>6355</v>
      </c>
      <c r="B903" t="s">
        <v>9</v>
      </c>
      <c r="C903" t="s">
        <v>10</v>
      </c>
      <c r="D903" t="s">
        <v>6356</v>
      </c>
      <c r="E903" t="s">
        <v>6357</v>
      </c>
      <c r="F903" t="str">
        <f>LEFT(E903,5)</f>
        <v>서울특별시</v>
      </c>
      <c r="G903" t="str">
        <f t="shared" si="32"/>
        <v>동대문구</v>
      </c>
      <c r="H903" t="str">
        <f t="shared" si="30"/>
        <v>청량리동</v>
      </c>
      <c r="I903" t="s">
        <v>6358</v>
      </c>
      <c r="J903" t="s">
        <v>6359</v>
      </c>
      <c r="K903" t="s">
        <v>6360</v>
      </c>
    </row>
    <row r="904" spans="1:11" x14ac:dyDescent="0.4">
      <c r="A904" t="s">
        <v>8120</v>
      </c>
      <c r="B904" t="s">
        <v>9</v>
      </c>
      <c r="C904" t="s">
        <v>10</v>
      </c>
      <c r="D904" t="s">
        <v>1458</v>
      </c>
      <c r="E904" t="s">
        <v>8121</v>
      </c>
      <c r="F904" t="str">
        <f>LEFT(E904,5)</f>
        <v>서울특별시</v>
      </c>
      <c r="G904" t="str">
        <f t="shared" si="32"/>
        <v>동대문구</v>
      </c>
      <c r="H904" t="str">
        <f t="shared" si="30"/>
        <v>청량리동</v>
      </c>
      <c r="I904" t="s">
        <v>8122</v>
      </c>
      <c r="J904" t="s">
        <v>6359</v>
      </c>
      <c r="K904" t="s">
        <v>8123</v>
      </c>
    </row>
    <row r="905" spans="1:11" x14ac:dyDescent="0.4">
      <c r="A905" t="s">
        <v>6052</v>
      </c>
      <c r="B905" t="s">
        <v>9</v>
      </c>
      <c r="C905" t="s">
        <v>10</v>
      </c>
      <c r="D905" t="s">
        <v>37</v>
      </c>
      <c r="E905" t="s">
        <v>6053</v>
      </c>
      <c r="F905" t="str">
        <f>LEFT(E905,5)</f>
        <v>서울특별시</v>
      </c>
      <c r="G905" t="str">
        <f t="shared" si="32"/>
        <v>동대문구</v>
      </c>
      <c r="H905" t="str">
        <f t="shared" si="30"/>
        <v>청량리동</v>
      </c>
      <c r="I905" t="s">
        <v>6054</v>
      </c>
      <c r="J905" t="s">
        <v>40</v>
      </c>
      <c r="K905" t="s">
        <v>6055</v>
      </c>
    </row>
    <row r="906" spans="1:11" x14ac:dyDescent="0.4">
      <c r="A906" t="s">
        <v>5241</v>
      </c>
      <c r="B906" t="s">
        <v>9</v>
      </c>
      <c r="C906" t="s">
        <v>10</v>
      </c>
      <c r="D906" t="s">
        <v>37</v>
      </c>
      <c r="E906" t="s">
        <v>5242</v>
      </c>
      <c r="F906" t="str">
        <f>LEFT(E906,5)</f>
        <v>서울특별시</v>
      </c>
      <c r="G906" t="str">
        <f t="shared" si="32"/>
        <v>동대문구</v>
      </c>
      <c r="H906" t="str">
        <f t="shared" si="30"/>
        <v>청량리동</v>
      </c>
      <c r="I906" t="s">
        <v>5243</v>
      </c>
      <c r="J906" t="s">
        <v>40</v>
      </c>
      <c r="K906" t="s">
        <v>3281</v>
      </c>
    </row>
    <row r="907" spans="1:11" x14ac:dyDescent="0.4">
      <c r="A907" t="s">
        <v>36</v>
      </c>
      <c r="B907" t="s">
        <v>9</v>
      </c>
      <c r="C907" t="s">
        <v>10</v>
      </c>
      <c r="D907" t="s">
        <v>37</v>
      </c>
      <c r="E907" t="s">
        <v>38</v>
      </c>
      <c r="F907" t="str">
        <f>LEFT(E907,5)</f>
        <v>서울특별시</v>
      </c>
      <c r="G907" t="str">
        <f t="shared" si="32"/>
        <v>동대문구</v>
      </c>
      <c r="H907" t="str">
        <f t="shared" si="30"/>
        <v>청량리동</v>
      </c>
      <c r="I907" t="s">
        <v>39</v>
      </c>
      <c r="J907" t="s">
        <v>40</v>
      </c>
      <c r="K907" t="s">
        <v>41</v>
      </c>
    </row>
    <row r="908" spans="1:11" x14ac:dyDescent="0.4">
      <c r="A908" t="s">
        <v>7425</v>
      </c>
      <c r="B908" t="s">
        <v>9</v>
      </c>
      <c r="C908" t="s">
        <v>10</v>
      </c>
      <c r="D908" t="s">
        <v>7426</v>
      </c>
      <c r="E908" t="s">
        <v>7427</v>
      </c>
      <c r="F908" t="str">
        <f>LEFT(E908,5)</f>
        <v>서울특별시</v>
      </c>
      <c r="G908" t="str">
        <f t="shared" si="32"/>
        <v>동대문구</v>
      </c>
      <c r="H908" t="str">
        <f t="shared" si="30"/>
        <v>회기동6</v>
      </c>
      <c r="I908" t="s">
        <v>7428</v>
      </c>
      <c r="J908" t="s">
        <v>7429</v>
      </c>
      <c r="K908" t="s">
        <v>1149</v>
      </c>
    </row>
    <row r="909" spans="1:11" x14ac:dyDescent="0.4">
      <c r="A909" t="s">
        <v>276</v>
      </c>
      <c r="B909" t="s">
        <v>9</v>
      </c>
      <c r="C909" t="s">
        <v>10</v>
      </c>
      <c r="D909" t="s">
        <v>277</v>
      </c>
      <c r="E909" t="s">
        <v>278</v>
      </c>
      <c r="F909" t="str">
        <f>LEFT(E909,5)</f>
        <v>서울특별시</v>
      </c>
      <c r="G909" t="str">
        <f t="shared" si="32"/>
        <v xml:space="preserve">동작구 </v>
      </c>
      <c r="H909" t="str">
        <f t="shared" ref="H899:H962" si="33">MID(SUBSTITUTE(E909," ",""),9,3)</f>
        <v>노량진</v>
      </c>
      <c r="I909" t="s">
        <v>279</v>
      </c>
      <c r="J909" t="s">
        <v>280</v>
      </c>
      <c r="K909" t="s">
        <v>281</v>
      </c>
    </row>
    <row r="910" spans="1:11" x14ac:dyDescent="0.4">
      <c r="A910" t="s">
        <v>6842</v>
      </c>
      <c r="B910" t="s">
        <v>9</v>
      </c>
      <c r="C910" t="s">
        <v>10</v>
      </c>
      <c r="D910" t="s">
        <v>6843</v>
      </c>
      <c r="E910" t="s">
        <v>6844</v>
      </c>
      <c r="F910" t="str">
        <f>LEFT(E910,5)</f>
        <v>서울특별시</v>
      </c>
      <c r="G910" t="str">
        <f t="shared" si="32"/>
        <v xml:space="preserve">동작구 </v>
      </c>
      <c r="H910" t="str">
        <f t="shared" si="33"/>
        <v>노량진</v>
      </c>
      <c r="I910" t="s">
        <v>6845</v>
      </c>
      <c r="J910" t="s">
        <v>6846</v>
      </c>
      <c r="K910" t="s">
        <v>6847</v>
      </c>
    </row>
    <row r="911" spans="1:11" x14ac:dyDescent="0.4">
      <c r="A911" t="s">
        <v>2228</v>
      </c>
      <c r="B911" t="s">
        <v>9</v>
      </c>
      <c r="C911" t="s">
        <v>10</v>
      </c>
      <c r="D911" t="s">
        <v>277</v>
      </c>
      <c r="E911" t="s">
        <v>2229</v>
      </c>
      <c r="F911" t="str">
        <f>LEFT(E911,5)</f>
        <v>서울특별시</v>
      </c>
      <c r="G911" t="str">
        <f t="shared" si="32"/>
        <v xml:space="preserve">동작구 </v>
      </c>
      <c r="H911" t="str">
        <f t="shared" si="33"/>
        <v>노량진</v>
      </c>
      <c r="I911" t="s">
        <v>2230</v>
      </c>
      <c r="J911" t="s">
        <v>2231</v>
      </c>
      <c r="K911" t="s">
        <v>2232</v>
      </c>
    </row>
    <row r="912" spans="1:11" x14ac:dyDescent="0.4">
      <c r="A912" t="s">
        <v>6361</v>
      </c>
      <c r="B912" t="s">
        <v>9</v>
      </c>
      <c r="C912" t="s">
        <v>10</v>
      </c>
      <c r="D912" t="s">
        <v>6362</v>
      </c>
      <c r="E912" t="s">
        <v>6363</v>
      </c>
      <c r="F912" t="str">
        <f>LEFT(E912,5)</f>
        <v>서울특별시</v>
      </c>
      <c r="G912" t="str">
        <f t="shared" si="32"/>
        <v xml:space="preserve">동작구 </v>
      </c>
      <c r="H912" t="str">
        <f t="shared" si="33"/>
        <v>대방동</v>
      </c>
      <c r="I912" t="s">
        <v>6364</v>
      </c>
      <c r="J912" t="s">
        <v>3623</v>
      </c>
      <c r="K912" t="s">
        <v>6365</v>
      </c>
    </row>
    <row r="913" spans="1:11" x14ac:dyDescent="0.4">
      <c r="A913" t="s">
        <v>8855</v>
      </c>
      <c r="B913" t="s">
        <v>9</v>
      </c>
      <c r="C913" t="s">
        <v>10</v>
      </c>
      <c r="D913" t="s">
        <v>8856</v>
      </c>
      <c r="E913" t="s">
        <v>8857</v>
      </c>
      <c r="F913" t="str">
        <f>LEFT(E913,5)</f>
        <v>서울특별시</v>
      </c>
      <c r="G913" t="str">
        <f t="shared" si="32"/>
        <v xml:space="preserve">동작구 </v>
      </c>
      <c r="H913" t="str">
        <f t="shared" si="33"/>
        <v>대방동</v>
      </c>
      <c r="I913" t="s">
        <v>8858</v>
      </c>
      <c r="J913" t="s">
        <v>8859</v>
      </c>
      <c r="K913" t="s">
        <v>2040</v>
      </c>
    </row>
    <row r="914" spans="1:11" x14ac:dyDescent="0.4">
      <c r="A914" t="s">
        <v>6957</v>
      </c>
      <c r="B914" t="s">
        <v>9</v>
      </c>
      <c r="C914" t="s">
        <v>10</v>
      </c>
      <c r="D914" t="s">
        <v>6383</v>
      </c>
      <c r="E914" t="s">
        <v>6958</v>
      </c>
      <c r="F914" t="str">
        <f>LEFT(E914,5)</f>
        <v>서울특별시</v>
      </c>
      <c r="G914" t="str">
        <f t="shared" si="32"/>
        <v xml:space="preserve">동작구 </v>
      </c>
      <c r="H914" t="str">
        <f t="shared" si="33"/>
        <v>대방동</v>
      </c>
      <c r="I914" t="s">
        <v>6959</v>
      </c>
      <c r="J914" t="s">
        <v>6386</v>
      </c>
      <c r="K914" t="s">
        <v>6960</v>
      </c>
    </row>
    <row r="915" spans="1:11" x14ac:dyDescent="0.4">
      <c r="A915" t="s">
        <v>6382</v>
      </c>
      <c r="B915" t="s">
        <v>9</v>
      </c>
      <c r="C915" t="s">
        <v>10</v>
      </c>
      <c r="D915" t="s">
        <v>6383</v>
      </c>
      <c r="E915" t="s">
        <v>6384</v>
      </c>
      <c r="F915" t="str">
        <f>LEFT(E915,5)</f>
        <v>서울특별시</v>
      </c>
      <c r="G915" t="str">
        <f t="shared" si="32"/>
        <v xml:space="preserve">동작구 </v>
      </c>
      <c r="H915" t="str">
        <f t="shared" si="33"/>
        <v>대방동</v>
      </c>
      <c r="I915" t="s">
        <v>6385</v>
      </c>
      <c r="J915" t="s">
        <v>6386</v>
      </c>
      <c r="K915" t="s">
        <v>6387</v>
      </c>
    </row>
    <row r="916" spans="1:11" x14ac:dyDescent="0.4">
      <c r="A916" t="s">
        <v>1200</v>
      </c>
      <c r="B916" t="s">
        <v>9</v>
      </c>
      <c r="C916" t="s">
        <v>10</v>
      </c>
      <c r="D916" t="s">
        <v>1201</v>
      </c>
      <c r="E916" t="s">
        <v>1202</v>
      </c>
      <c r="F916" t="str">
        <f>LEFT(E916,5)</f>
        <v>서울특별시</v>
      </c>
      <c r="G916" t="str">
        <f t="shared" si="32"/>
        <v xml:space="preserve">동작구 </v>
      </c>
      <c r="H916" t="str">
        <f t="shared" si="33"/>
        <v>사당동</v>
      </c>
      <c r="I916" t="s">
        <v>1203</v>
      </c>
      <c r="J916" t="s">
        <v>1204</v>
      </c>
      <c r="K916" t="s">
        <v>1205</v>
      </c>
    </row>
    <row r="917" spans="1:11" x14ac:dyDescent="0.4">
      <c r="A917" t="s">
        <v>1310</v>
      </c>
      <c r="B917" t="s">
        <v>9</v>
      </c>
      <c r="C917" t="s">
        <v>10</v>
      </c>
      <c r="D917" t="s">
        <v>1311</v>
      </c>
      <c r="E917" t="s">
        <v>1312</v>
      </c>
      <c r="F917" t="str">
        <f>LEFT(E917,5)</f>
        <v>서울특별시</v>
      </c>
      <c r="G917" t="str">
        <f t="shared" si="32"/>
        <v xml:space="preserve">동작구 </v>
      </c>
      <c r="H917" t="str">
        <f t="shared" si="33"/>
        <v>사당동</v>
      </c>
      <c r="I917" t="s">
        <v>1313</v>
      </c>
      <c r="J917" t="s">
        <v>1314</v>
      </c>
      <c r="K917" t="s">
        <v>1315</v>
      </c>
    </row>
    <row r="918" spans="1:11" x14ac:dyDescent="0.4">
      <c r="A918" t="s">
        <v>6134</v>
      </c>
      <c r="B918" t="s">
        <v>9</v>
      </c>
      <c r="C918" t="s">
        <v>10</v>
      </c>
      <c r="D918" t="s">
        <v>6135</v>
      </c>
      <c r="E918" t="s">
        <v>6136</v>
      </c>
      <c r="F918" t="str">
        <f>LEFT(E918,5)</f>
        <v>서울특별시</v>
      </c>
      <c r="G918" t="str">
        <f t="shared" si="32"/>
        <v xml:space="preserve">동작구 </v>
      </c>
      <c r="H918" t="str">
        <f t="shared" si="33"/>
        <v>사당동</v>
      </c>
      <c r="I918" t="s">
        <v>6137</v>
      </c>
      <c r="J918" t="s">
        <v>580</v>
      </c>
      <c r="K918" t="s">
        <v>6138</v>
      </c>
    </row>
    <row r="919" spans="1:11" x14ac:dyDescent="0.4">
      <c r="A919" t="s">
        <v>234</v>
      </c>
      <c r="B919" t="s">
        <v>9</v>
      </c>
      <c r="C919" t="s">
        <v>10</v>
      </c>
      <c r="D919" t="s">
        <v>577</v>
      </c>
      <c r="E919" t="s">
        <v>1282</v>
      </c>
      <c r="F919" t="str">
        <f>LEFT(E919,5)</f>
        <v>서울특별시</v>
      </c>
      <c r="G919" t="str">
        <f t="shared" si="32"/>
        <v xml:space="preserve">동작구 </v>
      </c>
      <c r="H919" t="str">
        <f t="shared" si="33"/>
        <v>사당동</v>
      </c>
      <c r="I919" t="s">
        <v>1283</v>
      </c>
      <c r="J919" t="s">
        <v>580</v>
      </c>
      <c r="K919" t="s">
        <v>1284</v>
      </c>
    </row>
    <row r="920" spans="1:11" x14ac:dyDescent="0.4">
      <c r="A920" t="s">
        <v>576</v>
      </c>
      <c r="B920" t="s">
        <v>9</v>
      </c>
      <c r="C920" t="s">
        <v>10</v>
      </c>
      <c r="D920" t="s">
        <v>577</v>
      </c>
      <c r="E920" t="s">
        <v>578</v>
      </c>
      <c r="F920" t="str">
        <f>LEFT(E920,5)</f>
        <v>서울특별시</v>
      </c>
      <c r="G920" t="str">
        <f t="shared" si="32"/>
        <v xml:space="preserve">동작구 </v>
      </c>
      <c r="H920" t="str">
        <f t="shared" si="33"/>
        <v>사당동</v>
      </c>
      <c r="I920" t="s">
        <v>579</v>
      </c>
      <c r="J920" t="s">
        <v>580</v>
      </c>
      <c r="K920" t="s">
        <v>581</v>
      </c>
    </row>
    <row r="921" spans="1:11" x14ac:dyDescent="0.4">
      <c r="A921" t="s">
        <v>1053</v>
      </c>
      <c r="B921" t="s">
        <v>9</v>
      </c>
      <c r="C921" t="s">
        <v>10</v>
      </c>
      <c r="D921" t="s">
        <v>577</v>
      </c>
      <c r="E921" t="s">
        <v>1054</v>
      </c>
      <c r="F921" t="str">
        <f>LEFT(E921,5)</f>
        <v>서울특별시</v>
      </c>
      <c r="G921" t="str">
        <f t="shared" si="32"/>
        <v xml:space="preserve">동작구 </v>
      </c>
      <c r="H921" t="str">
        <f t="shared" si="33"/>
        <v>사당동</v>
      </c>
      <c r="I921" t="s">
        <v>1055</v>
      </c>
      <c r="J921" t="s">
        <v>580</v>
      </c>
      <c r="K921" t="s">
        <v>1056</v>
      </c>
    </row>
    <row r="922" spans="1:11" x14ac:dyDescent="0.4">
      <c r="A922" t="s">
        <v>2224</v>
      </c>
      <c r="B922" t="s">
        <v>9</v>
      </c>
      <c r="C922" t="s">
        <v>10</v>
      </c>
      <c r="D922" t="s">
        <v>577</v>
      </c>
      <c r="E922" t="s">
        <v>2225</v>
      </c>
      <c r="F922" t="str">
        <f>LEFT(E922,5)</f>
        <v>서울특별시</v>
      </c>
      <c r="G922" t="str">
        <f t="shared" si="32"/>
        <v xml:space="preserve">동작구 </v>
      </c>
      <c r="H922" t="str">
        <f t="shared" si="33"/>
        <v>사당동</v>
      </c>
      <c r="I922" t="s">
        <v>2226</v>
      </c>
      <c r="J922" t="s">
        <v>580</v>
      </c>
      <c r="K922" t="s">
        <v>2227</v>
      </c>
    </row>
    <row r="923" spans="1:11" x14ac:dyDescent="0.4">
      <c r="A923" t="s">
        <v>1966</v>
      </c>
      <c r="B923" t="s">
        <v>9</v>
      </c>
      <c r="C923" t="s">
        <v>10</v>
      </c>
      <c r="D923" t="s">
        <v>577</v>
      </c>
      <c r="E923" t="s">
        <v>1967</v>
      </c>
      <c r="F923" t="str">
        <f>LEFT(E923,5)</f>
        <v>서울특별시</v>
      </c>
      <c r="G923" t="str">
        <f t="shared" si="32"/>
        <v xml:space="preserve">동작구 </v>
      </c>
      <c r="H923" t="str">
        <f t="shared" si="33"/>
        <v>사당동</v>
      </c>
      <c r="I923" t="s">
        <v>1968</v>
      </c>
      <c r="J923" t="s">
        <v>580</v>
      </c>
      <c r="K923" t="s">
        <v>1969</v>
      </c>
    </row>
    <row r="924" spans="1:11" x14ac:dyDescent="0.4">
      <c r="A924" t="s">
        <v>5734</v>
      </c>
      <c r="B924" t="s">
        <v>9</v>
      </c>
      <c r="C924" t="s">
        <v>10</v>
      </c>
      <c r="D924" t="s">
        <v>5735</v>
      </c>
      <c r="E924" t="s">
        <v>5736</v>
      </c>
      <c r="F924" t="str">
        <f>LEFT(E924,5)</f>
        <v>서울특별시</v>
      </c>
      <c r="G924" t="str">
        <f t="shared" si="32"/>
        <v xml:space="preserve">동작구 </v>
      </c>
      <c r="H924" t="str">
        <f t="shared" si="33"/>
        <v>사당동</v>
      </c>
      <c r="I924" t="s">
        <v>5737</v>
      </c>
      <c r="J924" t="s">
        <v>5738</v>
      </c>
      <c r="K924" t="s">
        <v>5739</v>
      </c>
    </row>
    <row r="925" spans="1:11" x14ac:dyDescent="0.4">
      <c r="A925" t="s">
        <v>6630</v>
      </c>
      <c r="B925" t="s">
        <v>9</v>
      </c>
      <c r="C925" t="s">
        <v>10</v>
      </c>
      <c r="D925" t="s">
        <v>6631</v>
      </c>
      <c r="E925" t="s">
        <v>6632</v>
      </c>
      <c r="F925" t="str">
        <f>LEFT(E925,5)</f>
        <v>서울특별시</v>
      </c>
      <c r="G925" t="str">
        <f t="shared" si="32"/>
        <v xml:space="preserve">동작구 </v>
      </c>
      <c r="H925" t="str">
        <f t="shared" si="33"/>
        <v>상도1</v>
      </c>
      <c r="I925" t="s">
        <v>6633</v>
      </c>
      <c r="J925" t="s">
        <v>6634</v>
      </c>
      <c r="K925" t="s">
        <v>6635</v>
      </c>
    </row>
    <row r="926" spans="1:11" x14ac:dyDescent="0.4">
      <c r="A926" t="s">
        <v>8155</v>
      </c>
      <c r="B926" t="s">
        <v>9</v>
      </c>
      <c r="C926" t="s">
        <v>10</v>
      </c>
      <c r="D926" t="s">
        <v>4785</v>
      </c>
      <c r="E926" t="s">
        <v>8156</v>
      </c>
      <c r="F926" t="str">
        <f>LEFT(E926,5)</f>
        <v>서울특별시</v>
      </c>
      <c r="G926" t="str">
        <f t="shared" si="32"/>
        <v xml:space="preserve">동작구 </v>
      </c>
      <c r="H926" t="str">
        <f t="shared" si="33"/>
        <v>상도동</v>
      </c>
      <c r="I926" t="s">
        <v>8157</v>
      </c>
      <c r="J926" t="s">
        <v>4788</v>
      </c>
      <c r="K926" t="s">
        <v>8158</v>
      </c>
    </row>
    <row r="927" spans="1:11" x14ac:dyDescent="0.4">
      <c r="A927" t="s">
        <v>1487</v>
      </c>
      <c r="B927" t="s">
        <v>9</v>
      </c>
      <c r="C927" t="s">
        <v>10</v>
      </c>
      <c r="D927" t="s">
        <v>1488</v>
      </c>
      <c r="E927" t="s">
        <v>1489</v>
      </c>
      <c r="F927" t="str">
        <f>LEFT(E927,5)</f>
        <v>서울특별시</v>
      </c>
      <c r="G927" t="str">
        <f t="shared" si="32"/>
        <v xml:space="preserve">동작구 </v>
      </c>
      <c r="H927" t="str">
        <f t="shared" si="33"/>
        <v>상도동</v>
      </c>
      <c r="I927" t="s">
        <v>1490</v>
      </c>
      <c r="J927" t="s">
        <v>1491</v>
      </c>
      <c r="K927" t="s">
        <v>1492</v>
      </c>
    </row>
    <row r="928" spans="1:11" x14ac:dyDescent="0.4">
      <c r="A928" t="s">
        <v>4784</v>
      </c>
      <c r="B928" t="s">
        <v>9</v>
      </c>
      <c r="C928" t="s">
        <v>10</v>
      </c>
      <c r="D928" t="s">
        <v>4785</v>
      </c>
      <c r="E928" t="s">
        <v>4786</v>
      </c>
      <c r="F928" t="str">
        <f>LEFT(E928,5)</f>
        <v>서울특별시</v>
      </c>
      <c r="G928" t="str">
        <f t="shared" si="32"/>
        <v xml:space="preserve">동작구 </v>
      </c>
      <c r="H928" t="str">
        <f t="shared" si="33"/>
        <v>상도동</v>
      </c>
      <c r="I928" t="s">
        <v>4787</v>
      </c>
      <c r="J928" t="s">
        <v>4788</v>
      </c>
      <c r="K928" t="s">
        <v>4789</v>
      </c>
    </row>
    <row r="929" spans="1:11" x14ac:dyDescent="0.4">
      <c r="A929" t="s">
        <v>3619</v>
      </c>
      <c r="B929" t="s">
        <v>9</v>
      </c>
      <c r="C929" t="s">
        <v>10</v>
      </c>
      <c r="D929" t="s">
        <v>3620</v>
      </c>
      <c r="E929" t="s">
        <v>3621</v>
      </c>
      <c r="F929" t="str">
        <f>LEFT(E929,5)</f>
        <v>서울특별시</v>
      </c>
      <c r="G929" t="str">
        <f t="shared" si="32"/>
        <v xml:space="preserve">동작구 </v>
      </c>
      <c r="H929" t="str">
        <f t="shared" si="33"/>
        <v>상도동</v>
      </c>
      <c r="I929" t="s">
        <v>3622</v>
      </c>
      <c r="J929" t="s">
        <v>3623</v>
      </c>
      <c r="K929" t="s">
        <v>3624</v>
      </c>
    </row>
    <row r="930" spans="1:11" x14ac:dyDescent="0.4">
      <c r="A930" t="s">
        <v>6393</v>
      </c>
      <c r="B930" t="s">
        <v>9</v>
      </c>
      <c r="C930" t="s">
        <v>10</v>
      </c>
      <c r="D930" t="s">
        <v>3620</v>
      </c>
      <c r="E930" t="s">
        <v>6394</v>
      </c>
      <c r="F930" t="str">
        <f>LEFT(E930,5)</f>
        <v>서울특별시</v>
      </c>
      <c r="G930" t="str">
        <f t="shared" si="32"/>
        <v xml:space="preserve">동작구 </v>
      </c>
      <c r="H930" t="str">
        <f t="shared" si="33"/>
        <v>상도동</v>
      </c>
      <c r="I930" t="s">
        <v>6395</v>
      </c>
      <c r="J930" t="s">
        <v>6396</v>
      </c>
      <c r="K930" t="s">
        <v>5001</v>
      </c>
    </row>
    <row r="931" spans="1:11" x14ac:dyDescent="0.4">
      <c r="A931" t="s">
        <v>2275</v>
      </c>
      <c r="B931" t="s">
        <v>9</v>
      </c>
      <c r="C931" t="s">
        <v>10</v>
      </c>
      <c r="D931" t="s">
        <v>2276</v>
      </c>
      <c r="E931" t="s">
        <v>2277</v>
      </c>
      <c r="F931" t="str">
        <f>LEFT(E931,5)</f>
        <v>서울특별시</v>
      </c>
      <c r="G931" t="str">
        <f t="shared" si="32"/>
        <v xml:space="preserve">동작구 </v>
      </c>
      <c r="H931" t="str">
        <f t="shared" si="33"/>
        <v>상도동</v>
      </c>
      <c r="I931" t="s">
        <v>2278</v>
      </c>
      <c r="J931" t="s">
        <v>2279</v>
      </c>
      <c r="K931" t="s">
        <v>2280</v>
      </c>
    </row>
    <row r="932" spans="1:11" x14ac:dyDescent="0.4">
      <c r="A932" t="s">
        <v>6862</v>
      </c>
      <c r="B932" t="s">
        <v>9</v>
      </c>
      <c r="C932" t="s">
        <v>10</v>
      </c>
      <c r="D932" t="s">
        <v>5346</v>
      </c>
      <c r="E932" t="s">
        <v>6863</v>
      </c>
      <c r="F932" t="str">
        <f>LEFT(E932,5)</f>
        <v>서울특별시</v>
      </c>
      <c r="G932" t="str">
        <f t="shared" si="32"/>
        <v xml:space="preserve">동작구 </v>
      </c>
      <c r="H932" t="str">
        <f t="shared" si="33"/>
        <v>상도동</v>
      </c>
      <c r="I932" t="s">
        <v>6864</v>
      </c>
      <c r="J932" t="s">
        <v>6865</v>
      </c>
      <c r="K932" t="s">
        <v>2743</v>
      </c>
    </row>
    <row r="933" spans="1:11" x14ac:dyDescent="0.4">
      <c r="A933" t="s">
        <v>5345</v>
      </c>
      <c r="B933" t="s">
        <v>9</v>
      </c>
      <c r="C933" t="s">
        <v>10</v>
      </c>
      <c r="D933" t="s">
        <v>5346</v>
      </c>
      <c r="E933" t="s">
        <v>5347</v>
      </c>
      <c r="F933" t="str">
        <f>LEFT(E933,5)</f>
        <v>서울특별시</v>
      </c>
      <c r="G933" t="str">
        <f t="shared" si="32"/>
        <v xml:space="preserve">동작구 </v>
      </c>
      <c r="H933" t="str">
        <f t="shared" si="33"/>
        <v>상도동</v>
      </c>
      <c r="I933" t="s">
        <v>5348</v>
      </c>
      <c r="J933" t="s">
        <v>5349</v>
      </c>
      <c r="K933" t="s">
        <v>5350</v>
      </c>
    </row>
    <row r="934" spans="1:11" x14ac:dyDescent="0.4">
      <c r="A934" t="s">
        <v>5792</v>
      </c>
      <c r="B934" t="s">
        <v>9</v>
      </c>
      <c r="C934" t="s">
        <v>10</v>
      </c>
      <c r="D934" t="s">
        <v>5793</v>
      </c>
      <c r="E934" t="s">
        <v>5794</v>
      </c>
      <c r="F934" t="str">
        <f>LEFT(E934,5)</f>
        <v>서울특별시</v>
      </c>
      <c r="G934" t="str">
        <f t="shared" si="32"/>
        <v xml:space="preserve">동작구 </v>
      </c>
      <c r="H934" t="str">
        <f t="shared" si="33"/>
        <v>신대방</v>
      </c>
      <c r="I934" t="s">
        <v>5795</v>
      </c>
      <c r="J934" t="s">
        <v>5796</v>
      </c>
      <c r="K934" t="s">
        <v>5797</v>
      </c>
    </row>
    <row r="935" spans="1:11" x14ac:dyDescent="0.4">
      <c r="A935" t="s">
        <v>7449</v>
      </c>
      <c r="B935" t="s">
        <v>9</v>
      </c>
      <c r="C935" t="s">
        <v>10</v>
      </c>
      <c r="D935" t="s">
        <v>7450</v>
      </c>
      <c r="E935" t="s">
        <v>7451</v>
      </c>
      <c r="F935" t="str">
        <f>LEFT(E935,5)</f>
        <v>서울특별시</v>
      </c>
      <c r="G935" t="str">
        <f t="shared" si="32"/>
        <v xml:space="preserve">동작구 </v>
      </c>
      <c r="H935" t="str">
        <f t="shared" si="33"/>
        <v>신대방</v>
      </c>
      <c r="I935" t="s">
        <v>7452</v>
      </c>
      <c r="J935" t="s">
        <v>7453</v>
      </c>
      <c r="K935" t="s">
        <v>7454</v>
      </c>
    </row>
    <row r="936" spans="1:11" x14ac:dyDescent="0.4">
      <c r="A936" t="s">
        <v>2464</v>
      </c>
      <c r="B936" t="s">
        <v>9</v>
      </c>
      <c r="C936" t="s">
        <v>10</v>
      </c>
      <c r="D936" t="s">
        <v>2465</v>
      </c>
      <c r="E936" t="s">
        <v>2466</v>
      </c>
      <c r="F936" t="str">
        <f>LEFT(E936,5)</f>
        <v>서울특별시</v>
      </c>
      <c r="G936" t="str">
        <f t="shared" si="32"/>
        <v xml:space="preserve">동작구 </v>
      </c>
      <c r="H936" t="str">
        <f t="shared" si="33"/>
        <v>신대방</v>
      </c>
      <c r="I936" t="s">
        <v>2467</v>
      </c>
      <c r="J936" t="s">
        <v>11</v>
      </c>
      <c r="K936" t="s">
        <v>2468</v>
      </c>
    </row>
    <row r="937" spans="1:11" x14ac:dyDescent="0.4">
      <c r="A937" t="s">
        <v>8296</v>
      </c>
      <c r="B937" t="s">
        <v>9</v>
      </c>
      <c r="C937" t="s">
        <v>10</v>
      </c>
      <c r="D937" t="s">
        <v>8297</v>
      </c>
      <c r="E937" t="s">
        <v>8298</v>
      </c>
      <c r="F937" t="str">
        <f>LEFT(E937,5)</f>
        <v>서울특별시</v>
      </c>
      <c r="G937" t="str">
        <f t="shared" si="32"/>
        <v xml:space="preserve">동작구 </v>
      </c>
      <c r="H937" t="str">
        <f t="shared" si="33"/>
        <v>흑석동</v>
      </c>
      <c r="I937" t="s">
        <v>8299</v>
      </c>
      <c r="J937" t="s">
        <v>8300</v>
      </c>
      <c r="K937" t="s">
        <v>2837</v>
      </c>
    </row>
    <row r="938" spans="1:11" x14ac:dyDescent="0.4">
      <c r="A938" t="s">
        <v>8076</v>
      </c>
      <c r="B938" t="s">
        <v>9</v>
      </c>
      <c r="C938" t="s">
        <v>10</v>
      </c>
      <c r="D938" t="s">
        <v>5514</v>
      </c>
      <c r="E938" t="s">
        <v>8077</v>
      </c>
      <c r="F938" t="str">
        <f>LEFT(E938,5)</f>
        <v>서울특별시</v>
      </c>
      <c r="G938" t="str">
        <f t="shared" si="32"/>
        <v xml:space="preserve">동작구 </v>
      </c>
      <c r="H938" t="str">
        <f t="shared" si="33"/>
        <v>흑석동</v>
      </c>
      <c r="I938" t="s">
        <v>8078</v>
      </c>
      <c r="J938" t="s">
        <v>5517</v>
      </c>
      <c r="K938" t="s">
        <v>8079</v>
      </c>
    </row>
    <row r="939" spans="1:11" x14ac:dyDescent="0.4">
      <c r="A939" t="s">
        <v>5513</v>
      </c>
      <c r="B939" t="s">
        <v>9</v>
      </c>
      <c r="C939" t="s">
        <v>10</v>
      </c>
      <c r="D939" t="s">
        <v>5514</v>
      </c>
      <c r="E939" t="s">
        <v>5515</v>
      </c>
      <c r="F939" t="str">
        <f>LEFT(E939,5)</f>
        <v>서울특별시</v>
      </c>
      <c r="G939" t="str">
        <f t="shared" si="32"/>
        <v xml:space="preserve">동작구 </v>
      </c>
      <c r="H939" t="str">
        <f t="shared" si="33"/>
        <v>흑석동</v>
      </c>
      <c r="I939" t="s">
        <v>5516</v>
      </c>
      <c r="J939" t="s">
        <v>5517</v>
      </c>
      <c r="K939" t="s">
        <v>5518</v>
      </c>
    </row>
    <row r="940" spans="1:11" x14ac:dyDescent="0.4">
      <c r="A940" t="s">
        <v>6645</v>
      </c>
      <c r="B940" t="s">
        <v>9</v>
      </c>
      <c r="C940" t="s">
        <v>10</v>
      </c>
      <c r="D940" t="s">
        <v>5588</v>
      </c>
      <c r="E940" t="s">
        <v>6646</v>
      </c>
      <c r="F940" t="str">
        <f>LEFT(E940,5)</f>
        <v>서울특별시</v>
      </c>
      <c r="G940" t="str">
        <f t="shared" si="32"/>
        <v xml:space="preserve">마포구 </v>
      </c>
      <c r="H940" t="str">
        <f t="shared" si="33"/>
        <v>공덕동</v>
      </c>
      <c r="I940" t="s">
        <v>6647</v>
      </c>
      <c r="J940" t="s">
        <v>6648</v>
      </c>
      <c r="K940" t="s">
        <v>6649</v>
      </c>
    </row>
    <row r="941" spans="1:11" x14ac:dyDescent="0.4">
      <c r="A941" t="s">
        <v>5587</v>
      </c>
      <c r="B941" t="s">
        <v>9</v>
      </c>
      <c r="C941" t="s">
        <v>10</v>
      </c>
      <c r="D941" t="s">
        <v>5588</v>
      </c>
      <c r="E941" t="s">
        <v>5589</v>
      </c>
      <c r="F941" t="str">
        <f>LEFT(E941,5)</f>
        <v>서울특별시</v>
      </c>
      <c r="G941" t="str">
        <f t="shared" si="32"/>
        <v xml:space="preserve">마포구 </v>
      </c>
      <c r="H941" t="str">
        <f t="shared" si="33"/>
        <v>공덕동</v>
      </c>
      <c r="I941" t="s">
        <v>5590</v>
      </c>
      <c r="J941" t="s">
        <v>5591</v>
      </c>
      <c r="K941" t="s">
        <v>5592</v>
      </c>
    </row>
    <row r="942" spans="1:11" x14ac:dyDescent="0.4">
      <c r="A942" t="s">
        <v>8124</v>
      </c>
      <c r="B942" t="s">
        <v>9</v>
      </c>
      <c r="C942" t="s">
        <v>10</v>
      </c>
      <c r="D942" t="s">
        <v>5845</v>
      </c>
      <c r="E942" t="s">
        <v>8125</v>
      </c>
      <c r="F942" t="str">
        <f>LEFT(E942,5)</f>
        <v>서울특별시</v>
      </c>
      <c r="G942" t="str">
        <f t="shared" si="32"/>
        <v xml:space="preserve">마포구 </v>
      </c>
      <c r="H942" t="str">
        <f t="shared" si="33"/>
        <v>구수동</v>
      </c>
      <c r="I942" t="s">
        <v>8126</v>
      </c>
      <c r="J942" t="s">
        <v>8127</v>
      </c>
      <c r="K942" t="s">
        <v>8128</v>
      </c>
    </row>
    <row r="943" spans="1:11" x14ac:dyDescent="0.4">
      <c r="A943" t="s">
        <v>5844</v>
      </c>
      <c r="B943" t="s">
        <v>9</v>
      </c>
      <c r="C943" t="s">
        <v>10</v>
      </c>
      <c r="D943" t="s">
        <v>5845</v>
      </c>
      <c r="E943" t="s">
        <v>5846</v>
      </c>
      <c r="F943" t="str">
        <f>LEFT(E943,5)</f>
        <v>서울특별시</v>
      </c>
      <c r="G943" t="str">
        <f t="shared" si="32"/>
        <v xml:space="preserve">마포구 </v>
      </c>
      <c r="H943" t="str">
        <f t="shared" si="33"/>
        <v>구수동</v>
      </c>
      <c r="I943" t="s">
        <v>5847</v>
      </c>
      <c r="J943" t="s">
        <v>5848</v>
      </c>
      <c r="K943" t="s">
        <v>5849</v>
      </c>
    </row>
    <row r="944" spans="1:11" x14ac:dyDescent="0.4">
      <c r="A944" t="s">
        <v>1297</v>
      </c>
      <c r="B944" t="s">
        <v>9</v>
      </c>
      <c r="C944" t="s">
        <v>10</v>
      </c>
      <c r="D944" t="s">
        <v>303</v>
      </c>
      <c r="E944" t="s">
        <v>1298</v>
      </c>
      <c r="F944" t="str">
        <f>LEFT(E944,5)</f>
        <v>서울특별시</v>
      </c>
      <c r="G944" t="str">
        <f t="shared" si="32"/>
        <v xml:space="preserve">마포구 </v>
      </c>
      <c r="H944" t="str">
        <f>MID(SUBSTITUTE(E944," ",""),9,4)</f>
        <v>노고산동</v>
      </c>
      <c r="I944" t="s">
        <v>1299</v>
      </c>
      <c r="J944" t="s">
        <v>1300</v>
      </c>
      <c r="K944" t="s">
        <v>1301</v>
      </c>
    </row>
    <row r="945" spans="1:11" x14ac:dyDescent="0.4">
      <c r="A945" t="s">
        <v>2501</v>
      </c>
      <c r="B945" t="s">
        <v>9</v>
      </c>
      <c r="C945" t="s">
        <v>10</v>
      </c>
      <c r="D945" t="s">
        <v>303</v>
      </c>
      <c r="E945" t="s">
        <v>2502</v>
      </c>
      <c r="F945" t="str">
        <f>LEFT(E945,5)</f>
        <v>서울특별시</v>
      </c>
      <c r="G945" t="str">
        <f t="shared" si="32"/>
        <v xml:space="preserve">마포구 </v>
      </c>
      <c r="H945" t="str">
        <f t="shared" ref="H945:H946" si="34">MID(SUBSTITUTE(E945," ",""),9,4)</f>
        <v>노고산동</v>
      </c>
      <c r="I945" t="s">
        <v>2503</v>
      </c>
      <c r="J945" t="s">
        <v>306</v>
      </c>
      <c r="K945" t="s">
        <v>1784</v>
      </c>
    </row>
    <row r="946" spans="1:11" x14ac:dyDescent="0.4">
      <c r="A946" t="s">
        <v>302</v>
      </c>
      <c r="B946" t="s">
        <v>9</v>
      </c>
      <c r="C946" t="s">
        <v>10</v>
      </c>
      <c r="D946" t="s">
        <v>303</v>
      </c>
      <c r="E946" t="s">
        <v>304</v>
      </c>
      <c r="F946" t="str">
        <f>LEFT(E946,5)</f>
        <v>서울특별시</v>
      </c>
      <c r="G946" t="str">
        <f t="shared" si="32"/>
        <v xml:space="preserve">마포구 </v>
      </c>
      <c r="H946" t="str">
        <f t="shared" si="34"/>
        <v>노고산동</v>
      </c>
      <c r="I946" t="s">
        <v>305</v>
      </c>
      <c r="J946" t="s">
        <v>306</v>
      </c>
      <c r="K946" t="s">
        <v>307</v>
      </c>
    </row>
    <row r="947" spans="1:11" x14ac:dyDescent="0.4">
      <c r="A947" t="s">
        <v>6510</v>
      </c>
      <c r="B947" t="s">
        <v>9</v>
      </c>
      <c r="C947" t="s">
        <v>10</v>
      </c>
      <c r="D947" t="s">
        <v>6511</v>
      </c>
      <c r="E947" t="s">
        <v>6512</v>
      </c>
      <c r="F947" t="str">
        <f>LEFT(E947,5)</f>
        <v>서울특별시</v>
      </c>
      <c r="G947" t="str">
        <f t="shared" si="32"/>
        <v xml:space="preserve">마포구 </v>
      </c>
      <c r="H947" t="str">
        <f t="shared" si="33"/>
        <v>대흥동</v>
      </c>
      <c r="I947" t="s">
        <v>6513</v>
      </c>
      <c r="J947" t="s">
        <v>6514</v>
      </c>
      <c r="K947" t="s">
        <v>6515</v>
      </c>
    </row>
    <row r="948" spans="1:11" x14ac:dyDescent="0.4">
      <c r="A948" t="s">
        <v>3143</v>
      </c>
      <c r="B948" t="s">
        <v>9</v>
      </c>
      <c r="C948" t="s">
        <v>10</v>
      </c>
      <c r="D948" t="s">
        <v>3144</v>
      </c>
      <c r="E948" t="s">
        <v>3145</v>
      </c>
      <c r="F948" t="str">
        <f>LEFT(E948,5)</f>
        <v>서울특별시</v>
      </c>
      <c r="G948" t="str">
        <f t="shared" si="32"/>
        <v xml:space="preserve">마포구 </v>
      </c>
      <c r="H948" t="str">
        <f t="shared" si="33"/>
        <v>대흥동</v>
      </c>
      <c r="I948" t="s">
        <v>3146</v>
      </c>
      <c r="J948" t="s">
        <v>3147</v>
      </c>
      <c r="K948" t="s">
        <v>3148</v>
      </c>
    </row>
    <row r="949" spans="1:11" x14ac:dyDescent="0.4">
      <c r="A949" t="s">
        <v>1006</v>
      </c>
      <c r="B949" t="s">
        <v>9</v>
      </c>
      <c r="C949" t="s">
        <v>10</v>
      </c>
      <c r="D949" t="s">
        <v>1007</v>
      </c>
      <c r="E949" t="s">
        <v>1008</v>
      </c>
      <c r="F949" t="str">
        <f>LEFT(E949,5)</f>
        <v>서울특별시</v>
      </c>
      <c r="G949" t="str">
        <f t="shared" si="32"/>
        <v xml:space="preserve">마포구 </v>
      </c>
      <c r="H949" t="str">
        <f t="shared" si="33"/>
        <v>도화동</v>
      </c>
      <c r="I949" t="s">
        <v>1009</v>
      </c>
      <c r="J949" t="s">
        <v>1010</v>
      </c>
      <c r="K949" t="s">
        <v>1011</v>
      </c>
    </row>
    <row r="950" spans="1:11" x14ac:dyDescent="0.4">
      <c r="A950" t="s">
        <v>195</v>
      </c>
      <c r="B950" t="s">
        <v>9</v>
      </c>
      <c r="C950" t="s">
        <v>10</v>
      </c>
      <c r="D950" t="s">
        <v>196</v>
      </c>
      <c r="E950" t="s">
        <v>197</v>
      </c>
      <c r="F950" t="str">
        <f>LEFT(E950,5)</f>
        <v>서울특별시</v>
      </c>
      <c r="G950" t="str">
        <f t="shared" si="32"/>
        <v xml:space="preserve">마포구 </v>
      </c>
      <c r="H950" t="str">
        <f t="shared" si="33"/>
        <v>도화동</v>
      </c>
      <c r="I950" t="s">
        <v>198</v>
      </c>
      <c r="J950" t="s">
        <v>199</v>
      </c>
      <c r="K950" t="s">
        <v>200</v>
      </c>
    </row>
    <row r="951" spans="1:11" x14ac:dyDescent="0.4">
      <c r="A951" t="s">
        <v>3937</v>
      </c>
      <c r="B951" t="s">
        <v>9</v>
      </c>
      <c r="C951" t="s">
        <v>10</v>
      </c>
      <c r="D951" t="s">
        <v>3813</v>
      </c>
      <c r="E951" t="s">
        <v>3938</v>
      </c>
      <c r="F951" t="str">
        <f>LEFT(E951,5)</f>
        <v>서울특별시</v>
      </c>
      <c r="G951" t="str">
        <f t="shared" si="32"/>
        <v xml:space="preserve">마포구 </v>
      </c>
      <c r="H951" t="str">
        <f t="shared" si="33"/>
        <v>동교동</v>
      </c>
      <c r="I951" t="s">
        <v>3939</v>
      </c>
      <c r="J951" t="s">
        <v>3816</v>
      </c>
      <c r="K951" t="s">
        <v>3940</v>
      </c>
    </row>
    <row r="952" spans="1:11" x14ac:dyDescent="0.4">
      <c r="A952" t="s">
        <v>3812</v>
      </c>
      <c r="B952" t="s">
        <v>9</v>
      </c>
      <c r="C952" t="s">
        <v>10</v>
      </c>
      <c r="D952" t="s">
        <v>3813</v>
      </c>
      <c r="E952" t="s">
        <v>3814</v>
      </c>
      <c r="F952" t="str">
        <f>LEFT(E952,5)</f>
        <v>서울특별시</v>
      </c>
      <c r="G952" t="str">
        <f t="shared" si="32"/>
        <v xml:space="preserve">마포구 </v>
      </c>
      <c r="H952" t="str">
        <f t="shared" si="33"/>
        <v>동교동</v>
      </c>
      <c r="I952" t="s">
        <v>3815</v>
      </c>
      <c r="J952" t="s">
        <v>3816</v>
      </c>
      <c r="K952" t="s">
        <v>3817</v>
      </c>
    </row>
    <row r="953" spans="1:11" x14ac:dyDescent="0.4">
      <c r="A953" t="s">
        <v>6873</v>
      </c>
      <c r="B953" t="s">
        <v>9</v>
      </c>
      <c r="C953" t="s">
        <v>10</v>
      </c>
      <c r="D953" t="s">
        <v>4968</v>
      </c>
      <c r="E953" t="s">
        <v>6874</v>
      </c>
      <c r="F953" t="str">
        <f>LEFT(E953,5)</f>
        <v>서울특별시</v>
      </c>
      <c r="G953" t="str">
        <f t="shared" si="32"/>
        <v xml:space="preserve">마포구 </v>
      </c>
      <c r="H953" t="str">
        <f t="shared" si="33"/>
        <v>동교동</v>
      </c>
      <c r="I953" t="s">
        <v>6875</v>
      </c>
      <c r="J953" t="s">
        <v>4971</v>
      </c>
      <c r="K953" t="s">
        <v>1572</v>
      </c>
    </row>
    <row r="954" spans="1:11" x14ac:dyDescent="0.4">
      <c r="A954" t="s">
        <v>4967</v>
      </c>
      <c r="B954" t="s">
        <v>9</v>
      </c>
      <c r="C954" t="s">
        <v>10</v>
      </c>
      <c r="D954" t="s">
        <v>4968</v>
      </c>
      <c r="E954" t="s">
        <v>4969</v>
      </c>
      <c r="F954" t="str">
        <f>LEFT(E954,5)</f>
        <v>서울특별시</v>
      </c>
      <c r="G954" t="str">
        <f t="shared" si="32"/>
        <v xml:space="preserve">마포구 </v>
      </c>
      <c r="H954" t="str">
        <f t="shared" si="33"/>
        <v>동교동</v>
      </c>
      <c r="I954" t="s">
        <v>4970</v>
      </c>
      <c r="J954" t="s">
        <v>4971</v>
      </c>
      <c r="K954" t="s">
        <v>4972</v>
      </c>
    </row>
    <row r="955" spans="1:11" x14ac:dyDescent="0.4">
      <c r="A955" t="s">
        <v>7885</v>
      </c>
      <c r="B955" t="s">
        <v>9</v>
      </c>
      <c r="C955" t="s">
        <v>10</v>
      </c>
      <c r="D955" t="s">
        <v>3695</v>
      </c>
      <c r="E955" t="s">
        <v>7886</v>
      </c>
      <c r="F955" t="str">
        <f>LEFT(E955,5)</f>
        <v>서울특별시</v>
      </c>
      <c r="G955" t="str">
        <f t="shared" si="32"/>
        <v xml:space="preserve">마포구 </v>
      </c>
      <c r="H955" t="str">
        <f t="shared" si="33"/>
        <v>동교동</v>
      </c>
      <c r="I955" t="s">
        <v>7887</v>
      </c>
      <c r="J955" t="s">
        <v>7888</v>
      </c>
      <c r="K955" t="s">
        <v>7889</v>
      </c>
    </row>
    <row r="956" spans="1:11" x14ac:dyDescent="0.4">
      <c r="A956" t="s">
        <v>3694</v>
      </c>
      <c r="B956" t="s">
        <v>9</v>
      </c>
      <c r="C956" t="s">
        <v>10</v>
      </c>
      <c r="D956" t="s">
        <v>3695</v>
      </c>
      <c r="E956" t="s">
        <v>3696</v>
      </c>
      <c r="F956" t="str">
        <f>LEFT(E956,5)</f>
        <v>서울특별시</v>
      </c>
      <c r="G956" t="str">
        <f t="shared" si="32"/>
        <v xml:space="preserve">마포구 </v>
      </c>
      <c r="H956" t="str">
        <f t="shared" si="33"/>
        <v>동교동</v>
      </c>
      <c r="I956" t="s">
        <v>3697</v>
      </c>
      <c r="J956" t="s">
        <v>3698</v>
      </c>
      <c r="K956" t="s">
        <v>3699</v>
      </c>
    </row>
    <row r="957" spans="1:11" x14ac:dyDescent="0.4">
      <c r="A957" t="s">
        <v>3276</v>
      </c>
      <c r="B957" t="s">
        <v>9</v>
      </c>
      <c r="C957" t="s">
        <v>10</v>
      </c>
      <c r="D957" t="s">
        <v>3277</v>
      </c>
      <c r="E957" t="s">
        <v>3278</v>
      </c>
      <c r="F957" t="str">
        <f>LEFT(E957,5)</f>
        <v>서울특별시</v>
      </c>
      <c r="G957" t="str">
        <f t="shared" si="32"/>
        <v xml:space="preserve">마포구 </v>
      </c>
      <c r="H957" t="str">
        <f t="shared" si="33"/>
        <v>망원동</v>
      </c>
      <c r="I957" t="s">
        <v>3279</v>
      </c>
      <c r="J957" t="s">
        <v>3280</v>
      </c>
      <c r="K957" t="s">
        <v>3281</v>
      </c>
    </row>
    <row r="958" spans="1:11" x14ac:dyDescent="0.4">
      <c r="A958" t="s">
        <v>7487</v>
      </c>
      <c r="B958" t="s">
        <v>9</v>
      </c>
      <c r="C958" t="s">
        <v>10</v>
      </c>
      <c r="D958" t="s">
        <v>7488</v>
      </c>
      <c r="E958" t="s">
        <v>7489</v>
      </c>
      <c r="F958" t="str">
        <f>LEFT(E958,5)</f>
        <v>서울특별시</v>
      </c>
      <c r="G958" t="str">
        <f t="shared" si="32"/>
        <v xml:space="preserve">마포구 </v>
      </c>
      <c r="H958" t="str">
        <f t="shared" si="33"/>
        <v>망원동</v>
      </c>
      <c r="I958" t="s">
        <v>7490</v>
      </c>
      <c r="J958" t="s">
        <v>7491</v>
      </c>
      <c r="K958" t="s">
        <v>7492</v>
      </c>
    </row>
    <row r="959" spans="1:11" x14ac:dyDescent="0.4">
      <c r="A959" t="s">
        <v>3574</v>
      </c>
      <c r="B959" t="s">
        <v>9</v>
      </c>
      <c r="C959" t="s">
        <v>10</v>
      </c>
      <c r="D959" t="s">
        <v>3575</v>
      </c>
      <c r="E959" t="s">
        <v>3576</v>
      </c>
      <c r="F959" t="str">
        <f>LEFT(E959,5)</f>
        <v>서울특별시</v>
      </c>
      <c r="G959" t="str">
        <f t="shared" si="32"/>
        <v xml:space="preserve">마포구 </v>
      </c>
      <c r="H959" t="str">
        <f t="shared" si="33"/>
        <v>망원동</v>
      </c>
      <c r="I959" t="s">
        <v>3577</v>
      </c>
      <c r="J959" t="s">
        <v>3578</v>
      </c>
      <c r="K959" t="s">
        <v>3579</v>
      </c>
    </row>
    <row r="960" spans="1:11" x14ac:dyDescent="0.4">
      <c r="A960" t="s">
        <v>7027</v>
      </c>
      <c r="B960" t="s">
        <v>9</v>
      </c>
      <c r="C960" t="s">
        <v>10</v>
      </c>
      <c r="D960" t="s">
        <v>1272</v>
      </c>
      <c r="E960" t="s">
        <v>7028</v>
      </c>
      <c r="F960" t="str">
        <f>LEFT(E960,5)</f>
        <v>서울특별시</v>
      </c>
      <c r="G960" t="str">
        <f t="shared" si="32"/>
        <v xml:space="preserve">마포구 </v>
      </c>
      <c r="H960" t="str">
        <f t="shared" si="33"/>
        <v>서교동</v>
      </c>
      <c r="I960" t="s">
        <v>7029</v>
      </c>
      <c r="J960" t="s">
        <v>1275</v>
      </c>
      <c r="K960" t="s">
        <v>7030</v>
      </c>
    </row>
    <row r="961" spans="1:11" x14ac:dyDescent="0.4">
      <c r="A961" t="s">
        <v>1271</v>
      </c>
      <c r="B961" t="s">
        <v>9</v>
      </c>
      <c r="C961" t="s">
        <v>10</v>
      </c>
      <c r="D961" t="s">
        <v>1272</v>
      </c>
      <c r="E961" t="s">
        <v>1273</v>
      </c>
      <c r="F961" t="str">
        <f>LEFT(E961,5)</f>
        <v>서울특별시</v>
      </c>
      <c r="G961" t="str">
        <f t="shared" si="32"/>
        <v xml:space="preserve">마포구 </v>
      </c>
      <c r="H961" t="str">
        <f t="shared" si="33"/>
        <v>서교동</v>
      </c>
      <c r="I961" t="s">
        <v>1274</v>
      </c>
      <c r="J961" t="s">
        <v>1275</v>
      </c>
      <c r="K961" t="s">
        <v>1276</v>
      </c>
    </row>
    <row r="962" spans="1:11" x14ac:dyDescent="0.4">
      <c r="A962" t="s">
        <v>6953</v>
      </c>
      <c r="B962" t="s">
        <v>9</v>
      </c>
      <c r="C962" t="s">
        <v>10</v>
      </c>
      <c r="D962" t="s">
        <v>1272</v>
      </c>
      <c r="E962" t="s">
        <v>6954</v>
      </c>
      <c r="F962" t="str">
        <f>LEFT(E962,5)</f>
        <v>서울특별시</v>
      </c>
      <c r="G962" t="str">
        <f t="shared" si="32"/>
        <v xml:space="preserve">마포구 </v>
      </c>
      <c r="H962" t="str">
        <f t="shared" si="33"/>
        <v>서교동</v>
      </c>
      <c r="I962" t="s">
        <v>6955</v>
      </c>
      <c r="J962" t="s">
        <v>1275</v>
      </c>
      <c r="K962" t="s">
        <v>6956</v>
      </c>
    </row>
    <row r="963" spans="1:11" x14ac:dyDescent="0.4">
      <c r="A963" t="s">
        <v>2650</v>
      </c>
      <c r="B963" t="s">
        <v>9</v>
      </c>
      <c r="C963" t="s">
        <v>10</v>
      </c>
      <c r="D963" t="s">
        <v>1272</v>
      </c>
      <c r="E963" t="s">
        <v>2651</v>
      </c>
      <c r="F963" t="str">
        <f>LEFT(E963,5)</f>
        <v>서울특별시</v>
      </c>
      <c r="G963" t="str">
        <f t="shared" ref="G963:G1026" si="35">MID(E963,7,4)</f>
        <v xml:space="preserve">마포구 </v>
      </c>
      <c r="H963" t="str">
        <f t="shared" ref="H963:H1026" si="36">MID(SUBSTITUTE(E963," ",""),9,3)</f>
        <v>서교동</v>
      </c>
      <c r="I963" t="s">
        <v>2652</v>
      </c>
      <c r="J963" t="s">
        <v>938</v>
      </c>
      <c r="K963" t="s">
        <v>2653</v>
      </c>
    </row>
    <row r="964" spans="1:11" x14ac:dyDescent="0.4">
      <c r="A964" t="s">
        <v>8763</v>
      </c>
      <c r="B964" t="s">
        <v>9</v>
      </c>
      <c r="C964" t="s">
        <v>10</v>
      </c>
      <c r="D964" t="s">
        <v>1272</v>
      </c>
      <c r="E964" t="s">
        <v>8764</v>
      </c>
      <c r="F964" t="str">
        <f>LEFT(E964,5)</f>
        <v>서울특별시</v>
      </c>
      <c r="G964" t="str">
        <f t="shared" si="35"/>
        <v xml:space="preserve">마포구 </v>
      </c>
      <c r="H964" t="str">
        <f t="shared" si="36"/>
        <v>서교동</v>
      </c>
      <c r="I964" t="s">
        <v>8765</v>
      </c>
      <c r="J964" t="s">
        <v>5443</v>
      </c>
      <c r="K964" t="s">
        <v>8766</v>
      </c>
    </row>
    <row r="965" spans="1:11" x14ac:dyDescent="0.4">
      <c r="A965" t="s">
        <v>5440</v>
      </c>
      <c r="B965" t="s">
        <v>9</v>
      </c>
      <c r="C965" t="s">
        <v>10</v>
      </c>
      <c r="D965" t="s">
        <v>1605</v>
      </c>
      <c r="E965" t="s">
        <v>5441</v>
      </c>
      <c r="F965" t="str">
        <f>LEFT(E965,5)</f>
        <v>서울특별시</v>
      </c>
      <c r="G965" t="str">
        <f t="shared" si="35"/>
        <v xml:space="preserve">마포구 </v>
      </c>
      <c r="H965" t="str">
        <f t="shared" si="36"/>
        <v>서교동</v>
      </c>
      <c r="I965" t="s">
        <v>5442</v>
      </c>
      <c r="J965" t="s">
        <v>5443</v>
      </c>
      <c r="K965" t="s">
        <v>5444</v>
      </c>
    </row>
    <row r="966" spans="1:11" x14ac:dyDescent="0.4">
      <c r="A966" t="s">
        <v>1604</v>
      </c>
      <c r="B966" t="s">
        <v>9</v>
      </c>
      <c r="C966" t="s">
        <v>10</v>
      </c>
      <c r="D966" t="s">
        <v>1605</v>
      </c>
      <c r="E966" t="s">
        <v>1606</v>
      </c>
      <c r="F966" t="str">
        <f>LEFT(E966,5)</f>
        <v>서울특별시</v>
      </c>
      <c r="G966" t="str">
        <f t="shared" si="35"/>
        <v xml:space="preserve">마포구 </v>
      </c>
      <c r="H966" t="str">
        <f t="shared" si="36"/>
        <v>서교동</v>
      </c>
      <c r="I966" t="s">
        <v>1607</v>
      </c>
      <c r="J966" t="s">
        <v>938</v>
      </c>
      <c r="K966" t="s">
        <v>1608</v>
      </c>
    </row>
    <row r="967" spans="1:11" x14ac:dyDescent="0.4">
      <c r="A967" t="s">
        <v>2764</v>
      </c>
      <c r="B967" t="s">
        <v>9</v>
      </c>
      <c r="C967" t="s">
        <v>10</v>
      </c>
      <c r="D967" t="s">
        <v>1605</v>
      </c>
      <c r="E967" t="s">
        <v>2765</v>
      </c>
      <c r="F967" t="str">
        <f>LEFT(E967,5)</f>
        <v>서울특별시</v>
      </c>
      <c r="G967" t="str">
        <f t="shared" si="35"/>
        <v xml:space="preserve">마포구 </v>
      </c>
      <c r="H967" t="str">
        <f t="shared" si="36"/>
        <v>서교동</v>
      </c>
      <c r="I967" t="s">
        <v>2766</v>
      </c>
      <c r="J967" t="s">
        <v>938</v>
      </c>
      <c r="K967" t="s">
        <v>2767</v>
      </c>
    </row>
    <row r="968" spans="1:11" x14ac:dyDescent="0.4">
      <c r="A968" t="s">
        <v>1937</v>
      </c>
      <c r="B968" t="s">
        <v>9</v>
      </c>
      <c r="C968" t="s">
        <v>10</v>
      </c>
      <c r="D968" t="s">
        <v>1605</v>
      </c>
      <c r="E968" t="s">
        <v>1938</v>
      </c>
      <c r="F968" t="str">
        <f>LEFT(E968,5)</f>
        <v>서울특별시</v>
      </c>
      <c r="G968" t="str">
        <f t="shared" si="35"/>
        <v xml:space="preserve">마포구 </v>
      </c>
      <c r="H968" t="str">
        <f t="shared" si="36"/>
        <v>서교동</v>
      </c>
      <c r="I968" t="s">
        <v>1939</v>
      </c>
      <c r="J968" t="s">
        <v>1940</v>
      </c>
      <c r="K968" t="s">
        <v>1941</v>
      </c>
    </row>
    <row r="969" spans="1:11" x14ac:dyDescent="0.4">
      <c r="A969" t="s">
        <v>5617</v>
      </c>
      <c r="B969" t="s">
        <v>9</v>
      </c>
      <c r="C969" t="s">
        <v>10</v>
      </c>
      <c r="D969" t="s">
        <v>3222</v>
      </c>
      <c r="E969" t="s">
        <v>5618</v>
      </c>
      <c r="F969" t="str">
        <f>LEFT(E969,5)</f>
        <v>서울특별시</v>
      </c>
      <c r="G969" t="str">
        <f t="shared" si="35"/>
        <v xml:space="preserve">마포구 </v>
      </c>
      <c r="H969" t="str">
        <f t="shared" si="36"/>
        <v>서교동</v>
      </c>
      <c r="I969" t="s">
        <v>5619</v>
      </c>
      <c r="J969" t="s">
        <v>3604</v>
      </c>
      <c r="K969" t="s">
        <v>5620</v>
      </c>
    </row>
    <row r="970" spans="1:11" x14ac:dyDescent="0.4">
      <c r="A970" t="s">
        <v>3601</v>
      </c>
      <c r="B970" t="s">
        <v>9</v>
      </c>
      <c r="C970" t="s">
        <v>10</v>
      </c>
      <c r="D970" t="s">
        <v>3222</v>
      </c>
      <c r="E970" t="s">
        <v>3602</v>
      </c>
      <c r="F970" t="str">
        <f>LEFT(E970,5)</f>
        <v>서울특별시</v>
      </c>
      <c r="G970" t="str">
        <f t="shared" si="35"/>
        <v xml:space="preserve">마포구 </v>
      </c>
      <c r="H970" t="str">
        <f t="shared" si="36"/>
        <v>서교동</v>
      </c>
      <c r="I970" t="s">
        <v>3603</v>
      </c>
      <c r="J970" t="s">
        <v>3604</v>
      </c>
      <c r="K970" t="s">
        <v>3605</v>
      </c>
    </row>
    <row r="971" spans="1:11" x14ac:dyDescent="0.4">
      <c r="A971" t="s">
        <v>3905</v>
      </c>
      <c r="B971" t="s">
        <v>9</v>
      </c>
      <c r="C971" t="s">
        <v>10</v>
      </c>
      <c r="D971" t="s">
        <v>3222</v>
      </c>
      <c r="E971" t="s">
        <v>3906</v>
      </c>
      <c r="F971" t="str">
        <f>LEFT(E971,5)</f>
        <v>서울특별시</v>
      </c>
      <c r="G971" t="str">
        <f t="shared" si="35"/>
        <v xml:space="preserve">마포구 </v>
      </c>
      <c r="H971" t="str">
        <f t="shared" si="36"/>
        <v>서교동</v>
      </c>
      <c r="I971" t="s">
        <v>3907</v>
      </c>
      <c r="J971" t="s">
        <v>3604</v>
      </c>
      <c r="K971" t="s">
        <v>3908</v>
      </c>
    </row>
    <row r="972" spans="1:11" x14ac:dyDescent="0.4">
      <c r="A972" t="s">
        <v>3882</v>
      </c>
      <c r="B972" t="s">
        <v>9</v>
      </c>
      <c r="C972" t="s">
        <v>10</v>
      </c>
      <c r="D972" t="s">
        <v>3222</v>
      </c>
      <c r="E972" t="s">
        <v>3883</v>
      </c>
      <c r="F972" t="str">
        <f>LEFT(E972,5)</f>
        <v>서울특별시</v>
      </c>
      <c r="G972" t="str">
        <f t="shared" si="35"/>
        <v xml:space="preserve">마포구 </v>
      </c>
      <c r="H972" t="str">
        <f t="shared" si="36"/>
        <v>서교동</v>
      </c>
      <c r="I972" t="s">
        <v>3884</v>
      </c>
      <c r="J972" t="s">
        <v>3604</v>
      </c>
      <c r="K972" t="s">
        <v>3885</v>
      </c>
    </row>
    <row r="973" spans="1:11" x14ac:dyDescent="0.4">
      <c r="A973" t="s">
        <v>3221</v>
      </c>
      <c r="B973" t="s">
        <v>9</v>
      </c>
      <c r="C973" t="s">
        <v>10</v>
      </c>
      <c r="D973" t="s">
        <v>3222</v>
      </c>
      <c r="E973" t="s">
        <v>3223</v>
      </c>
      <c r="F973" t="str">
        <f>LEFT(E973,5)</f>
        <v>서울특별시</v>
      </c>
      <c r="G973" t="str">
        <f t="shared" si="35"/>
        <v xml:space="preserve">마포구 </v>
      </c>
      <c r="H973" t="str">
        <f t="shared" si="36"/>
        <v>서교동</v>
      </c>
      <c r="I973" t="s">
        <v>3224</v>
      </c>
      <c r="J973" t="s">
        <v>11</v>
      </c>
      <c r="K973" t="s">
        <v>3225</v>
      </c>
    </row>
    <row r="974" spans="1:11" x14ac:dyDescent="0.4">
      <c r="A974" t="s">
        <v>8482</v>
      </c>
      <c r="B974" t="s">
        <v>9</v>
      </c>
      <c r="C974" t="s">
        <v>10</v>
      </c>
      <c r="D974" t="s">
        <v>3222</v>
      </c>
      <c r="E974" t="s">
        <v>8483</v>
      </c>
      <c r="F974" t="str">
        <f>LEFT(E974,5)</f>
        <v>서울특별시</v>
      </c>
      <c r="G974" t="str">
        <f t="shared" si="35"/>
        <v xml:space="preserve">마포구 </v>
      </c>
      <c r="H974" t="str">
        <f t="shared" si="36"/>
        <v>서교동</v>
      </c>
      <c r="I974" t="s">
        <v>8484</v>
      </c>
      <c r="J974" t="s">
        <v>8485</v>
      </c>
      <c r="K974" t="s">
        <v>1666</v>
      </c>
    </row>
    <row r="975" spans="1:11" x14ac:dyDescent="0.4">
      <c r="A975" t="s">
        <v>6534</v>
      </c>
      <c r="B975" t="s">
        <v>9</v>
      </c>
      <c r="C975" t="s">
        <v>10</v>
      </c>
      <c r="D975" t="s">
        <v>6535</v>
      </c>
      <c r="E975" t="s">
        <v>6536</v>
      </c>
      <c r="F975" t="str">
        <f>LEFT(E975,5)</f>
        <v>서울특별시</v>
      </c>
      <c r="G975" t="str">
        <f t="shared" si="35"/>
        <v xml:space="preserve">마포구 </v>
      </c>
      <c r="H975" t="str">
        <f t="shared" si="36"/>
        <v>서교동</v>
      </c>
      <c r="I975" t="s">
        <v>6537</v>
      </c>
      <c r="J975" t="s">
        <v>6538</v>
      </c>
      <c r="K975" t="s">
        <v>6539</v>
      </c>
    </row>
    <row r="976" spans="1:11" x14ac:dyDescent="0.4">
      <c r="A976" t="s">
        <v>3843</v>
      </c>
      <c r="B976" t="s">
        <v>9</v>
      </c>
      <c r="C976" t="s">
        <v>10</v>
      </c>
      <c r="D976" t="s">
        <v>3844</v>
      </c>
      <c r="E976" t="s">
        <v>3845</v>
      </c>
      <c r="F976" t="str">
        <f>LEFT(E976,5)</f>
        <v>서울특별시</v>
      </c>
      <c r="G976" t="str">
        <f t="shared" si="35"/>
        <v xml:space="preserve">마포구 </v>
      </c>
      <c r="H976" t="str">
        <f t="shared" si="36"/>
        <v>서교동</v>
      </c>
      <c r="I976" t="s">
        <v>3846</v>
      </c>
      <c r="J976" t="s">
        <v>3847</v>
      </c>
      <c r="K976" t="s">
        <v>3848</v>
      </c>
    </row>
    <row r="977" spans="1:11" x14ac:dyDescent="0.4">
      <c r="A977" t="s">
        <v>5801</v>
      </c>
      <c r="B977" t="s">
        <v>9</v>
      </c>
      <c r="C977" t="s">
        <v>10</v>
      </c>
      <c r="D977" t="s">
        <v>5802</v>
      </c>
      <c r="E977" t="s">
        <v>5803</v>
      </c>
      <c r="F977" t="str">
        <f>LEFT(E977,5)</f>
        <v>서울특별시</v>
      </c>
      <c r="G977" t="str">
        <f t="shared" si="35"/>
        <v xml:space="preserve">마포구 </v>
      </c>
      <c r="H977" t="str">
        <f t="shared" si="36"/>
        <v>성산동</v>
      </c>
      <c r="I977" t="s">
        <v>5804</v>
      </c>
      <c r="J977" t="s">
        <v>5805</v>
      </c>
      <c r="K977" t="s">
        <v>5806</v>
      </c>
    </row>
    <row r="978" spans="1:11" x14ac:dyDescent="0.4">
      <c r="A978" t="s">
        <v>1363</v>
      </c>
      <c r="B978" t="s">
        <v>9</v>
      </c>
      <c r="C978" t="s">
        <v>10</v>
      </c>
      <c r="D978" t="s">
        <v>1364</v>
      </c>
      <c r="E978" t="s">
        <v>1365</v>
      </c>
      <c r="F978" t="str">
        <f>LEFT(E978,5)</f>
        <v>서울특별시</v>
      </c>
      <c r="G978" t="str">
        <f t="shared" si="35"/>
        <v xml:space="preserve">마포구 </v>
      </c>
      <c r="H978" t="str">
        <f>MID(SUBSTITUTE(E978," ",""),9,4)</f>
        <v>신공덕동</v>
      </c>
      <c r="I978" t="s">
        <v>1366</v>
      </c>
      <c r="J978" t="s">
        <v>1104</v>
      </c>
      <c r="K978" t="s">
        <v>1367</v>
      </c>
    </row>
    <row r="979" spans="1:11" x14ac:dyDescent="0.4">
      <c r="A979" t="s">
        <v>1100</v>
      </c>
      <c r="B979" t="s">
        <v>9</v>
      </c>
      <c r="C979" t="s">
        <v>10</v>
      </c>
      <c r="D979" t="s">
        <v>1101</v>
      </c>
      <c r="E979" t="s">
        <v>1102</v>
      </c>
      <c r="F979" t="str">
        <f>LEFT(E979,5)</f>
        <v>서울특별시</v>
      </c>
      <c r="G979" t="str">
        <f t="shared" si="35"/>
        <v xml:space="preserve">마포구 </v>
      </c>
      <c r="H979" t="str">
        <f t="shared" si="36"/>
        <v>신공덕</v>
      </c>
      <c r="I979" t="s">
        <v>1103</v>
      </c>
      <c r="J979" t="s">
        <v>1104</v>
      </c>
      <c r="K979" t="s">
        <v>1105</v>
      </c>
    </row>
    <row r="980" spans="1:11" x14ac:dyDescent="0.4">
      <c r="A980" t="s">
        <v>3606</v>
      </c>
      <c r="B980" t="s">
        <v>9</v>
      </c>
      <c r="C980" t="s">
        <v>10</v>
      </c>
      <c r="D980" t="s">
        <v>3607</v>
      </c>
      <c r="E980" t="s">
        <v>3608</v>
      </c>
      <c r="F980" t="str">
        <f>LEFT(E980,5)</f>
        <v>서울특별시</v>
      </c>
      <c r="G980" t="str">
        <f t="shared" si="35"/>
        <v xml:space="preserve">마포구 </v>
      </c>
      <c r="H980" t="str">
        <f t="shared" si="36"/>
        <v>신수동</v>
      </c>
      <c r="I980" t="s">
        <v>3609</v>
      </c>
      <c r="J980" t="s">
        <v>3610</v>
      </c>
      <c r="K980" t="s">
        <v>427</v>
      </c>
    </row>
    <row r="981" spans="1:11" x14ac:dyDescent="0.4">
      <c r="A981" t="s">
        <v>5661</v>
      </c>
      <c r="B981" t="s">
        <v>9</v>
      </c>
      <c r="C981" t="s">
        <v>10</v>
      </c>
      <c r="D981" t="s">
        <v>5662</v>
      </c>
      <c r="E981" t="s">
        <v>5663</v>
      </c>
      <c r="F981" t="str">
        <f>LEFT(E981,5)</f>
        <v>서울특별시</v>
      </c>
      <c r="G981" t="str">
        <f t="shared" si="35"/>
        <v xml:space="preserve">마포구 </v>
      </c>
      <c r="H981" t="str">
        <f t="shared" si="36"/>
        <v>아현동</v>
      </c>
      <c r="I981" t="s">
        <v>5664</v>
      </c>
      <c r="J981" t="s">
        <v>5665</v>
      </c>
      <c r="K981" t="s">
        <v>5666</v>
      </c>
    </row>
    <row r="982" spans="1:11" x14ac:dyDescent="0.4">
      <c r="A982" t="s">
        <v>4939</v>
      </c>
      <c r="B982" t="s">
        <v>9</v>
      </c>
      <c r="C982" t="s">
        <v>10</v>
      </c>
      <c r="D982" t="s">
        <v>4940</v>
      </c>
      <c r="E982" t="s">
        <v>4941</v>
      </c>
      <c r="F982" t="str">
        <f>LEFT(E982,5)</f>
        <v>서울특별시</v>
      </c>
      <c r="G982" t="str">
        <f t="shared" si="35"/>
        <v xml:space="preserve">마포구 </v>
      </c>
      <c r="H982" t="str">
        <f t="shared" si="36"/>
        <v>연남동</v>
      </c>
      <c r="I982" t="s">
        <v>4942</v>
      </c>
      <c r="J982" t="s">
        <v>4943</v>
      </c>
      <c r="K982" t="s">
        <v>4944</v>
      </c>
    </row>
    <row r="983" spans="1:11" x14ac:dyDescent="0.4">
      <c r="A983" t="s">
        <v>8325</v>
      </c>
      <c r="B983" t="s">
        <v>9</v>
      </c>
      <c r="C983" t="s">
        <v>10</v>
      </c>
      <c r="D983" t="s">
        <v>6945</v>
      </c>
      <c r="E983" t="s">
        <v>8326</v>
      </c>
      <c r="F983" t="str">
        <f>LEFT(E983,5)</f>
        <v>서울특별시</v>
      </c>
      <c r="G983" t="str">
        <f t="shared" si="35"/>
        <v xml:space="preserve">마포구 </v>
      </c>
      <c r="H983" t="str">
        <f t="shared" si="36"/>
        <v>용강동</v>
      </c>
      <c r="I983" t="s">
        <v>8327</v>
      </c>
      <c r="J983" t="s">
        <v>7217</v>
      </c>
      <c r="K983" t="s">
        <v>8328</v>
      </c>
    </row>
    <row r="984" spans="1:11" x14ac:dyDescent="0.4">
      <c r="A984" t="s">
        <v>7214</v>
      </c>
      <c r="B984" t="s">
        <v>9</v>
      </c>
      <c r="C984" t="s">
        <v>10</v>
      </c>
      <c r="D984" t="s">
        <v>6945</v>
      </c>
      <c r="E984" t="s">
        <v>7215</v>
      </c>
      <c r="F984" t="str">
        <f>LEFT(E984,5)</f>
        <v>서울특별시</v>
      </c>
      <c r="G984" t="str">
        <f t="shared" si="35"/>
        <v xml:space="preserve">마포구 </v>
      </c>
      <c r="H984" t="str">
        <f t="shared" si="36"/>
        <v>용강동</v>
      </c>
      <c r="I984" t="s">
        <v>7216</v>
      </c>
      <c r="J984" t="s">
        <v>7217</v>
      </c>
      <c r="K984" t="s">
        <v>7218</v>
      </c>
    </row>
    <row r="985" spans="1:11" x14ac:dyDescent="0.4">
      <c r="A985" t="s">
        <v>7928</v>
      </c>
      <c r="B985" t="s">
        <v>9</v>
      </c>
      <c r="C985" t="s">
        <v>10</v>
      </c>
      <c r="D985" t="s">
        <v>6945</v>
      </c>
      <c r="E985" t="s">
        <v>7929</v>
      </c>
      <c r="F985" t="str">
        <f>LEFT(E985,5)</f>
        <v>서울특별시</v>
      </c>
      <c r="G985" t="str">
        <f t="shared" si="35"/>
        <v xml:space="preserve">마포구 </v>
      </c>
      <c r="H985" t="str">
        <f t="shared" si="36"/>
        <v>용강동</v>
      </c>
      <c r="I985" t="s">
        <v>7930</v>
      </c>
      <c r="J985" t="s">
        <v>6948</v>
      </c>
      <c r="K985" t="s">
        <v>7931</v>
      </c>
    </row>
    <row r="986" spans="1:11" x14ac:dyDescent="0.4">
      <c r="A986" t="s">
        <v>6944</v>
      </c>
      <c r="B986" t="s">
        <v>9</v>
      </c>
      <c r="C986" t="s">
        <v>10</v>
      </c>
      <c r="D986" t="s">
        <v>6945</v>
      </c>
      <c r="E986" t="s">
        <v>6946</v>
      </c>
      <c r="F986" t="str">
        <f>LEFT(E986,5)</f>
        <v>서울특별시</v>
      </c>
      <c r="G986" t="str">
        <f t="shared" si="35"/>
        <v xml:space="preserve">마포구 </v>
      </c>
      <c r="H986" t="str">
        <f t="shared" si="36"/>
        <v>용강동</v>
      </c>
      <c r="I986" t="s">
        <v>6947</v>
      </c>
      <c r="J986" t="s">
        <v>6948</v>
      </c>
      <c r="K986" t="s">
        <v>6298</v>
      </c>
    </row>
    <row r="987" spans="1:11" x14ac:dyDescent="0.4">
      <c r="A987" t="s">
        <v>2475</v>
      </c>
      <c r="B987" t="s">
        <v>9</v>
      </c>
      <c r="C987" t="s">
        <v>10</v>
      </c>
      <c r="D987" t="s">
        <v>2476</v>
      </c>
      <c r="E987" t="s">
        <v>2477</v>
      </c>
      <c r="F987" t="str">
        <f>LEFT(E987,5)</f>
        <v>서울특별시</v>
      </c>
      <c r="G987" t="str">
        <f t="shared" si="35"/>
        <v xml:space="preserve">마포구 </v>
      </c>
      <c r="H987" t="str">
        <f t="shared" si="36"/>
        <v>합정동</v>
      </c>
      <c r="I987" t="s">
        <v>2478</v>
      </c>
      <c r="J987" t="s">
        <v>2479</v>
      </c>
      <c r="K987" t="s">
        <v>2480</v>
      </c>
    </row>
    <row r="988" spans="1:11" x14ac:dyDescent="0.4">
      <c r="A988" t="s">
        <v>3069</v>
      </c>
      <c r="B988" t="s">
        <v>9</v>
      </c>
      <c r="C988" t="s">
        <v>10</v>
      </c>
      <c r="D988" t="s">
        <v>3070</v>
      </c>
      <c r="E988" t="s">
        <v>3071</v>
      </c>
      <c r="F988" t="str">
        <f>LEFT(E988,5)</f>
        <v>서울특별시</v>
      </c>
      <c r="G988" t="str">
        <f t="shared" si="35"/>
        <v xml:space="preserve">마포구 </v>
      </c>
      <c r="H988" t="str">
        <f t="shared" si="36"/>
        <v>합정동</v>
      </c>
      <c r="I988" t="s">
        <v>3072</v>
      </c>
      <c r="J988" t="s">
        <v>3073</v>
      </c>
      <c r="K988" t="s">
        <v>3074</v>
      </c>
    </row>
    <row r="989" spans="1:11" x14ac:dyDescent="0.4">
      <c r="A989" t="s">
        <v>7867</v>
      </c>
      <c r="B989" t="s">
        <v>9</v>
      </c>
      <c r="C989" t="s">
        <v>10</v>
      </c>
      <c r="D989" t="s">
        <v>3070</v>
      </c>
      <c r="E989" t="s">
        <v>7868</v>
      </c>
      <c r="F989" t="str">
        <f>LEFT(E989,5)</f>
        <v>서울특별시</v>
      </c>
      <c r="G989" t="str">
        <f t="shared" si="35"/>
        <v xml:space="preserve">마포구 </v>
      </c>
      <c r="H989" t="str">
        <f t="shared" si="36"/>
        <v>합정동</v>
      </c>
      <c r="I989" t="s">
        <v>7869</v>
      </c>
      <c r="J989" t="s">
        <v>4352</v>
      </c>
      <c r="K989" t="s">
        <v>7870</v>
      </c>
    </row>
    <row r="990" spans="1:11" x14ac:dyDescent="0.4">
      <c r="A990" t="s">
        <v>4349</v>
      </c>
      <c r="B990" t="s">
        <v>9</v>
      </c>
      <c r="C990" t="s">
        <v>10</v>
      </c>
      <c r="D990" t="s">
        <v>3070</v>
      </c>
      <c r="E990" t="s">
        <v>4350</v>
      </c>
      <c r="F990" t="str">
        <f>LEFT(E990,5)</f>
        <v>서울특별시</v>
      </c>
      <c r="G990" t="str">
        <f t="shared" si="35"/>
        <v xml:space="preserve">마포구 </v>
      </c>
      <c r="H990" t="str">
        <f t="shared" si="36"/>
        <v>합정동</v>
      </c>
      <c r="I990" t="s">
        <v>4351</v>
      </c>
      <c r="J990" t="s">
        <v>4352</v>
      </c>
      <c r="K990" t="s">
        <v>4353</v>
      </c>
    </row>
    <row r="991" spans="1:11" x14ac:dyDescent="0.4">
      <c r="A991" t="s">
        <v>3243</v>
      </c>
      <c r="B991" t="s">
        <v>9</v>
      </c>
      <c r="C991" t="s">
        <v>10</v>
      </c>
      <c r="D991" t="s">
        <v>3244</v>
      </c>
      <c r="E991" t="s">
        <v>3245</v>
      </c>
      <c r="F991" t="str">
        <f>LEFT(E991,5)</f>
        <v>서울특별시</v>
      </c>
      <c r="G991" t="str">
        <f t="shared" si="35"/>
        <v xml:space="preserve">마포구 </v>
      </c>
      <c r="H991" t="str">
        <f t="shared" si="36"/>
        <v>합정동</v>
      </c>
      <c r="I991" t="s">
        <v>3246</v>
      </c>
      <c r="J991" t="s">
        <v>3247</v>
      </c>
      <c r="K991" t="s">
        <v>3248</v>
      </c>
    </row>
    <row r="992" spans="1:11" x14ac:dyDescent="0.4">
      <c r="A992" t="s">
        <v>8947</v>
      </c>
      <c r="B992" t="s">
        <v>9</v>
      </c>
      <c r="C992" t="s">
        <v>10</v>
      </c>
      <c r="D992" t="s">
        <v>8105</v>
      </c>
      <c r="E992" t="s">
        <v>8948</v>
      </c>
      <c r="F992" t="str">
        <f>LEFT(E992,5)</f>
        <v>서울특별시</v>
      </c>
      <c r="G992" t="str">
        <f t="shared" si="35"/>
        <v>서대문구</v>
      </c>
      <c r="H992" t="str">
        <f>MID(SUBSTITUTE(E992," ",""),10,4)</f>
        <v>남가좌동</v>
      </c>
      <c r="I992" t="s">
        <v>8949</v>
      </c>
      <c r="J992" t="s">
        <v>8108</v>
      </c>
      <c r="K992" t="s">
        <v>8950</v>
      </c>
    </row>
    <row r="993" spans="1:11" x14ac:dyDescent="0.4">
      <c r="A993" t="s">
        <v>8104</v>
      </c>
      <c r="B993" t="s">
        <v>9</v>
      </c>
      <c r="C993" t="s">
        <v>10</v>
      </c>
      <c r="D993" t="s">
        <v>8105</v>
      </c>
      <c r="E993" t="s">
        <v>8106</v>
      </c>
      <c r="F993" t="str">
        <f>LEFT(E993,5)</f>
        <v>서울특별시</v>
      </c>
      <c r="G993" t="str">
        <f t="shared" si="35"/>
        <v>서대문구</v>
      </c>
      <c r="H993" t="str">
        <f t="shared" ref="H993:H1008" si="37">MID(SUBSTITUTE(E993," ",""),10,4)</f>
        <v>남가좌동</v>
      </c>
      <c r="I993" t="s">
        <v>8107</v>
      </c>
      <c r="J993" t="s">
        <v>8108</v>
      </c>
      <c r="K993" t="s">
        <v>8109</v>
      </c>
    </row>
    <row r="994" spans="1:11" x14ac:dyDescent="0.4">
      <c r="A994" t="s">
        <v>7912</v>
      </c>
      <c r="B994" t="s">
        <v>9</v>
      </c>
      <c r="C994" t="s">
        <v>10</v>
      </c>
      <c r="D994" t="s">
        <v>3420</v>
      </c>
      <c r="E994" t="s">
        <v>7913</v>
      </c>
      <c r="F994" t="str">
        <f>LEFT(E994,5)</f>
        <v>서울특별시</v>
      </c>
      <c r="G994" t="str">
        <f t="shared" si="35"/>
        <v>서대문구</v>
      </c>
      <c r="H994" t="str">
        <f t="shared" si="37"/>
        <v>남가좌동</v>
      </c>
      <c r="I994" t="s">
        <v>11</v>
      </c>
      <c r="J994" t="s">
        <v>11</v>
      </c>
      <c r="K994" t="s">
        <v>7914</v>
      </c>
    </row>
    <row r="995" spans="1:11" x14ac:dyDescent="0.4">
      <c r="A995" t="s">
        <v>3419</v>
      </c>
      <c r="B995" t="s">
        <v>9</v>
      </c>
      <c r="C995" t="s">
        <v>10</v>
      </c>
      <c r="D995" t="s">
        <v>3420</v>
      </c>
      <c r="E995" t="s">
        <v>3421</v>
      </c>
      <c r="F995" t="str">
        <f>LEFT(E995,5)</f>
        <v>서울특별시</v>
      </c>
      <c r="G995" t="str">
        <f t="shared" si="35"/>
        <v>서대문구</v>
      </c>
      <c r="H995" t="str">
        <f t="shared" si="37"/>
        <v>남가좌동</v>
      </c>
      <c r="I995" t="s">
        <v>11</v>
      </c>
      <c r="J995" t="s">
        <v>11</v>
      </c>
      <c r="K995" t="s">
        <v>3422</v>
      </c>
    </row>
    <row r="996" spans="1:11" x14ac:dyDescent="0.4">
      <c r="A996" t="s">
        <v>6445</v>
      </c>
      <c r="B996" t="s">
        <v>9</v>
      </c>
      <c r="C996" t="s">
        <v>10</v>
      </c>
      <c r="D996" t="s">
        <v>3420</v>
      </c>
      <c r="E996" t="s">
        <v>6446</v>
      </c>
      <c r="F996" t="str">
        <f>LEFT(E996,5)</f>
        <v>서울특별시</v>
      </c>
      <c r="G996" t="str">
        <f t="shared" si="35"/>
        <v>서대문구</v>
      </c>
      <c r="H996" t="str">
        <f t="shared" si="37"/>
        <v>남가좌동</v>
      </c>
      <c r="I996" t="s">
        <v>11</v>
      </c>
      <c r="J996" t="s">
        <v>11</v>
      </c>
      <c r="K996" t="s">
        <v>6447</v>
      </c>
    </row>
    <row r="997" spans="1:11" x14ac:dyDescent="0.4">
      <c r="A997" t="s">
        <v>8544</v>
      </c>
      <c r="B997" t="s">
        <v>9</v>
      </c>
      <c r="C997" t="s">
        <v>10</v>
      </c>
      <c r="D997" t="s">
        <v>4388</v>
      </c>
      <c r="E997" t="s">
        <v>8545</v>
      </c>
      <c r="F997" t="str">
        <f>LEFT(E997,5)</f>
        <v>서울특별시</v>
      </c>
      <c r="G997" t="str">
        <f t="shared" si="35"/>
        <v>서대문구</v>
      </c>
      <c r="H997" t="str">
        <f t="shared" si="37"/>
        <v>남가좌동</v>
      </c>
      <c r="I997" t="s">
        <v>8546</v>
      </c>
      <c r="J997" t="s">
        <v>8547</v>
      </c>
      <c r="K997" t="s">
        <v>8548</v>
      </c>
    </row>
    <row r="998" spans="1:11" x14ac:dyDescent="0.4">
      <c r="A998" t="s">
        <v>4387</v>
      </c>
      <c r="B998" t="s">
        <v>9</v>
      </c>
      <c r="C998" t="s">
        <v>10</v>
      </c>
      <c r="D998" t="s">
        <v>4388</v>
      </c>
      <c r="E998" t="s">
        <v>4389</v>
      </c>
      <c r="F998" t="str">
        <f>LEFT(E998,5)</f>
        <v>서울특별시</v>
      </c>
      <c r="G998" t="str">
        <f t="shared" si="35"/>
        <v>서대문구</v>
      </c>
      <c r="H998" t="str">
        <f t="shared" si="37"/>
        <v>남가좌동</v>
      </c>
      <c r="I998" t="s">
        <v>4390</v>
      </c>
      <c r="J998" t="s">
        <v>4391</v>
      </c>
      <c r="K998" t="s">
        <v>4392</v>
      </c>
    </row>
    <row r="999" spans="1:11" x14ac:dyDescent="0.4">
      <c r="A999" t="s">
        <v>8679</v>
      </c>
      <c r="B999" t="s">
        <v>9</v>
      </c>
      <c r="C999" t="s">
        <v>10</v>
      </c>
      <c r="D999" t="s">
        <v>8680</v>
      </c>
      <c r="E999" t="s">
        <v>8681</v>
      </c>
      <c r="F999" t="str">
        <f>LEFT(E999,5)</f>
        <v>서울특별시</v>
      </c>
      <c r="G999" t="str">
        <f t="shared" si="35"/>
        <v>서대문구</v>
      </c>
      <c r="H999" t="str">
        <f t="shared" si="37"/>
        <v>북가좌동</v>
      </c>
      <c r="I999" t="s">
        <v>11</v>
      </c>
      <c r="J999" t="s">
        <v>11</v>
      </c>
      <c r="K999" t="s">
        <v>8682</v>
      </c>
    </row>
    <row r="1000" spans="1:11" x14ac:dyDescent="0.4">
      <c r="A1000" t="s">
        <v>8218</v>
      </c>
      <c r="B1000" t="s">
        <v>9</v>
      </c>
      <c r="C1000" t="s">
        <v>10</v>
      </c>
      <c r="D1000" t="s">
        <v>7483</v>
      </c>
      <c r="E1000" t="s">
        <v>8219</v>
      </c>
      <c r="F1000" t="str">
        <f>LEFT(E1000,5)</f>
        <v>서울특별시</v>
      </c>
      <c r="G1000" t="str">
        <f t="shared" si="35"/>
        <v>서대문구</v>
      </c>
      <c r="H1000" t="str">
        <f t="shared" si="37"/>
        <v>북가좌동</v>
      </c>
      <c r="I1000" t="s">
        <v>8220</v>
      </c>
      <c r="J1000" t="s">
        <v>4477</v>
      </c>
      <c r="K1000" t="s">
        <v>8221</v>
      </c>
    </row>
    <row r="1001" spans="1:11" x14ac:dyDescent="0.4">
      <c r="A1001" t="s">
        <v>8039</v>
      </c>
      <c r="B1001" t="s">
        <v>9</v>
      </c>
      <c r="C1001" t="s">
        <v>10</v>
      </c>
      <c r="D1001" t="s">
        <v>7483</v>
      </c>
      <c r="E1001" t="s">
        <v>8040</v>
      </c>
      <c r="F1001" t="str">
        <f>LEFT(E1001,5)</f>
        <v>서울특별시</v>
      </c>
      <c r="G1001" t="str">
        <f t="shared" si="35"/>
        <v>서대문구</v>
      </c>
      <c r="H1001" t="str">
        <f t="shared" si="37"/>
        <v>북가좌동</v>
      </c>
      <c r="I1001" t="s">
        <v>8041</v>
      </c>
      <c r="J1001" t="s">
        <v>4477</v>
      </c>
      <c r="K1001" t="s">
        <v>3881</v>
      </c>
    </row>
    <row r="1002" spans="1:11" x14ac:dyDescent="0.4">
      <c r="A1002" t="s">
        <v>7482</v>
      </c>
      <c r="B1002" t="s">
        <v>9</v>
      </c>
      <c r="C1002" t="s">
        <v>10</v>
      </c>
      <c r="D1002" t="s">
        <v>7483</v>
      </c>
      <c r="E1002" t="s">
        <v>7484</v>
      </c>
      <c r="F1002" t="str">
        <f>LEFT(E1002,5)</f>
        <v>서울특별시</v>
      </c>
      <c r="G1002" t="str">
        <f t="shared" si="35"/>
        <v>서대문구</v>
      </c>
      <c r="H1002" t="str">
        <f t="shared" si="37"/>
        <v>북가좌동</v>
      </c>
      <c r="I1002" t="s">
        <v>7485</v>
      </c>
      <c r="J1002" t="s">
        <v>7486</v>
      </c>
      <c r="K1002" t="s">
        <v>1185</v>
      </c>
    </row>
    <row r="1003" spans="1:11" x14ac:dyDescent="0.4">
      <c r="A1003" t="s">
        <v>7915</v>
      </c>
      <c r="B1003" t="s">
        <v>9</v>
      </c>
      <c r="C1003" t="s">
        <v>10</v>
      </c>
      <c r="D1003" t="s">
        <v>7483</v>
      </c>
      <c r="E1003" t="s">
        <v>7916</v>
      </c>
      <c r="F1003" t="str">
        <f>LEFT(E1003,5)</f>
        <v>서울특별시</v>
      </c>
      <c r="G1003" t="str">
        <f t="shared" si="35"/>
        <v>서대문구</v>
      </c>
      <c r="H1003" t="str">
        <f t="shared" si="37"/>
        <v>북가좌동</v>
      </c>
      <c r="I1003" t="s">
        <v>7917</v>
      </c>
      <c r="J1003" t="s">
        <v>7486</v>
      </c>
      <c r="K1003" t="s">
        <v>7918</v>
      </c>
    </row>
    <row r="1004" spans="1:11" x14ac:dyDescent="0.4">
      <c r="A1004" t="s">
        <v>8549</v>
      </c>
      <c r="B1004" t="s">
        <v>9</v>
      </c>
      <c r="C1004" t="s">
        <v>10</v>
      </c>
      <c r="D1004" t="s">
        <v>8550</v>
      </c>
      <c r="E1004" t="s">
        <v>8551</v>
      </c>
      <c r="F1004" t="str">
        <f>LEFT(E1004,5)</f>
        <v>서울특별시</v>
      </c>
      <c r="G1004" t="str">
        <f t="shared" si="35"/>
        <v>서대문구</v>
      </c>
      <c r="H1004" t="str">
        <f t="shared" si="37"/>
        <v>북가좌동</v>
      </c>
      <c r="I1004" t="s">
        <v>8552</v>
      </c>
      <c r="J1004" t="s">
        <v>8553</v>
      </c>
      <c r="K1004" t="s">
        <v>8554</v>
      </c>
    </row>
    <row r="1005" spans="1:11" x14ac:dyDescent="0.4">
      <c r="A1005" t="s">
        <v>4473</v>
      </c>
      <c r="B1005" t="s">
        <v>9</v>
      </c>
      <c r="C1005" t="s">
        <v>10</v>
      </c>
      <c r="D1005" t="s">
        <v>4474</v>
      </c>
      <c r="E1005" t="s">
        <v>4475</v>
      </c>
      <c r="F1005" t="str">
        <f>LEFT(E1005,5)</f>
        <v>서울특별시</v>
      </c>
      <c r="G1005" t="str">
        <f t="shared" si="35"/>
        <v>서대문구</v>
      </c>
      <c r="H1005" t="str">
        <f t="shared" si="37"/>
        <v>북가좌동</v>
      </c>
      <c r="I1005" t="s">
        <v>4476</v>
      </c>
      <c r="J1005" t="s">
        <v>4477</v>
      </c>
      <c r="K1005" t="s">
        <v>4478</v>
      </c>
    </row>
    <row r="1006" spans="1:11" x14ac:dyDescent="0.4">
      <c r="A1006" t="s">
        <v>7836</v>
      </c>
      <c r="B1006" t="s">
        <v>9</v>
      </c>
      <c r="C1006" t="s">
        <v>10</v>
      </c>
      <c r="D1006" t="s">
        <v>7837</v>
      </c>
      <c r="E1006" t="s">
        <v>7838</v>
      </c>
      <c r="F1006" t="str">
        <f>LEFT(E1006,5)</f>
        <v>서울특별시</v>
      </c>
      <c r="G1006" t="str">
        <f t="shared" si="35"/>
        <v>서대문구</v>
      </c>
      <c r="H1006" t="str">
        <f t="shared" si="37"/>
        <v>북아현동</v>
      </c>
      <c r="I1006" t="s">
        <v>7839</v>
      </c>
      <c r="J1006" t="s">
        <v>7840</v>
      </c>
      <c r="K1006" t="s">
        <v>7841</v>
      </c>
    </row>
    <row r="1007" spans="1:11" x14ac:dyDescent="0.4">
      <c r="A1007" t="s">
        <v>4468</v>
      </c>
      <c r="B1007" t="s">
        <v>9</v>
      </c>
      <c r="C1007" t="s">
        <v>10</v>
      </c>
      <c r="D1007" t="s">
        <v>4469</v>
      </c>
      <c r="E1007" t="s">
        <v>4470</v>
      </c>
      <c r="F1007" t="str">
        <f>LEFT(E1007,5)</f>
        <v>서울특별시</v>
      </c>
      <c r="G1007" t="str">
        <f t="shared" si="35"/>
        <v>서대문구</v>
      </c>
      <c r="H1007" t="str">
        <f t="shared" si="37"/>
        <v>북아현동</v>
      </c>
      <c r="I1007" t="s">
        <v>4471</v>
      </c>
      <c r="J1007" t="s">
        <v>4472</v>
      </c>
      <c r="K1007" t="s">
        <v>1834</v>
      </c>
    </row>
    <row r="1008" spans="1:11" x14ac:dyDescent="0.4">
      <c r="A1008" t="s">
        <v>7803</v>
      </c>
      <c r="B1008" t="s">
        <v>9</v>
      </c>
      <c r="C1008" t="s">
        <v>10</v>
      </c>
      <c r="D1008" t="s">
        <v>4469</v>
      </c>
      <c r="E1008" t="s">
        <v>7804</v>
      </c>
      <c r="F1008" t="str">
        <f>LEFT(E1008,5)</f>
        <v>서울특별시</v>
      </c>
      <c r="G1008" t="str">
        <f t="shared" si="35"/>
        <v>서대문구</v>
      </c>
      <c r="H1008" t="str">
        <f t="shared" si="37"/>
        <v>북아현동</v>
      </c>
      <c r="I1008" t="s">
        <v>7805</v>
      </c>
      <c r="J1008" t="s">
        <v>4472</v>
      </c>
      <c r="K1008" t="s">
        <v>3624</v>
      </c>
    </row>
    <row r="1009" spans="1:11" x14ac:dyDescent="0.4">
      <c r="A1009" t="s">
        <v>7705</v>
      </c>
      <c r="B1009" t="s">
        <v>9</v>
      </c>
      <c r="C1009" t="s">
        <v>10</v>
      </c>
      <c r="D1009" t="s">
        <v>3569</v>
      </c>
      <c r="E1009" t="s">
        <v>7706</v>
      </c>
      <c r="F1009" t="str">
        <f>LEFT(E1009,5)</f>
        <v>서울특별시</v>
      </c>
      <c r="G1009" t="str">
        <f t="shared" si="35"/>
        <v>서대문구</v>
      </c>
      <c r="H1009" t="str">
        <f>MID(SUBSTITUTE(E1009," ",""),10,3)</f>
        <v>연희동</v>
      </c>
      <c r="I1009" t="s">
        <v>7707</v>
      </c>
      <c r="J1009" t="s">
        <v>3572</v>
      </c>
      <c r="K1009" t="s">
        <v>7708</v>
      </c>
    </row>
    <row r="1010" spans="1:11" x14ac:dyDescent="0.4">
      <c r="A1010" t="s">
        <v>3568</v>
      </c>
      <c r="B1010" t="s">
        <v>9</v>
      </c>
      <c r="C1010" t="s">
        <v>10</v>
      </c>
      <c r="D1010" t="s">
        <v>3569</v>
      </c>
      <c r="E1010" t="s">
        <v>3570</v>
      </c>
      <c r="F1010" t="str">
        <f>LEFT(E1010,5)</f>
        <v>서울특별시</v>
      </c>
      <c r="G1010" t="str">
        <f t="shared" si="35"/>
        <v>서대문구</v>
      </c>
      <c r="H1010" t="str">
        <f t="shared" ref="H1010:H1033" si="38">MID(SUBSTITUTE(E1010," ",""),10,3)</f>
        <v>연희동</v>
      </c>
      <c r="I1010" t="s">
        <v>3571</v>
      </c>
      <c r="J1010" t="s">
        <v>3572</v>
      </c>
      <c r="K1010" t="s">
        <v>3573</v>
      </c>
    </row>
    <row r="1011" spans="1:11" x14ac:dyDescent="0.4">
      <c r="A1011" t="s">
        <v>7765</v>
      </c>
      <c r="B1011" t="s">
        <v>9</v>
      </c>
      <c r="C1011" t="s">
        <v>10</v>
      </c>
      <c r="D1011" t="s">
        <v>7766</v>
      </c>
      <c r="E1011" t="s">
        <v>7767</v>
      </c>
      <c r="F1011" t="str">
        <f>LEFT(E1011,5)</f>
        <v>서울특별시</v>
      </c>
      <c r="G1011" t="str">
        <f t="shared" si="35"/>
        <v>서대문구</v>
      </c>
      <c r="H1011" t="str">
        <f t="shared" si="38"/>
        <v>연희동</v>
      </c>
      <c r="I1011" t="s">
        <v>7768</v>
      </c>
      <c r="J1011" t="s">
        <v>7769</v>
      </c>
      <c r="K1011" t="s">
        <v>4048</v>
      </c>
    </row>
    <row r="1012" spans="1:11" x14ac:dyDescent="0.4">
      <c r="A1012" t="s">
        <v>7906</v>
      </c>
      <c r="B1012" t="s">
        <v>9</v>
      </c>
      <c r="C1012" t="s">
        <v>10</v>
      </c>
      <c r="D1012" t="s">
        <v>7907</v>
      </c>
      <c r="E1012" t="s">
        <v>7908</v>
      </c>
      <c r="F1012" t="str">
        <f>LEFT(E1012,5)</f>
        <v>서울특별시</v>
      </c>
      <c r="G1012" t="str">
        <f t="shared" si="35"/>
        <v>서대문구</v>
      </c>
      <c r="H1012" t="str">
        <f t="shared" si="38"/>
        <v>연희동</v>
      </c>
      <c r="I1012" t="s">
        <v>7909</v>
      </c>
      <c r="J1012" t="s">
        <v>7910</v>
      </c>
      <c r="K1012" t="s">
        <v>7911</v>
      </c>
    </row>
    <row r="1013" spans="1:11" x14ac:dyDescent="0.4">
      <c r="A1013" t="s">
        <v>2310</v>
      </c>
      <c r="B1013" t="s">
        <v>9</v>
      </c>
      <c r="C1013" t="s">
        <v>10</v>
      </c>
      <c r="D1013" t="s">
        <v>2311</v>
      </c>
      <c r="E1013" t="s">
        <v>2312</v>
      </c>
      <c r="F1013" t="str">
        <f>LEFT(E1013,5)</f>
        <v>서울특별시</v>
      </c>
      <c r="G1013" t="str">
        <f t="shared" si="35"/>
        <v>서대문구</v>
      </c>
      <c r="H1013" t="str">
        <f t="shared" si="38"/>
        <v>창천동</v>
      </c>
      <c r="I1013" t="s">
        <v>2313</v>
      </c>
      <c r="J1013" t="s">
        <v>2314</v>
      </c>
      <c r="K1013" t="s">
        <v>2315</v>
      </c>
    </row>
    <row r="1014" spans="1:11" x14ac:dyDescent="0.4">
      <c r="A1014" t="s">
        <v>2342</v>
      </c>
      <c r="B1014" t="s">
        <v>9</v>
      </c>
      <c r="C1014" t="s">
        <v>10</v>
      </c>
      <c r="D1014" t="s">
        <v>2311</v>
      </c>
      <c r="E1014" t="s">
        <v>2343</v>
      </c>
      <c r="F1014" t="str">
        <f>LEFT(E1014,5)</f>
        <v>서울특별시</v>
      </c>
      <c r="G1014" t="str">
        <f t="shared" si="35"/>
        <v>서대문구</v>
      </c>
      <c r="H1014" t="str">
        <f t="shared" si="38"/>
        <v>창천동</v>
      </c>
      <c r="I1014" t="s">
        <v>2344</v>
      </c>
      <c r="J1014" t="s">
        <v>2314</v>
      </c>
      <c r="K1014" t="s">
        <v>2345</v>
      </c>
    </row>
    <row r="1015" spans="1:11" x14ac:dyDescent="0.4">
      <c r="A1015" t="s">
        <v>5351</v>
      </c>
      <c r="B1015" t="s">
        <v>9</v>
      </c>
      <c r="C1015" t="s">
        <v>10</v>
      </c>
      <c r="D1015" t="s">
        <v>5352</v>
      </c>
      <c r="E1015" t="s">
        <v>5353</v>
      </c>
      <c r="F1015" t="str">
        <f>LEFT(E1015,5)</f>
        <v>서울특별시</v>
      </c>
      <c r="G1015" t="str">
        <f t="shared" si="35"/>
        <v>서대문구</v>
      </c>
      <c r="H1015" t="str">
        <f t="shared" si="38"/>
        <v>창천동</v>
      </c>
      <c r="I1015" t="s">
        <v>5354</v>
      </c>
      <c r="J1015" t="s">
        <v>5355</v>
      </c>
      <c r="K1015" t="s">
        <v>5356</v>
      </c>
    </row>
    <row r="1016" spans="1:11" x14ac:dyDescent="0.4">
      <c r="A1016" t="s">
        <v>6640</v>
      </c>
      <c r="B1016" t="s">
        <v>9</v>
      </c>
      <c r="C1016" t="s">
        <v>10</v>
      </c>
      <c r="D1016" t="s">
        <v>5352</v>
      </c>
      <c r="E1016" t="s">
        <v>6641</v>
      </c>
      <c r="F1016" t="str">
        <f>LEFT(E1016,5)</f>
        <v>서울특별시</v>
      </c>
      <c r="G1016" t="str">
        <f t="shared" si="35"/>
        <v>서대문구</v>
      </c>
      <c r="H1016" t="str">
        <f t="shared" si="38"/>
        <v>창천동</v>
      </c>
      <c r="I1016" t="s">
        <v>6642</v>
      </c>
      <c r="J1016" t="s">
        <v>6643</v>
      </c>
      <c r="K1016" t="s">
        <v>6644</v>
      </c>
    </row>
    <row r="1017" spans="1:11" x14ac:dyDescent="0.4">
      <c r="A1017" t="s">
        <v>1378</v>
      </c>
      <c r="B1017" t="s">
        <v>9</v>
      </c>
      <c r="C1017" t="s">
        <v>10</v>
      </c>
      <c r="D1017" t="s">
        <v>1379</v>
      </c>
      <c r="E1017" t="s">
        <v>1380</v>
      </c>
      <c r="F1017" t="str">
        <f>LEFT(E1017,5)</f>
        <v>서울특별시</v>
      </c>
      <c r="G1017" t="str">
        <f t="shared" si="35"/>
        <v>서대문구</v>
      </c>
      <c r="H1017" t="str">
        <f t="shared" si="38"/>
        <v>충정로</v>
      </c>
      <c r="I1017" t="s">
        <v>1381</v>
      </c>
      <c r="J1017" t="s">
        <v>1382</v>
      </c>
      <c r="K1017" t="s">
        <v>1383</v>
      </c>
    </row>
    <row r="1018" spans="1:11" x14ac:dyDescent="0.4">
      <c r="A1018" t="s">
        <v>7497</v>
      </c>
      <c r="B1018" t="s">
        <v>9</v>
      </c>
      <c r="C1018" t="s">
        <v>10</v>
      </c>
      <c r="D1018" t="s">
        <v>1379</v>
      </c>
      <c r="E1018" t="s">
        <v>7498</v>
      </c>
      <c r="F1018" t="str">
        <f>LEFT(E1018,5)</f>
        <v>서울특별시</v>
      </c>
      <c r="G1018" t="str">
        <f t="shared" si="35"/>
        <v>서대문구</v>
      </c>
      <c r="H1018" t="str">
        <f t="shared" si="38"/>
        <v>충정로</v>
      </c>
      <c r="I1018" t="s">
        <v>7499</v>
      </c>
      <c r="J1018" t="s">
        <v>7500</v>
      </c>
      <c r="K1018" t="s">
        <v>1052</v>
      </c>
    </row>
    <row r="1019" spans="1:11" x14ac:dyDescent="0.4">
      <c r="A1019" t="s">
        <v>8995</v>
      </c>
      <c r="B1019" t="s">
        <v>9</v>
      </c>
      <c r="C1019" t="s">
        <v>10</v>
      </c>
      <c r="D1019" t="s">
        <v>8996</v>
      </c>
      <c r="E1019" t="s">
        <v>8997</v>
      </c>
      <c r="F1019" t="str">
        <f>LEFT(E1019,5)</f>
        <v>서울특별시</v>
      </c>
      <c r="G1019" t="str">
        <f t="shared" si="35"/>
        <v>서대문구</v>
      </c>
      <c r="H1019" t="str">
        <f t="shared" si="38"/>
        <v>홍은동</v>
      </c>
      <c r="I1019" t="s">
        <v>8998</v>
      </c>
      <c r="J1019" t="s">
        <v>8999</v>
      </c>
      <c r="K1019" t="s">
        <v>9000</v>
      </c>
    </row>
    <row r="1020" spans="1:11" x14ac:dyDescent="0.4">
      <c r="A1020" t="s">
        <v>8970</v>
      </c>
      <c r="B1020" t="s">
        <v>9</v>
      </c>
      <c r="C1020" t="s">
        <v>10</v>
      </c>
      <c r="D1020" t="s">
        <v>7311</v>
      </c>
      <c r="E1020" t="s">
        <v>8971</v>
      </c>
      <c r="F1020" t="str">
        <f>LEFT(E1020,5)</f>
        <v>서울특별시</v>
      </c>
      <c r="G1020" t="str">
        <f t="shared" si="35"/>
        <v>서대문구</v>
      </c>
      <c r="H1020" t="str">
        <f t="shared" si="38"/>
        <v>홍은동</v>
      </c>
      <c r="I1020" t="s">
        <v>8972</v>
      </c>
      <c r="J1020" t="s">
        <v>8973</v>
      </c>
      <c r="K1020" t="s">
        <v>8974</v>
      </c>
    </row>
    <row r="1021" spans="1:11" x14ac:dyDescent="0.4">
      <c r="A1021" t="s">
        <v>7310</v>
      </c>
      <c r="B1021" t="s">
        <v>9</v>
      </c>
      <c r="C1021" t="s">
        <v>10</v>
      </c>
      <c r="D1021" t="s">
        <v>7311</v>
      </c>
      <c r="E1021" t="s">
        <v>7312</v>
      </c>
      <c r="F1021" t="str">
        <f>LEFT(E1021,5)</f>
        <v>서울특별시</v>
      </c>
      <c r="G1021" t="str">
        <f t="shared" si="35"/>
        <v>서대문구</v>
      </c>
      <c r="H1021" t="str">
        <f t="shared" si="38"/>
        <v>홍은동</v>
      </c>
      <c r="I1021" t="s">
        <v>7313</v>
      </c>
      <c r="J1021" t="s">
        <v>7314</v>
      </c>
      <c r="K1021" t="s">
        <v>7315</v>
      </c>
    </row>
    <row r="1022" spans="1:11" x14ac:dyDescent="0.4">
      <c r="A1022" t="s">
        <v>8064</v>
      </c>
      <c r="B1022" t="s">
        <v>9</v>
      </c>
      <c r="C1022" t="s">
        <v>10</v>
      </c>
      <c r="D1022" t="s">
        <v>7522</v>
      </c>
      <c r="E1022" t="s">
        <v>8065</v>
      </c>
      <c r="F1022" t="str">
        <f>LEFT(E1022,5)</f>
        <v>서울특별시</v>
      </c>
      <c r="G1022" t="str">
        <f t="shared" si="35"/>
        <v>서대문구</v>
      </c>
      <c r="H1022" t="str">
        <f t="shared" si="38"/>
        <v>홍은동</v>
      </c>
      <c r="I1022" t="s">
        <v>8066</v>
      </c>
      <c r="J1022" t="s">
        <v>7525</v>
      </c>
      <c r="K1022" t="s">
        <v>8067</v>
      </c>
    </row>
    <row r="1023" spans="1:11" x14ac:dyDescent="0.4">
      <c r="A1023" t="s">
        <v>7521</v>
      </c>
      <c r="B1023" t="s">
        <v>9</v>
      </c>
      <c r="C1023" t="s">
        <v>10</v>
      </c>
      <c r="D1023" t="s">
        <v>7522</v>
      </c>
      <c r="E1023" t="s">
        <v>7523</v>
      </c>
      <c r="F1023" t="str">
        <f>LEFT(E1023,5)</f>
        <v>서울특별시</v>
      </c>
      <c r="G1023" t="str">
        <f t="shared" si="35"/>
        <v>서대문구</v>
      </c>
      <c r="H1023" t="str">
        <f t="shared" si="38"/>
        <v>홍은동</v>
      </c>
      <c r="I1023" t="s">
        <v>7524</v>
      </c>
      <c r="J1023" t="s">
        <v>7525</v>
      </c>
      <c r="K1023" t="s">
        <v>4442</v>
      </c>
    </row>
    <row r="1024" spans="1:11" x14ac:dyDescent="0.4">
      <c r="A1024" t="s">
        <v>7863</v>
      </c>
      <c r="B1024" t="s">
        <v>9</v>
      </c>
      <c r="C1024" t="s">
        <v>10</v>
      </c>
      <c r="D1024" t="s">
        <v>3942</v>
      </c>
      <c r="E1024" t="s">
        <v>7864</v>
      </c>
      <c r="F1024" t="str">
        <f>LEFT(E1024,5)</f>
        <v>서울특별시</v>
      </c>
      <c r="G1024" t="str">
        <f t="shared" si="35"/>
        <v>서대문구</v>
      </c>
      <c r="H1024" t="str">
        <f t="shared" si="38"/>
        <v>홍제동</v>
      </c>
      <c r="I1024" t="s">
        <v>7865</v>
      </c>
      <c r="J1024" t="s">
        <v>3945</v>
      </c>
      <c r="K1024" t="s">
        <v>7866</v>
      </c>
    </row>
    <row r="1025" spans="1:11" x14ac:dyDescent="0.4">
      <c r="A1025" t="s">
        <v>7211</v>
      </c>
      <c r="B1025" t="s">
        <v>9</v>
      </c>
      <c r="C1025" t="s">
        <v>10</v>
      </c>
      <c r="D1025" t="s">
        <v>3942</v>
      </c>
      <c r="E1025" t="s">
        <v>7212</v>
      </c>
      <c r="F1025" t="str">
        <f>LEFT(E1025,5)</f>
        <v>서울특별시</v>
      </c>
      <c r="G1025" t="str">
        <f t="shared" si="35"/>
        <v>서대문구</v>
      </c>
      <c r="H1025" t="str">
        <f t="shared" si="38"/>
        <v>홍제동</v>
      </c>
      <c r="I1025" t="s">
        <v>7213</v>
      </c>
      <c r="J1025" t="s">
        <v>3945</v>
      </c>
      <c r="K1025" t="s">
        <v>5027</v>
      </c>
    </row>
    <row r="1026" spans="1:11" x14ac:dyDescent="0.4">
      <c r="A1026" t="s">
        <v>3941</v>
      </c>
      <c r="B1026" t="s">
        <v>9</v>
      </c>
      <c r="C1026" t="s">
        <v>10</v>
      </c>
      <c r="D1026" t="s">
        <v>3942</v>
      </c>
      <c r="E1026" t="s">
        <v>3943</v>
      </c>
      <c r="F1026" t="str">
        <f>LEFT(E1026,5)</f>
        <v>서울특별시</v>
      </c>
      <c r="G1026" t="str">
        <f t="shared" si="35"/>
        <v>서대문구</v>
      </c>
      <c r="H1026" t="str">
        <f t="shared" si="38"/>
        <v>홍제동</v>
      </c>
      <c r="I1026" t="s">
        <v>3944</v>
      </c>
      <c r="J1026" t="s">
        <v>3945</v>
      </c>
      <c r="K1026" t="s">
        <v>3946</v>
      </c>
    </row>
    <row r="1027" spans="1:11" x14ac:dyDescent="0.4">
      <c r="A1027" t="s">
        <v>2113</v>
      </c>
      <c r="B1027" t="s">
        <v>9</v>
      </c>
      <c r="C1027" t="s">
        <v>10</v>
      </c>
      <c r="D1027" t="s">
        <v>2114</v>
      </c>
      <c r="E1027" t="s">
        <v>2115</v>
      </c>
      <c r="F1027" t="str">
        <f>LEFT(E1027,5)</f>
        <v>서울특별시</v>
      </c>
      <c r="G1027" t="str">
        <f t="shared" ref="G1027:G1090" si="39">MID(E1027,7,4)</f>
        <v>서대문구</v>
      </c>
      <c r="H1027" t="str">
        <f t="shared" si="38"/>
        <v>홍제동</v>
      </c>
      <c r="I1027" t="s">
        <v>2116</v>
      </c>
      <c r="J1027" t="s">
        <v>2117</v>
      </c>
      <c r="K1027" t="s">
        <v>2118</v>
      </c>
    </row>
    <row r="1028" spans="1:11" x14ac:dyDescent="0.4">
      <c r="A1028" t="s">
        <v>7655</v>
      </c>
      <c r="B1028" t="s">
        <v>9</v>
      </c>
      <c r="C1028" t="s">
        <v>10</v>
      </c>
      <c r="D1028" t="s">
        <v>1701</v>
      </c>
      <c r="E1028" t="s">
        <v>7656</v>
      </c>
      <c r="F1028" t="str">
        <f>LEFT(E1028,5)</f>
        <v>서울특별시</v>
      </c>
      <c r="G1028" t="str">
        <f t="shared" si="39"/>
        <v>서대문구</v>
      </c>
      <c r="H1028" t="str">
        <f t="shared" si="38"/>
        <v>홍제동</v>
      </c>
      <c r="I1028" t="s">
        <v>7657</v>
      </c>
      <c r="J1028" t="s">
        <v>7658</v>
      </c>
      <c r="K1028" t="s">
        <v>2246</v>
      </c>
    </row>
    <row r="1029" spans="1:11" x14ac:dyDescent="0.4">
      <c r="A1029" t="s">
        <v>1700</v>
      </c>
      <c r="B1029" t="s">
        <v>9</v>
      </c>
      <c r="C1029" t="s">
        <v>10</v>
      </c>
      <c r="D1029" t="s">
        <v>1701</v>
      </c>
      <c r="E1029" t="s">
        <v>1702</v>
      </c>
      <c r="F1029" t="str">
        <f>LEFT(E1029,5)</f>
        <v>서울특별시</v>
      </c>
      <c r="G1029" t="str">
        <f t="shared" si="39"/>
        <v>서대문구</v>
      </c>
      <c r="H1029" t="str">
        <f t="shared" si="38"/>
        <v>홍제동</v>
      </c>
      <c r="I1029" t="s">
        <v>1703</v>
      </c>
      <c r="J1029" t="s">
        <v>1704</v>
      </c>
      <c r="K1029" t="s">
        <v>1705</v>
      </c>
    </row>
    <row r="1030" spans="1:11" x14ac:dyDescent="0.4">
      <c r="A1030" t="s">
        <v>3035</v>
      </c>
      <c r="B1030" t="s">
        <v>9</v>
      </c>
      <c r="C1030" t="s">
        <v>10</v>
      </c>
      <c r="D1030" t="s">
        <v>1701</v>
      </c>
      <c r="E1030" t="s">
        <v>3036</v>
      </c>
      <c r="F1030" t="str">
        <f>LEFT(E1030,5)</f>
        <v>서울특별시</v>
      </c>
      <c r="G1030" t="str">
        <f t="shared" si="39"/>
        <v>서대문구</v>
      </c>
      <c r="H1030" t="str">
        <f t="shared" si="38"/>
        <v>홍제동</v>
      </c>
      <c r="I1030" t="s">
        <v>3037</v>
      </c>
      <c r="J1030" t="s">
        <v>3038</v>
      </c>
      <c r="K1030" t="s">
        <v>3039</v>
      </c>
    </row>
    <row r="1031" spans="1:11" x14ac:dyDescent="0.4">
      <c r="A1031" t="s">
        <v>7728</v>
      </c>
      <c r="B1031" t="s">
        <v>9</v>
      </c>
      <c r="C1031" t="s">
        <v>10</v>
      </c>
      <c r="D1031" t="s">
        <v>1701</v>
      </c>
      <c r="E1031" t="s">
        <v>7729</v>
      </c>
      <c r="F1031" t="str">
        <f>LEFT(E1031,5)</f>
        <v>서울특별시</v>
      </c>
      <c r="G1031" t="str">
        <f t="shared" si="39"/>
        <v>서대문구</v>
      </c>
      <c r="H1031" t="str">
        <f t="shared" si="38"/>
        <v>홍제동</v>
      </c>
      <c r="I1031" t="s">
        <v>7730</v>
      </c>
      <c r="J1031" t="s">
        <v>7731</v>
      </c>
      <c r="K1031" t="s">
        <v>7732</v>
      </c>
    </row>
    <row r="1032" spans="1:11" x14ac:dyDescent="0.4">
      <c r="A1032" t="s">
        <v>7996</v>
      </c>
      <c r="B1032" t="s">
        <v>9</v>
      </c>
      <c r="C1032" t="s">
        <v>10</v>
      </c>
      <c r="D1032" t="s">
        <v>2114</v>
      </c>
      <c r="E1032" t="s">
        <v>7997</v>
      </c>
      <c r="F1032" t="str">
        <f>LEFT(E1032,5)</f>
        <v>서울특별시</v>
      </c>
      <c r="G1032" t="str">
        <f t="shared" si="39"/>
        <v>서대문구</v>
      </c>
      <c r="H1032" t="str">
        <f t="shared" si="38"/>
        <v>홍제동</v>
      </c>
      <c r="I1032" t="s">
        <v>7998</v>
      </c>
      <c r="J1032" t="s">
        <v>3038</v>
      </c>
      <c r="K1032" t="s">
        <v>281</v>
      </c>
    </row>
    <row r="1033" spans="1:11" x14ac:dyDescent="0.4">
      <c r="A1033" t="s">
        <v>6582</v>
      </c>
      <c r="B1033" t="s">
        <v>9</v>
      </c>
      <c r="C1033" t="s">
        <v>10</v>
      </c>
      <c r="D1033" t="s">
        <v>2114</v>
      </c>
      <c r="E1033" t="s">
        <v>6583</v>
      </c>
      <c r="F1033" t="str">
        <f>LEFT(E1033,5)</f>
        <v>서울특별시</v>
      </c>
      <c r="G1033" t="str">
        <f t="shared" si="39"/>
        <v>서대문구</v>
      </c>
      <c r="H1033" t="str">
        <f t="shared" si="38"/>
        <v>홍제동</v>
      </c>
      <c r="I1033" t="s">
        <v>6584</v>
      </c>
      <c r="J1033" t="s">
        <v>3038</v>
      </c>
      <c r="K1033" t="s">
        <v>6585</v>
      </c>
    </row>
    <row r="1034" spans="1:11" x14ac:dyDescent="0.4">
      <c r="A1034" t="s">
        <v>2285</v>
      </c>
      <c r="B1034" t="s">
        <v>9</v>
      </c>
      <c r="C1034" t="s">
        <v>10</v>
      </c>
      <c r="D1034" t="s">
        <v>2286</v>
      </c>
      <c r="E1034" t="s">
        <v>2287</v>
      </c>
      <c r="F1034" t="str">
        <f>LEFT(E1034,5)</f>
        <v>서울특별시</v>
      </c>
      <c r="G1034" t="str">
        <f t="shared" si="39"/>
        <v xml:space="preserve">서초구 </v>
      </c>
      <c r="H1034" t="str">
        <f t="shared" ref="H1027:H1090" si="40">MID(SUBSTITUTE(E1034," ",""),9,3)</f>
        <v>반포동</v>
      </c>
      <c r="I1034" t="s">
        <v>2288</v>
      </c>
      <c r="J1034" t="s">
        <v>2289</v>
      </c>
      <c r="K1034" t="s">
        <v>2290</v>
      </c>
    </row>
    <row r="1035" spans="1:11" x14ac:dyDescent="0.4">
      <c r="A1035" t="s">
        <v>8955</v>
      </c>
      <c r="B1035" t="s">
        <v>9</v>
      </c>
      <c r="C1035" t="s">
        <v>10</v>
      </c>
      <c r="D1035" t="s">
        <v>8956</v>
      </c>
      <c r="E1035" t="s">
        <v>8957</v>
      </c>
      <c r="F1035" t="str">
        <f>LEFT(E1035,5)</f>
        <v>서울특별시</v>
      </c>
      <c r="G1035" t="str">
        <f t="shared" si="39"/>
        <v xml:space="preserve">서초구 </v>
      </c>
      <c r="H1035" t="str">
        <f t="shared" si="40"/>
        <v>반포동</v>
      </c>
      <c r="I1035" t="s">
        <v>8958</v>
      </c>
      <c r="J1035" t="s">
        <v>8959</v>
      </c>
      <c r="K1035" t="s">
        <v>8960</v>
      </c>
    </row>
    <row r="1036" spans="1:11" x14ac:dyDescent="0.4">
      <c r="A1036" t="s">
        <v>4622</v>
      </c>
      <c r="B1036" t="s">
        <v>9</v>
      </c>
      <c r="C1036" t="s">
        <v>10</v>
      </c>
      <c r="D1036" t="s">
        <v>1066</v>
      </c>
      <c r="E1036" t="s">
        <v>4623</v>
      </c>
      <c r="F1036" t="str">
        <f>LEFT(E1036,5)</f>
        <v>서울특별시</v>
      </c>
      <c r="G1036" t="str">
        <f t="shared" si="39"/>
        <v xml:space="preserve">서초구 </v>
      </c>
      <c r="H1036" t="str">
        <f t="shared" si="40"/>
        <v>방배동</v>
      </c>
      <c r="I1036" t="s">
        <v>4624</v>
      </c>
      <c r="J1036" t="s">
        <v>1069</v>
      </c>
      <c r="K1036" t="s">
        <v>4625</v>
      </c>
    </row>
    <row r="1037" spans="1:11" x14ac:dyDescent="0.4">
      <c r="A1037" t="s">
        <v>1065</v>
      </c>
      <c r="B1037" t="s">
        <v>9</v>
      </c>
      <c r="C1037" t="s">
        <v>10</v>
      </c>
      <c r="D1037" t="s">
        <v>1066</v>
      </c>
      <c r="E1037" t="s">
        <v>1067</v>
      </c>
      <c r="F1037" t="str">
        <f>LEFT(E1037,5)</f>
        <v>서울특별시</v>
      </c>
      <c r="G1037" t="str">
        <f t="shared" si="39"/>
        <v xml:space="preserve">서초구 </v>
      </c>
      <c r="H1037" t="str">
        <f t="shared" si="40"/>
        <v>방배동</v>
      </c>
      <c r="I1037" t="s">
        <v>1068</v>
      </c>
      <c r="J1037" t="s">
        <v>1069</v>
      </c>
      <c r="K1037" t="s">
        <v>1070</v>
      </c>
    </row>
    <row r="1038" spans="1:11" x14ac:dyDescent="0.4">
      <c r="A1038" t="s">
        <v>1133</v>
      </c>
      <c r="B1038" t="s">
        <v>9</v>
      </c>
      <c r="C1038" t="s">
        <v>10</v>
      </c>
      <c r="D1038" t="s">
        <v>1066</v>
      </c>
      <c r="E1038" t="s">
        <v>1134</v>
      </c>
      <c r="F1038" t="str">
        <f>LEFT(E1038,5)</f>
        <v>서울특별시</v>
      </c>
      <c r="G1038" t="str">
        <f t="shared" si="39"/>
        <v xml:space="preserve">서초구 </v>
      </c>
      <c r="H1038" t="str">
        <f t="shared" si="40"/>
        <v>방배동</v>
      </c>
      <c r="I1038" t="s">
        <v>1135</v>
      </c>
      <c r="J1038" t="s">
        <v>1069</v>
      </c>
      <c r="K1038" t="s">
        <v>1136</v>
      </c>
    </row>
    <row r="1039" spans="1:11" x14ac:dyDescent="0.4">
      <c r="A1039" t="s">
        <v>2217</v>
      </c>
      <c r="B1039" t="s">
        <v>9</v>
      </c>
      <c r="C1039" t="s">
        <v>10</v>
      </c>
      <c r="D1039" t="s">
        <v>1066</v>
      </c>
      <c r="E1039" t="s">
        <v>2218</v>
      </c>
      <c r="F1039" t="str">
        <f>LEFT(E1039,5)</f>
        <v>서울특별시</v>
      </c>
      <c r="G1039" t="str">
        <f t="shared" si="39"/>
        <v xml:space="preserve">서초구 </v>
      </c>
      <c r="H1039" t="str">
        <f t="shared" si="40"/>
        <v>방배동</v>
      </c>
      <c r="I1039" t="s">
        <v>2219</v>
      </c>
      <c r="J1039" t="s">
        <v>1069</v>
      </c>
      <c r="K1039" t="s">
        <v>2220</v>
      </c>
    </row>
    <row r="1040" spans="1:11" x14ac:dyDescent="0.4">
      <c r="A1040" t="s">
        <v>7659</v>
      </c>
      <c r="B1040" t="s">
        <v>9</v>
      </c>
      <c r="C1040" t="s">
        <v>10</v>
      </c>
      <c r="D1040" t="s">
        <v>1066</v>
      </c>
      <c r="E1040" t="s">
        <v>7660</v>
      </c>
      <c r="F1040" t="str">
        <f>LEFT(E1040,5)</f>
        <v>서울특별시</v>
      </c>
      <c r="G1040" t="str">
        <f t="shared" si="39"/>
        <v xml:space="preserve">서초구 </v>
      </c>
      <c r="H1040" t="str">
        <f t="shared" si="40"/>
        <v>방배동</v>
      </c>
      <c r="I1040" t="s">
        <v>7661</v>
      </c>
      <c r="J1040" t="s">
        <v>7662</v>
      </c>
      <c r="K1040" t="s">
        <v>7663</v>
      </c>
    </row>
    <row r="1041" spans="1:11" x14ac:dyDescent="0.4">
      <c r="A1041" t="s">
        <v>3967</v>
      </c>
      <c r="B1041" t="s">
        <v>9</v>
      </c>
      <c r="C1041" t="s">
        <v>10</v>
      </c>
      <c r="D1041" t="s">
        <v>3968</v>
      </c>
      <c r="E1041" t="s">
        <v>3969</v>
      </c>
      <c r="F1041" t="str">
        <f>LEFT(E1041,5)</f>
        <v>서울특별시</v>
      </c>
      <c r="G1041" t="str">
        <f t="shared" si="39"/>
        <v xml:space="preserve">서초구 </v>
      </c>
      <c r="H1041" t="str">
        <f t="shared" si="40"/>
        <v>방배동</v>
      </c>
      <c r="I1041" t="s">
        <v>3970</v>
      </c>
      <c r="J1041" t="s">
        <v>3971</v>
      </c>
      <c r="K1041" t="s">
        <v>3972</v>
      </c>
    </row>
    <row r="1042" spans="1:11" x14ac:dyDescent="0.4">
      <c r="A1042" t="s">
        <v>6139</v>
      </c>
      <c r="B1042" t="s">
        <v>9</v>
      </c>
      <c r="C1042" t="s">
        <v>10</v>
      </c>
      <c r="D1042" t="s">
        <v>3968</v>
      </c>
      <c r="E1042" t="s">
        <v>6140</v>
      </c>
      <c r="F1042" t="str">
        <f>LEFT(E1042,5)</f>
        <v>서울특별시</v>
      </c>
      <c r="G1042" t="str">
        <f t="shared" si="39"/>
        <v xml:space="preserve">서초구 </v>
      </c>
      <c r="H1042" t="str">
        <f t="shared" si="40"/>
        <v>방배동</v>
      </c>
      <c r="I1042" t="s">
        <v>6141</v>
      </c>
      <c r="J1042" t="s">
        <v>4657</v>
      </c>
      <c r="K1042" t="s">
        <v>6142</v>
      </c>
    </row>
    <row r="1043" spans="1:11" x14ac:dyDescent="0.4">
      <c r="A1043" t="s">
        <v>4654</v>
      </c>
      <c r="B1043" t="s">
        <v>9</v>
      </c>
      <c r="C1043" t="s">
        <v>10</v>
      </c>
      <c r="D1043" t="s">
        <v>3968</v>
      </c>
      <c r="E1043" t="s">
        <v>4655</v>
      </c>
      <c r="F1043" t="str">
        <f>LEFT(E1043,5)</f>
        <v>서울특별시</v>
      </c>
      <c r="G1043" t="str">
        <f t="shared" si="39"/>
        <v xml:space="preserve">서초구 </v>
      </c>
      <c r="H1043" t="str">
        <f t="shared" si="40"/>
        <v>방배동</v>
      </c>
      <c r="I1043" t="s">
        <v>4656</v>
      </c>
      <c r="J1043" t="s">
        <v>4657</v>
      </c>
      <c r="K1043" t="s">
        <v>4658</v>
      </c>
    </row>
    <row r="1044" spans="1:11" x14ac:dyDescent="0.4">
      <c r="A1044" t="s">
        <v>3200</v>
      </c>
      <c r="B1044" t="s">
        <v>9</v>
      </c>
      <c r="C1044" t="s">
        <v>10</v>
      </c>
      <c r="D1044" t="s">
        <v>2888</v>
      </c>
      <c r="E1044" t="s">
        <v>3201</v>
      </c>
      <c r="F1044" t="str">
        <f>LEFT(E1044,5)</f>
        <v>서울특별시</v>
      </c>
      <c r="G1044" t="str">
        <f t="shared" si="39"/>
        <v xml:space="preserve">서초구 </v>
      </c>
      <c r="H1044" t="str">
        <f t="shared" si="40"/>
        <v>방배동</v>
      </c>
      <c r="I1044" t="s">
        <v>3202</v>
      </c>
      <c r="J1044" t="s">
        <v>3203</v>
      </c>
      <c r="K1044" t="s">
        <v>3204</v>
      </c>
    </row>
    <row r="1045" spans="1:11" x14ac:dyDescent="0.4">
      <c r="A1045" t="s">
        <v>8887</v>
      </c>
      <c r="B1045" t="s">
        <v>9</v>
      </c>
      <c r="C1045" t="s">
        <v>10</v>
      </c>
      <c r="D1045" t="s">
        <v>2888</v>
      </c>
      <c r="E1045" t="s">
        <v>8888</v>
      </c>
      <c r="F1045" t="str">
        <f>LEFT(E1045,5)</f>
        <v>서울특별시</v>
      </c>
      <c r="G1045" t="str">
        <f t="shared" si="39"/>
        <v xml:space="preserve">서초구 </v>
      </c>
      <c r="H1045" t="str">
        <f t="shared" si="40"/>
        <v>방배동</v>
      </c>
      <c r="I1045" t="s">
        <v>8889</v>
      </c>
      <c r="J1045" t="s">
        <v>3203</v>
      </c>
      <c r="K1045" t="s">
        <v>8890</v>
      </c>
    </row>
    <row r="1046" spans="1:11" x14ac:dyDescent="0.4">
      <c r="A1046" t="s">
        <v>3822</v>
      </c>
      <c r="B1046" t="s">
        <v>9</v>
      </c>
      <c r="C1046" t="s">
        <v>10</v>
      </c>
      <c r="D1046" t="s">
        <v>2888</v>
      </c>
      <c r="E1046" t="s">
        <v>3823</v>
      </c>
      <c r="F1046" t="str">
        <f>LEFT(E1046,5)</f>
        <v>서울특별시</v>
      </c>
      <c r="G1046" t="str">
        <f t="shared" si="39"/>
        <v xml:space="preserve">서초구 </v>
      </c>
      <c r="H1046" t="str">
        <f t="shared" si="40"/>
        <v>방배동</v>
      </c>
      <c r="I1046" t="s">
        <v>3824</v>
      </c>
      <c r="J1046" t="s">
        <v>3825</v>
      </c>
      <c r="K1046" t="s">
        <v>3826</v>
      </c>
    </row>
    <row r="1047" spans="1:11" x14ac:dyDescent="0.4">
      <c r="A1047" t="s">
        <v>5683</v>
      </c>
      <c r="B1047" t="s">
        <v>9</v>
      </c>
      <c r="C1047" t="s">
        <v>10</v>
      </c>
      <c r="D1047" t="s">
        <v>2888</v>
      </c>
      <c r="E1047" t="s">
        <v>5684</v>
      </c>
      <c r="F1047" t="str">
        <f>LEFT(E1047,5)</f>
        <v>서울특별시</v>
      </c>
      <c r="G1047" t="str">
        <f t="shared" si="39"/>
        <v xml:space="preserve">서초구 </v>
      </c>
      <c r="H1047" t="str">
        <f t="shared" si="40"/>
        <v>방배동</v>
      </c>
      <c r="I1047" t="s">
        <v>5685</v>
      </c>
      <c r="J1047" t="s">
        <v>3825</v>
      </c>
      <c r="K1047" t="s">
        <v>5686</v>
      </c>
    </row>
    <row r="1048" spans="1:11" x14ac:dyDescent="0.4">
      <c r="A1048" t="s">
        <v>2887</v>
      </c>
      <c r="B1048" t="s">
        <v>9</v>
      </c>
      <c r="C1048" t="s">
        <v>10</v>
      </c>
      <c r="D1048" t="s">
        <v>2888</v>
      </c>
      <c r="E1048" t="s">
        <v>2889</v>
      </c>
      <c r="F1048" t="str">
        <f>LEFT(E1048,5)</f>
        <v>서울특별시</v>
      </c>
      <c r="G1048" t="str">
        <f t="shared" si="39"/>
        <v xml:space="preserve">서초구 </v>
      </c>
      <c r="H1048" t="str">
        <f t="shared" si="40"/>
        <v>방배동</v>
      </c>
      <c r="I1048" t="s">
        <v>2890</v>
      </c>
      <c r="J1048" t="s">
        <v>2891</v>
      </c>
      <c r="K1048" t="s">
        <v>2892</v>
      </c>
    </row>
    <row r="1049" spans="1:11" x14ac:dyDescent="0.4">
      <c r="A1049" t="s">
        <v>8750</v>
      </c>
      <c r="B1049" t="s">
        <v>9</v>
      </c>
      <c r="C1049" t="s">
        <v>10</v>
      </c>
      <c r="D1049" t="s">
        <v>2888</v>
      </c>
      <c r="E1049" t="s">
        <v>8751</v>
      </c>
      <c r="F1049" t="str">
        <f>LEFT(E1049,5)</f>
        <v>서울특별시</v>
      </c>
      <c r="G1049" t="str">
        <f t="shared" si="39"/>
        <v xml:space="preserve">서초구 </v>
      </c>
      <c r="H1049" t="str">
        <f t="shared" si="40"/>
        <v>방배동</v>
      </c>
      <c r="I1049" t="s">
        <v>8752</v>
      </c>
      <c r="J1049" t="s">
        <v>8753</v>
      </c>
      <c r="K1049" t="s">
        <v>8754</v>
      </c>
    </row>
    <row r="1050" spans="1:11" x14ac:dyDescent="0.4">
      <c r="A1050" t="s">
        <v>2876</v>
      </c>
      <c r="B1050" t="s">
        <v>9</v>
      </c>
      <c r="C1050" t="s">
        <v>10</v>
      </c>
      <c r="D1050" t="s">
        <v>2877</v>
      </c>
      <c r="E1050" t="s">
        <v>2878</v>
      </c>
      <c r="F1050" t="str">
        <f>LEFT(E1050,5)</f>
        <v>서울특별시</v>
      </c>
      <c r="G1050" t="str">
        <f t="shared" si="39"/>
        <v xml:space="preserve">서초구 </v>
      </c>
      <c r="H1050" t="str">
        <f t="shared" si="40"/>
        <v>방배동</v>
      </c>
      <c r="I1050" t="s">
        <v>2879</v>
      </c>
      <c r="J1050" t="s">
        <v>2880</v>
      </c>
      <c r="K1050" t="s">
        <v>2881</v>
      </c>
    </row>
    <row r="1051" spans="1:11" x14ac:dyDescent="0.4">
      <c r="A1051" t="s">
        <v>8924</v>
      </c>
      <c r="B1051" t="s">
        <v>9</v>
      </c>
      <c r="C1051" t="s">
        <v>10</v>
      </c>
      <c r="D1051" t="s">
        <v>8925</v>
      </c>
      <c r="E1051" t="s">
        <v>8926</v>
      </c>
      <c r="F1051" t="str">
        <f>LEFT(E1051,5)</f>
        <v>서울특별시</v>
      </c>
      <c r="G1051" t="str">
        <f t="shared" si="39"/>
        <v xml:space="preserve">서초구 </v>
      </c>
      <c r="H1051" t="str">
        <f t="shared" si="40"/>
        <v>방배동</v>
      </c>
      <c r="I1051" t="s">
        <v>8927</v>
      </c>
      <c r="J1051" t="s">
        <v>8928</v>
      </c>
      <c r="K1051" t="s">
        <v>1339</v>
      </c>
    </row>
    <row r="1052" spans="1:11" x14ac:dyDescent="0.4">
      <c r="A1052" t="s">
        <v>6670</v>
      </c>
      <c r="B1052" t="s">
        <v>9</v>
      </c>
      <c r="C1052" t="s">
        <v>10</v>
      </c>
      <c r="D1052" t="s">
        <v>2047</v>
      </c>
      <c r="E1052" t="s">
        <v>6671</v>
      </c>
      <c r="F1052" t="str">
        <f>LEFT(E1052,5)</f>
        <v>서울특별시</v>
      </c>
      <c r="G1052" t="str">
        <f t="shared" si="39"/>
        <v xml:space="preserve">서초구 </v>
      </c>
      <c r="H1052" t="str">
        <f t="shared" si="40"/>
        <v>서초동</v>
      </c>
      <c r="I1052" t="s">
        <v>6672</v>
      </c>
      <c r="J1052" t="s">
        <v>6673</v>
      </c>
      <c r="K1052" t="s">
        <v>6674</v>
      </c>
    </row>
    <row r="1053" spans="1:11" x14ac:dyDescent="0.4">
      <c r="A1053" t="s">
        <v>2046</v>
      </c>
      <c r="B1053" t="s">
        <v>9</v>
      </c>
      <c r="C1053" t="s">
        <v>10</v>
      </c>
      <c r="D1053" t="s">
        <v>2047</v>
      </c>
      <c r="E1053" t="s">
        <v>2048</v>
      </c>
      <c r="F1053" t="str">
        <f>LEFT(E1053,5)</f>
        <v>서울특별시</v>
      </c>
      <c r="G1053" t="str">
        <f t="shared" si="39"/>
        <v xml:space="preserve">서초구 </v>
      </c>
      <c r="H1053" t="str">
        <f t="shared" si="40"/>
        <v>서초동</v>
      </c>
      <c r="I1053" t="s">
        <v>2049</v>
      </c>
      <c r="J1053" t="s">
        <v>2050</v>
      </c>
      <c r="K1053" t="s">
        <v>2051</v>
      </c>
    </row>
    <row r="1054" spans="1:11" x14ac:dyDescent="0.4">
      <c r="A1054" t="s">
        <v>1463</v>
      </c>
      <c r="B1054" t="s">
        <v>9</v>
      </c>
      <c r="C1054" t="s">
        <v>10</v>
      </c>
      <c r="D1054" t="s">
        <v>1464</v>
      </c>
      <c r="E1054" t="s">
        <v>1465</v>
      </c>
      <c r="F1054" t="str">
        <f>LEFT(E1054,5)</f>
        <v>서울특별시</v>
      </c>
      <c r="G1054" t="str">
        <f t="shared" si="39"/>
        <v xml:space="preserve">서초구 </v>
      </c>
      <c r="H1054" t="str">
        <f t="shared" si="40"/>
        <v>서초동</v>
      </c>
      <c r="I1054" t="s">
        <v>1466</v>
      </c>
      <c r="J1054" t="s">
        <v>1467</v>
      </c>
      <c r="K1054" t="s">
        <v>1468</v>
      </c>
    </row>
    <row r="1055" spans="1:11" x14ac:dyDescent="0.4">
      <c r="A1055" t="s">
        <v>564</v>
      </c>
      <c r="B1055" t="s">
        <v>9</v>
      </c>
      <c r="C1055" t="s">
        <v>10</v>
      </c>
      <c r="D1055" t="s">
        <v>565</v>
      </c>
      <c r="E1055" t="s">
        <v>566</v>
      </c>
      <c r="F1055" t="str">
        <f>LEFT(E1055,5)</f>
        <v>서울특별시</v>
      </c>
      <c r="G1055" t="str">
        <f t="shared" si="39"/>
        <v xml:space="preserve">서초구 </v>
      </c>
      <c r="H1055" t="str">
        <f t="shared" si="40"/>
        <v>서초동</v>
      </c>
      <c r="I1055" t="s">
        <v>567</v>
      </c>
      <c r="J1055" t="s">
        <v>568</v>
      </c>
      <c r="K1055" t="s">
        <v>569</v>
      </c>
    </row>
    <row r="1056" spans="1:11" x14ac:dyDescent="0.4">
      <c r="A1056" t="s">
        <v>1285</v>
      </c>
      <c r="B1056" t="s">
        <v>9</v>
      </c>
      <c r="C1056" t="s">
        <v>10</v>
      </c>
      <c r="D1056" t="s">
        <v>565</v>
      </c>
      <c r="E1056" t="s">
        <v>1286</v>
      </c>
      <c r="F1056" t="str">
        <f>LEFT(E1056,5)</f>
        <v>서울특별시</v>
      </c>
      <c r="G1056" t="str">
        <f t="shared" si="39"/>
        <v xml:space="preserve">서초구 </v>
      </c>
      <c r="H1056" t="str">
        <f t="shared" si="40"/>
        <v>서초동</v>
      </c>
      <c r="I1056" t="s">
        <v>1287</v>
      </c>
      <c r="J1056" t="s">
        <v>893</v>
      </c>
      <c r="K1056" t="s">
        <v>1288</v>
      </c>
    </row>
    <row r="1057" spans="1:11" x14ac:dyDescent="0.4">
      <c r="A1057" t="s">
        <v>890</v>
      </c>
      <c r="B1057" t="s">
        <v>9</v>
      </c>
      <c r="C1057" t="s">
        <v>10</v>
      </c>
      <c r="D1057" t="s">
        <v>565</v>
      </c>
      <c r="E1057" t="s">
        <v>891</v>
      </c>
      <c r="F1057" t="str">
        <f>LEFT(E1057,5)</f>
        <v>서울특별시</v>
      </c>
      <c r="G1057" t="str">
        <f t="shared" si="39"/>
        <v xml:space="preserve">서초구 </v>
      </c>
      <c r="H1057" t="str">
        <f t="shared" si="40"/>
        <v>서초동</v>
      </c>
      <c r="I1057" t="s">
        <v>892</v>
      </c>
      <c r="J1057" t="s">
        <v>893</v>
      </c>
      <c r="K1057" t="s">
        <v>894</v>
      </c>
    </row>
    <row r="1058" spans="1:11" x14ac:dyDescent="0.4">
      <c r="A1058" t="s">
        <v>1190</v>
      </c>
      <c r="B1058" t="s">
        <v>9</v>
      </c>
      <c r="C1058" t="s">
        <v>10</v>
      </c>
      <c r="D1058" t="s">
        <v>1191</v>
      </c>
      <c r="E1058" t="s">
        <v>1192</v>
      </c>
      <c r="F1058" t="str">
        <f>LEFT(E1058,5)</f>
        <v>서울특별시</v>
      </c>
      <c r="G1058" t="str">
        <f t="shared" si="39"/>
        <v xml:space="preserve">서초구 </v>
      </c>
      <c r="H1058" t="str">
        <f t="shared" si="40"/>
        <v>서초동</v>
      </c>
      <c r="I1058" t="s">
        <v>1193</v>
      </c>
      <c r="J1058" t="s">
        <v>1194</v>
      </c>
      <c r="K1058" t="s">
        <v>1195</v>
      </c>
    </row>
    <row r="1059" spans="1:11" x14ac:dyDescent="0.4">
      <c r="A1059" t="s">
        <v>2773</v>
      </c>
      <c r="B1059" t="s">
        <v>9</v>
      </c>
      <c r="C1059" t="s">
        <v>10</v>
      </c>
      <c r="D1059" t="s">
        <v>1191</v>
      </c>
      <c r="E1059" t="s">
        <v>2774</v>
      </c>
      <c r="F1059" t="str">
        <f>LEFT(E1059,5)</f>
        <v>서울특별시</v>
      </c>
      <c r="G1059" t="str">
        <f t="shared" si="39"/>
        <v xml:space="preserve">서초구 </v>
      </c>
      <c r="H1059" t="str">
        <f t="shared" si="40"/>
        <v>서초동</v>
      </c>
      <c r="I1059" t="s">
        <v>2775</v>
      </c>
      <c r="J1059" t="s">
        <v>1194</v>
      </c>
      <c r="K1059" t="s">
        <v>2776</v>
      </c>
    </row>
    <row r="1060" spans="1:11" x14ac:dyDescent="0.4">
      <c r="A1060" t="s">
        <v>2179</v>
      </c>
      <c r="B1060" t="s">
        <v>9</v>
      </c>
      <c r="C1060" t="s">
        <v>10</v>
      </c>
      <c r="D1060" t="s">
        <v>439</v>
      </c>
      <c r="E1060" t="s">
        <v>2180</v>
      </c>
      <c r="F1060" t="str">
        <f>LEFT(E1060,5)</f>
        <v>서울특별시</v>
      </c>
      <c r="G1060" t="str">
        <f t="shared" si="39"/>
        <v xml:space="preserve">서초구 </v>
      </c>
      <c r="H1060" t="str">
        <f t="shared" si="40"/>
        <v>서초동</v>
      </c>
      <c r="I1060" t="s">
        <v>2181</v>
      </c>
      <c r="J1060" t="s">
        <v>442</v>
      </c>
      <c r="K1060" t="s">
        <v>2182</v>
      </c>
    </row>
    <row r="1061" spans="1:11" x14ac:dyDescent="0.4">
      <c r="A1061" t="s">
        <v>438</v>
      </c>
      <c r="B1061" t="s">
        <v>9</v>
      </c>
      <c r="C1061" t="s">
        <v>10</v>
      </c>
      <c r="D1061" t="s">
        <v>439</v>
      </c>
      <c r="E1061" t="s">
        <v>440</v>
      </c>
      <c r="F1061" t="str">
        <f>LEFT(E1061,5)</f>
        <v>서울특별시</v>
      </c>
      <c r="G1061" t="str">
        <f t="shared" si="39"/>
        <v xml:space="preserve">서초구 </v>
      </c>
      <c r="H1061" t="str">
        <f t="shared" si="40"/>
        <v>서초동</v>
      </c>
      <c r="I1061" t="s">
        <v>441</v>
      </c>
      <c r="J1061" t="s">
        <v>442</v>
      </c>
      <c r="K1061" t="s">
        <v>443</v>
      </c>
    </row>
    <row r="1062" spans="1:11" x14ac:dyDescent="0.4">
      <c r="A1062" t="s">
        <v>1306</v>
      </c>
      <c r="B1062" t="s">
        <v>9</v>
      </c>
      <c r="C1062" t="s">
        <v>10</v>
      </c>
      <c r="D1062" t="s">
        <v>439</v>
      </c>
      <c r="E1062" t="s">
        <v>1307</v>
      </c>
      <c r="F1062" t="str">
        <f>LEFT(E1062,5)</f>
        <v>서울특별시</v>
      </c>
      <c r="G1062" t="str">
        <f t="shared" si="39"/>
        <v xml:space="preserve">서초구 </v>
      </c>
      <c r="H1062" t="str">
        <f t="shared" si="40"/>
        <v>서초동</v>
      </c>
      <c r="I1062" t="s">
        <v>1308</v>
      </c>
      <c r="J1062" t="s">
        <v>442</v>
      </c>
      <c r="K1062" t="s">
        <v>1309</v>
      </c>
    </row>
    <row r="1063" spans="1:11" x14ac:dyDescent="0.4">
      <c r="A1063" t="s">
        <v>8305</v>
      </c>
      <c r="B1063" t="s">
        <v>9</v>
      </c>
      <c r="C1063" t="s">
        <v>10</v>
      </c>
      <c r="D1063" t="s">
        <v>8306</v>
      </c>
      <c r="E1063" t="s">
        <v>8307</v>
      </c>
      <c r="F1063" t="str">
        <f>LEFT(E1063,5)</f>
        <v>서울특별시</v>
      </c>
      <c r="G1063" t="str">
        <f t="shared" si="39"/>
        <v xml:space="preserve">서초구 </v>
      </c>
      <c r="H1063" t="str">
        <f t="shared" si="40"/>
        <v>서초동</v>
      </c>
      <c r="I1063" t="s">
        <v>8308</v>
      </c>
      <c r="J1063" t="s">
        <v>8309</v>
      </c>
      <c r="K1063" t="s">
        <v>8310</v>
      </c>
    </row>
    <row r="1064" spans="1:11" x14ac:dyDescent="0.4">
      <c r="A1064" t="s">
        <v>8265</v>
      </c>
      <c r="B1064" t="s">
        <v>9</v>
      </c>
      <c r="C1064" t="s">
        <v>10</v>
      </c>
      <c r="D1064" t="s">
        <v>8266</v>
      </c>
      <c r="E1064" t="s">
        <v>8267</v>
      </c>
      <c r="F1064" t="str">
        <f>LEFT(E1064,5)</f>
        <v>서울특별시</v>
      </c>
      <c r="G1064" t="str">
        <f t="shared" si="39"/>
        <v xml:space="preserve">서초구 </v>
      </c>
      <c r="H1064" t="str">
        <f t="shared" si="40"/>
        <v>서초동</v>
      </c>
      <c r="I1064" t="s">
        <v>8268</v>
      </c>
      <c r="J1064" t="s">
        <v>8269</v>
      </c>
      <c r="K1064" t="s">
        <v>8270</v>
      </c>
    </row>
    <row r="1065" spans="1:11" x14ac:dyDescent="0.4">
      <c r="A1065" t="s">
        <v>8486</v>
      </c>
      <c r="B1065" t="s">
        <v>9</v>
      </c>
      <c r="C1065" t="s">
        <v>10</v>
      </c>
      <c r="D1065" t="s">
        <v>8266</v>
      </c>
      <c r="E1065" t="s">
        <v>8487</v>
      </c>
      <c r="F1065" t="str">
        <f>LEFT(E1065,5)</f>
        <v>서울특별시</v>
      </c>
      <c r="G1065" t="str">
        <f t="shared" si="39"/>
        <v xml:space="preserve">서초구 </v>
      </c>
      <c r="H1065" t="str">
        <f t="shared" si="40"/>
        <v>서초동</v>
      </c>
      <c r="I1065" t="s">
        <v>8488</v>
      </c>
      <c r="J1065" t="s">
        <v>8269</v>
      </c>
      <c r="K1065" t="s">
        <v>3319</v>
      </c>
    </row>
    <row r="1066" spans="1:11" x14ac:dyDescent="0.4">
      <c r="A1066" t="s">
        <v>6736</v>
      </c>
      <c r="B1066" t="s">
        <v>9</v>
      </c>
      <c r="C1066" t="s">
        <v>10</v>
      </c>
      <c r="D1066" t="s">
        <v>6737</v>
      </c>
      <c r="E1066" t="s">
        <v>6738</v>
      </c>
      <c r="F1066" t="str">
        <f>LEFT(E1066,5)</f>
        <v>서울특별시</v>
      </c>
      <c r="G1066" t="str">
        <f t="shared" si="39"/>
        <v xml:space="preserve">서초구 </v>
      </c>
      <c r="H1066" t="str">
        <f t="shared" si="40"/>
        <v>서초동</v>
      </c>
      <c r="I1066" t="s">
        <v>6739</v>
      </c>
      <c r="J1066" t="s">
        <v>6740</v>
      </c>
      <c r="K1066" t="s">
        <v>6741</v>
      </c>
    </row>
    <row r="1067" spans="1:11" x14ac:dyDescent="0.4">
      <c r="A1067" t="s">
        <v>2086</v>
      </c>
      <c r="B1067" t="s">
        <v>9</v>
      </c>
      <c r="C1067" t="s">
        <v>10</v>
      </c>
      <c r="D1067" t="s">
        <v>2014</v>
      </c>
      <c r="E1067" t="s">
        <v>2087</v>
      </c>
      <c r="F1067" t="str">
        <f>LEFT(E1067,5)</f>
        <v>서울특별시</v>
      </c>
      <c r="G1067" t="str">
        <f t="shared" si="39"/>
        <v xml:space="preserve">서초구 </v>
      </c>
      <c r="H1067" t="str">
        <f t="shared" si="40"/>
        <v>서초동</v>
      </c>
      <c r="I1067" t="s">
        <v>2088</v>
      </c>
      <c r="J1067" t="s">
        <v>2089</v>
      </c>
      <c r="K1067" t="s">
        <v>2090</v>
      </c>
    </row>
    <row r="1068" spans="1:11" x14ac:dyDescent="0.4">
      <c r="A1068" t="s">
        <v>2013</v>
      </c>
      <c r="B1068" t="s">
        <v>9</v>
      </c>
      <c r="C1068" t="s">
        <v>10</v>
      </c>
      <c r="D1068" t="s">
        <v>2014</v>
      </c>
      <c r="E1068" t="s">
        <v>2015</v>
      </c>
      <c r="F1068" t="str">
        <f>LEFT(E1068,5)</f>
        <v>서울특별시</v>
      </c>
      <c r="G1068" t="str">
        <f t="shared" si="39"/>
        <v xml:space="preserve">서초구 </v>
      </c>
      <c r="H1068" t="str">
        <f t="shared" si="40"/>
        <v>서초동</v>
      </c>
      <c r="I1068" t="s">
        <v>2016</v>
      </c>
      <c r="J1068" t="s">
        <v>2017</v>
      </c>
      <c r="K1068" t="s">
        <v>2018</v>
      </c>
    </row>
    <row r="1069" spans="1:11" x14ac:dyDescent="0.4">
      <c r="A1069" t="s">
        <v>4364</v>
      </c>
      <c r="B1069" t="s">
        <v>9</v>
      </c>
      <c r="C1069" t="s">
        <v>10</v>
      </c>
      <c r="D1069" t="s">
        <v>2014</v>
      </c>
      <c r="E1069" t="s">
        <v>4365</v>
      </c>
      <c r="F1069" t="str">
        <f>LEFT(E1069,5)</f>
        <v>서울특별시</v>
      </c>
      <c r="G1069" t="str">
        <f t="shared" si="39"/>
        <v xml:space="preserve">서초구 </v>
      </c>
      <c r="H1069" t="str">
        <f t="shared" si="40"/>
        <v>서초동</v>
      </c>
      <c r="I1069" t="s">
        <v>4366</v>
      </c>
      <c r="J1069" t="s">
        <v>2017</v>
      </c>
      <c r="K1069" t="s">
        <v>4367</v>
      </c>
    </row>
    <row r="1070" spans="1:11" x14ac:dyDescent="0.4">
      <c r="A1070" t="s">
        <v>7778</v>
      </c>
      <c r="B1070" t="s">
        <v>9</v>
      </c>
      <c r="C1070" t="s">
        <v>10</v>
      </c>
      <c r="D1070" t="s">
        <v>816</v>
      </c>
      <c r="E1070" t="s">
        <v>7779</v>
      </c>
      <c r="F1070" t="str">
        <f>LEFT(E1070,5)</f>
        <v>서울특별시</v>
      </c>
      <c r="G1070" t="str">
        <f t="shared" si="39"/>
        <v xml:space="preserve">서초구 </v>
      </c>
      <c r="H1070" t="str">
        <f t="shared" si="40"/>
        <v>서초동</v>
      </c>
      <c r="I1070" t="s">
        <v>7780</v>
      </c>
      <c r="J1070" t="s">
        <v>2816</v>
      </c>
      <c r="K1070" t="s">
        <v>6224</v>
      </c>
    </row>
    <row r="1071" spans="1:11" x14ac:dyDescent="0.4">
      <c r="A1071" t="s">
        <v>6486</v>
      </c>
      <c r="B1071" t="s">
        <v>9</v>
      </c>
      <c r="C1071" t="s">
        <v>10</v>
      </c>
      <c r="D1071" t="s">
        <v>816</v>
      </c>
      <c r="E1071" t="s">
        <v>6487</v>
      </c>
      <c r="F1071" t="str">
        <f>LEFT(E1071,5)</f>
        <v>서울특별시</v>
      </c>
      <c r="G1071" t="str">
        <f t="shared" si="39"/>
        <v xml:space="preserve">서초구 </v>
      </c>
      <c r="H1071" t="str">
        <f t="shared" si="40"/>
        <v>서초동</v>
      </c>
      <c r="I1071" t="s">
        <v>6488</v>
      </c>
      <c r="J1071" t="s">
        <v>2816</v>
      </c>
      <c r="K1071" t="s">
        <v>6489</v>
      </c>
    </row>
    <row r="1072" spans="1:11" x14ac:dyDescent="0.4">
      <c r="A1072" t="s">
        <v>2813</v>
      </c>
      <c r="B1072" t="s">
        <v>9</v>
      </c>
      <c r="C1072" t="s">
        <v>10</v>
      </c>
      <c r="D1072" t="s">
        <v>816</v>
      </c>
      <c r="E1072" t="s">
        <v>2814</v>
      </c>
      <c r="F1072" t="str">
        <f>LEFT(E1072,5)</f>
        <v>서울특별시</v>
      </c>
      <c r="G1072" t="str">
        <f t="shared" si="39"/>
        <v xml:space="preserve">서초구 </v>
      </c>
      <c r="H1072" t="str">
        <f t="shared" si="40"/>
        <v>서초동</v>
      </c>
      <c r="I1072" t="s">
        <v>2815</v>
      </c>
      <c r="J1072" t="s">
        <v>2816</v>
      </c>
      <c r="K1072" t="s">
        <v>2817</v>
      </c>
    </row>
    <row r="1073" spans="1:11" x14ac:dyDescent="0.4">
      <c r="A1073" t="s">
        <v>815</v>
      </c>
      <c r="B1073" t="s">
        <v>9</v>
      </c>
      <c r="C1073" t="s">
        <v>10</v>
      </c>
      <c r="D1073" t="s">
        <v>816</v>
      </c>
      <c r="E1073" t="s">
        <v>817</v>
      </c>
      <c r="F1073" t="str">
        <f>LEFT(E1073,5)</f>
        <v>서울특별시</v>
      </c>
      <c r="G1073" t="str">
        <f t="shared" si="39"/>
        <v xml:space="preserve">서초구 </v>
      </c>
      <c r="H1073" t="str">
        <f t="shared" si="40"/>
        <v>서초동</v>
      </c>
      <c r="I1073" t="s">
        <v>818</v>
      </c>
      <c r="J1073" t="s">
        <v>819</v>
      </c>
      <c r="K1073" t="s">
        <v>820</v>
      </c>
    </row>
    <row r="1074" spans="1:11" x14ac:dyDescent="0.4">
      <c r="A1074" t="s">
        <v>1753</v>
      </c>
      <c r="B1074" t="s">
        <v>9</v>
      </c>
      <c r="C1074" t="s">
        <v>10</v>
      </c>
      <c r="D1074" t="s">
        <v>1754</v>
      </c>
      <c r="E1074" t="s">
        <v>1755</v>
      </c>
      <c r="F1074" t="str">
        <f>LEFT(E1074,5)</f>
        <v>서울특별시</v>
      </c>
      <c r="G1074" t="str">
        <f t="shared" si="39"/>
        <v xml:space="preserve">서초구 </v>
      </c>
      <c r="H1074" t="str">
        <f t="shared" si="40"/>
        <v>서초동</v>
      </c>
      <c r="I1074" t="s">
        <v>1756</v>
      </c>
      <c r="J1074" t="s">
        <v>819</v>
      </c>
      <c r="K1074" t="s">
        <v>1757</v>
      </c>
    </row>
    <row r="1075" spans="1:11" x14ac:dyDescent="0.4">
      <c r="A1075" t="s">
        <v>5258</v>
      </c>
      <c r="B1075" t="s">
        <v>9</v>
      </c>
      <c r="C1075" t="s">
        <v>10</v>
      </c>
      <c r="D1075" t="s">
        <v>1754</v>
      </c>
      <c r="E1075" t="s">
        <v>5259</v>
      </c>
      <c r="F1075" t="str">
        <f>LEFT(E1075,5)</f>
        <v>서울특별시</v>
      </c>
      <c r="G1075" t="str">
        <f t="shared" si="39"/>
        <v xml:space="preserve">서초구 </v>
      </c>
      <c r="H1075" t="str">
        <f t="shared" si="40"/>
        <v>서초동</v>
      </c>
      <c r="I1075" t="s">
        <v>5260</v>
      </c>
      <c r="J1075" t="s">
        <v>5261</v>
      </c>
      <c r="K1075" t="s">
        <v>5262</v>
      </c>
    </row>
    <row r="1076" spans="1:11" x14ac:dyDescent="0.4">
      <c r="A1076" t="s">
        <v>8234</v>
      </c>
      <c r="B1076" t="s">
        <v>9</v>
      </c>
      <c r="C1076" t="s">
        <v>10</v>
      </c>
      <c r="D1076" t="s">
        <v>1754</v>
      </c>
      <c r="E1076" t="s">
        <v>8235</v>
      </c>
      <c r="F1076" t="str">
        <f>LEFT(E1076,5)</f>
        <v>서울특별시</v>
      </c>
      <c r="G1076" t="str">
        <f t="shared" si="39"/>
        <v xml:space="preserve">서초구 </v>
      </c>
      <c r="H1076" t="str">
        <f t="shared" si="40"/>
        <v>서초동</v>
      </c>
      <c r="I1076" t="s">
        <v>8236</v>
      </c>
      <c r="J1076" t="s">
        <v>5261</v>
      </c>
      <c r="K1076" t="s">
        <v>8237</v>
      </c>
    </row>
    <row r="1077" spans="1:11" x14ac:dyDescent="0.4">
      <c r="A1077" t="s">
        <v>8559</v>
      </c>
      <c r="B1077" t="s">
        <v>9</v>
      </c>
      <c r="C1077" t="s">
        <v>10</v>
      </c>
      <c r="D1077" t="s">
        <v>1754</v>
      </c>
      <c r="E1077" t="s">
        <v>8560</v>
      </c>
      <c r="F1077" t="str">
        <f>LEFT(E1077,5)</f>
        <v>서울특별시</v>
      </c>
      <c r="G1077" t="str">
        <f t="shared" si="39"/>
        <v xml:space="preserve">서초구 </v>
      </c>
      <c r="H1077" t="str">
        <f t="shared" si="40"/>
        <v>서초동</v>
      </c>
      <c r="I1077" t="s">
        <v>8561</v>
      </c>
      <c r="J1077" t="s">
        <v>5261</v>
      </c>
      <c r="K1077" t="s">
        <v>8562</v>
      </c>
    </row>
    <row r="1078" spans="1:11" x14ac:dyDescent="0.4">
      <c r="A1078" t="s">
        <v>2407</v>
      </c>
      <c r="B1078" t="s">
        <v>9</v>
      </c>
      <c r="C1078" t="s">
        <v>10</v>
      </c>
      <c r="D1078" t="s">
        <v>2096</v>
      </c>
      <c r="E1078" t="s">
        <v>2408</v>
      </c>
      <c r="F1078" t="str">
        <f>LEFT(E1078,5)</f>
        <v>서울특별시</v>
      </c>
      <c r="G1078" t="str">
        <f t="shared" si="39"/>
        <v xml:space="preserve">서초구 </v>
      </c>
      <c r="H1078" t="str">
        <f t="shared" si="40"/>
        <v>서초동</v>
      </c>
      <c r="I1078" t="s">
        <v>2409</v>
      </c>
      <c r="J1078" t="s">
        <v>2410</v>
      </c>
      <c r="K1078" t="s">
        <v>2411</v>
      </c>
    </row>
    <row r="1079" spans="1:11" x14ac:dyDescent="0.4">
      <c r="A1079" t="s">
        <v>2095</v>
      </c>
      <c r="B1079" t="s">
        <v>9</v>
      </c>
      <c r="C1079" t="s">
        <v>10</v>
      </c>
      <c r="D1079" t="s">
        <v>2096</v>
      </c>
      <c r="E1079" t="s">
        <v>2097</v>
      </c>
      <c r="F1079" t="str">
        <f>LEFT(E1079,5)</f>
        <v>서울특별시</v>
      </c>
      <c r="G1079" t="str">
        <f t="shared" si="39"/>
        <v xml:space="preserve">서초구 </v>
      </c>
      <c r="H1079" t="str">
        <f t="shared" si="40"/>
        <v>서초동</v>
      </c>
      <c r="I1079" t="s">
        <v>2098</v>
      </c>
      <c r="J1079" t="s">
        <v>2099</v>
      </c>
      <c r="K1079" t="s">
        <v>2100</v>
      </c>
    </row>
    <row r="1080" spans="1:11" x14ac:dyDescent="0.4">
      <c r="A1080" t="s">
        <v>2630</v>
      </c>
      <c r="B1080" t="s">
        <v>9</v>
      </c>
      <c r="C1080" t="s">
        <v>10</v>
      </c>
      <c r="D1080" t="s">
        <v>2631</v>
      </c>
      <c r="E1080" t="s">
        <v>2632</v>
      </c>
      <c r="F1080" t="str">
        <f>LEFT(E1080,5)</f>
        <v>서울특별시</v>
      </c>
      <c r="G1080" t="str">
        <f t="shared" si="39"/>
        <v xml:space="preserve">서초구 </v>
      </c>
      <c r="H1080" t="str">
        <f t="shared" si="40"/>
        <v>서초동</v>
      </c>
      <c r="I1080" t="s">
        <v>2633</v>
      </c>
      <c r="J1080" t="s">
        <v>2634</v>
      </c>
      <c r="K1080" t="s">
        <v>2635</v>
      </c>
    </row>
    <row r="1081" spans="1:11" x14ac:dyDescent="0.4">
      <c r="A1081" t="s">
        <v>1129</v>
      </c>
      <c r="B1081" t="s">
        <v>9</v>
      </c>
      <c r="C1081" t="s">
        <v>10</v>
      </c>
      <c r="D1081" t="s">
        <v>1002</v>
      </c>
      <c r="E1081" t="s">
        <v>1130</v>
      </c>
      <c r="F1081" t="str">
        <f>LEFT(E1081,5)</f>
        <v>서울특별시</v>
      </c>
      <c r="G1081" t="str">
        <f t="shared" si="39"/>
        <v xml:space="preserve">서초구 </v>
      </c>
      <c r="H1081" t="str">
        <f t="shared" si="40"/>
        <v>서초동</v>
      </c>
      <c r="I1081" t="s">
        <v>1131</v>
      </c>
      <c r="J1081" t="s">
        <v>1005</v>
      </c>
      <c r="K1081" t="s">
        <v>1132</v>
      </c>
    </row>
    <row r="1082" spans="1:11" x14ac:dyDescent="0.4">
      <c r="A1082" t="s">
        <v>2455</v>
      </c>
      <c r="B1082" t="s">
        <v>9</v>
      </c>
      <c r="C1082" t="s">
        <v>10</v>
      </c>
      <c r="D1082" t="s">
        <v>1002</v>
      </c>
      <c r="E1082" t="s">
        <v>2456</v>
      </c>
      <c r="F1082" t="str">
        <f>LEFT(E1082,5)</f>
        <v>서울특별시</v>
      </c>
      <c r="G1082" t="str">
        <f t="shared" si="39"/>
        <v xml:space="preserve">서초구 </v>
      </c>
      <c r="H1082" t="str">
        <f t="shared" si="40"/>
        <v>서초동</v>
      </c>
      <c r="I1082" t="s">
        <v>2457</v>
      </c>
      <c r="J1082" t="s">
        <v>1005</v>
      </c>
      <c r="K1082" t="s">
        <v>2458</v>
      </c>
    </row>
    <row r="1083" spans="1:11" x14ac:dyDescent="0.4">
      <c r="A1083" t="s">
        <v>1001</v>
      </c>
      <c r="B1083" t="s">
        <v>9</v>
      </c>
      <c r="C1083" t="s">
        <v>10</v>
      </c>
      <c r="D1083" t="s">
        <v>1002</v>
      </c>
      <c r="E1083" t="s">
        <v>1003</v>
      </c>
      <c r="F1083" t="str">
        <f>LEFT(E1083,5)</f>
        <v>서울특별시</v>
      </c>
      <c r="G1083" t="str">
        <f t="shared" si="39"/>
        <v xml:space="preserve">서초구 </v>
      </c>
      <c r="H1083" t="str">
        <f t="shared" si="40"/>
        <v>서초동</v>
      </c>
      <c r="I1083" t="s">
        <v>1004</v>
      </c>
      <c r="J1083" t="s">
        <v>1005</v>
      </c>
      <c r="K1083" t="s">
        <v>948</v>
      </c>
    </row>
    <row r="1084" spans="1:11" x14ac:dyDescent="0.4">
      <c r="A1084" t="s">
        <v>2899</v>
      </c>
      <c r="B1084" t="s">
        <v>9</v>
      </c>
      <c r="C1084" t="s">
        <v>10</v>
      </c>
      <c r="D1084" t="s">
        <v>2900</v>
      </c>
      <c r="E1084" t="s">
        <v>2901</v>
      </c>
      <c r="F1084" t="str">
        <f>LEFT(E1084,5)</f>
        <v>서울특별시</v>
      </c>
      <c r="G1084" t="str">
        <f t="shared" si="39"/>
        <v xml:space="preserve">서초구 </v>
      </c>
      <c r="H1084" t="str">
        <f t="shared" si="40"/>
        <v>서초동</v>
      </c>
      <c r="I1084" t="s">
        <v>2902</v>
      </c>
      <c r="J1084" t="s">
        <v>2903</v>
      </c>
      <c r="K1084" t="s">
        <v>2904</v>
      </c>
    </row>
    <row r="1085" spans="1:11" x14ac:dyDescent="0.4">
      <c r="A1085" t="s">
        <v>7362</v>
      </c>
      <c r="B1085" t="s">
        <v>9</v>
      </c>
      <c r="C1085" t="s">
        <v>10</v>
      </c>
      <c r="D1085" t="s">
        <v>7363</v>
      </c>
      <c r="E1085" t="s">
        <v>7364</v>
      </c>
      <c r="F1085" t="str">
        <f>LEFT(E1085,5)</f>
        <v>서울특별시</v>
      </c>
      <c r="G1085" t="str">
        <f t="shared" si="39"/>
        <v xml:space="preserve">서초구 </v>
      </c>
      <c r="H1085" t="str">
        <f t="shared" si="40"/>
        <v>서초동</v>
      </c>
      <c r="I1085" t="s">
        <v>7365</v>
      </c>
      <c r="J1085" t="s">
        <v>7366</v>
      </c>
      <c r="K1085" t="s">
        <v>7367</v>
      </c>
    </row>
    <row r="1086" spans="1:11" x14ac:dyDescent="0.4">
      <c r="A1086" t="s">
        <v>1334</v>
      </c>
      <c r="B1086" t="s">
        <v>9</v>
      </c>
      <c r="C1086" t="s">
        <v>10</v>
      </c>
      <c r="D1086" t="s">
        <v>1335</v>
      </c>
      <c r="E1086" t="s">
        <v>1336</v>
      </c>
      <c r="F1086" t="str">
        <f>LEFT(E1086,5)</f>
        <v>서울특별시</v>
      </c>
      <c r="G1086" t="str">
        <f t="shared" si="39"/>
        <v xml:space="preserve">서초구 </v>
      </c>
      <c r="H1086" t="str">
        <f t="shared" si="40"/>
        <v>서초동</v>
      </c>
      <c r="I1086" t="s">
        <v>1337</v>
      </c>
      <c r="J1086" t="s">
        <v>1338</v>
      </c>
      <c r="K1086" t="s">
        <v>1339</v>
      </c>
    </row>
    <row r="1087" spans="1:11" x14ac:dyDescent="0.4">
      <c r="A1087" t="s">
        <v>246</v>
      </c>
      <c r="B1087" t="s">
        <v>9</v>
      </c>
      <c r="C1087" t="s">
        <v>10</v>
      </c>
      <c r="D1087" t="s">
        <v>247</v>
      </c>
      <c r="E1087" t="s">
        <v>248</v>
      </c>
      <c r="F1087" t="str">
        <f>LEFT(E1087,5)</f>
        <v>서울특별시</v>
      </c>
      <c r="G1087" t="str">
        <f t="shared" si="39"/>
        <v xml:space="preserve">서초구 </v>
      </c>
      <c r="H1087" t="str">
        <f t="shared" si="40"/>
        <v>서초동</v>
      </c>
      <c r="I1087" t="s">
        <v>249</v>
      </c>
      <c r="J1087" t="s">
        <v>250</v>
      </c>
      <c r="K1087" t="s">
        <v>251</v>
      </c>
    </row>
    <row r="1088" spans="1:11" x14ac:dyDescent="0.4">
      <c r="A1088" t="s">
        <v>6027</v>
      </c>
      <c r="B1088" t="s">
        <v>9</v>
      </c>
      <c r="C1088" t="s">
        <v>10</v>
      </c>
      <c r="D1088" t="s">
        <v>1325</v>
      </c>
      <c r="E1088" t="s">
        <v>6028</v>
      </c>
      <c r="F1088" t="str">
        <f>LEFT(E1088,5)</f>
        <v>서울특별시</v>
      </c>
      <c r="G1088" t="str">
        <f t="shared" si="39"/>
        <v xml:space="preserve">서초구 </v>
      </c>
      <c r="H1088" t="str">
        <f t="shared" si="40"/>
        <v>양재동</v>
      </c>
      <c r="I1088" t="s">
        <v>6029</v>
      </c>
      <c r="J1088" t="s">
        <v>6030</v>
      </c>
      <c r="K1088" t="s">
        <v>1594</v>
      </c>
    </row>
    <row r="1089" spans="1:11" x14ac:dyDescent="0.4">
      <c r="A1089" t="s">
        <v>8913</v>
      </c>
      <c r="B1089" t="s">
        <v>9</v>
      </c>
      <c r="C1089" t="s">
        <v>10</v>
      </c>
      <c r="D1089" t="s">
        <v>1325</v>
      </c>
      <c r="E1089" t="s">
        <v>8914</v>
      </c>
      <c r="F1089" t="str">
        <f>LEFT(E1089,5)</f>
        <v>서울특별시</v>
      </c>
      <c r="G1089" t="str">
        <f t="shared" si="39"/>
        <v xml:space="preserve">서초구 </v>
      </c>
      <c r="H1089" t="str">
        <f t="shared" si="40"/>
        <v>양재동</v>
      </c>
      <c r="I1089" t="s">
        <v>8915</v>
      </c>
      <c r="J1089" t="s">
        <v>6030</v>
      </c>
      <c r="K1089" t="s">
        <v>8916</v>
      </c>
    </row>
    <row r="1090" spans="1:11" x14ac:dyDescent="0.4">
      <c r="A1090" t="s">
        <v>2073</v>
      </c>
      <c r="B1090" t="s">
        <v>9</v>
      </c>
      <c r="C1090" t="s">
        <v>10</v>
      </c>
      <c r="D1090" t="s">
        <v>1325</v>
      </c>
      <c r="E1090" t="s">
        <v>2074</v>
      </c>
      <c r="F1090" t="str">
        <f>LEFT(E1090,5)</f>
        <v>서울특별시</v>
      </c>
      <c r="G1090" t="str">
        <f t="shared" si="39"/>
        <v xml:space="preserve">서초구 </v>
      </c>
      <c r="H1090" t="str">
        <f t="shared" si="40"/>
        <v>양재동</v>
      </c>
      <c r="I1090" t="s">
        <v>2075</v>
      </c>
      <c r="J1090" t="s">
        <v>2076</v>
      </c>
      <c r="K1090" t="s">
        <v>2077</v>
      </c>
    </row>
    <row r="1091" spans="1:11" x14ac:dyDescent="0.4">
      <c r="A1091" t="s">
        <v>1324</v>
      </c>
      <c r="B1091" t="s">
        <v>9</v>
      </c>
      <c r="C1091" t="s">
        <v>10</v>
      </c>
      <c r="D1091" t="s">
        <v>1325</v>
      </c>
      <c r="E1091" t="s">
        <v>1326</v>
      </c>
      <c r="F1091" t="str">
        <f>LEFT(E1091,5)</f>
        <v>서울특별시</v>
      </c>
      <c r="G1091" t="str">
        <f t="shared" ref="G1091:G1154" si="41">MID(E1091,7,4)</f>
        <v xml:space="preserve">서초구 </v>
      </c>
      <c r="H1091" t="str">
        <f t="shared" ref="H1091:H1154" si="42">MID(SUBSTITUTE(E1091," ",""),9,3)</f>
        <v>양재동</v>
      </c>
      <c r="I1091" t="s">
        <v>1327</v>
      </c>
      <c r="J1091" t="s">
        <v>1328</v>
      </c>
      <c r="K1091" t="s">
        <v>1329</v>
      </c>
    </row>
    <row r="1092" spans="1:11" x14ac:dyDescent="0.4">
      <c r="A1092" t="s">
        <v>1948</v>
      </c>
      <c r="B1092" t="s">
        <v>9</v>
      </c>
      <c r="C1092" t="s">
        <v>10</v>
      </c>
      <c r="D1092" t="s">
        <v>1949</v>
      </c>
      <c r="E1092" t="s">
        <v>1950</v>
      </c>
      <c r="F1092" t="str">
        <f>LEFT(E1092,5)</f>
        <v>서울특별시</v>
      </c>
      <c r="G1092" t="str">
        <f t="shared" si="41"/>
        <v xml:space="preserve">서초구 </v>
      </c>
      <c r="H1092" t="str">
        <f t="shared" si="42"/>
        <v>양재동</v>
      </c>
      <c r="I1092" t="s">
        <v>1951</v>
      </c>
      <c r="J1092" t="s">
        <v>1328</v>
      </c>
      <c r="K1092" t="s">
        <v>1952</v>
      </c>
    </row>
    <row r="1093" spans="1:11" x14ac:dyDescent="0.4">
      <c r="A1093" t="s">
        <v>5769</v>
      </c>
      <c r="B1093" t="s">
        <v>9</v>
      </c>
      <c r="C1093" t="s">
        <v>10</v>
      </c>
      <c r="D1093" t="s">
        <v>4114</v>
      </c>
      <c r="E1093" t="s">
        <v>5770</v>
      </c>
      <c r="F1093" t="str">
        <f>LEFT(E1093,5)</f>
        <v>서울특별시</v>
      </c>
      <c r="G1093" t="str">
        <f t="shared" si="41"/>
        <v xml:space="preserve">서초구 </v>
      </c>
      <c r="H1093" t="str">
        <f t="shared" si="42"/>
        <v>양재동</v>
      </c>
      <c r="I1093" t="s">
        <v>5771</v>
      </c>
      <c r="J1093" t="s">
        <v>4117</v>
      </c>
      <c r="K1093" t="s">
        <v>5772</v>
      </c>
    </row>
    <row r="1094" spans="1:11" x14ac:dyDescent="0.4">
      <c r="A1094" t="s">
        <v>8430</v>
      </c>
      <c r="B1094" t="s">
        <v>9</v>
      </c>
      <c r="C1094" t="s">
        <v>10</v>
      </c>
      <c r="D1094" t="s">
        <v>4114</v>
      </c>
      <c r="E1094" t="s">
        <v>8431</v>
      </c>
      <c r="F1094" t="str">
        <f>LEFT(E1094,5)</f>
        <v>서울특별시</v>
      </c>
      <c r="G1094" t="str">
        <f t="shared" si="41"/>
        <v xml:space="preserve">서초구 </v>
      </c>
      <c r="H1094" t="str">
        <f t="shared" si="42"/>
        <v>양재동</v>
      </c>
      <c r="I1094" t="s">
        <v>8432</v>
      </c>
      <c r="J1094" t="s">
        <v>4117</v>
      </c>
      <c r="K1094" t="s">
        <v>4846</v>
      </c>
    </row>
    <row r="1095" spans="1:11" x14ac:dyDescent="0.4">
      <c r="A1095" t="s">
        <v>4127</v>
      </c>
      <c r="B1095" t="s">
        <v>9</v>
      </c>
      <c r="C1095" t="s">
        <v>10</v>
      </c>
      <c r="D1095" t="s">
        <v>4114</v>
      </c>
      <c r="E1095" t="s">
        <v>4128</v>
      </c>
      <c r="F1095" t="str">
        <f>LEFT(E1095,5)</f>
        <v>서울특별시</v>
      </c>
      <c r="G1095" t="str">
        <f t="shared" si="41"/>
        <v xml:space="preserve">서초구 </v>
      </c>
      <c r="H1095" t="str">
        <f t="shared" si="42"/>
        <v>양재동</v>
      </c>
      <c r="I1095" t="s">
        <v>4129</v>
      </c>
      <c r="J1095" t="s">
        <v>4117</v>
      </c>
      <c r="K1095" t="s">
        <v>4130</v>
      </c>
    </row>
    <row r="1096" spans="1:11" x14ac:dyDescent="0.4">
      <c r="A1096" t="s">
        <v>4113</v>
      </c>
      <c r="B1096" t="s">
        <v>9</v>
      </c>
      <c r="C1096" t="s">
        <v>10</v>
      </c>
      <c r="D1096" t="s">
        <v>4114</v>
      </c>
      <c r="E1096" t="s">
        <v>4115</v>
      </c>
      <c r="F1096" t="str">
        <f>LEFT(E1096,5)</f>
        <v>서울특별시</v>
      </c>
      <c r="G1096" t="str">
        <f t="shared" si="41"/>
        <v xml:space="preserve">서초구 </v>
      </c>
      <c r="H1096" t="str">
        <f t="shared" si="42"/>
        <v>양재동</v>
      </c>
      <c r="I1096" t="s">
        <v>4116</v>
      </c>
      <c r="J1096" t="s">
        <v>4117</v>
      </c>
      <c r="K1096" t="s">
        <v>3306</v>
      </c>
    </row>
    <row r="1097" spans="1:11" x14ac:dyDescent="0.4">
      <c r="A1097" t="s">
        <v>7842</v>
      </c>
      <c r="B1097" t="s">
        <v>9</v>
      </c>
      <c r="C1097" t="s">
        <v>10</v>
      </c>
      <c r="D1097" t="s">
        <v>4114</v>
      </c>
      <c r="E1097" t="s">
        <v>7843</v>
      </c>
      <c r="F1097" t="str">
        <f>LEFT(E1097,5)</f>
        <v>서울특별시</v>
      </c>
      <c r="G1097" t="str">
        <f t="shared" si="41"/>
        <v xml:space="preserve">서초구 </v>
      </c>
      <c r="H1097" t="str">
        <f t="shared" si="42"/>
        <v>양재동</v>
      </c>
      <c r="I1097" t="s">
        <v>7844</v>
      </c>
      <c r="J1097" t="s">
        <v>7845</v>
      </c>
      <c r="K1097" t="s">
        <v>7846</v>
      </c>
    </row>
    <row r="1098" spans="1:11" x14ac:dyDescent="0.4">
      <c r="A1098" t="s">
        <v>5014</v>
      </c>
      <c r="B1098" t="s">
        <v>9</v>
      </c>
      <c r="C1098" t="s">
        <v>10</v>
      </c>
      <c r="D1098" t="s">
        <v>1734</v>
      </c>
      <c r="E1098" t="s">
        <v>5015</v>
      </c>
      <c r="F1098" t="str">
        <f>LEFT(E1098,5)</f>
        <v>서울특별시</v>
      </c>
      <c r="G1098" t="str">
        <f t="shared" si="41"/>
        <v xml:space="preserve">서초구 </v>
      </c>
      <c r="H1098" t="str">
        <f t="shared" si="42"/>
        <v>잠원동</v>
      </c>
      <c r="I1098" t="s">
        <v>5016</v>
      </c>
      <c r="J1098" t="s">
        <v>1737</v>
      </c>
      <c r="K1098" t="s">
        <v>5017</v>
      </c>
    </row>
    <row r="1099" spans="1:11" x14ac:dyDescent="0.4">
      <c r="A1099" t="s">
        <v>2855</v>
      </c>
      <c r="B1099" t="s">
        <v>9</v>
      </c>
      <c r="C1099" t="s">
        <v>10</v>
      </c>
      <c r="D1099" t="s">
        <v>1734</v>
      </c>
      <c r="E1099" t="s">
        <v>2856</v>
      </c>
      <c r="F1099" t="str">
        <f>LEFT(E1099,5)</f>
        <v>서울특별시</v>
      </c>
      <c r="G1099" t="str">
        <f t="shared" si="41"/>
        <v xml:space="preserve">서초구 </v>
      </c>
      <c r="H1099" t="str">
        <f t="shared" si="42"/>
        <v>잠원동</v>
      </c>
      <c r="I1099" t="s">
        <v>2857</v>
      </c>
      <c r="J1099" t="s">
        <v>1737</v>
      </c>
      <c r="K1099" t="s">
        <v>2858</v>
      </c>
    </row>
    <row r="1100" spans="1:11" x14ac:dyDescent="0.4">
      <c r="A1100" t="s">
        <v>8256</v>
      </c>
      <c r="B1100" t="s">
        <v>9</v>
      </c>
      <c r="C1100" t="s">
        <v>10</v>
      </c>
      <c r="D1100" t="s">
        <v>1734</v>
      </c>
      <c r="E1100" t="s">
        <v>8257</v>
      </c>
      <c r="F1100" t="str">
        <f>LEFT(E1100,5)</f>
        <v>서울특별시</v>
      </c>
      <c r="G1100" t="str">
        <f t="shared" si="41"/>
        <v xml:space="preserve">서초구 </v>
      </c>
      <c r="H1100" t="str">
        <f t="shared" si="42"/>
        <v>잠원동</v>
      </c>
      <c r="I1100" t="s">
        <v>8258</v>
      </c>
      <c r="J1100" t="s">
        <v>1737</v>
      </c>
      <c r="K1100" t="s">
        <v>8259</v>
      </c>
    </row>
    <row r="1101" spans="1:11" x14ac:dyDescent="0.4">
      <c r="A1101" t="s">
        <v>4806</v>
      </c>
      <c r="B1101" t="s">
        <v>9</v>
      </c>
      <c r="C1101" t="s">
        <v>10</v>
      </c>
      <c r="D1101" t="s">
        <v>1734</v>
      </c>
      <c r="E1101" t="s">
        <v>4807</v>
      </c>
      <c r="F1101" t="str">
        <f>LEFT(E1101,5)</f>
        <v>서울특별시</v>
      </c>
      <c r="G1101" t="str">
        <f t="shared" si="41"/>
        <v xml:space="preserve">서초구 </v>
      </c>
      <c r="H1101" t="str">
        <f t="shared" si="42"/>
        <v>잠원동</v>
      </c>
      <c r="I1101" t="s">
        <v>4808</v>
      </c>
      <c r="J1101" t="s">
        <v>4809</v>
      </c>
      <c r="K1101" t="s">
        <v>4810</v>
      </c>
    </row>
    <row r="1102" spans="1:11" x14ac:dyDescent="0.4">
      <c r="A1102" t="s">
        <v>8929</v>
      </c>
      <c r="B1102" t="s">
        <v>9</v>
      </c>
      <c r="C1102" t="s">
        <v>10</v>
      </c>
      <c r="D1102" t="s">
        <v>8615</v>
      </c>
      <c r="E1102" t="s">
        <v>8930</v>
      </c>
      <c r="F1102" t="str">
        <f>LEFT(E1102,5)</f>
        <v>서울특별시</v>
      </c>
      <c r="G1102" t="str">
        <f t="shared" si="41"/>
        <v xml:space="preserve">서초구 </v>
      </c>
      <c r="H1102" t="str">
        <f t="shared" si="42"/>
        <v>잠원동</v>
      </c>
      <c r="I1102" t="s">
        <v>8931</v>
      </c>
      <c r="J1102" t="s">
        <v>8932</v>
      </c>
      <c r="K1102" t="s">
        <v>8933</v>
      </c>
    </row>
    <row r="1103" spans="1:11" x14ac:dyDescent="0.4">
      <c r="A1103" t="s">
        <v>8614</v>
      </c>
      <c r="B1103" t="s">
        <v>9</v>
      </c>
      <c r="C1103" t="s">
        <v>10</v>
      </c>
      <c r="D1103" t="s">
        <v>8615</v>
      </c>
      <c r="E1103" t="s">
        <v>8616</v>
      </c>
      <c r="F1103" t="str">
        <f>LEFT(E1103,5)</f>
        <v>서울특별시</v>
      </c>
      <c r="G1103" t="str">
        <f t="shared" si="41"/>
        <v xml:space="preserve">서초구 </v>
      </c>
      <c r="H1103" t="str">
        <f t="shared" si="42"/>
        <v>잠원동</v>
      </c>
      <c r="I1103" t="s">
        <v>8617</v>
      </c>
      <c r="J1103" t="s">
        <v>8618</v>
      </c>
      <c r="K1103" t="s">
        <v>8619</v>
      </c>
    </row>
    <row r="1104" spans="1:11" x14ac:dyDescent="0.4">
      <c r="A1104" t="s">
        <v>5296</v>
      </c>
      <c r="B1104" t="s">
        <v>9</v>
      </c>
      <c r="C1104" t="s">
        <v>10</v>
      </c>
      <c r="D1104" t="s">
        <v>5297</v>
      </c>
      <c r="E1104" t="s">
        <v>5298</v>
      </c>
      <c r="F1104" t="str">
        <f>LEFT(E1104,5)</f>
        <v>서울특별시</v>
      </c>
      <c r="G1104" t="str">
        <f t="shared" si="41"/>
        <v xml:space="preserve">서초구 </v>
      </c>
      <c r="H1104" t="str">
        <f t="shared" si="42"/>
        <v>잠원동</v>
      </c>
      <c r="I1104" t="s">
        <v>5299</v>
      </c>
      <c r="J1104" t="s">
        <v>5300</v>
      </c>
      <c r="K1104" t="s">
        <v>5301</v>
      </c>
    </row>
    <row r="1105" spans="1:11" x14ac:dyDescent="0.4">
      <c r="A1105" t="s">
        <v>1733</v>
      </c>
      <c r="B1105" t="s">
        <v>9</v>
      </c>
      <c r="C1105" t="s">
        <v>10</v>
      </c>
      <c r="D1105" t="s">
        <v>1734</v>
      </c>
      <c r="E1105" t="s">
        <v>1735</v>
      </c>
      <c r="F1105" t="str">
        <f>LEFT(E1105,5)</f>
        <v>서울특별시</v>
      </c>
      <c r="G1105" t="str">
        <f t="shared" si="41"/>
        <v xml:space="preserve">서초구 </v>
      </c>
      <c r="H1105" t="str">
        <f t="shared" si="42"/>
        <v>잠원동</v>
      </c>
      <c r="I1105" t="s">
        <v>1736</v>
      </c>
      <c r="J1105" t="s">
        <v>1737</v>
      </c>
      <c r="K1105" t="s">
        <v>1738</v>
      </c>
    </row>
    <row r="1106" spans="1:11" x14ac:dyDescent="0.4">
      <c r="A1106" t="s">
        <v>5552</v>
      </c>
      <c r="B1106" t="s">
        <v>9</v>
      </c>
      <c r="C1106" t="s">
        <v>10</v>
      </c>
      <c r="D1106" t="s">
        <v>5553</v>
      </c>
      <c r="E1106" t="s">
        <v>5554</v>
      </c>
      <c r="F1106" t="str">
        <f>LEFT(E1106,5)</f>
        <v>서울특별시</v>
      </c>
      <c r="G1106" t="str">
        <f t="shared" si="41"/>
        <v xml:space="preserve">성동구 </v>
      </c>
      <c r="H1106" t="str">
        <f t="shared" si="42"/>
        <v>금호동</v>
      </c>
      <c r="I1106" t="s">
        <v>5555</v>
      </c>
      <c r="J1106" t="s">
        <v>5556</v>
      </c>
      <c r="K1106" t="s">
        <v>5557</v>
      </c>
    </row>
    <row r="1107" spans="1:11" x14ac:dyDescent="0.4">
      <c r="A1107" t="s">
        <v>8413</v>
      </c>
      <c r="B1107" t="s">
        <v>9</v>
      </c>
      <c r="C1107" t="s">
        <v>10</v>
      </c>
      <c r="D1107" t="s">
        <v>5553</v>
      </c>
      <c r="E1107" t="s">
        <v>8414</v>
      </c>
      <c r="F1107" t="str">
        <f>LEFT(E1107,5)</f>
        <v>서울특별시</v>
      </c>
      <c r="G1107" t="str">
        <f t="shared" si="41"/>
        <v xml:space="preserve">성동구 </v>
      </c>
      <c r="H1107" t="str">
        <f t="shared" si="42"/>
        <v>금호동</v>
      </c>
      <c r="I1107" t="s">
        <v>8415</v>
      </c>
      <c r="J1107" t="s">
        <v>5556</v>
      </c>
      <c r="K1107" t="s">
        <v>5980</v>
      </c>
    </row>
    <row r="1108" spans="1:11" x14ac:dyDescent="0.4">
      <c r="A1108" t="s">
        <v>6429</v>
      </c>
      <c r="B1108" t="s">
        <v>9</v>
      </c>
      <c r="C1108" t="s">
        <v>10</v>
      </c>
      <c r="D1108" t="s">
        <v>6351</v>
      </c>
      <c r="E1108" t="s">
        <v>6430</v>
      </c>
      <c r="F1108" t="str">
        <f>LEFT(E1108,5)</f>
        <v>서울특별시</v>
      </c>
      <c r="G1108" t="str">
        <f t="shared" si="41"/>
        <v xml:space="preserve">성동구 </v>
      </c>
      <c r="H1108" t="str">
        <f t="shared" si="42"/>
        <v>금호동</v>
      </c>
      <c r="I1108" t="s">
        <v>6431</v>
      </c>
      <c r="J1108" t="s">
        <v>6354</v>
      </c>
      <c r="K1108" t="s">
        <v>6432</v>
      </c>
    </row>
    <row r="1109" spans="1:11" x14ac:dyDescent="0.4">
      <c r="A1109" t="s">
        <v>6350</v>
      </c>
      <c r="B1109" t="s">
        <v>9</v>
      </c>
      <c r="C1109" t="s">
        <v>10</v>
      </c>
      <c r="D1109" t="s">
        <v>6351</v>
      </c>
      <c r="E1109" t="s">
        <v>6352</v>
      </c>
      <c r="F1109" t="str">
        <f>LEFT(E1109,5)</f>
        <v>서울특별시</v>
      </c>
      <c r="G1109" t="str">
        <f t="shared" si="41"/>
        <v xml:space="preserve">성동구 </v>
      </c>
      <c r="H1109" t="str">
        <f t="shared" si="42"/>
        <v>금호동</v>
      </c>
      <c r="I1109" t="s">
        <v>6353</v>
      </c>
      <c r="J1109" t="s">
        <v>6354</v>
      </c>
      <c r="K1109" t="s">
        <v>3291</v>
      </c>
    </row>
    <row r="1110" spans="1:11" x14ac:dyDescent="0.4">
      <c r="A1110" t="s">
        <v>2029</v>
      </c>
      <c r="B1110" t="s">
        <v>9</v>
      </c>
      <c r="C1110" t="s">
        <v>10</v>
      </c>
      <c r="D1110" t="s">
        <v>879</v>
      </c>
      <c r="E1110" t="s">
        <v>2030</v>
      </c>
      <c r="F1110" t="str">
        <f>LEFT(E1110,5)</f>
        <v>서울특별시</v>
      </c>
      <c r="G1110" t="str">
        <f t="shared" si="41"/>
        <v xml:space="preserve">성동구 </v>
      </c>
      <c r="H1110" t="str">
        <f t="shared" si="42"/>
        <v>도선동</v>
      </c>
      <c r="I1110" t="s">
        <v>2031</v>
      </c>
      <c r="J1110" t="s">
        <v>882</v>
      </c>
      <c r="K1110" t="s">
        <v>2032</v>
      </c>
    </row>
    <row r="1111" spans="1:11" x14ac:dyDescent="0.4">
      <c r="A1111" t="s">
        <v>2025</v>
      </c>
      <c r="B1111" t="s">
        <v>9</v>
      </c>
      <c r="C1111" t="s">
        <v>10</v>
      </c>
      <c r="D1111" t="s">
        <v>879</v>
      </c>
      <c r="E1111" t="s">
        <v>2026</v>
      </c>
      <c r="F1111" t="str">
        <f>LEFT(E1111,5)</f>
        <v>서울특별시</v>
      </c>
      <c r="G1111" t="str">
        <f t="shared" si="41"/>
        <v xml:space="preserve">성동구 </v>
      </c>
      <c r="H1111" t="str">
        <f t="shared" si="42"/>
        <v>도선동</v>
      </c>
      <c r="I1111" t="s">
        <v>2027</v>
      </c>
      <c r="J1111" t="s">
        <v>882</v>
      </c>
      <c r="K1111" t="s">
        <v>2028</v>
      </c>
    </row>
    <row r="1112" spans="1:11" x14ac:dyDescent="0.4">
      <c r="A1112" t="s">
        <v>1667</v>
      </c>
      <c r="B1112" t="s">
        <v>9</v>
      </c>
      <c r="C1112" t="s">
        <v>10</v>
      </c>
      <c r="D1112" t="s">
        <v>879</v>
      </c>
      <c r="E1112" t="s">
        <v>1668</v>
      </c>
      <c r="F1112" t="str">
        <f>LEFT(E1112,5)</f>
        <v>서울특별시</v>
      </c>
      <c r="G1112" t="str">
        <f t="shared" si="41"/>
        <v xml:space="preserve">성동구 </v>
      </c>
      <c r="H1112" t="str">
        <f t="shared" si="42"/>
        <v>도선동</v>
      </c>
      <c r="I1112" t="s">
        <v>1669</v>
      </c>
      <c r="J1112" t="s">
        <v>882</v>
      </c>
      <c r="K1112" t="s">
        <v>1670</v>
      </c>
    </row>
    <row r="1113" spans="1:11" x14ac:dyDescent="0.4">
      <c r="A1113" t="s">
        <v>1773</v>
      </c>
      <c r="B1113" t="s">
        <v>9</v>
      </c>
      <c r="C1113" t="s">
        <v>10</v>
      </c>
      <c r="D1113" t="s">
        <v>879</v>
      </c>
      <c r="E1113" t="s">
        <v>1774</v>
      </c>
      <c r="F1113" t="str">
        <f>LEFT(E1113,5)</f>
        <v>서울특별시</v>
      </c>
      <c r="G1113" t="str">
        <f t="shared" si="41"/>
        <v xml:space="preserve">성동구 </v>
      </c>
      <c r="H1113" t="str">
        <f t="shared" si="42"/>
        <v>도선동</v>
      </c>
      <c r="I1113" t="s">
        <v>1775</v>
      </c>
      <c r="J1113" t="s">
        <v>882</v>
      </c>
      <c r="K1113" t="s">
        <v>1776</v>
      </c>
    </row>
    <row r="1114" spans="1:11" x14ac:dyDescent="0.4">
      <c r="A1114" t="s">
        <v>8610</v>
      </c>
      <c r="B1114" t="s">
        <v>9</v>
      </c>
      <c r="C1114" t="s">
        <v>10</v>
      </c>
      <c r="D1114" t="s">
        <v>879</v>
      </c>
      <c r="E1114" t="s">
        <v>8611</v>
      </c>
      <c r="F1114" t="str">
        <f>LEFT(E1114,5)</f>
        <v>서울특별시</v>
      </c>
      <c r="G1114" t="str">
        <f t="shared" si="41"/>
        <v xml:space="preserve">성동구 </v>
      </c>
      <c r="H1114" t="str">
        <f t="shared" si="42"/>
        <v>도선동</v>
      </c>
      <c r="I1114" t="s">
        <v>8612</v>
      </c>
      <c r="J1114" t="s">
        <v>882</v>
      </c>
      <c r="K1114" t="s">
        <v>8613</v>
      </c>
    </row>
    <row r="1115" spans="1:11" x14ac:dyDescent="0.4">
      <c r="A1115" t="s">
        <v>2175</v>
      </c>
      <c r="B1115" t="s">
        <v>9</v>
      </c>
      <c r="C1115" t="s">
        <v>10</v>
      </c>
      <c r="D1115" t="s">
        <v>879</v>
      </c>
      <c r="E1115" t="s">
        <v>2176</v>
      </c>
      <c r="F1115" t="str">
        <f>LEFT(E1115,5)</f>
        <v>서울특별시</v>
      </c>
      <c r="G1115" t="str">
        <f t="shared" si="41"/>
        <v xml:space="preserve">성동구 </v>
      </c>
      <c r="H1115" t="str">
        <f t="shared" si="42"/>
        <v>도선동</v>
      </c>
      <c r="I1115" t="s">
        <v>2177</v>
      </c>
      <c r="J1115" t="s">
        <v>882</v>
      </c>
      <c r="K1115" t="s">
        <v>2178</v>
      </c>
    </row>
    <row r="1116" spans="1:11" x14ac:dyDescent="0.4">
      <c r="A1116" t="s">
        <v>6473</v>
      </c>
      <c r="B1116" t="s">
        <v>9</v>
      </c>
      <c r="C1116" t="s">
        <v>10</v>
      </c>
      <c r="D1116" t="s">
        <v>6474</v>
      </c>
      <c r="E1116" t="s">
        <v>6475</v>
      </c>
      <c r="F1116" t="str">
        <f>LEFT(E1116,5)</f>
        <v>서울특별시</v>
      </c>
      <c r="G1116" t="str">
        <f t="shared" si="41"/>
        <v xml:space="preserve">성동구 </v>
      </c>
      <c r="H1116" t="str">
        <f t="shared" si="42"/>
        <v>도선동</v>
      </c>
      <c r="I1116" t="s">
        <v>6476</v>
      </c>
      <c r="J1116" t="s">
        <v>882</v>
      </c>
      <c r="K1116" t="s">
        <v>6228</v>
      </c>
    </row>
    <row r="1117" spans="1:11" x14ac:dyDescent="0.4">
      <c r="A1117" t="s">
        <v>2213</v>
      </c>
      <c r="B1117" t="s">
        <v>9</v>
      </c>
      <c r="C1117" t="s">
        <v>10</v>
      </c>
      <c r="D1117" t="s">
        <v>879</v>
      </c>
      <c r="E1117" t="s">
        <v>2214</v>
      </c>
      <c r="F1117" t="str">
        <f>LEFT(E1117,5)</f>
        <v>서울특별시</v>
      </c>
      <c r="G1117" t="str">
        <f t="shared" si="41"/>
        <v xml:space="preserve">성동구 </v>
      </c>
      <c r="H1117" t="str">
        <f t="shared" si="42"/>
        <v>도선동</v>
      </c>
      <c r="I1117" t="s">
        <v>2215</v>
      </c>
      <c r="J1117" t="s">
        <v>882</v>
      </c>
      <c r="K1117" t="s">
        <v>2216</v>
      </c>
    </row>
    <row r="1118" spans="1:11" x14ac:dyDescent="0.4">
      <c r="A1118" t="s">
        <v>878</v>
      </c>
      <c r="B1118" t="s">
        <v>9</v>
      </c>
      <c r="C1118" t="s">
        <v>10</v>
      </c>
      <c r="D1118" t="s">
        <v>879</v>
      </c>
      <c r="E1118" t="s">
        <v>880</v>
      </c>
      <c r="F1118" t="str">
        <f>LEFT(E1118,5)</f>
        <v>서울특별시</v>
      </c>
      <c r="G1118" t="str">
        <f t="shared" si="41"/>
        <v xml:space="preserve">성동구 </v>
      </c>
      <c r="H1118" t="str">
        <f t="shared" si="42"/>
        <v>도선동</v>
      </c>
      <c r="I1118" t="s">
        <v>881</v>
      </c>
      <c r="J1118" t="s">
        <v>882</v>
      </c>
      <c r="K1118" t="s">
        <v>883</v>
      </c>
    </row>
    <row r="1119" spans="1:11" x14ac:dyDescent="0.4">
      <c r="A1119" t="s">
        <v>5895</v>
      </c>
      <c r="B1119" t="s">
        <v>9</v>
      </c>
      <c r="C1119" t="s">
        <v>10</v>
      </c>
      <c r="D1119" t="s">
        <v>5896</v>
      </c>
      <c r="E1119" t="s">
        <v>5897</v>
      </c>
      <c r="F1119" t="str">
        <f>LEFT(E1119,5)</f>
        <v>서울특별시</v>
      </c>
      <c r="G1119" t="str">
        <f t="shared" si="41"/>
        <v xml:space="preserve">성동구 </v>
      </c>
      <c r="H1119" t="str">
        <f t="shared" si="42"/>
        <v>도선동</v>
      </c>
      <c r="I1119" t="s">
        <v>5898</v>
      </c>
      <c r="J1119" t="s">
        <v>5899</v>
      </c>
      <c r="K1119" t="s">
        <v>5900</v>
      </c>
    </row>
    <row r="1120" spans="1:11" x14ac:dyDescent="0.4">
      <c r="A1120" t="s">
        <v>939</v>
      </c>
      <c r="B1120" t="s">
        <v>9</v>
      </c>
      <c r="C1120" t="s">
        <v>10</v>
      </c>
      <c r="D1120" t="s">
        <v>879</v>
      </c>
      <c r="E1120" t="s">
        <v>940</v>
      </c>
      <c r="F1120" t="str">
        <f>LEFT(E1120,5)</f>
        <v>서울특별시</v>
      </c>
      <c r="G1120" t="str">
        <f t="shared" si="41"/>
        <v xml:space="preserve">성동구 </v>
      </c>
      <c r="H1120" t="str">
        <f t="shared" si="42"/>
        <v>도선동</v>
      </c>
      <c r="I1120" t="s">
        <v>941</v>
      </c>
      <c r="J1120" t="s">
        <v>882</v>
      </c>
      <c r="K1120" t="s">
        <v>942</v>
      </c>
    </row>
    <row r="1121" spans="1:11" x14ac:dyDescent="0.4">
      <c r="A1121" t="s">
        <v>8493</v>
      </c>
      <c r="B1121" t="s">
        <v>9</v>
      </c>
      <c r="C1121" t="s">
        <v>10</v>
      </c>
      <c r="D1121" t="s">
        <v>6768</v>
      </c>
      <c r="E1121" t="s">
        <v>8494</v>
      </c>
      <c r="F1121" t="str">
        <f>LEFT(E1121,5)</f>
        <v>서울특별시</v>
      </c>
      <c r="G1121" t="str">
        <f t="shared" si="41"/>
        <v xml:space="preserve">성동구 </v>
      </c>
      <c r="H1121" t="str">
        <f t="shared" si="42"/>
        <v>마장동</v>
      </c>
      <c r="I1121" t="s">
        <v>8495</v>
      </c>
      <c r="J1121" t="s">
        <v>6771</v>
      </c>
      <c r="K1121" t="s">
        <v>8496</v>
      </c>
    </row>
    <row r="1122" spans="1:11" x14ac:dyDescent="0.4">
      <c r="A1122" t="s">
        <v>6767</v>
      </c>
      <c r="B1122" t="s">
        <v>9</v>
      </c>
      <c r="C1122" t="s">
        <v>10</v>
      </c>
      <c r="D1122" t="s">
        <v>6768</v>
      </c>
      <c r="E1122" t="s">
        <v>6769</v>
      </c>
      <c r="F1122" t="str">
        <f>LEFT(E1122,5)</f>
        <v>서울특별시</v>
      </c>
      <c r="G1122" t="str">
        <f t="shared" si="41"/>
        <v xml:space="preserve">성동구 </v>
      </c>
      <c r="H1122" t="str">
        <f t="shared" si="42"/>
        <v>마장동</v>
      </c>
      <c r="I1122" t="s">
        <v>6770</v>
      </c>
      <c r="J1122" t="s">
        <v>6771</v>
      </c>
      <c r="K1122" t="s">
        <v>6772</v>
      </c>
    </row>
    <row r="1123" spans="1:11" x14ac:dyDescent="0.4">
      <c r="A1123" t="s">
        <v>4930</v>
      </c>
      <c r="B1123" t="s">
        <v>9</v>
      </c>
      <c r="C1123" t="s">
        <v>10</v>
      </c>
      <c r="D1123" t="s">
        <v>4931</v>
      </c>
      <c r="E1123" t="s">
        <v>4932</v>
      </c>
      <c r="F1123" t="str">
        <f>LEFT(E1123,5)</f>
        <v>서울특별시</v>
      </c>
      <c r="G1123" t="str">
        <f t="shared" si="41"/>
        <v xml:space="preserve">성동구 </v>
      </c>
      <c r="H1123" t="str">
        <f t="shared" si="42"/>
        <v>마장동</v>
      </c>
      <c r="I1123" t="s">
        <v>4933</v>
      </c>
      <c r="J1123" t="s">
        <v>4934</v>
      </c>
      <c r="K1123" t="s">
        <v>972</v>
      </c>
    </row>
    <row r="1124" spans="1:11" x14ac:dyDescent="0.4">
      <c r="A1124" t="s">
        <v>6406</v>
      </c>
      <c r="B1124" t="s">
        <v>9</v>
      </c>
      <c r="C1124" t="s">
        <v>10</v>
      </c>
      <c r="D1124" t="s">
        <v>6407</v>
      </c>
      <c r="E1124" t="s">
        <v>6408</v>
      </c>
      <c r="F1124" t="str">
        <f>LEFT(E1124,5)</f>
        <v>서울특별시</v>
      </c>
      <c r="G1124" t="str">
        <f t="shared" si="41"/>
        <v xml:space="preserve">성동구 </v>
      </c>
      <c r="H1124" t="str">
        <f t="shared" si="42"/>
        <v>성수동</v>
      </c>
      <c r="I1124" t="s">
        <v>6409</v>
      </c>
      <c r="J1124" t="s">
        <v>3358</v>
      </c>
      <c r="K1124" t="s">
        <v>3013</v>
      </c>
    </row>
    <row r="1125" spans="1:11" x14ac:dyDescent="0.4">
      <c r="A1125" t="s">
        <v>4308</v>
      </c>
      <c r="B1125" t="s">
        <v>9</v>
      </c>
      <c r="C1125" t="s">
        <v>10</v>
      </c>
      <c r="D1125" t="s">
        <v>4309</v>
      </c>
      <c r="E1125" t="s">
        <v>4310</v>
      </c>
      <c r="F1125" t="str">
        <f>LEFT(E1125,5)</f>
        <v>서울특별시</v>
      </c>
      <c r="G1125" t="str">
        <f t="shared" si="41"/>
        <v xml:space="preserve">성동구 </v>
      </c>
      <c r="H1125" t="str">
        <f t="shared" si="42"/>
        <v>성수동</v>
      </c>
      <c r="I1125" t="s">
        <v>4311</v>
      </c>
      <c r="J1125" t="s">
        <v>4312</v>
      </c>
      <c r="K1125" t="s">
        <v>4313</v>
      </c>
    </row>
    <row r="1126" spans="1:11" x14ac:dyDescent="0.4">
      <c r="A1126" t="s">
        <v>6699</v>
      </c>
      <c r="B1126" t="s">
        <v>9</v>
      </c>
      <c r="C1126" t="s">
        <v>10</v>
      </c>
      <c r="D1126" t="s">
        <v>4309</v>
      </c>
      <c r="E1126" t="s">
        <v>6700</v>
      </c>
      <c r="F1126" t="str">
        <f>LEFT(E1126,5)</f>
        <v>서울특별시</v>
      </c>
      <c r="G1126" t="str">
        <f t="shared" si="41"/>
        <v xml:space="preserve">성동구 </v>
      </c>
      <c r="H1126" t="str">
        <f t="shared" si="42"/>
        <v>성수동</v>
      </c>
      <c r="I1126" t="s">
        <v>6701</v>
      </c>
      <c r="J1126" t="s">
        <v>4312</v>
      </c>
      <c r="K1126" t="s">
        <v>4284</v>
      </c>
    </row>
    <row r="1127" spans="1:11" x14ac:dyDescent="0.4">
      <c r="A1127" t="s">
        <v>6831</v>
      </c>
      <c r="B1127" t="s">
        <v>9</v>
      </c>
      <c r="C1127" t="s">
        <v>10</v>
      </c>
      <c r="D1127" t="s">
        <v>6832</v>
      </c>
      <c r="E1127" t="s">
        <v>6833</v>
      </c>
      <c r="F1127" t="str">
        <f>LEFT(E1127,5)</f>
        <v>서울특별시</v>
      </c>
      <c r="G1127" t="str">
        <f t="shared" si="41"/>
        <v xml:space="preserve">성동구 </v>
      </c>
      <c r="H1127" t="str">
        <f t="shared" si="42"/>
        <v>성수동</v>
      </c>
      <c r="I1127" t="s">
        <v>6834</v>
      </c>
      <c r="J1127" t="s">
        <v>6835</v>
      </c>
      <c r="K1127" t="s">
        <v>6836</v>
      </c>
    </row>
    <row r="1128" spans="1:11" x14ac:dyDescent="0.4">
      <c r="A1128" t="s">
        <v>4892</v>
      </c>
      <c r="B1128" t="s">
        <v>9</v>
      </c>
      <c r="C1128" t="s">
        <v>10</v>
      </c>
      <c r="D1128" t="s">
        <v>4893</v>
      </c>
      <c r="E1128" t="s">
        <v>4894</v>
      </c>
      <c r="F1128" t="str">
        <f>LEFT(E1128,5)</f>
        <v>서울특별시</v>
      </c>
      <c r="G1128" t="str">
        <f t="shared" si="41"/>
        <v xml:space="preserve">성동구 </v>
      </c>
      <c r="H1128" t="str">
        <f t="shared" si="42"/>
        <v>성수동</v>
      </c>
      <c r="I1128" t="s">
        <v>4895</v>
      </c>
      <c r="J1128" t="s">
        <v>4896</v>
      </c>
      <c r="K1128" t="s">
        <v>4897</v>
      </c>
    </row>
    <row r="1129" spans="1:11" x14ac:dyDescent="0.4">
      <c r="A1129" t="s">
        <v>8116</v>
      </c>
      <c r="B1129" t="s">
        <v>9</v>
      </c>
      <c r="C1129" t="s">
        <v>10</v>
      </c>
      <c r="D1129" t="s">
        <v>3355</v>
      </c>
      <c r="E1129" t="s">
        <v>8117</v>
      </c>
      <c r="F1129" t="str">
        <f>LEFT(E1129,5)</f>
        <v>서울특별시</v>
      </c>
      <c r="G1129" t="str">
        <f t="shared" si="41"/>
        <v xml:space="preserve">성동구 </v>
      </c>
      <c r="H1129" t="str">
        <f t="shared" si="42"/>
        <v>성수동</v>
      </c>
      <c r="I1129" t="s">
        <v>8118</v>
      </c>
      <c r="J1129" t="s">
        <v>3358</v>
      </c>
      <c r="K1129" t="s">
        <v>8119</v>
      </c>
    </row>
    <row r="1130" spans="1:11" x14ac:dyDescent="0.4">
      <c r="A1130" t="s">
        <v>3354</v>
      </c>
      <c r="B1130" t="s">
        <v>9</v>
      </c>
      <c r="C1130" t="s">
        <v>10</v>
      </c>
      <c r="D1130" t="s">
        <v>3355</v>
      </c>
      <c r="E1130" t="s">
        <v>3356</v>
      </c>
      <c r="F1130" t="str">
        <f>LEFT(E1130,5)</f>
        <v>서울특별시</v>
      </c>
      <c r="G1130" t="str">
        <f t="shared" si="41"/>
        <v xml:space="preserve">성동구 </v>
      </c>
      <c r="H1130" t="str">
        <f t="shared" si="42"/>
        <v>성수동</v>
      </c>
      <c r="I1130" t="s">
        <v>3357</v>
      </c>
      <c r="J1130" t="s">
        <v>3358</v>
      </c>
      <c r="K1130" t="s">
        <v>3359</v>
      </c>
    </row>
    <row r="1131" spans="1:11" x14ac:dyDescent="0.4">
      <c r="A1131" t="s">
        <v>4985</v>
      </c>
      <c r="B1131" t="s">
        <v>9</v>
      </c>
      <c r="C1131" t="s">
        <v>10</v>
      </c>
      <c r="D1131" t="s">
        <v>4986</v>
      </c>
      <c r="E1131" t="s">
        <v>4987</v>
      </c>
      <c r="F1131" t="str">
        <f>LEFT(E1131,5)</f>
        <v>서울특별시</v>
      </c>
      <c r="G1131" t="str">
        <f t="shared" si="41"/>
        <v xml:space="preserve">성동구 </v>
      </c>
      <c r="H1131" t="str">
        <f>MID(SUBSTITUTE(E1131," ",""),9,5)</f>
        <v>하왕십리동</v>
      </c>
      <c r="I1131" t="s">
        <v>4988</v>
      </c>
      <c r="J1131" t="s">
        <v>4989</v>
      </c>
      <c r="K1131" t="s">
        <v>4990</v>
      </c>
    </row>
    <row r="1132" spans="1:11" x14ac:dyDescent="0.4">
      <c r="A1132" t="s">
        <v>7388</v>
      </c>
      <c r="B1132" t="s">
        <v>9</v>
      </c>
      <c r="C1132" t="s">
        <v>10</v>
      </c>
      <c r="D1132" t="s">
        <v>7389</v>
      </c>
      <c r="E1132" t="s">
        <v>7390</v>
      </c>
      <c r="F1132" t="str">
        <f>LEFT(E1132,5)</f>
        <v>서울특별시</v>
      </c>
      <c r="G1132" t="str">
        <f t="shared" si="41"/>
        <v xml:space="preserve">성동구 </v>
      </c>
      <c r="H1132" t="str">
        <f t="shared" si="42"/>
        <v>행당동</v>
      </c>
      <c r="I1132" t="s">
        <v>7391</v>
      </c>
      <c r="J1132" t="s">
        <v>7392</v>
      </c>
      <c r="K1132" t="s">
        <v>7393</v>
      </c>
    </row>
    <row r="1133" spans="1:11" x14ac:dyDescent="0.4">
      <c r="A1133" t="s">
        <v>4233</v>
      </c>
      <c r="B1133" t="s">
        <v>9</v>
      </c>
      <c r="C1133" t="s">
        <v>10</v>
      </c>
      <c r="D1133" t="s">
        <v>4234</v>
      </c>
      <c r="E1133" t="s">
        <v>4235</v>
      </c>
      <c r="F1133" t="str">
        <f>LEFT(E1133,5)</f>
        <v>서울특별시</v>
      </c>
      <c r="G1133" t="str">
        <f t="shared" si="41"/>
        <v xml:space="preserve">성동구 </v>
      </c>
      <c r="H1133" t="str">
        <f t="shared" si="42"/>
        <v>행당동</v>
      </c>
      <c r="I1133" t="s">
        <v>4236</v>
      </c>
      <c r="J1133" t="s">
        <v>4237</v>
      </c>
      <c r="K1133" t="s">
        <v>4238</v>
      </c>
    </row>
    <row r="1134" spans="1:11" x14ac:dyDescent="0.4">
      <c r="A1134" t="s">
        <v>6477</v>
      </c>
      <c r="B1134" t="s">
        <v>9</v>
      </c>
      <c r="C1134" t="s">
        <v>10</v>
      </c>
      <c r="D1134" t="s">
        <v>6478</v>
      </c>
      <c r="E1134" t="s">
        <v>6479</v>
      </c>
      <c r="F1134" t="str">
        <f>LEFT(E1134,5)</f>
        <v>서울특별시</v>
      </c>
      <c r="G1134" t="str">
        <f t="shared" si="41"/>
        <v xml:space="preserve">성동구 </v>
      </c>
      <c r="H1134" t="str">
        <f t="shared" si="42"/>
        <v>홍익동</v>
      </c>
      <c r="I1134" t="s">
        <v>6480</v>
      </c>
      <c r="J1134" t="s">
        <v>5899</v>
      </c>
      <c r="K1134" t="s">
        <v>6481</v>
      </c>
    </row>
    <row r="1135" spans="1:11" x14ac:dyDescent="0.4">
      <c r="A1135" t="s">
        <v>4201</v>
      </c>
      <c r="B1135" t="s">
        <v>9</v>
      </c>
      <c r="C1135" t="s">
        <v>10</v>
      </c>
      <c r="D1135" t="s">
        <v>4202</v>
      </c>
      <c r="E1135" t="s">
        <v>4203</v>
      </c>
      <c r="F1135" t="str">
        <f>LEFT(E1135,5)</f>
        <v>서울특별시</v>
      </c>
      <c r="G1135" t="str">
        <f t="shared" si="41"/>
        <v xml:space="preserve">성북구 </v>
      </c>
      <c r="H1135" t="str">
        <f t="shared" si="42"/>
        <v>길음동</v>
      </c>
      <c r="I1135" t="s">
        <v>4204</v>
      </c>
      <c r="J1135" t="s">
        <v>4205</v>
      </c>
      <c r="K1135" t="s">
        <v>4206</v>
      </c>
    </row>
    <row r="1136" spans="1:11" x14ac:dyDescent="0.4">
      <c r="A1136" t="s">
        <v>3645</v>
      </c>
      <c r="B1136" t="s">
        <v>9</v>
      </c>
      <c r="C1136" t="s">
        <v>10</v>
      </c>
      <c r="D1136" t="s">
        <v>688</v>
      </c>
      <c r="E1136" t="s">
        <v>3646</v>
      </c>
      <c r="F1136" t="str">
        <f>LEFT(E1136,5)</f>
        <v>서울특별시</v>
      </c>
      <c r="G1136" t="str">
        <f t="shared" si="41"/>
        <v xml:space="preserve">성북구 </v>
      </c>
      <c r="H1136" t="str">
        <f t="shared" si="42"/>
        <v>동선동</v>
      </c>
      <c r="I1136" t="s">
        <v>3647</v>
      </c>
      <c r="J1136" t="s">
        <v>691</v>
      </c>
      <c r="K1136" t="s">
        <v>3648</v>
      </c>
    </row>
    <row r="1137" spans="1:11" x14ac:dyDescent="0.4">
      <c r="A1137" t="s">
        <v>2324</v>
      </c>
      <c r="B1137" t="s">
        <v>9</v>
      </c>
      <c r="C1137" t="s">
        <v>10</v>
      </c>
      <c r="D1137" t="s">
        <v>688</v>
      </c>
      <c r="E1137" t="s">
        <v>2325</v>
      </c>
      <c r="F1137" t="str">
        <f>LEFT(E1137,5)</f>
        <v>서울특별시</v>
      </c>
      <c r="G1137" t="str">
        <f t="shared" si="41"/>
        <v xml:space="preserve">성북구 </v>
      </c>
      <c r="H1137" t="str">
        <f t="shared" si="42"/>
        <v>동선동</v>
      </c>
      <c r="I1137" t="s">
        <v>2326</v>
      </c>
      <c r="J1137" t="s">
        <v>691</v>
      </c>
      <c r="K1137" t="s">
        <v>2327</v>
      </c>
    </row>
    <row r="1138" spans="1:11" x14ac:dyDescent="0.4">
      <c r="A1138" t="s">
        <v>5096</v>
      </c>
      <c r="B1138" t="s">
        <v>9</v>
      </c>
      <c r="C1138" t="s">
        <v>10</v>
      </c>
      <c r="D1138" t="s">
        <v>688</v>
      </c>
      <c r="E1138" t="s">
        <v>5097</v>
      </c>
      <c r="F1138" t="str">
        <f>LEFT(E1138,5)</f>
        <v>서울특별시</v>
      </c>
      <c r="G1138" t="str">
        <f t="shared" si="41"/>
        <v xml:space="preserve">성북구 </v>
      </c>
      <c r="H1138" t="str">
        <f t="shared" si="42"/>
        <v>동선동</v>
      </c>
      <c r="I1138" t="s">
        <v>5098</v>
      </c>
      <c r="J1138" t="s">
        <v>691</v>
      </c>
      <c r="K1138" t="s">
        <v>3306</v>
      </c>
    </row>
    <row r="1139" spans="1:11" x14ac:dyDescent="0.4">
      <c r="A1139" t="s">
        <v>1692</v>
      </c>
      <c r="B1139" t="s">
        <v>9</v>
      </c>
      <c r="C1139" t="s">
        <v>10</v>
      </c>
      <c r="D1139" t="s">
        <v>688</v>
      </c>
      <c r="E1139" t="s">
        <v>1693</v>
      </c>
      <c r="F1139" t="str">
        <f>LEFT(E1139,5)</f>
        <v>서울특별시</v>
      </c>
      <c r="G1139" t="str">
        <f t="shared" si="41"/>
        <v xml:space="preserve">성북구 </v>
      </c>
      <c r="H1139" t="str">
        <f t="shared" si="42"/>
        <v>동선동</v>
      </c>
      <c r="I1139" t="s">
        <v>1694</v>
      </c>
      <c r="J1139" t="s">
        <v>691</v>
      </c>
      <c r="K1139" t="s">
        <v>1695</v>
      </c>
    </row>
    <row r="1140" spans="1:11" x14ac:dyDescent="0.4">
      <c r="A1140" t="s">
        <v>1146</v>
      </c>
      <c r="B1140" t="s">
        <v>9</v>
      </c>
      <c r="C1140" t="s">
        <v>10</v>
      </c>
      <c r="D1140" t="s">
        <v>688</v>
      </c>
      <c r="E1140" t="s">
        <v>1147</v>
      </c>
      <c r="F1140" t="str">
        <f>LEFT(E1140,5)</f>
        <v>서울특별시</v>
      </c>
      <c r="G1140" t="str">
        <f t="shared" si="41"/>
        <v xml:space="preserve">성북구 </v>
      </c>
      <c r="H1140" t="str">
        <f t="shared" si="42"/>
        <v>동선동</v>
      </c>
      <c r="I1140" t="s">
        <v>1148</v>
      </c>
      <c r="J1140" t="s">
        <v>691</v>
      </c>
      <c r="K1140" t="s">
        <v>1149</v>
      </c>
    </row>
    <row r="1141" spans="1:11" x14ac:dyDescent="0.4">
      <c r="A1141" t="s">
        <v>687</v>
      </c>
      <c r="B1141" t="s">
        <v>9</v>
      </c>
      <c r="C1141" t="s">
        <v>10</v>
      </c>
      <c r="D1141" t="s">
        <v>688</v>
      </c>
      <c r="E1141" t="s">
        <v>689</v>
      </c>
      <c r="F1141" t="str">
        <f>LEFT(E1141,5)</f>
        <v>서울특별시</v>
      </c>
      <c r="G1141" t="str">
        <f t="shared" si="41"/>
        <v xml:space="preserve">성북구 </v>
      </c>
      <c r="H1141" t="str">
        <f t="shared" si="42"/>
        <v>동선동</v>
      </c>
      <c r="I1141" t="s">
        <v>690</v>
      </c>
      <c r="J1141" t="s">
        <v>691</v>
      </c>
      <c r="K1141" t="s">
        <v>692</v>
      </c>
    </row>
    <row r="1142" spans="1:11" x14ac:dyDescent="0.4">
      <c r="A1142" t="s">
        <v>987</v>
      </c>
      <c r="B1142" t="s">
        <v>9</v>
      </c>
      <c r="C1142" t="s">
        <v>10</v>
      </c>
      <c r="D1142" t="s">
        <v>688</v>
      </c>
      <c r="E1142" t="s">
        <v>988</v>
      </c>
      <c r="F1142" t="str">
        <f>LEFT(E1142,5)</f>
        <v>서울특별시</v>
      </c>
      <c r="G1142" t="str">
        <f t="shared" si="41"/>
        <v xml:space="preserve">성북구 </v>
      </c>
      <c r="H1142" t="str">
        <f t="shared" si="42"/>
        <v>동선동</v>
      </c>
      <c r="I1142" t="s">
        <v>989</v>
      </c>
      <c r="J1142" t="s">
        <v>691</v>
      </c>
      <c r="K1142" t="s">
        <v>990</v>
      </c>
    </row>
    <row r="1143" spans="1:11" x14ac:dyDescent="0.4">
      <c r="A1143" t="s">
        <v>1359</v>
      </c>
      <c r="B1143" t="s">
        <v>9</v>
      </c>
      <c r="C1143" t="s">
        <v>10</v>
      </c>
      <c r="D1143" t="s">
        <v>688</v>
      </c>
      <c r="E1143" t="s">
        <v>1360</v>
      </c>
      <c r="F1143" t="str">
        <f>LEFT(E1143,5)</f>
        <v>서울특별시</v>
      </c>
      <c r="G1143" t="str">
        <f t="shared" si="41"/>
        <v xml:space="preserve">성북구 </v>
      </c>
      <c r="H1143" t="str">
        <f t="shared" si="42"/>
        <v>동선동</v>
      </c>
      <c r="I1143" t="s">
        <v>1361</v>
      </c>
      <c r="J1143" t="s">
        <v>691</v>
      </c>
      <c r="K1143" t="s">
        <v>1362</v>
      </c>
    </row>
    <row r="1144" spans="1:11" x14ac:dyDescent="0.4">
      <c r="A1144" t="s">
        <v>3205</v>
      </c>
      <c r="B1144" t="s">
        <v>9</v>
      </c>
      <c r="C1144" t="s">
        <v>10</v>
      </c>
      <c r="D1144" t="s">
        <v>688</v>
      </c>
      <c r="E1144" t="s">
        <v>3206</v>
      </c>
      <c r="F1144" t="str">
        <f>LEFT(E1144,5)</f>
        <v>서울특별시</v>
      </c>
      <c r="G1144" t="str">
        <f t="shared" si="41"/>
        <v xml:space="preserve">성북구 </v>
      </c>
      <c r="H1144" t="str">
        <f t="shared" si="42"/>
        <v>동선동</v>
      </c>
      <c r="I1144" t="s">
        <v>3207</v>
      </c>
      <c r="J1144" t="s">
        <v>691</v>
      </c>
      <c r="K1144" t="s">
        <v>3208</v>
      </c>
    </row>
    <row r="1145" spans="1:11" x14ac:dyDescent="0.4">
      <c r="A1145" t="s">
        <v>5565</v>
      </c>
      <c r="B1145" t="s">
        <v>9</v>
      </c>
      <c r="C1145" t="s">
        <v>10</v>
      </c>
      <c r="D1145" t="s">
        <v>688</v>
      </c>
      <c r="E1145" t="s">
        <v>5566</v>
      </c>
      <c r="F1145" t="str">
        <f>LEFT(E1145,5)</f>
        <v>서울특별시</v>
      </c>
      <c r="G1145" t="str">
        <f t="shared" si="41"/>
        <v xml:space="preserve">성북구 </v>
      </c>
      <c r="H1145" t="str">
        <f t="shared" si="42"/>
        <v>동선동</v>
      </c>
      <c r="I1145" t="s">
        <v>5567</v>
      </c>
      <c r="J1145" t="s">
        <v>691</v>
      </c>
      <c r="K1145" t="s">
        <v>5568</v>
      </c>
    </row>
    <row r="1146" spans="1:11" x14ac:dyDescent="0.4">
      <c r="A1146" t="s">
        <v>8804</v>
      </c>
      <c r="B1146" t="s">
        <v>9</v>
      </c>
      <c r="C1146" t="s">
        <v>10</v>
      </c>
      <c r="D1146" t="s">
        <v>3132</v>
      </c>
      <c r="E1146" t="s">
        <v>8805</v>
      </c>
      <c r="F1146" t="str">
        <f>LEFT(E1146,5)</f>
        <v>서울특별시</v>
      </c>
      <c r="G1146" t="str">
        <f t="shared" si="41"/>
        <v xml:space="preserve">성북구 </v>
      </c>
      <c r="H1146" t="str">
        <f>MID(SUBSTITUTE(E1146," ",""),9,4)</f>
        <v>동소문동</v>
      </c>
      <c r="I1146" t="s">
        <v>8806</v>
      </c>
      <c r="J1146" t="s">
        <v>3135</v>
      </c>
      <c r="K1146" t="s">
        <v>8807</v>
      </c>
    </row>
    <row r="1147" spans="1:11" x14ac:dyDescent="0.4">
      <c r="A1147" t="s">
        <v>3131</v>
      </c>
      <c r="B1147" t="s">
        <v>9</v>
      </c>
      <c r="C1147" t="s">
        <v>10</v>
      </c>
      <c r="D1147" t="s">
        <v>3132</v>
      </c>
      <c r="E1147" t="s">
        <v>3133</v>
      </c>
      <c r="F1147" t="str">
        <f>LEFT(E1147,5)</f>
        <v>서울특별시</v>
      </c>
      <c r="G1147" t="str">
        <f t="shared" si="41"/>
        <v xml:space="preserve">성북구 </v>
      </c>
      <c r="H1147" t="str">
        <f t="shared" ref="H1147:H1149" si="43">MID(SUBSTITUTE(E1147," ",""),9,4)</f>
        <v>동소문동</v>
      </c>
      <c r="I1147" t="s">
        <v>3134</v>
      </c>
      <c r="J1147" t="s">
        <v>3135</v>
      </c>
      <c r="K1147" t="s">
        <v>3136</v>
      </c>
    </row>
    <row r="1148" spans="1:11" x14ac:dyDescent="0.4">
      <c r="A1148" t="s">
        <v>5992</v>
      </c>
      <c r="B1148" t="s">
        <v>9</v>
      </c>
      <c r="C1148" t="s">
        <v>10</v>
      </c>
      <c r="D1148" t="s">
        <v>5993</v>
      </c>
      <c r="E1148" t="s">
        <v>5994</v>
      </c>
      <c r="F1148" t="str">
        <f>LEFT(E1148,5)</f>
        <v>서울특별시</v>
      </c>
      <c r="G1148" t="str">
        <f t="shared" si="41"/>
        <v xml:space="preserve">성북구 </v>
      </c>
      <c r="H1148" t="str">
        <f t="shared" si="43"/>
        <v>동소문동</v>
      </c>
      <c r="I1148" t="s">
        <v>5995</v>
      </c>
      <c r="J1148" t="s">
        <v>3135</v>
      </c>
      <c r="K1148" t="s">
        <v>5996</v>
      </c>
    </row>
    <row r="1149" spans="1:11" x14ac:dyDescent="0.4">
      <c r="A1149" t="s">
        <v>330</v>
      </c>
      <c r="B1149" t="s">
        <v>9</v>
      </c>
      <c r="C1149" t="s">
        <v>10</v>
      </c>
      <c r="D1149" t="s">
        <v>331</v>
      </c>
      <c r="E1149" t="s">
        <v>332</v>
      </c>
      <c r="F1149" t="str">
        <f>LEFT(E1149,5)</f>
        <v>서울특별시</v>
      </c>
      <c r="G1149" t="str">
        <f t="shared" si="41"/>
        <v xml:space="preserve">성북구 </v>
      </c>
      <c r="H1149" t="str">
        <f t="shared" si="43"/>
        <v>동소문동</v>
      </c>
      <c r="I1149" t="s">
        <v>333</v>
      </c>
      <c r="J1149" t="s">
        <v>334</v>
      </c>
      <c r="K1149" t="s">
        <v>335</v>
      </c>
    </row>
    <row r="1150" spans="1:11" x14ac:dyDescent="0.4">
      <c r="A1150" t="s">
        <v>3711</v>
      </c>
      <c r="B1150" t="s">
        <v>9</v>
      </c>
      <c r="C1150" t="s">
        <v>10</v>
      </c>
      <c r="D1150" t="s">
        <v>2708</v>
      </c>
      <c r="E1150" t="s">
        <v>3712</v>
      </c>
      <c r="F1150" t="str">
        <f>LEFT(E1150,5)</f>
        <v>서울특별시</v>
      </c>
      <c r="G1150" t="str">
        <f t="shared" si="41"/>
        <v xml:space="preserve">성북구 </v>
      </c>
      <c r="H1150" t="str">
        <f t="shared" si="42"/>
        <v>보문동</v>
      </c>
      <c r="I1150" t="s">
        <v>3713</v>
      </c>
      <c r="J1150" t="s">
        <v>3714</v>
      </c>
      <c r="K1150" t="s">
        <v>3715</v>
      </c>
    </row>
    <row r="1151" spans="1:11" x14ac:dyDescent="0.4">
      <c r="A1151" t="s">
        <v>2803</v>
      </c>
      <c r="B1151" t="s">
        <v>9</v>
      </c>
      <c r="C1151" t="s">
        <v>10</v>
      </c>
      <c r="D1151" t="s">
        <v>2708</v>
      </c>
      <c r="E1151" t="s">
        <v>2804</v>
      </c>
      <c r="F1151" t="str">
        <f>LEFT(E1151,5)</f>
        <v>서울특별시</v>
      </c>
      <c r="G1151" t="str">
        <f t="shared" si="41"/>
        <v xml:space="preserve">성북구 </v>
      </c>
      <c r="H1151" t="str">
        <f t="shared" si="42"/>
        <v>보문동</v>
      </c>
      <c r="I1151" t="s">
        <v>2805</v>
      </c>
      <c r="J1151" t="s">
        <v>2711</v>
      </c>
      <c r="K1151" t="s">
        <v>2806</v>
      </c>
    </row>
    <row r="1152" spans="1:11" x14ac:dyDescent="0.4">
      <c r="A1152" t="s">
        <v>2707</v>
      </c>
      <c r="B1152" t="s">
        <v>9</v>
      </c>
      <c r="C1152" t="s">
        <v>10</v>
      </c>
      <c r="D1152" t="s">
        <v>2708</v>
      </c>
      <c r="E1152" t="s">
        <v>2709</v>
      </c>
      <c r="F1152" t="str">
        <f>LEFT(E1152,5)</f>
        <v>서울특별시</v>
      </c>
      <c r="G1152" t="str">
        <f t="shared" si="41"/>
        <v xml:space="preserve">성북구 </v>
      </c>
      <c r="H1152" t="str">
        <f t="shared" si="42"/>
        <v>보문동</v>
      </c>
      <c r="I1152" t="s">
        <v>2710</v>
      </c>
      <c r="J1152" t="s">
        <v>2711</v>
      </c>
      <c r="K1152" t="s">
        <v>2712</v>
      </c>
    </row>
    <row r="1153" spans="1:11" x14ac:dyDescent="0.4">
      <c r="A1153" t="s">
        <v>4484</v>
      </c>
      <c r="B1153" t="s">
        <v>9</v>
      </c>
      <c r="C1153" t="s">
        <v>10</v>
      </c>
      <c r="D1153" t="s">
        <v>4485</v>
      </c>
      <c r="E1153" t="s">
        <v>4486</v>
      </c>
      <c r="F1153" t="str">
        <f>LEFT(E1153,5)</f>
        <v>서울특별시</v>
      </c>
      <c r="G1153" t="str">
        <f t="shared" si="41"/>
        <v xml:space="preserve">성북구 </v>
      </c>
      <c r="H1153" t="str">
        <f t="shared" si="42"/>
        <v>보문동</v>
      </c>
      <c r="I1153" t="s">
        <v>4487</v>
      </c>
      <c r="J1153" t="s">
        <v>2711</v>
      </c>
      <c r="K1153" t="s">
        <v>4488</v>
      </c>
    </row>
    <row r="1154" spans="1:11" x14ac:dyDescent="0.4">
      <c r="A1154" t="s">
        <v>5376</v>
      </c>
      <c r="B1154" t="s">
        <v>9</v>
      </c>
      <c r="C1154" t="s">
        <v>10</v>
      </c>
      <c r="D1154" t="s">
        <v>4485</v>
      </c>
      <c r="E1154" t="s">
        <v>5377</v>
      </c>
      <c r="F1154" t="str">
        <f>LEFT(E1154,5)</f>
        <v>서울특별시</v>
      </c>
      <c r="G1154" t="str">
        <f t="shared" si="41"/>
        <v xml:space="preserve">성북구 </v>
      </c>
      <c r="H1154" t="str">
        <f t="shared" si="42"/>
        <v>보문동</v>
      </c>
      <c r="I1154" t="s">
        <v>5378</v>
      </c>
      <c r="J1154" t="s">
        <v>5379</v>
      </c>
      <c r="K1154" t="s">
        <v>5380</v>
      </c>
    </row>
    <row r="1155" spans="1:11" x14ac:dyDescent="0.4">
      <c r="A1155" t="s">
        <v>4564</v>
      </c>
      <c r="B1155" t="s">
        <v>9</v>
      </c>
      <c r="C1155" t="s">
        <v>10</v>
      </c>
      <c r="D1155" t="s">
        <v>4565</v>
      </c>
      <c r="E1155" t="s">
        <v>4566</v>
      </c>
      <c r="F1155" t="str">
        <f>LEFT(E1155,5)</f>
        <v>서울특별시</v>
      </c>
      <c r="G1155" t="str">
        <f t="shared" ref="G1155:G1218" si="44">MID(E1155,7,4)</f>
        <v xml:space="preserve">성북구 </v>
      </c>
      <c r="H1155" t="str">
        <f t="shared" ref="H1155:H1218" si="45">MID(SUBSTITUTE(E1155," ",""),9,3)</f>
        <v>삼선동</v>
      </c>
      <c r="I1155" t="s">
        <v>4567</v>
      </c>
      <c r="J1155" t="s">
        <v>4568</v>
      </c>
      <c r="K1155" t="s">
        <v>4569</v>
      </c>
    </row>
    <row r="1156" spans="1:11" x14ac:dyDescent="0.4">
      <c r="A1156" t="s">
        <v>5419</v>
      </c>
      <c r="B1156" t="s">
        <v>9</v>
      </c>
      <c r="C1156" t="s">
        <v>10</v>
      </c>
      <c r="D1156" t="s">
        <v>4565</v>
      </c>
      <c r="E1156" t="s">
        <v>5420</v>
      </c>
      <c r="F1156" t="str">
        <f>LEFT(E1156,5)</f>
        <v>서울특별시</v>
      </c>
      <c r="G1156" t="str">
        <f t="shared" si="44"/>
        <v xml:space="preserve">성북구 </v>
      </c>
      <c r="H1156" t="str">
        <f t="shared" si="45"/>
        <v>삼선동</v>
      </c>
      <c r="I1156" t="s">
        <v>5421</v>
      </c>
      <c r="J1156" t="s">
        <v>4568</v>
      </c>
      <c r="K1156" t="s">
        <v>5422</v>
      </c>
    </row>
    <row r="1157" spans="1:11" x14ac:dyDescent="0.4">
      <c r="A1157" t="s">
        <v>4303</v>
      </c>
      <c r="B1157" t="s">
        <v>9</v>
      </c>
      <c r="C1157" t="s">
        <v>10</v>
      </c>
      <c r="D1157" t="s">
        <v>4304</v>
      </c>
      <c r="E1157" t="s">
        <v>4305</v>
      </c>
      <c r="F1157" t="str">
        <f>LEFT(E1157,5)</f>
        <v>서울특별시</v>
      </c>
      <c r="G1157" t="str">
        <f t="shared" si="44"/>
        <v xml:space="preserve">성북구 </v>
      </c>
      <c r="H1157" t="str">
        <f t="shared" si="45"/>
        <v>삼선동</v>
      </c>
      <c r="I1157" t="s">
        <v>4306</v>
      </c>
      <c r="J1157" t="s">
        <v>4307</v>
      </c>
      <c r="K1157" t="s">
        <v>2898</v>
      </c>
    </row>
    <row r="1158" spans="1:11" x14ac:dyDescent="0.4">
      <c r="A1158" t="s">
        <v>2692</v>
      </c>
      <c r="B1158" t="s">
        <v>9</v>
      </c>
      <c r="C1158" t="s">
        <v>10</v>
      </c>
      <c r="D1158" t="s">
        <v>1662</v>
      </c>
      <c r="E1158" t="s">
        <v>2693</v>
      </c>
      <c r="F1158" t="str">
        <f>LEFT(E1158,5)</f>
        <v>서울특별시</v>
      </c>
      <c r="G1158" t="str">
        <f t="shared" si="44"/>
        <v xml:space="preserve">성북구 </v>
      </c>
      <c r="H1158" t="str">
        <f t="shared" si="45"/>
        <v>삼선동</v>
      </c>
      <c r="I1158" t="s">
        <v>2694</v>
      </c>
      <c r="J1158" t="s">
        <v>1665</v>
      </c>
      <c r="K1158" t="s">
        <v>2695</v>
      </c>
    </row>
    <row r="1159" spans="1:11" x14ac:dyDescent="0.4">
      <c r="A1159" t="s">
        <v>1661</v>
      </c>
      <c r="B1159" t="s">
        <v>9</v>
      </c>
      <c r="C1159" t="s">
        <v>10</v>
      </c>
      <c r="D1159" t="s">
        <v>1662</v>
      </c>
      <c r="E1159" t="s">
        <v>1663</v>
      </c>
      <c r="F1159" t="str">
        <f>LEFT(E1159,5)</f>
        <v>서울특별시</v>
      </c>
      <c r="G1159" t="str">
        <f t="shared" si="44"/>
        <v xml:space="preserve">성북구 </v>
      </c>
      <c r="H1159" t="str">
        <f t="shared" si="45"/>
        <v>삼선동</v>
      </c>
      <c r="I1159" t="s">
        <v>1664</v>
      </c>
      <c r="J1159" t="s">
        <v>1665</v>
      </c>
      <c r="K1159" t="s">
        <v>1666</v>
      </c>
    </row>
    <row r="1160" spans="1:11" x14ac:dyDescent="0.4">
      <c r="A1160" t="s">
        <v>7720</v>
      </c>
      <c r="B1160" t="s">
        <v>9</v>
      </c>
      <c r="C1160" t="s">
        <v>10</v>
      </c>
      <c r="D1160" t="s">
        <v>1662</v>
      </c>
      <c r="E1160" t="s">
        <v>7721</v>
      </c>
      <c r="F1160" t="str">
        <f>LEFT(E1160,5)</f>
        <v>서울특별시</v>
      </c>
      <c r="G1160" t="str">
        <f t="shared" si="44"/>
        <v xml:space="preserve">성북구 </v>
      </c>
      <c r="H1160" t="str">
        <f t="shared" si="45"/>
        <v>삼선동</v>
      </c>
      <c r="I1160" t="s">
        <v>7722</v>
      </c>
      <c r="J1160" t="s">
        <v>7723</v>
      </c>
      <c r="K1160" t="s">
        <v>7724</v>
      </c>
    </row>
    <row r="1161" spans="1:11" x14ac:dyDescent="0.4">
      <c r="A1161" t="s">
        <v>4847</v>
      </c>
      <c r="B1161" t="s">
        <v>9</v>
      </c>
      <c r="C1161" t="s">
        <v>10</v>
      </c>
      <c r="D1161" t="s">
        <v>4848</v>
      </c>
      <c r="E1161" t="s">
        <v>4849</v>
      </c>
      <c r="F1161" t="str">
        <f>LEFT(E1161,5)</f>
        <v>서울특별시</v>
      </c>
      <c r="G1161" t="str">
        <f t="shared" si="44"/>
        <v xml:space="preserve">성북구 </v>
      </c>
      <c r="H1161" t="str">
        <f t="shared" si="45"/>
        <v>석관동</v>
      </c>
      <c r="I1161" t="s">
        <v>4850</v>
      </c>
      <c r="J1161" t="s">
        <v>4851</v>
      </c>
      <c r="K1161" t="s">
        <v>4852</v>
      </c>
    </row>
    <row r="1162" spans="1:11" x14ac:dyDescent="0.4">
      <c r="A1162" t="s">
        <v>7699</v>
      </c>
      <c r="B1162" t="s">
        <v>9</v>
      </c>
      <c r="C1162" t="s">
        <v>10</v>
      </c>
      <c r="D1162" t="s">
        <v>7700</v>
      </c>
      <c r="E1162" t="s">
        <v>7701</v>
      </c>
      <c r="F1162" t="str">
        <f>LEFT(E1162,5)</f>
        <v>서울특별시</v>
      </c>
      <c r="G1162" t="str">
        <f t="shared" si="44"/>
        <v xml:space="preserve">성북구 </v>
      </c>
      <c r="H1162" t="str">
        <f t="shared" si="45"/>
        <v>장위동</v>
      </c>
      <c r="I1162" t="s">
        <v>7702</v>
      </c>
      <c r="J1162" t="s">
        <v>7703</v>
      </c>
      <c r="K1162" t="s">
        <v>7704</v>
      </c>
    </row>
    <row r="1163" spans="1:11" x14ac:dyDescent="0.4">
      <c r="A1163" t="s">
        <v>8828</v>
      </c>
      <c r="B1163" t="s">
        <v>9</v>
      </c>
      <c r="C1163" t="s">
        <v>10</v>
      </c>
      <c r="D1163" t="s">
        <v>8242</v>
      </c>
      <c r="E1163" t="s">
        <v>8829</v>
      </c>
      <c r="F1163" t="str">
        <f>LEFT(E1163,5)</f>
        <v>서울특별시</v>
      </c>
      <c r="G1163" t="str">
        <f t="shared" si="44"/>
        <v xml:space="preserve">성북구 </v>
      </c>
      <c r="H1163" t="str">
        <f t="shared" si="45"/>
        <v>장위동</v>
      </c>
      <c r="I1163" t="s">
        <v>8830</v>
      </c>
      <c r="J1163" t="s">
        <v>8831</v>
      </c>
      <c r="K1163" t="s">
        <v>8832</v>
      </c>
    </row>
    <row r="1164" spans="1:11" x14ac:dyDescent="0.4">
      <c r="A1164" t="s">
        <v>8241</v>
      </c>
      <c r="B1164" t="s">
        <v>9</v>
      </c>
      <c r="C1164" t="s">
        <v>10</v>
      </c>
      <c r="D1164" t="s">
        <v>8242</v>
      </c>
      <c r="E1164" t="s">
        <v>8243</v>
      </c>
      <c r="F1164" t="str">
        <f>LEFT(E1164,5)</f>
        <v>서울특별시</v>
      </c>
      <c r="G1164" t="str">
        <f t="shared" si="44"/>
        <v xml:space="preserve">성북구 </v>
      </c>
      <c r="H1164" t="str">
        <f t="shared" si="45"/>
        <v>장위동</v>
      </c>
      <c r="I1164" t="s">
        <v>8244</v>
      </c>
      <c r="J1164" t="s">
        <v>7703</v>
      </c>
      <c r="K1164" t="s">
        <v>8245</v>
      </c>
    </row>
    <row r="1165" spans="1:11" x14ac:dyDescent="0.4">
      <c r="A1165" t="s">
        <v>7238</v>
      </c>
      <c r="B1165" t="s">
        <v>9</v>
      </c>
      <c r="C1165" t="s">
        <v>10</v>
      </c>
      <c r="D1165" t="s">
        <v>7239</v>
      </c>
      <c r="E1165" t="s">
        <v>7240</v>
      </c>
      <c r="F1165" t="str">
        <f>LEFT(E1165,5)</f>
        <v>서울특별시</v>
      </c>
      <c r="G1165" t="str">
        <f t="shared" si="44"/>
        <v xml:space="preserve">성북구 </v>
      </c>
      <c r="H1165" t="str">
        <f t="shared" si="45"/>
        <v>장위동</v>
      </c>
      <c r="I1165" t="s">
        <v>7241</v>
      </c>
      <c r="J1165" t="s">
        <v>7242</v>
      </c>
      <c r="K1165" t="s">
        <v>7243</v>
      </c>
    </row>
    <row r="1166" spans="1:11" x14ac:dyDescent="0.4">
      <c r="A1166" t="s">
        <v>4279</v>
      </c>
      <c r="B1166" t="s">
        <v>9</v>
      </c>
      <c r="C1166" t="s">
        <v>10</v>
      </c>
      <c r="D1166" t="s">
        <v>4280</v>
      </c>
      <c r="E1166" t="s">
        <v>4281</v>
      </c>
      <c r="F1166" t="str">
        <f>LEFT(E1166,5)</f>
        <v>서울특별시</v>
      </c>
      <c r="G1166" t="str">
        <f t="shared" si="44"/>
        <v xml:space="preserve">성북구 </v>
      </c>
      <c r="H1166" t="str">
        <f t="shared" si="45"/>
        <v>장위동</v>
      </c>
      <c r="I1166" t="s">
        <v>4282</v>
      </c>
      <c r="J1166" t="s">
        <v>4283</v>
      </c>
      <c r="K1166" t="s">
        <v>4284</v>
      </c>
    </row>
    <row r="1167" spans="1:11" x14ac:dyDescent="0.4">
      <c r="A1167" t="s">
        <v>5459</v>
      </c>
      <c r="B1167" t="s">
        <v>9</v>
      </c>
      <c r="C1167" t="s">
        <v>10</v>
      </c>
      <c r="D1167" t="s">
        <v>5460</v>
      </c>
      <c r="E1167" t="s">
        <v>5461</v>
      </c>
      <c r="F1167" t="str">
        <f>LEFT(E1167,5)</f>
        <v>서울특별시</v>
      </c>
      <c r="G1167" t="str">
        <f t="shared" si="44"/>
        <v xml:space="preserve">성북구 </v>
      </c>
      <c r="H1167" t="str">
        <f t="shared" si="45"/>
        <v>장위동</v>
      </c>
      <c r="I1167" t="s">
        <v>5462</v>
      </c>
      <c r="J1167" t="s">
        <v>5463</v>
      </c>
      <c r="K1167" t="s">
        <v>4212</v>
      </c>
    </row>
    <row r="1168" spans="1:11" x14ac:dyDescent="0.4">
      <c r="A1168" t="s">
        <v>6796</v>
      </c>
      <c r="B1168" t="s">
        <v>9</v>
      </c>
      <c r="C1168" t="s">
        <v>10</v>
      </c>
      <c r="D1168" t="s">
        <v>5460</v>
      </c>
      <c r="E1168" t="s">
        <v>6797</v>
      </c>
      <c r="F1168" t="str">
        <f>LEFT(E1168,5)</f>
        <v>서울특별시</v>
      </c>
      <c r="G1168" t="str">
        <f t="shared" si="44"/>
        <v xml:space="preserve">성북구 </v>
      </c>
      <c r="H1168" t="str">
        <f t="shared" si="45"/>
        <v>장위동</v>
      </c>
      <c r="I1168" t="s">
        <v>6798</v>
      </c>
      <c r="J1168" t="s">
        <v>6799</v>
      </c>
      <c r="K1168" t="s">
        <v>6800</v>
      </c>
    </row>
    <row r="1169" spans="1:11" x14ac:dyDescent="0.4">
      <c r="A1169" t="s">
        <v>5278</v>
      </c>
      <c r="B1169" t="s">
        <v>9</v>
      </c>
      <c r="C1169" t="s">
        <v>10</v>
      </c>
      <c r="D1169" t="s">
        <v>5279</v>
      </c>
      <c r="E1169" t="s">
        <v>5280</v>
      </c>
      <c r="F1169" t="str">
        <f>LEFT(E1169,5)</f>
        <v>서울특별시</v>
      </c>
      <c r="G1169" t="str">
        <f t="shared" si="44"/>
        <v xml:space="preserve">성북구 </v>
      </c>
      <c r="H1169" t="str">
        <f t="shared" si="45"/>
        <v>정릉동</v>
      </c>
      <c r="I1169" t="s">
        <v>5281</v>
      </c>
      <c r="J1169" t="s">
        <v>5282</v>
      </c>
      <c r="K1169" t="s">
        <v>5283</v>
      </c>
    </row>
    <row r="1170" spans="1:11" x14ac:dyDescent="0.4">
      <c r="A1170" t="s">
        <v>5677</v>
      </c>
      <c r="B1170" t="s">
        <v>9</v>
      </c>
      <c r="C1170" t="s">
        <v>10</v>
      </c>
      <c r="D1170" t="s">
        <v>5678</v>
      </c>
      <c r="E1170" t="s">
        <v>5679</v>
      </c>
      <c r="F1170" t="str">
        <f>LEFT(E1170,5)</f>
        <v>서울특별시</v>
      </c>
      <c r="G1170" t="str">
        <f t="shared" si="44"/>
        <v xml:space="preserve">성북구 </v>
      </c>
      <c r="H1170" t="str">
        <f t="shared" si="45"/>
        <v>정릉동</v>
      </c>
      <c r="I1170" t="s">
        <v>5680</v>
      </c>
      <c r="J1170" t="s">
        <v>5681</v>
      </c>
      <c r="K1170" t="s">
        <v>5682</v>
      </c>
    </row>
    <row r="1171" spans="1:11" x14ac:dyDescent="0.4">
      <c r="A1171" t="s">
        <v>8779</v>
      </c>
      <c r="B1171" t="s">
        <v>9</v>
      </c>
      <c r="C1171" t="s">
        <v>10</v>
      </c>
      <c r="D1171" t="s">
        <v>8209</v>
      </c>
      <c r="E1171" t="s">
        <v>8780</v>
      </c>
      <c r="F1171" t="str">
        <f>LEFT(E1171,5)</f>
        <v>서울특별시</v>
      </c>
      <c r="G1171" t="str">
        <f t="shared" si="44"/>
        <v xml:space="preserve">성북구 </v>
      </c>
      <c r="H1171" t="str">
        <f t="shared" si="45"/>
        <v>정릉동</v>
      </c>
      <c r="I1171" t="s">
        <v>8781</v>
      </c>
      <c r="J1171" t="s">
        <v>8212</v>
      </c>
      <c r="K1171" t="s">
        <v>8782</v>
      </c>
    </row>
    <row r="1172" spans="1:11" x14ac:dyDescent="0.4">
      <c r="A1172" t="s">
        <v>8208</v>
      </c>
      <c r="B1172" t="s">
        <v>9</v>
      </c>
      <c r="C1172" t="s">
        <v>10</v>
      </c>
      <c r="D1172" t="s">
        <v>8209</v>
      </c>
      <c r="E1172" t="s">
        <v>8210</v>
      </c>
      <c r="F1172" t="str">
        <f>LEFT(E1172,5)</f>
        <v>서울특별시</v>
      </c>
      <c r="G1172" t="str">
        <f t="shared" si="44"/>
        <v xml:space="preserve">성북구 </v>
      </c>
      <c r="H1172" t="str">
        <f t="shared" si="45"/>
        <v>정릉동</v>
      </c>
      <c r="I1172" t="s">
        <v>8211</v>
      </c>
      <c r="J1172" t="s">
        <v>8212</v>
      </c>
      <c r="K1172" t="s">
        <v>8213</v>
      </c>
    </row>
    <row r="1173" spans="1:11" x14ac:dyDescent="0.4">
      <c r="A1173" t="s">
        <v>2758</v>
      </c>
      <c r="B1173" t="s">
        <v>9</v>
      </c>
      <c r="C1173" t="s">
        <v>10</v>
      </c>
      <c r="D1173" t="s">
        <v>2759</v>
      </c>
      <c r="E1173" t="s">
        <v>2760</v>
      </c>
      <c r="F1173" t="str">
        <f>LEFT(E1173,5)</f>
        <v>서울특별시</v>
      </c>
      <c r="G1173" t="str">
        <f t="shared" si="44"/>
        <v xml:space="preserve">성북구 </v>
      </c>
      <c r="H1173" t="str">
        <f t="shared" si="45"/>
        <v>종암동</v>
      </c>
      <c r="I1173" t="s">
        <v>2761</v>
      </c>
      <c r="J1173" t="s">
        <v>2762</v>
      </c>
      <c r="K1173" t="s">
        <v>2763</v>
      </c>
    </row>
    <row r="1174" spans="1:11" x14ac:dyDescent="0.4">
      <c r="A1174" t="s">
        <v>2807</v>
      </c>
      <c r="B1174" t="s">
        <v>9</v>
      </c>
      <c r="C1174" t="s">
        <v>10</v>
      </c>
      <c r="D1174" t="s">
        <v>2808</v>
      </c>
      <c r="E1174" t="s">
        <v>2809</v>
      </c>
      <c r="F1174" t="str">
        <f>LEFT(E1174,5)</f>
        <v>서울특별시</v>
      </c>
      <c r="G1174" t="str">
        <f t="shared" si="44"/>
        <v xml:space="preserve">성북구 </v>
      </c>
      <c r="H1174" t="str">
        <f t="shared" si="45"/>
        <v>종암동</v>
      </c>
      <c r="I1174" t="s">
        <v>2810</v>
      </c>
      <c r="J1174" t="s">
        <v>2811</v>
      </c>
      <c r="K1174" t="s">
        <v>2812</v>
      </c>
    </row>
    <row r="1175" spans="1:11" x14ac:dyDescent="0.4">
      <c r="A1175" t="s">
        <v>3500</v>
      </c>
      <c r="B1175" t="s">
        <v>9</v>
      </c>
      <c r="C1175" t="s">
        <v>10</v>
      </c>
      <c r="D1175" t="s">
        <v>3501</v>
      </c>
      <c r="E1175" t="s">
        <v>3502</v>
      </c>
      <c r="F1175" t="str">
        <f>LEFT(E1175,5)</f>
        <v>서울특별시</v>
      </c>
      <c r="G1175" t="str">
        <f t="shared" si="44"/>
        <v xml:space="preserve">성북구 </v>
      </c>
      <c r="H1175" t="str">
        <f t="shared" si="45"/>
        <v>종암동</v>
      </c>
      <c r="I1175" t="s">
        <v>3503</v>
      </c>
      <c r="J1175" t="s">
        <v>2811</v>
      </c>
      <c r="K1175" t="s">
        <v>3504</v>
      </c>
    </row>
    <row r="1176" spans="1:11" x14ac:dyDescent="0.4">
      <c r="A1176" t="s">
        <v>5218</v>
      </c>
      <c r="B1176" t="s">
        <v>9</v>
      </c>
      <c r="C1176" t="s">
        <v>10</v>
      </c>
      <c r="D1176" t="s">
        <v>3501</v>
      </c>
      <c r="E1176" t="s">
        <v>5219</v>
      </c>
      <c r="F1176" t="str">
        <f>LEFT(E1176,5)</f>
        <v>서울특별시</v>
      </c>
      <c r="G1176" t="str">
        <f t="shared" si="44"/>
        <v xml:space="preserve">성북구 </v>
      </c>
      <c r="H1176" t="str">
        <f t="shared" si="45"/>
        <v>종암동</v>
      </c>
      <c r="I1176" t="s">
        <v>5220</v>
      </c>
      <c r="J1176" t="s">
        <v>2811</v>
      </c>
      <c r="K1176" t="s">
        <v>5221</v>
      </c>
    </row>
    <row r="1177" spans="1:11" x14ac:dyDescent="0.4">
      <c r="A1177" t="s">
        <v>5558</v>
      </c>
      <c r="B1177" t="s">
        <v>9</v>
      </c>
      <c r="C1177" t="s">
        <v>10</v>
      </c>
      <c r="D1177" t="s">
        <v>5559</v>
      </c>
      <c r="E1177" t="s">
        <v>5560</v>
      </c>
      <c r="F1177" t="str">
        <f>LEFT(E1177,5)</f>
        <v>서울특별시</v>
      </c>
      <c r="G1177" t="str">
        <f t="shared" si="44"/>
        <v xml:space="preserve">성북구 </v>
      </c>
      <c r="H1177" t="str">
        <f>MID(SUBSTITUTE(E1177," ",""),9,4)</f>
        <v>하월곡동</v>
      </c>
      <c r="I1177" t="s">
        <v>11</v>
      </c>
      <c r="J1177" t="s">
        <v>11</v>
      </c>
      <c r="K1177" t="s">
        <v>5561</v>
      </c>
    </row>
    <row r="1178" spans="1:11" x14ac:dyDescent="0.4">
      <c r="A1178" t="s">
        <v>3554</v>
      </c>
      <c r="B1178" t="s">
        <v>9</v>
      </c>
      <c r="C1178" t="s">
        <v>10</v>
      </c>
      <c r="D1178" t="s">
        <v>3555</v>
      </c>
      <c r="E1178" t="s">
        <v>3556</v>
      </c>
      <c r="F1178" t="str">
        <f>LEFT(E1178,5)</f>
        <v>서울특별시</v>
      </c>
      <c r="G1178" t="str">
        <f t="shared" si="44"/>
        <v xml:space="preserve">성북구 </v>
      </c>
      <c r="H1178" t="str">
        <f t="shared" ref="H1178:H1181" si="46">MID(SUBSTITUTE(E1178," ",""),9,4)</f>
        <v>하월곡동</v>
      </c>
      <c r="I1178" t="s">
        <v>3557</v>
      </c>
      <c r="J1178" t="s">
        <v>3558</v>
      </c>
      <c r="K1178" t="s">
        <v>3559</v>
      </c>
    </row>
    <row r="1179" spans="1:11" x14ac:dyDescent="0.4">
      <c r="A1179" t="s">
        <v>8497</v>
      </c>
      <c r="B1179" t="s">
        <v>9</v>
      </c>
      <c r="C1179" t="s">
        <v>10</v>
      </c>
      <c r="D1179" t="s">
        <v>5559</v>
      </c>
      <c r="E1179" t="s">
        <v>8498</v>
      </c>
      <c r="F1179" t="str">
        <f>LEFT(E1179,5)</f>
        <v>서울특별시</v>
      </c>
      <c r="G1179" t="str">
        <f t="shared" si="44"/>
        <v xml:space="preserve">성북구 </v>
      </c>
      <c r="H1179" t="str">
        <f t="shared" si="46"/>
        <v>하월곡동</v>
      </c>
      <c r="I1179" t="s">
        <v>8499</v>
      </c>
      <c r="J1179" t="s">
        <v>4385</v>
      </c>
      <c r="K1179" t="s">
        <v>8500</v>
      </c>
    </row>
    <row r="1180" spans="1:11" x14ac:dyDescent="0.4">
      <c r="A1180" t="s">
        <v>4382</v>
      </c>
      <c r="B1180" t="s">
        <v>9</v>
      </c>
      <c r="C1180" t="s">
        <v>10</v>
      </c>
      <c r="D1180" t="s">
        <v>3555</v>
      </c>
      <c r="E1180" t="s">
        <v>4383</v>
      </c>
      <c r="F1180" t="str">
        <f>LEFT(E1180,5)</f>
        <v>서울특별시</v>
      </c>
      <c r="G1180" t="str">
        <f t="shared" si="44"/>
        <v xml:space="preserve">성북구 </v>
      </c>
      <c r="H1180" t="str">
        <f t="shared" si="46"/>
        <v>하월곡동</v>
      </c>
      <c r="I1180" t="s">
        <v>4384</v>
      </c>
      <c r="J1180" t="s">
        <v>4385</v>
      </c>
      <c r="K1180" t="s">
        <v>4386</v>
      </c>
    </row>
    <row r="1181" spans="1:11" x14ac:dyDescent="0.4">
      <c r="A1181" t="s">
        <v>7936</v>
      </c>
      <c r="B1181" t="s">
        <v>9</v>
      </c>
      <c r="C1181" t="s">
        <v>10</v>
      </c>
      <c r="D1181" t="s">
        <v>7937</v>
      </c>
      <c r="E1181" t="s">
        <v>7938</v>
      </c>
      <c r="F1181" t="str">
        <f>LEFT(E1181,5)</f>
        <v>서울특별시</v>
      </c>
      <c r="G1181" t="str">
        <f t="shared" si="44"/>
        <v xml:space="preserve">성북구 </v>
      </c>
      <c r="H1181" t="str">
        <f t="shared" si="46"/>
        <v>하월곡동</v>
      </c>
      <c r="I1181" t="s">
        <v>7939</v>
      </c>
      <c r="J1181" t="s">
        <v>7940</v>
      </c>
      <c r="K1181" t="s">
        <v>3306</v>
      </c>
    </row>
    <row r="1182" spans="1:11" x14ac:dyDescent="0.4">
      <c r="A1182" t="s">
        <v>3733</v>
      </c>
      <c r="B1182" t="s">
        <v>9</v>
      </c>
      <c r="C1182" t="s">
        <v>10</v>
      </c>
      <c r="D1182" t="s">
        <v>3734</v>
      </c>
      <c r="E1182" t="s">
        <v>3735</v>
      </c>
      <c r="F1182" t="str">
        <f>LEFT(E1182,5)</f>
        <v>서울특별시</v>
      </c>
      <c r="G1182" t="str">
        <f t="shared" si="44"/>
        <v xml:space="preserve">송파구 </v>
      </c>
      <c r="H1182" t="str">
        <f t="shared" si="45"/>
        <v>가락동</v>
      </c>
      <c r="I1182" t="s">
        <v>3736</v>
      </c>
      <c r="J1182" t="s">
        <v>3737</v>
      </c>
      <c r="K1182" t="s">
        <v>3738</v>
      </c>
    </row>
    <row r="1183" spans="1:11" x14ac:dyDescent="0.4">
      <c r="A1183" t="s">
        <v>6589</v>
      </c>
      <c r="B1183" t="s">
        <v>9</v>
      </c>
      <c r="C1183" t="s">
        <v>10</v>
      </c>
      <c r="D1183" t="s">
        <v>6590</v>
      </c>
      <c r="E1183" t="s">
        <v>6591</v>
      </c>
      <c r="F1183" t="str">
        <f>LEFT(E1183,5)</f>
        <v>서울특별시</v>
      </c>
      <c r="G1183" t="str">
        <f t="shared" si="44"/>
        <v xml:space="preserve">송파구 </v>
      </c>
      <c r="H1183" t="str">
        <f t="shared" si="45"/>
        <v>가락동</v>
      </c>
      <c r="I1183" t="s">
        <v>6592</v>
      </c>
      <c r="J1183" t="s">
        <v>6593</v>
      </c>
      <c r="K1183" t="s">
        <v>6594</v>
      </c>
    </row>
    <row r="1184" spans="1:11" x14ac:dyDescent="0.4">
      <c r="A1184" t="s">
        <v>8580</v>
      </c>
      <c r="B1184" t="s">
        <v>9</v>
      </c>
      <c r="C1184" t="s">
        <v>10</v>
      </c>
      <c r="D1184" t="s">
        <v>3159</v>
      </c>
      <c r="E1184" t="s">
        <v>8581</v>
      </c>
      <c r="F1184" t="str">
        <f>LEFT(E1184,5)</f>
        <v>서울특별시</v>
      </c>
      <c r="G1184" t="str">
        <f t="shared" si="44"/>
        <v xml:space="preserve">송파구 </v>
      </c>
      <c r="H1184" t="str">
        <f t="shared" si="45"/>
        <v>가락동</v>
      </c>
      <c r="I1184" t="s">
        <v>8582</v>
      </c>
      <c r="J1184" t="s">
        <v>8583</v>
      </c>
      <c r="K1184" t="s">
        <v>8584</v>
      </c>
    </row>
    <row r="1185" spans="1:11" x14ac:dyDescent="0.4">
      <c r="A1185" t="s">
        <v>8897</v>
      </c>
      <c r="B1185" t="s">
        <v>9</v>
      </c>
      <c r="C1185" t="s">
        <v>10</v>
      </c>
      <c r="D1185" t="s">
        <v>3159</v>
      </c>
      <c r="E1185" t="s">
        <v>8898</v>
      </c>
      <c r="F1185" t="str">
        <f>LEFT(E1185,5)</f>
        <v>서울특별시</v>
      </c>
      <c r="G1185" t="str">
        <f t="shared" si="44"/>
        <v xml:space="preserve">송파구 </v>
      </c>
      <c r="H1185" t="str">
        <f t="shared" si="45"/>
        <v>가락동</v>
      </c>
      <c r="I1185" t="s">
        <v>8899</v>
      </c>
      <c r="J1185" t="s">
        <v>8748</v>
      </c>
      <c r="K1185" t="s">
        <v>8900</v>
      </c>
    </row>
    <row r="1186" spans="1:11" x14ac:dyDescent="0.4">
      <c r="A1186" t="s">
        <v>8745</v>
      </c>
      <c r="B1186" t="s">
        <v>9</v>
      </c>
      <c r="C1186" t="s">
        <v>10</v>
      </c>
      <c r="D1186" t="s">
        <v>3159</v>
      </c>
      <c r="E1186" t="s">
        <v>8746</v>
      </c>
      <c r="F1186" t="str">
        <f>LEFT(E1186,5)</f>
        <v>서울특별시</v>
      </c>
      <c r="G1186" t="str">
        <f t="shared" si="44"/>
        <v xml:space="preserve">송파구 </v>
      </c>
      <c r="H1186" t="str">
        <f t="shared" si="45"/>
        <v>가락동</v>
      </c>
      <c r="I1186" t="s">
        <v>8747</v>
      </c>
      <c r="J1186" t="s">
        <v>8748</v>
      </c>
      <c r="K1186" t="s">
        <v>8749</v>
      </c>
    </row>
    <row r="1187" spans="1:11" x14ac:dyDescent="0.4">
      <c r="A1187" t="s">
        <v>7636</v>
      </c>
      <c r="B1187" t="s">
        <v>9</v>
      </c>
      <c r="C1187" t="s">
        <v>10</v>
      </c>
      <c r="D1187" t="s">
        <v>3683</v>
      </c>
      <c r="E1187" t="s">
        <v>7637</v>
      </c>
      <c r="F1187" t="str">
        <f>LEFT(E1187,5)</f>
        <v>서울특별시</v>
      </c>
      <c r="G1187" t="str">
        <f t="shared" si="44"/>
        <v xml:space="preserve">송파구 </v>
      </c>
      <c r="H1187" t="str">
        <f t="shared" si="45"/>
        <v>가락동</v>
      </c>
      <c r="I1187" t="s">
        <v>7638</v>
      </c>
      <c r="J1187" t="s">
        <v>7639</v>
      </c>
      <c r="K1187" t="s">
        <v>7640</v>
      </c>
    </row>
    <row r="1188" spans="1:11" x14ac:dyDescent="0.4">
      <c r="A1188" t="s">
        <v>7692</v>
      </c>
      <c r="B1188" t="s">
        <v>9</v>
      </c>
      <c r="C1188" t="s">
        <v>10</v>
      </c>
      <c r="D1188" t="s">
        <v>3159</v>
      </c>
      <c r="E1188" t="s">
        <v>7693</v>
      </c>
      <c r="F1188" t="str">
        <f>LEFT(E1188,5)</f>
        <v>서울특별시</v>
      </c>
      <c r="G1188" t="str">
        <f t="shared" si="44"/>
        <v xml:space="preserve">송파구 </v>
      </c>
      <c r="H1188" t="str">
        <f t="shared" si="45"/>
        <v>가락동</v>
      </c>
      <c r="I1188" t="s">
        <v>7694</v>
      </c>
      <c r="J1188" t="s">
        <v>3162</v>
      </c>
      <c r="K1188" t="s">
        <v>7123</v>
      </c>
    </row>
    <row r="1189" spans="1:11" x14ac:dyDescent="0.4">
      <c r="A1189" t="s">
        <v>8860</v>
      </c>
      <c r="B1189" t="s">
        <v>9</v>
      </c>
      <c r="C1189" t="s">
        <v>10</v>
      </c>
      <c r="D1189" t="s">
        <v>3159</v>
      </c>
      <c r="E1189" t="s">
        <v>8861</v>
      </c>
      <c r="F1189" t="str">
        <f>LEFT(E1189,5)</f>
        <v>서울특별시</v>
      </c>
      <c r="G1189" t="str">
        <f t="shared" si="44"/>
        <v xml:space="preserve">송파구 </v>
      </c>
      <c r="H1189" t="str">
        <f t="shared" si="45"/>
        <v>가락동</v>
      </c>
      <c r="I1189" t="s">
        <v>8862</v>
      </c>
      <c r="J1189" t="s">
        <v>3162</v>
      </c>
      <c r="K1189" t="s">
        <v>8863</v>
      </c>
    </row>
    <row r="1190" spans="1:11" x14ac:dyDescent="0.4">
      <c r="A1190" t="s">
        <v>6906</v>
      </c>
      <c r="B1190" t="s">
        <v>9</v>
      </c>
      <c r="C1190" t="s">
        <v>10</v>
      </c>
      <c r="D1190" t="s">
        <v>3159</v>
      </c>
      <c r="E1190" t="s">
        <v>6907</v>
      </c>
      <c r="F1190" t="str">
        <f>LEFT(E1190,5)</f>
        <v>서울특별시</v>
      </c>
      <c r="G1190" t="str">
        <f t="shared" si="44"/>
        <v xml:space="preserve">송파구 </v>
      </c>
      <c r="H1190" t="str">
        <f t="shared" si="45"/>
        <v>가락동</v>
      </c>
      <c r="I1190" t="s">
        <v>6908</v>
      </c>
      <c r="J1190" t="s">
        <v>3162</v>
      </c>
      <c r="K1190" t="s">
        <v>6909</v>
      </c>
    </row>
    <row r="1191" spans="1:11" x14ac:dyDescent="0.4">
      <c r="A1191" t="s">
        <v>3682</v>
      </c>
      <c r="B1191" t="s">
        <v>9</v>
      </c>
      <c r="C1191" t="s">
        <v>10</v>
      </c>
      <c r="D1191" t="s">
        <v>3683</v>
      </c>
      <c r="E1191" t="s">
        <v>3684</v>
      </c>
      <c r="F1191" t="str">
        <f>LEFT(E1191,5)</f>
        <v>서울특별시</v>
      </c>
      <c r="G1191" t="str">
        <f t="shared" si="44"/>
        <v xml:space="preserve">송파구 </v>
      </c>
      <c r="H1191" t="str">
        <f t="shared" si="45"/>
        <v>가락동</v>
      </c>
      <c r="I1191" t="s">
        <v>3685</v>
      </c>
      <c r="J1191" t="s">
        <v>3686</v>
      </c>
      <c r="K1191" t="s">
        <v>3687</v>
      </c>
    </row>
    <row r="1192" spans="1:11" x14ac:dyDescent="0.4">
      <c r="A1192" t="s">
        <v>7224</v>
      </c>
      <c r="B1192" t="s">
        <v>9</v>
      </c>
      <c r="C1192" t="s">
        <v>10</v>
      </c>
      <c r="D1192" t="s">
        <v>3331</v>
      </c>
      <c r="E1192" t="s">
        <v>7225</v>
      </c>
      <c r="F1192" t="str">
        <f>LEFT(E1192,5)</f>
        <v>서울특별시</v>
      </c>
      <c r="G1192" t="str">
        <f t="shared" si="44"/>
        <v xml:space="preserve">송파구 </v>
      </c>
      <c r="H1192" t="str">
        <f t="shared" si="45"/>
        <v>가락동</v>
      </c>
      <c r="I1192" t="s">
        <v>7226</v>
      </c>
      <c r="J1192" t="s">
        <v>7227</v>
      </c>
      <c r="K1192" t="s">
        <v>7228</v>
      </c>
    </row>
    <row r="1193" spans="1:11" x14ac:dyDescent="0.4">
      <c r="A1193" t="s">
        <v>3330</v>
      </c>
      <c r="B1193" t="s">
        <v>9</v>
      </c>
      <c r="C1193" t="s">
        <v>10</v>
      </c>
      <c r="D1193" t="s">
        <v>3331</v>
      </c>
      <c r="E1193" t="s">
        <v>3332</v>
      </c>
      <c r="F1193" t="str">
        <f>LEFT(E1193,5)</f>
        <v>서울특별시</v>
      </c>
      <c r="G1193" t="str">
        <f t="shared" si="44"/>
        <v xml:space="preserve">송파구 </v>
      </c>
      <c r="H1193" t="str">
        <f t="shared" si="45"/>
        <v>가락동</v>
      </c>
      <c r="I1193" t="s">
        <v>3333</v>
      </c>
      <c r="J1193" t="s">
        <v>3334</v>
      </c>
      <c r="K1193" t="s">
        <v>3335</v>
      </c>
    </row>
    <row r="1194" spans="1:11" x14ac:dyDescent="0.4">
      <c r="A1194" t="s">
        <v>3857</v>
      </c>
      <c r="B1194" t="s">
        <v>9</v>
      </c>
      <c r="C1194" t="s">
        <v>10</v>
      </c>
      <c r="D1194" t="s">
        <v>3331</v>
      </c>
      <c r="E1194" t="s">
        <v>3858</v>
      </c>
      <c r="F1194" t="str">
        <f>LEFT(E1194,5)</f>
        <v>서울특별시</v>
      </c>
      <c r="G1194" t="str">
        <f t="shared" si="44"/>
        <v xml:space="preserve">송파구 </v>
      </c>
      <c r="H1194" t="str">
        <f t="shared" si="45"/>
        <v>가락동</v>
      </c>
      <c r="I1194" t="s">
        <v>3859</v>
      </c>
      <c r="J1194" t="s">
        <v>3334</v>
      </c>
      <c r="K1194" t="s">
        <v>3860</v>
      </c>
    </row>
    <row r="1195" spans="1:11" x14ac:dyDescent="0.4">
      <c r="A1195" t="s">
        <v>7603</v>
      </c>
      <c r="B1195" t="s">
        <v>9</v>
      </c>
      <c r="C1195" t="s">
        <v>10</v>
      </c>
      <c r="D1195" t="s">
        <v>7604</v>
      </c>
      <c r="E1195" t="s">
        <v>7605</v>
      </c>
      <c r="F1195" t="str">
        <f>LEFT(E1195,5)</f>
        <v>서울특별시</v>
      </c>
      <c r="G1195" t="str">
        <f t="shared" si="44"/>
        <v xml:space="preserve">송파구 </v>
      </c>
      <c r="H1195" t="str">
        <f t="shared" si="45"/>
        <v>가락동</v>
      </c>
      <c r="I1195" t="s">
        <v>7606</v>
      </c>
      <c r="J1195" t="s">
        <v>3334</v>
      </c>
      <c r="K1195" t="s">
        <v>7607</v>
      </c>
    </row>
    <row r="1196" spans="1:11" x14ac:dyDescent="0.4">
      <c r="A1196" t="s">
        <v>3158</v>
      </c>
      <c r="B1196" t="s">
        <v>9</v>
      </c>
      <c r="C1196" t="s">
        <v>10</v>
      </c>
      <c r="D1196" t="s">
        <v>3159</v>
      </c>
      <c r="E1196" t="s">
        <v>3160</v>
      </c>
      <c r="F1196" t="str">
        <f>LEFT(E1196,5)</f>
        <v>서울특별시</v>
      </c>
      <c r="G1196" t="str">
        <f t="shared" si="44"/>
        <v xml:space="preserve">송파구 </v>
      </c>
      <c r="H1196" t="str">
        <f t="shared" si="45"/>
        <v>가락동</v>
      </c>
      <c r="I1196" t="s">
        <v>3161</v>
      </c>
      <c r="J1196" t="s">
        <v>3162</v>
      </c>
      <c r="K1196" t="s">
        <v>3163</v>
      </c>
    </row>
    <row r="1197" spans="1:11" x14ac:dyDescent="0.4">
      <c r="A1197" t="s">
        <v>4853</v>
      </c>
      <c r="B1197" t="s">
        <v>9</v>
      </c>
      <c r="C1197" t="s">
        <v>10</v>
      </c>
      <c r="D1197" t="s">
        <v>736</v>
      </c>
      <c r="E1197" t="s">
        <v>4854</v>
      </c>
      <c r="F1197" t="str">
        <f>LEFT(E1197,5)</f>
        <v>서울특별시</v>
      </c>
      <c r="G1197" t="str">
        <f t="shared" si="44"/>
        <v xml:space="preserve">송파구 </v>
      </c>
      <c r="H1197" t="str">
        <f t="shared" si="45"/>
        <v>가락동</v>
      </c>
      <c r="I1197" t="s">
        <v>4855</v>
      </c>
      <c r="J1197" t="s">
        <v>4856</v>
      </c>
      <c r="K1197" t="s">
        <v>4857</v>
      </c>
    </row>
    <row r="1198" spans="1:11" x14ac:dyDescent="0.4">
      <c r="A1198" t="s">
        <v>825</v>
      </c>
      <c r="B1198" t="s">
        <v>9</v>
      </c>
      <c r="C1198" t="s">
        <v>10</v>
      </c>
      <c r="D1198" t="s">
        <v>736</v>
      </c>
      <c r="E1198" t="s">
        <v>826</v>
      </c>
      <c r="F1198" t="str">
        <f>LEFT(E1198,5)</f>
        <v>서울특별시</v>
      </c>
      <c r="G1198" t="str">
        <f t="shared" si="44"/>
        <v xml:space="preserve">송파구 </v>
      </c>
      <c r="H1198" t="str">
        <f t="shared" si="45"/>
        <v>가락동</v>
      </c>
      <c r="I1198" t="s">
        <v>827</v>
      </c>
      <c r="J1198" t="s">
        <v>739</v>
      </c>
      <c r="K1198" t="s">
        <v>490</v>
      </c>
    </row>
    <row r="1199" spans="1:11" x14ac:dyDescent="0.4">
      <c r="A1199" t="s">
        <v>1012</v>
      </c>
      <c r="B1199" t="s">
        <v>9</v>
      </c>
      <c r="C1199" t="s">
        <v>10</v>
      </c>
      <c r="D1199" t="s">
        <v>736</v>
      </c>
      <c r="E1199" t="s">
        <v>1013</v>
      </c>
      <c r="F1199" t="str">
        <f>LEFT(E1199,5)</f>
        <v>서울특별시</v>
      </c>
      <c r="G1199" t="str">
        <f t="shared" si="44"/>
        <v xml:space="preserve">송파구 </v>
      </c>
      <c r="H1199" t="str">
        <f t="shared" si="45"/>
        <v>가락동</v>
      </c>
      <c r="I1199" t="s">
        <v>1014</v>
      </c>
      <c r="J1199" t="s">
        <v>739</v>
      </c>
      <c r="K1199" t="s">
        <v>1015</v>
      </c>
    </row>
    <row r="1200" spans="1:11" x14ac:dyDescent="0.4">
      <c r="A1200" t="s">
        <v>735</v>
      </c>
      <c r="B1200" t="s">
        <v>9</v>
      </c>
      <c r="C1200" t="s">
        <v>10</v>
      </c>
      <c r="D1200" t="s">
        <v>736</v>
      </c>
      <c r="E1200" t="s">
        <v>737</v>
      </c>
      <c r="F1200" t="str">
        <f>LEFT(E1200,5)</f>
        <v>서울특별시</v>
      </c>
      <c r="G1200" t="str">
        <f t="shared" si="44"/>
        <v xml:space="preserve">송파구 </v>
      </c>
      <c r="H1200" t="str">
        <f t="shared" si="45"/>
        <v>가락동</v>
      </c>
      <c r="I1200" t="s">
        <v>738</v>
      </c>
      <c r="J1200" t="s">
        <v>739</v>
      </c>
      <c r="K1200" t="s">
        <v>740</v>
      </c>
    </row>
    <row r="1201" spans="1:11" x14ac:dyDescent="0.4">
      <c r="A1201" t="s">
        <v>848</v>
      </c>
      <c r="B1201" t="s">
        <v>9</v>
      </c>
      <c r="C1201" t="s">
        <v>10</v>
      </c>
      <c r="D1201" t="s">
        <v>736</v>
      </c>
      <c r="E1201" t="s">
        <v>849</v>
      </c>
      <c r="F1201" t="str">
        <f>LEFT(E1201,5)</f>
        <v>서울특별시</v>
      </c>
      <c r="G1201" t="str">
        <f t="shared" si="44"/>
        <v xml:space="preserve">송파구 </v>
      </c>
      <c r="H1201" t="str">
        <f t="shared" si="45"/>
        <v>가락동</v>
      </c>
      <c r="I1201" t="s">
        <v>850</v>
      </c>
      <c r="J1201" t="s">
        <v>739</v>
      </c>
      <c r="K1201" t="s">
        <v>851</v>
      </c>
    </row>
    <row r="1202" spans="1:11" x14ac:dyDescent="0.4">
      <c r="A1202" t="s">
        <v>1933</v>
      </c>
      <c r="B1202" t="s">
        <v>9</v>
      </c>
      <c r="C1202" t="s">
        <v>10</v>
      </c>
      <c r="D1202" t="s">
        <v>736</v>
      </c>
      <c r="E1202" t="s">
        <v>1934</v>
      </c>
      <c r="F1202" t="str">
        <f>LEFT(E1202,5)</f>
        <v>서울특별시</v>
      </c>
      <c r="G1202" t="str">
        <f t="shared" si="44"/>
        <v xml:space="preserve">송파구 </v>
      </c>
      <c r="H1202" t="str">
        <f t="shared" si="45"/>
        <v>가락동</v>
      </c>
      <c r="I1202" t="s">
        <v>1935</v>
      </c>
      <c r="J1202" t="s">
        <v>739</v>
      </c>
      <c r="K1202" t="s">
        <v>1936</v>
      </c>
    </row>
    <row r="1203" spans="1:11" x14ac:dyDescent="0.4">
      <c r="A1203" t="s">
        <v>2263</v>
      </c>
      <c r="B1203" t="s">
        <v>9</v>
      </c>
      <c r="C1203" t="s">
        <v>10</v>
      </c>
      <c r="D1203" t="s">
        <v>736</v>
      </c>
      <c r="E1203" t="s">
        <v>2264</v>
      </c>
      <c r="F1203" t="str">
        <f>LEFT(E1203,5)</f>
        <v>서울특별시</v>
      </c>
      <c r="G1203" t="str">
        <f t="shared" si="44"/>
        <v xml:space="preserve">송파구 </v>
      </c>
      <c r="H1203" t="str">
        <f t="shared" si="45"/>
        <v>가락동</v>
      </c>
      <c r="I1203" t="s">
        <v>2265</v>
      </c>
      <c r="J1203" t="s">
        <v>1024</v>
      </c>
      <c r="K1203" t="s">
        <v>2266</v>
      </c>
    </row>
    <row r="1204" spans="1:11" x14ac:dyDescent="0.4">
      <c r="A1204" t="s">
        <v>8700</v>
      </c>
      <c r="B1204" t="s">
        <v>9</v>
      </c>
      <c r="C1204" t="s">
        <v>10</v>
      </c>
      <c r="D1204" t="s">
        <v>3159</v>
      </c>
      <c r="E1204" t="s">
        <v>8701</v>
      </c>
      <c r="F1204" t="str">
        <f>LEFT(E1204,5)</f>
        <v>서울특별시</v>
      </c>
      <c r="G1204" t="str">
        <f t="shared" si="44"/>
        <v xml:space="preserve">송파구 </v>
      </c>
      <c r="H1204" t="str">
        <f t="shared" si="45"/>
        <v>가락동</v>
      </c>
      <c r="I1204" t="s">
        <v>8702</v>
      </c>
      <c r="J1204" t="s">
        <v>3162</v>
      </c>
      <c r="K1204" t="s">
        <v>8703</v>
      </c>
    </row>
    <row r="1205" spans="1:11" x14ac:dyDescent="0.4">
      <c r="A1205" t="s">
        <v>1021</v>
      </c>
      <c r="B1205" t="s">
        <v>9</v>
      </c>
      <c r="C1205" t="s">
        <v>10</v>
      </c>
      <c r="D1205" t="s">
        <v>736</v>
      </c>
      <c r="E1205" t="s">
        <v>1022</v>
      </c>
      <c r="F1205" t="str">
        <f>LEFT(E1205,5)</f>
        <v>서울특별시</v>
      </c>
      <c r="G1205" t="str">
        <f t="shared" si="44"/>
        <v xml:space="preserve">송파구 </v>
      </c>
      <c r="H1205" t="str">
        <f t="shared" si="45"/>
        <v>가락동</v>
      </c>
      <c r="I1205" t="s">
        <v>1023</v>
      </c>
      <c r="J1205" t="s">
        <v>1024</v>
      </c>
      <c r="K1205" t="s">
        <v>1025</v>
      </c>
    </row>
    <row r="1206" spans="1:11" x14ac:dyDescent="0.4">
      <c r="A1206" t="s">
        <v>3515</v>
      </c>
      <c r="B1206" t="s">
        <v>9</v>
      </c>
      <c r="C1206" t="s">
        <v>10</v>
      </c>
      <c r="D1206" t="s">
        <v>736</v>
      </c>
      <c r="E1206" t="s">
        <v>3516</v>
      </c>
      <c r="F1206" t="str">
        <f>LEFT(E1206,5)</f>
        <v>서울특별시</v>
      </c>
      <c r="G1206" t="str">
        <f t="shared" si="44"/>
        <v xml:space="preserve">송파구 </v>
      </c>
      <c r="H1206" t="str">
        <f t="shared" si="45"/>
        <v>가락동</v>
      </c>
      <c r="I1206" t="s">
        <v>3517</v>
      </c>
      <c r="J1206" t="s">
        <v>3518</v>
      </c>
      <c r="K1206" t="s">
        <v>3519</v>
      </c>
    </row>
    <row r="1207" spans="1:11" x14ac:dyDescent="0.4">
      <c r="A1207" t="s">
        <v>356</v>
      </c>
      <c r="B1207" t="s">
        <v>9</v>
      </c>
      <c r="C1207" t="s">
        <v>10</v>
      </c>
      <c r="D1207" t="s">
        <v>259</v>
      </c>
      <c r="E1207" t="s">
        <v>357</v>
      </c>
      <c r="F1207" t="str">
        <f>LEFT(E1207,5)</f>
        <v>서울특별시</v>
      </c>
      <c r="G1207" t="str">
        <f t="shared" si="44"/>
        <v xml:space="preserve">송파구 </v>
      </c>
      <c r="H1207" t="str">
        <f t="shared" si="45"/>
        <v>가락동</v>
      </c>
      <c r="I1207" t="s">
        <v>358</v>
      </c>
      <c r="J1207" t="s">
        <v>262</v>
      </c>
      <c r="K1207" t="s">
        <v>359</v>
      </c>
    </row>
    <row r="1208" spans="1:11" x14ac:dyDescent="0.4">
      <c r="A1208" t="s">
        <v>258</v>
      </c>
      <c r="B1208" t="s">
        <v>9</v>
      </c>
      <c r="C1208" t="s">
        <v>10</v>
      </c>
      <c r="D1208" t="s">
        <v>259</v>
      </c>
      <c r="E1208" t="s">
        <v>260</v>
      </c>
      <c r="F1208" t="str">
        <f>LEFT(E1208,5)</f>
        <v>서울특별시</v>
      </c>
      <c r="G1208" t="str">
        <f t="shared" si="44"/>
        <v xml:space="preserve">송파구 </v>
      </c>
      <c r="H1208" t="str">
        <f t="shared" si="45"/>
        <v>가락동</v>
      </c>
      <c r="I1208" t="s">
        <v>261</v>
      </c>
      <c r="J1208" t="s">
        <v>262</v>
      </c>
      <c r="K1208" t="s">
        <v>263</v>
      </c>
    </row>
    <row r="1209" spans="1:11" x14ac:dyDescent="0.4">
      <c r="A1209" t="s">
        <v>2302</v>
      </c>
      <c r="B1209" t="s">
        <v>9</v>
      </c>
      <c r="C1209" t="s">
        <v>10</v>
      </c>
      <c r="D1209" t="s">
        <v>259</v>
      </c>
      <c r="E1209" t="s">
        <v>2303</v>
      </c>
      <c r="F1209" t="str">
        <f>LEFT(E1209,5)</f>
        <v>서울특별시</v>
      </c>
      <c r="G1209" t="str">
        <f t="shared" si="44"/>
        <v xml:space="preserve">송파구 </v>
      </c>
      <c r="H1209" t="str">
        <f t="shared" si="45"/>
        <v>가락동</v>
      </c>
      <c r="I1209" t="s">
        <v>2304</v>
      </c>
      <c r="J1209" t="s">
        <v>262</v>
      </c>
      <c r="K1209" t="s">
        <v>2305</v>
      </c>
    </row>
    <row r="1210" spans="1:11" x14ac:dyDescent="0.4">
      <c r="A1210" t="s">
        <v>582</v>
      </c>
      <c r="B1210" t="s">
        <v>9</v>
      </c>
      <c r="C1210" t="s">
        <v>10</v>
      </c>
      <c r="D1210" t="s">
        <v>259</v>
      </c>
      <c r="E1210" t="s">
        <v>583</v>
      </c>
      <c r="F1210" t="str">
        <f>LEFT(E1210,5)</f>
        <v>서울특별시</v>
      </c>
      <c r="G1210" t="str">
        <f t="shared" si="44"/>
        <v xml:space="preserve">송파구 </v>
      </c>
      <c r="H1210" t="str">
        <f t="shared" si="45"/>
        <v>가락동</v>
      </c>
      <c r="I1210" t="s">
        <v>584</v>
      </c>
      <c r="J1210" t="s">
        <v>262</v>
      </c>
      <c r="K1210" t="s">
        <v>585</v>
      </c>
    </row>
    <row r="1211" spans="1:11" x14ac:dyDescent="0.4">
      <c r="A1211" t="s">
        <v>3861</v>
      </c>
      <c r="B1211" t="s">
        <v>9</v>
      </c>
      <c r="C1211" t="s">
        <v>10</v>
      </c>
      <c r="D1211" t="s">
        <v>3862</v>
      </c>
      <c r="E1211" t="s">
        <v>3863</v>
      </c>
      <c r="F1211" t="str">
        <f>LEFT(E1211,5)</f>
        <v>서울특별시</v>
      </c>
      <c r="G1211" t="str">
        <f t="shared" si="44"/>
        <v xml:space="preserve">송파구 </v>
      </c>
      <c r="H1211" t="str">
        <f t="shared" si="45"/>
        <v>거여동</v>
      </c>
      <c r="I1211" t="s">
        <v>3864</v>
      </c>
      <c r="J1211" t="s">
        <v>3865</v>
      </c>
      <c r="K1211" t="s">
        <v>3866</v>
      </c>
    </row>
    <row r="1212" spans="1:11" x14ac:dyDescent="0.4">
      <c r="A1212" t="s">
        <v>6623</v>
      </c>
      <c r="B1212" t="s">
        <v>9</v>
      </c>
      <c r="C1212" t="s">
        <v>10</v>
      </c>
      <c r="D1212" t="s">
        <v>3862</v>
      </c>
      <c r="E1212" t="s">
        <v>6624</v>
      </c>
      <c r="F1212" t="str">
        <f>LEFT(E1212,5)</f>
        <v>서울특별시</v>
      </c>
      <c r="G1212" t="str">
        <f t="shared" si="44"/>
        <v xml:space="preserve">송파구 </v>
      </c>
      <c r="H1212" t="str">
        <f t="shared" si="45"/>
        <v>거여동</v>
      </c>
      <c r="I1212" t="s">
        <v>6625</v>
      </c>
      <c r="J1212" t="s">
        <v>3865</v>
      </c>
      <c r="K1212" t="s">
        <v>1830</v>
      </c>
    </row>
    <row r="1213" spans="1:11" x14ac:dyDescent="0.4">
      <c r="A1213" t="s">
        <v>4520</v>
      </c>
      <c r="B1213" t="s">
        <v>9</v>
      </c>
      <c r="C1213" t="s">
        <v>10</v>
      </c>
      <c r="D1213" t="s">
        <v>3862</v>
      </c>
      <c r="E1213" t="s">
        <v>4521</v>
      </c>
      <c r="F1213" t="str">
        <f>LEFT(E1213,5)</f>
        <v>서울특별시</v>
      </c>
      <c r="G1213" t="str">
        <f t="shared" si="44"/>
        <v xml:space="preserve">송파구 </v>
      </c>
      <c r="H1213" t="str">
        <f t="shared" si="45"/>
        <v>거여동</v>
      </c>
      <c r="I1213" t="s">
        <v>4522</v>
      </c>
      <c r="J1213" t="s">
        <v>4523</v>
      </c>
      <c r="K1213" t="s">
        <v>4524</v>
      </c>
    </row>
    <row r="1214" spans="1:11" x14ac:dyDescent="0.4">
      <c r="A1214" t="s">
        <v>4981</v>
      </c>
      <c r="B1214" t="s">
        <v>9</v>
      </c>
      <c r="C1214" t="s">
        <v>10</v>
      </c>
      <c r="D1214" t="s">
        <v>3862</v>
      </c>
      <c r="E1214" t="s">
        <v>4982</v>
      </c>
      <c r="F1214" t="str">
        <f>LEFT(E1214,5)</f>
        <v>서울특별시</v>
      </c>
      <c r="G1214" t="str">
        <f t="shared" si="44"/>
        <v xml:space="preserve">송파구 </v>
      </c>
      <c r="H1214" t="str">
        <f t="shared" si="45"/>
        <v>거여동</v>
      </c>
      <c r="I1214" t="s">
        <v>4983</v>
      </c>
      <c r="J1214" t="s">
        <v>4523</v>
      </c>
      <c r="K1214" t="s">
        <v>4984</v>
      </c>
    </row>
    <row r="1215" spans="1:11" x14ac:dyDescent="0.4">
      <c r="A1215" t="s">
        <v>4753</v>
      </c>
      <c r="B1215" t="s">
        <v>9</v>
      </c>
      <c r="C1215" t="s">
        <v>10</v>
      </c>
      <c r="D1215" t="s">
        <v>3862</v>
      </c>
      <c r="E1215" t="s">
        <v>4754</v>
      </c>
      <c r="F1215" t="str">
        <f>LEFT(E1215,5)</f>
        <v>서울특별시</v>
      </c>
      <c r="G1215" t="str">
        <f t="shared" si="44"/>
        <v xml:space="preserve">송파구 </v>
      </c>
      <c r="H1215" t="str">
        <f t="shared" si="45"/>
        <v>거여동</v>
      </c>
      <c r="I1215" t="s">
        <v>4755</v>
      </c>
      <c r="J1215" t="s">
        <v>4523</v>
      </c>
      <c r="K1215" t="s">
        <v>4756</v>
      </c>
    </row>
    <row r="1216" spans="1:11" x14ac:dyDescent="0.4">
      <c r="A1216" t="s">
        <v>7335</v>
      </c>
      <c r="B1216" t="s">
        <v>9</v>
      </c>
      <c r="C1216" t="s">
        <v>10</v>
      </c>
      <c r="D1216" t="s">
        <v>7336</v>
      </c>
      <c r="E1216" t="s">
        <v>7337</v>
      </c>
      <c r="F1216" t="str">
        <f>LEFT(E1216,5)</f>
        <v>서울특별시</v>
      </c>
      <c r="G1216" t="str">
        <f t="shared" si="44"/>
        <v xml:space="preserve">송파구 </v>
      </c>
      <c r="H1216" t="str">
        <f t="shared" si="45"/>
        <v>거여동</v>
      </c>
      <c r="I1216" t="s">
        <v>7338</v>
      </c>
      <c r="J1216" t="s">
        <v>7339</v>
      </c>
      <c r="K1216" t="s">
        <v>7340</v>
      </c>
    </row>
    <row r="1217" spans="1:11" x14ac:dyDescent="0.4">
      <c r="A1217" t="s">
        <v>3469</v>
      </c>
      <c r="B1217" t="s">
        <v>9</v>
      </c>
      <c r="C1217" t="s">
        <v>10</v>
      </c>
      <c r="D1217" t="s">
        <v>3470</v>
      </c>
      <c r="E1217" t="s">
        <v>3471</v>
      </c>
      <c r="F1217" t="str">
        <f>LEFT(E1217,5)</f>
        <v>서울특별시</v>
      </c>
      <c r="G1217" t="str">
        <f t="shared" si="44"/>
        <v xml:space="preserve">송파구 </v>
      </c>
      <c r="H1217" t="str">
        <f t="shared" si="45"/>
        <v>마천동</v>
      </c>
      <c r="I1217" t="s">
        <v>3472</v>
      </c>
      <c r="J1217" t="s">
        <v>3473</v>
      </c>
      <c r="K1217" t="s">
        <v>3474</v>
      </c>
    </row>
    <row r="1218" spans="1:11" x14ac:dyDescent="0.4">
      <c r="A1218" t="s">
        <v>7244</v>
      </c>
      <c r="B1218" t="s">
        <v>9</v>
      </c>
      <c r="C1218" t="s">
        <v>10</v>
      </c>
      <c r="D1218" t="s">
        <v>7245</v>
      </c>
      <c r="E1218" t="s">
        <v>7246</v>
      </c>
      <c r="F1218" t="str">
        <f>LEFT(E1218,5)</f>
        <v>서울특별시</v>
      </c>
      <c r="G1218" t="str">
        <f t="shared" si="44"/>
        <v xml:space="preserve">송파구 </v>
      </c>
      <c r="H1218" t="str">
        <f t="shared" si="45"/>
        <v>마천동</v>
      </c>
      <c r="I1218" t="s">
        <v>7247</v>
      </c>
      <c r="J1218" t="s">
        <v>7248</v>
      </c>
      <c r="K1218" t="s">
        <v>7249</v>
      </c>
    </row>
    <row r="1219" spans="1:11" x14ac:dyDescent="0.4">
      <c r="A1219" t="s">
        <v>7651</v>
      </c>
      <c r="B1219" t="s">
        <v>9</v>
      </c>
      <c r="C1219" t="s">
        <v>10</v>
      </c>
      <c r="D1219" t="s">
        <v>6661</v>
      </c>
      <c r="E1219" t="s">
        <v>7652</v>
      </c>
      <c r="F1219" t="str">
        <f>LEFT(E1219,5)</f>
        <v>서울특별시</v>
      </c>
      <c r="G1219" t="str">
        <f t="shared" ref="G1219:G1282" si="47">MID(E1219,7,4)</f>
        <v xml:space="preserve">송파구 </v>
      </c>
      <c r="H1219" t="str">
        <f t="shared" ref="H1219:H1282" si="48">MID(SUBSTITUTE(E1219," ",""),9,3)</f>
        <v>마천동</v>
      </c>
      <c r="I1219" t="s">
        <v>7653</v>
      </c>
      <c r="J1219" t="s">
        <v>6664</v>
      </c>
      <c r="K1219" t="s">
        <v>7654</v>
      </c>
    </row>
    <row r="1220" spans="1:11" x14ac:dyDescent="0.4">
      <c r="A1220" t="s">
        <v>6660</v>
      </c>
      <c r="B1220" t="s">
        <v>9</v>
      </c>
      <c r="C1220" t="s">
        <v>10</v>
      </c>
      <c r="D1220" t="s">
        <v>6661</v>
      </c>
      <c r="E1220" t="s">
        <v>6662</v>
      </c>
      <c r="F1220" t="str">
        <f>LEFT(E1220,5)</f>
        <v>서울특별시</v>
      </c>
      <c r="G1220" t="str">
        <f t="shared" si="47"/>
        <v xml:space="preserve">송파구 </v>
      </c>
      <c r="H1220" t="str">
        <f t="shared" si="48"/>
        <v>마천동</v>
      </c>
      <c r="I1220" t="s">
        <v>6663</v>
      </c>
      <c r="J1220" t="s">
        <v>6664</v>
      </c>
      <c r="K1220" t="s">
        <v>6665</v>
      </c>
    </row>
    <row r="1221" spans="1:11" x14ac:dyDescent="0.4">
      <c r="A1221" t="s">
        <v>6176</v>
      </c>
      <c r="B1221" t="s">
        <v>9</v>
      </c>
      <c r="C1221" t="s">
        <v>10</v>
      </c>
      <c r="D1221" t="s">
        <v>4836</v>
      </c>
      <c r="E1221" t="s">
        <v>6177</v>
      </c>
      <c r="F1221" t="str">
        <f>LEFT(E1221,5)</f>
        <v>서울특별시</v>
      </c>
      <c r="G1221" t="str">
        <f t="shared" si="47"/>
        <v xml:space="preserve">송파구 </v>
      </c>
      <c r="H1221" t="str">
        <f t="shared" si="48"/>
        <v>방이동</v>
      </c>
      <c r="I1221" t="s">
        <v>6178</v>
      </c>
      <c r="J1221" t="s">
        <v>6179</v>
      </c>
      <c r="K1221" t="s">
        <v>3767</v>
      </c>
    </row>
    <row r="1222" spans="1:11" x14ac:dyDescent="0.4">
      <c r="A1222" t="s">
        <v>4835</v>
      </c>
      <c r="B1222" t="s">
        <v>9</v>
      </c>
      <c r="C1222" t="s">
        <v>10</v>
      </c>
      <c r="D1222" t="s">
        <v>4836</v>
      </c>
      <c r="E1222" t="s">
        <v>4837</v>
      </c>
      <c r="F1222" t="str">
        <f>LEFT(E1222,5)</f>
        <v>서울특별시</v>
      </c>
      <c r="G1222" t="str">
        <f t="shared" si="47"/>
        <v xml:space="preserve">송파구 </v>
      </c>
      <c r="H1222" t="str">
        <f t="shared" si="48"/>
        <v>방이동</v>
      </c>
      <c r="I1222" t="s">
        <v>4838</v>
      </c>
      <c r="J1222" t="s">
        <v>4839</v>
      </c>
      <c r="K1222" t="s">
        <v>4840</v>
      </c>
    </row>
    <row r="1223" spans="1:11" x14ac:dyDescent="0.4">
      <c r="A1223" t="s">
        <v>6918</v>
      </c>
      <c r="B1223" t="s">
        <v>9</v>
      </c>
      <c r="C1223" t="s">
        <v>10</v>
      </c>
      <c r="D1223" t="s">
        <v>6919</v>
      </c>
      <c r="E1223" t="s">
        <v>6920</v>
      </c>
      <c r="F1223" t="str">
        <f>LEFT(E1223,5)</f>
        <v>서울특별시</v>
      </c>
      <c r="G1223" t="str">
        <f t="shared" si="47"/>
        <v xml:space="preserve">송파구 </v>
      </c>
      <c r="H1223" t="str">
        <f t="shared" si="48"/>
        <v>방이동</v>
      </c>
      <c r="I1223" t="s">
        <v>6921</v>
      </c>
      <c r="J1223" t="s">
        <v>6922</v>
      </c>
      <c r="K1223" t="s">
        <v>6923</v>
      </c>
    </row>
    <row r="1224" spans="1:11" x14ac:dyDescent="0.4">
      <c r="A1224" t="s">
        <v>8776</v>
      </c>
      <c r="B1224" t="s">
        <v>9</v>
      </c>
      <c r="C1224" t="s">
        <v>10</v>
      </c>
      <c r="D1224" t="s">
        <v>2667</v>
      </c>
      <c r="E1224" t="s">
        <v>8777</v>
      </c>
      <c r="F1224" t="str">
        <f>LEFT(E1224,5)</f>
        <v>서울특별시</v>
      </c>
      <c r="G1224" t="str">
        <f t="shared" si="47"/>
        <v xml:space="preserve">송파구 </v>
      </c>
      <c r="H1224" t="str">
        <f t="shared" si="48"/>
        <v>방이동</v>
      </c>
      <c r="I1224" t="s">
        <v>8778</v>
      </c>
      <c r="J1224" t="s">
        <v>2670</v>
      </c>
      <c r="K1224" t="s">
        <v>5001</v>
      </c>
    </row>
    <row r="1225" spans="1:11" x14ac:dyDescent="0.4">
      <c r="A1225" t="s">
        <v>4219</v>
      </c>
      <c r="B1225" t="s">
        <v>9</v>
      </c>
      <c r="C1225" t="s">
        <v>10</v>
      </c>
      <c r="D1225" t="s">
        <v>2667</v>
      </c>
      <c r="E1225" t="s">
        <v>4220</v>
      </c>
      <c r="F1225" t="str">
        <f>LEFT(E1225,5)</f>
        <v>서울특별시</v>
      </c>
      <c r="G1225" t="str">
        <f t="shared" si="47"/>
        <v xml:space="preserve">송파구 </v>
      </c>
      <c r="H1225" t="str">
        <f t="shared" si="48"/>
        <v>방이동</v>
      </c>
      <c r="I1225" t="s">
        <v>4221</v>
      </c>
      <c r="J1225" t="s">
        <v>2670</v>
      </c>
      <c r="K1225" t="s">
        <v>4222</v>
      </c>
    </row>
    <row r="1226" spans="1:11" x14ac:dyDescent="0.4">
      <c r="A1226" t="s">
        <v>2666</v>
      </c>
      <c r="B1226" t="s">
        <v>9</v>
      </c>
      <c r="C1226" t="s">
        <v>10</v>
      </c>
      <c r="D1226" t="s">
        <v>2667</v>
      </c>
      <c r="E1226" t="s">
        <v>2668</v>
      </c>
      <c r="F1226" t="str">
        <f>LEFT(E1226,5)</f>
        <v>서울특별시</v>
      </c>
      <c r="G1226" t="str">
        <f t="shared" si="47"/>
        <v xml:space="preserve">송파구 </v>
      </c>
      <c r="H1226" t="str">
        <f t="shared" si="48"/>
        <v>방이동</v>
      </c>
      <c r="I1226" t="s">
        <v>2669</v>
      </c>
      <c r="J1226" t="s">
        <v>2670</v>
      </c>
      <c r="K1226" t="s">
        <v>2671</v>
      </c>
    </row>
    <row r="1227" spans="1:11" x14ac:dyDescent="0.4">
      <c r="A1227" t="s">
        <v>6388</v>
      </c>
      <c r="B1227" t="s">
        <v>9</v>
      </c>
      <c r="C1227" t="s">
        <v>10</v>
      </c>
      <c r="D1227" t="s">
        <v>5180</v>
      </c>
      <c r="E1227" t="s">
        <v>6389</v>
      </c>
      <c r="F1227" t="str">
        <f>LEFT(E1227,5)</f>
        <v>서울특별시</v>
      </c>
      <c r="G1227" t="str">
        <f t="shared" si="47"/>
        <v xml:space="preserve">송파구 </v>
      </c>
      <c r="H1227" t="str">
        <f t="shared" si="48"/>
        <v>방이동</v>
      </c>
      <c r="I1227" t="s">
        <v>6390</v>
      </c>
      <c r="J1227" t="s">
        <v>6391</v>
      </c>
      <c r="K1227" t="s">
        <v>6392</v>
      </c>
    </row>
    <row r="1228" spans="1:11" x14ac:dyDescent="0.4">
      <c r="A1228" t="s">
        <v>5179</v>
      </c>
      <c r="B1228" t="s">
        <v>9</v>
      </c>
      <c r="C1228" t="s">
        <v>10</v>
      </c>
      <c r="D1228" t="s">
        <v>5180</v>
      </c>
      <c r="E1228" t="s">
        <v>5181</v>
      </c>
      <c r="F1228" t="str">
        <f>LEFT(E1228,5)</f>
        <v>서울특별시</v>
      </c>
      <c r="G1228" t="str">
        <f t="shared" si="47"/>
        <v xml:space="preserve">송파구 </v>
      </c>
      <c r="H1228" t="str">
        <f t="shared" si="48"/>
        <v>방이동</v>
      </c>
      <c r="I1228" t="s">
        <v>5182</v>
      </c>
      <c r="J1228" t="s">
        <v>5183</v>
      </c>
      <c r="K1228" t="s">
        <v>5184</v>
      </c>
    </row>
    <row r="1229" spans="1:11" x14ac:dyDescent="0.4">
      <c r="A1229" t="s">
        <v>1043</v>
      </c>
      <c r="B1229" t="s">
        <v>9</v>
      </c>
      <c r="C1229" t="s">
        <v>10</v>
      </c>
      <c r="D1229" t="s">
        <v>211</v>
      </c>
      <c r="E1229" t="s">
        <v>1044</v>
      </c>
      <c r="F1229" t="str">
        <f>LEFT(E1229,5)</f>
        <v>서울특별시</v>
      </c>
      <c r="G1229" t="str">
        <f t="shared" si="47"/>
        <v xml:space="preserve">송파구 </v>
      </c>
      <c r="H1229" t="str">
        <f t="shared" si="48"/>
        <v>방이동</v>
      </c>
      <c r="I1229" t="s">
        <v>1045</v>
      </c>
      <c r="J1229" t="s">
        <v>431</v>
      </c>
      <c r="K1229" t="s">
        <v>1046</v>
      </c>
    </row>
    <row r="1230" spans="1:11" x14ac:dyDescent="0.4">
      <c r="A1230" t="s">
        <v>428</v>
      </c>
      <c r="B1230" t="s">
        <v>9</v>
      </c>
      <c r="C1230" t="s">
        <v>10</v>
      </c>
      <c r="D1230" t="s">
        <v>211</v>
      </c>
      <c r="E1230" t="s">
        <v>429</v>
      </c>
      <c r="F1230" t="str">
        <f>LEFT(E1230,5)</f>
        <v>서울특별시</v>
      </c>
      <c r="G1230" t="str">
        <f t="shared" si="47"/>
        <v xml:space="preserve">송파구 </v>
      </c>
      <c r="H1230" t="str">
        <f t="shared" si="48"/>
        <v>방이동</v>
      </c>
      <c r="I1230" t="s">
        <v>430</v>
      </c>
      <c r="J1230" t="s">
        <v>431</v>
      </c>
      <c r="K1230" t="s">
        <v>432</v>
      </c>
    </row>
    <row r="1231" spans="1:11" x14ac:dyDescent="0.4">
      <c r="A1231" t="s">
        <v>1039</v>
      </c>
      <c r="B1231" t="s">
        <v>9</v>
      </c>
      <c r="C1231" t="s">
        <v>10</v>
      </c>
      <c r="D1231" t="s">
        <v>211</v>
      </c>
      <c r="E1231" t="s">
        <v>1040</v>
      </c>
      <c r="F1231" t="str">
        <f>LEFT(E1231,5)</f>
        <v>서울특별시</v>
      </c>
      <c r="G1231" t="str">
        <f t="shared" si="47"/>
        <v xml:space="preserve">송파구 </v>
      </c>
      <c r="H1231" t="str">
        <f t="shared" si="48"/>
        <v>방이동</v>
      </c>
      <c r="I1231" t="s">
        <v>1041</v>
      </c>
      <c r="J1231" t="s">
        <v>296</v>
      </c>
      <c r="K1231" t="s">
        <v>1042</v>
      </c>
    </row>
    <row r="1232" spans="1:11" x14ac:dyDescent="0.4">
      <c r="A1232" t="s">
        <v>293</v>
      </c>
      <c r="B1232" t="s">
        <v>9</v>
      </c>
      <c r="C1232" t="s">
        <v>10</v>
      </c>
      <c r="D1232" t="s">
        <v>211</v>
      </c>
      <c r="E1232" t="s">
        <v>294</v>
      </c>
      <c r="F1232" t="str">
        <f>LEFT(E1232,5)</f>
        <v>서울특별시</v>
      </c>
      <c r="G1232" t="str">
        <f t="shared" si="47"/>
        <v xml:space="preserve">송파구 </v>
      </c>
      <c r="H1232" t="str">
        <f t="shared" si="48"/>
        <v>방이동</v>
      </c>
      <c r="I1232" t="s">
        <v>295</v>
      </c>
      <c r="J1232" t="s">
        <v>296</v>
      </c>
      <c r="K1232" t="s">
        <v>297</v>
      </c>
    </row>
    <row r="1233" spans="1:11" x14ac:dyDescent="0.4">
      <c r="A1233" t="s">
        <v>2141</v>
      </c>
      <c r="B1233" t="s">
        <v>9</v>
      </c>
      <c r="C1233" t="s">
        <v>10</v>
      </c>
      <c r="D1233" t="s">
        <v>211</v>
      </c>
      <c r="E1233" t="s">
        <v>2142</v>
      </c>
      <c r="F1233" t="str">
        <f>LEFT(E1233,5)</f>
        <v>서울특별시</v>
      </c>
      <c r="G1233" t="str">
        <f t="shared" si="47"/>
        <v xml:space="preserve">송파구 </v>
      </c>
      <c r="H1233" t="str">
        <f t="shared" si="48"/>
        <v>방이동</v>
      </c>
      <c r="I1233" t="s">
        <v>2143</v>
      </c>
      <c r="J1233" t="s">
        <v>296</v>
      </c>
      <c r="K1233" t="s">
        <v>2144</v>
      </c>
    </row>
    <row r="1234" spans="1:11" x14ac:dyDescent="0.4">
      <c r="A1234" t="s">
        <v>210</v>
      </c>
      <c r="B1234" t="s">
        <v>9</v>
      </c>
      <c r="C1234" t="s">
        <v>10</v>
      </c>
      <c r="D1234" t="s">
        <v>211</v>
      </c>
      <c r="E1234" t="s">
        <v>212</v>
      </c>
      <c r="F1234" t="str">
        <f>LEFT(E1234,5)</f>
        <v>서울특별시</v>
      </c>
      <c r="G1234" t="str">
        <f t="shared" si="47"/>
        <v xml:space="preserve">송파구 </v>
      </c>
      <c r="H1234" t="str">
        <f t="shared" si="48"/>
        <v>방이동</v>
      </c>
      <c r="I1234" t="s">
        <v>213</v>
      </c>
      <c r="J1234" t="s">
        <v>214</v>
      </c>
      <c r="K1234" t="s">
        <v>215</v>
      </c>
    </row>
    <row r="1235" spans="1:11" x14ac:dyDescent="0.4">
      <c r="A1235" t="s">
        <v>5950</v>
      </c>
      <c r="B1235" t="s">
        <v>9</v>
      </c>
      <c r="C1235" t="s">
        <v>10</v>
      </c>
      <c r="D1235" t="s">
        <v>2753</v>
      </c>
      <c r="E1235" t="s">
        <v>5951</v>
      </c>
      <c r="F1235" t="str">
        <f>LEFT(E1235,5)</f>
        <v>서울특별시</v>
      </c>
      <c r="G1235" t="str">
        <f t="shared" si="47"/>
        <v xml:space="preserve">송파구 </v>
      </c>
      <c r="H1235" t="str">
        <f t="shared" si="48"/>
        <v>방이동</v>
      </c>
      <c r="I1235" t="s">
        <v>5952</v>
      </c>
      <c r="J1235" t="s">
        <v>3852</v>
      </c>
      <c r="K1235" t="s">
        <v>5953</v>
      </c>
    </row>
    <row r="1236" spans="1:11" x14ac:dyDescent="0.4">
      <c r="A1236" t="s">
        <v>7351</v>
      </c>
      <c r="B1236" t="s">
        <v>9</v>
      </c>
      <c r="C1236" t="s">
        <v>10</v>
      </c>
      <c r="D1236" t="s">
        <v>2753</v>
      </c>
      <c r="E1236" t="s">
        <v>7352</v>
      </c>
      <c r="F1236" t="str">
        <f>LEFT(E1236,5)</f>
        <v>서울특별시</v>
      </c>
      <c r="G1236" t="str">
        <f t="shared" si="47"/>
        <v xml:space="preserve">송파구 </v>
      </c>
      <c r="H1236" t="str">
        <f t="shared" si="48"/>
        <v>방이동</v>
      </c>
      <c r="I1236" t="s">
        <v>7353</v>
      </c>
      <c r="J1236" t="s">
        <v>3852</v>
      </c>
      <c r="K1236" t="s">
        <v>7354</v>
      </c>
    </row>
    <row r="1237" spans="1:11" x14ac:dyDescent="0.4">
      <c r="A1237" t="s">
        <v>3849</v>
      </c>
      <c r="B1237" t="s">
        <v>9</v>
      </c>
      <c r="C1237" t="s">
        <v>10</v>
      </c>
      <c r="D1237" t="s">
        <v>2753</v>
      </c>
      <c r="E1237" t="s">
        <v>3850</v>
      </c>
      <c r="F1237" t="str">
        <f>LEFT(E1237,5)</f>
        <v>서울특별시</v>
      </c>
      <c r="G1237" t="str">
        <f t="shared" si="47"/>
        <v xml:space="preserve">송파구 </v>
      </c>
      <c r="H1237" t="str">
        <f t="shared" si="48"/>
        <v>방이동</v>
      </c>
      <c r="I1237" t="s">
        <v>3851</v>
      </c>
      <c r="J1237" t="s">
        <v>3852</v>
      </c>
      <c r="K1237" t="s">
        <v>3853</v>
      </c>
    </row>
    <row r="1238" spans="1:11" x14ac:dyDescent="0.4">
      <c r="A1238" t="s">
        <v>3311</v>
      </c>
      <c r="B1238" t="s">
        <v>9</v>
      </c>
      <c r="C1238" t="s">
        <v>10</v>
      </c>
      <c r="D1238" t="s">
        <v>2753</v>
      </c>
      <c r="E1238" t="s">
        <v>3312</v>
      </c>
      <c r="F1238" t="str">
        <f>LEFT(E1238,5)</f>
        <v>서울특별시</v>
      </c>
      <c r="G1238" t="str">
        <f t="shared" si="47"/>
        <v xml:space="preserve">송파구 </v>
      </c>
      <c r="H1238" t="str">
        <f t="shared" si="48"/>
        <v>방이동</v>
      </c>
      <c r="I1238" t="s">
        <v>3313</v>
      </c>
      <c r="J1238" t="s">
        <v>2756</v>
      </c>
      <c r="K1238" t="s">
        <v>3314</v>
      </c>
    </row>
    <row r="1239" spans="1:11" x14ac:dyDescent="0.4">
      <c r="A1239" t="s">
        <v>3739</v>
      </c>
      <c r="B1239" t="s">
        <v>9</v>
      </c>
      <c r="C1239" t="s">
        <v>10</v>
      </c>
      <c r="D1239" t="s">
        <v>2753</v>
      </c>
      <c r="E1239" t="s">
        <v>3740</v>
      </c>
      <c r="F1239" t="str">
        <f>LEFT(E1239,5)</f>
        <v>서울특별시</v>
      </c>
      <c r="G1239" t="str">
        <f t="shared" si="47"/>
        <v xml:space="preserve">송파구 </v>
      </c>
      <c r="H1239" t="str">
        <f t="shared" si="48"/>
        <v>방이동</v>
      </c>
      <c r="I1239" t="s">
        <v>3741</v>
      </c>
      <c r="J1239" t="s">
        <v>2756</v>
      </c>
      <c r="K1239" t="s">
        <v>3742</v>
      </c>
    </row>
    <row r="1240" spans="1:11" x14ac:dyDescent="0.4">
      <c r="A1240" t="s">
        <v>3615</v>
      </c>
      <c r="B1240" t="s">
        <v>9</v>
      </c>
      <c r="C1240" t="s">
        <v>10</v>
      </c>
      <c r="D1240" t="s">
        <v>2753</v>
      </c>
      <c r="E1240" t="s">
        <v>3616</v>
      </c>
      <c r="F1240" t="str">
        <f>LEFT(E1240,5)</f>
        <v>서울특별시</v>
      </c>
      <c r="G1240" t="str">
        <f t="shared" si="47"/>
        <v xml:space="preserve">송파구 </v>
      </c>
      <c r="H1240" t="str">
        <f t="shared" si="48"/>
        <v>방이동</v>
      </c>
      <c r="I1240" t="s">
        <v>3617</v>
      </c>
      <c r="J1240" t="s">
        <v>2756</v>
      </c>
      <c r="K1240" t="s">
        <v>3618</v>
      </c>
    </row>
    <row r="1241" spans="1:11" x14ac:dyDescent="0.4">
      <c r="A1241" t="s">
        <v>2752</v>
      </c>
      <c r="B1241" t="s">
        <v>9</v>
      </c>
      <c r="C1241" t="s">
        <v>10</v>
      </c>
      <c r="D1241" t="s">
        <v>2753</v>
      </c>
      <c r="E1241" t="s">
        <v>2754</v>
      </c>
      <c r="F1241" t="str">
        <f>LEFT(E1241,5)</f>
        <v>서울특별시</v>
      </c>
      <c r="G1241" t="str">
        <f t="shared" si="47"/>
        <v xml:space="preserve">송파구 </v>
      </c>
      <c r="H1241" t="str">
        <f t="shared" si="48"/>
        <v>방이동</v>
      </c>
      <c r="I1241" t="s">
        <v>2755</v>
      </c>
      <c r="J1241" t="s">
        <v>2756</v>
      </c>
      <c r="K1241" t="s">
        <v>2757</v>
      </c>
    </row>
    <row r="1242" spans="1:11" x14ac:dyDescent="0.4">
      <c r="A1242" t="s">
        <v>4500</v>
      </c>
      <c r="B1242" t="s">
        <v>9</v>
      </c>
      <c r="C1242" t="s">
        <v>10</v>
      </c>
      <c r="D1242" t="s">
        <v>4259</v>
      </c>
      <c r="E1242" t="s">
        <v>4501</v>
      </c>
      <c r="F1242" t="str">
        <f>LEFT(E1242,5)</f>
        <v>서울특별시</v>
      </c>
      <c r="G1242" t="str">
        <f t="shared" si="47"/>
        <v xml:space="preserve">송파구 </v>
      </c>
      <c r="H1242" t="str">
        <f t="shared" si="48"/>
        <v>방이동</v>
      </c>
      <c r="I1242" t="s">
        <v>4502</v>
      </c>
      <c r="J1242" t="s">
        <v>2756</v>
      </c>
      <c r="K1242" t="s">
        <v>4503</v>
      </c>
    </row>
    <row r="1243" spans="1:11" x14ac:dyDescent="0.4">
      <c r="A1243" t="s">
        <v>8532</v>
      </c>
      <c r="B1243" t="s">
        <v>9</v>
      </c>
      <c r="C1243" t="s">
        <v>10</v>
      </c>
      <c r="D1243" t="s">
        <v>4259</v>
      </c>
      <c r="E1243" t="s">
        <v>8533</v>
      </c>
      <c r="F1243" t="str">
        <f>LEFT(E1243,5)</f>
        <v>서울특별시</v>
      </c>
      <c r="G1243" t="str">
        <f t="shared" si="47"/>
        <v xml:space="preserve">송파구 </v>
      </c>
      <c r="H1243" t="str">
        <f t="shared" si="48"/>
        <v>방이동</v>
      </c>
      <c r="I1243" t="s">
        <v>8534</v>
      </c>
      <c r="J1243" t="s">
        <v>2756</v>
      </c>
      <c r="K1243" t="s">
        <v>2625</v>
      </c>
    </row>
    <row r="1244" spans="1:11" x14ac:dyDescent="0.4">
      <c r="A1244" t="s">
        <v>8917</v>
      </c>
      <c r="B1244" t="s">
        <v>9</v>
      </c>
      <c r="C1244" t="s">
        <v>10</v>
      </c>
      <c r="D1244" t="s">
        <v>4259</v>
      </c>
      <c r="E1244" t="s">
        <v>8918</v>
      </c>
      <c r="F1244" t="str">
        <f>LEFT(E1244,5)</f>
        <v>서울특별시</v>
      </c>
      <c r="G1244" t="str">
        <f t="shared" si="47"/>
        <v xml:space="preserve">송파구 </v>
      </c>
      <c r="H1244" t="str">
        <f t="shared" si="48"/>
        <v>방이동</v>
      </c>
      <c r="I1244" t="s">
        <v>8919</v>
      </c>
      <c r="J1244" t="s">
        <v>2756</v>
      </c>
      <c r="K1244" t="s">
        <v>8920</v>
      </c>
    </row>
    <row r="1245" spans="1:11" x14ac:dyDescent="0.4">
      <c r="A1245" t="s">
        <v>8868</v>
      </c>
      <c r="B1245" t="s">
        <v>9</v>
      </c>
      <c r="C1245" t="s">
        <v>10</v>
      </c>
      <c r="D1245" t="s">
        <v>4259</v>
      </c>
      <c r="E1245" t="s">
        <v>8869</v>
      </c>
      <c r="F1245" t="str">
        <f>LEFT(E1245,5)</f>
        <v>서울특별시</v>
      </c>
      <c r="G1245" t="str">
        <f t="shared" si="47"/>
        <v xml:space="preserve">송파구 </v>
      </c>
      <c r="H1245" t="str">
        <f t="shared" si="48"/>
        <v>방이동</v>
      </c>
      <c r="I1245" t="s">
        <v>8870</v>
      </c>
      <c r="J1245" t="s">
        <v>7611</v>
      </c>
      <c r="K1245" t="s">
        <v>900</v>
      </c>
    </row>
    <row r="1246" spans="1:11" x14ac:dyDescent="0.4">
      <c r="A1246" t="s">
        <v>7608</v>
      </c>
      <c r="B1246" t="s">
        <v>9</v>
      </c>
      <c r="C1246" t="s">
        <v>10</v>
      </c>
      <c r="D1246" t="s">
        <v>4259</v>
      </c>
      <c r="E1246" t="s">
        <v>7609</v>
      </c>
      <c r="F1246" t="str">
        <f>LEFT(E1246,5)</f>
        <v>서울특별시</v>
      </c>
      <c r="G1246" t="str">
        <f t="shared" si="47"/>
        <v xml:space="preserve">송파구 </v>
      </c>
      <c r="H1246" t="str">
        <f t="shared" si="48"/>
        <v>방이동</v>
      </c>
      <c r="I1246" t="s">
        <v>7610</v>
      </c>
      <c r="J1246" t="s">
        <v>7611</v>
      </c>
      <c r="K1246" t="s">
        <v>7612</v>
      </c>
    </row>
    <row r="1247" spans="1:11" x14ac:dyDescent="0.4">
      <c r="A1247" t="s">
        <v>4258</v>
      </c>
      <c r="B1247" t="s">
        <v>9</v>
      </c>
      <c r="C1247" t="s">
        <v>10</v>
      </c>
      <c r="D1247" t="s">
        <v>4259</v>
      </c>
      <c r="E1247" t="s">
        <v>4260</v>
      </c>
      <c r="F1247" t="str">
        <f>LEFT(E1247,5)</f>
        <v>서울특별시</v>
      </c>
      <c r="G1247" t="str">
        <f t="shared" si="47"/>
        <v xml:space="preserve">송파구 </v>
      </c>
      <c r="H1247" t="str">
        <f t="shared" si="48"/>
        <v>방이동</v>
      </c>
      <c r="I1247" t="s">
        <v>4261</v>
      </c>
      <c r="J1247" t="s">
        <v>3852</v>
      </c>
      <c r="K1247" t="s">
        <v>4262</v>
      </c>
    </row>
    <row r="1248" spans="1:11" x14ac:dyDescent="0.4">
      <c r="A1248" t="s">
        <v>7137</v>
      </c>
      <c r="B1248" t="s">
        <v>9</v>
      </c>
      <c r="C1248" t="s">
        <v>10</v>
      </c>
      <c r="D1248" t="s">
        <v>6270</v>
      </c>
      <c r="E1248" t="s">
        <v>7138</v>
      </c>
      <c r="F1248" t="str">
        <f>LEFT(E1248,5)</f>
        <v>서울특별시</v>
      </c>
      <c r="G1248" t="str">
        <f t="shared" si="47"/>
        <v xml:space="preserve">송파구 </v>
      </c>
      <c r="H1248" t="str">
        <f t="shared" si="48"/>
        <v>삼전동</v>
      </c>
      <c r="I1248" t="s">
        <v>7139</v>
      </c>
      <c r="J1248" t="s">
        <v>6273</v>
      </c>
      <c r="K1248" t="s">
        <v>7140</v>
      </c>
    </row>
    <row r="1249" spans="1:11" x14ac:dyDescent="0.4">
      <c r="A1249" t="s">
        <v>6269</v>
      </c>
      <c r="B1249" t="s">
        <v>9</v>
      </c>
      <c r="C1249" t="s">
        <v>10</v>
      </c>
      <c r="D1249" t="s">
        <v>6270</v>
      </c>
      <c r="E1249" t="s">
        <v>6271</v>
      </c>
      <c r="F1249" t="str">
        <f>LEFT(E1249,5)</f>
        <v>서울특별시</v>
      </c>
      <c r="G1249" t="str">
        <f t="shared" si="47"/>
        <v xml:space="preserve">송파구 </v>
      </c>
      <c r="H1249" t="str">
        <f t="shared" si="48"/>
        <v>삼전동</v>
      </c>
      <c r="I1249" t="s">
        <v>6272</v>
      </c>
      <c r="J1249" t="s">
        <v>6273</v>
      </c>
      <c r="K1249" t="s">
        <v>1977</v>
      </c>
    </row>
    <row r="1250" spans="1:11" x14ac:dyDescent="0.4">
      <c r="A1250" t="s">
        <v>6056</v>
      </c>
      <c r="B1250" t="s">
        <v>9</v>
      </c>
      <c r="C1250" t="s">
        <v>10</v>
      </c>
      <c r="D1250" t="s">
        <v>4510</v>
      </c>
      <c r="E1250" t="s">
        <v>6057</v>
      </c>
      <c r="F1250" t="str">
        <f>LEFT(E1250,5)</f>
        <v>서울특별시</v>
      </c>
      <c r="G1250" t="str">
        <f t="shared" si="47"/>
        <v xml:space="preserve">송파구 </v>
      </c>
      <c r="H1250" t="str">
        <f t="shared" si="48"/>
        <v>삼전동</v>
      </c>
      <c r="I1250" t="s">
        <v>6058</v>
      </c>
      <c r="J1250" t="s">
        <v>6059</v>
      </c>
      <c r="K1250" t="s">
        <v>6060</v>
      </c>
    </row>
    <row r="1251" spans="1:11" x14ac:dyDescent="0.4">
      <c r="A1251" t="s">
        <v>6558</v>
      </c>
      <c r="B1251" t="s">
        <v>9</v>
      </c>
      <c r="C1251" t="s">
        <v>10</v>
      </c>
      <c r="D1251" t="s">
        <v>4510</v>
      </c>
      <c r="E1251" t="s">
        <v>6559</v>
      </c>
      <c r="F1251" t="str">
        <f>LEFT(E1251,5)</f>
        <v>서울특별시</v>
      </c>
      <c r="G1251" t="str">
        <f t="shared" si="47"/>
        <v xml:space="preserve">송파구 </v>
      </c>
      <c r="H1251" t="str">
        <f t="shared" si="48"/>
        <v>삼전동</v>
      </c>
      <c r="I1251" t="s">
        <v>6560</v>
      </c>
      <c r="J1251" t="s">
        <v>6273</v>
      </c>
      <c r="K1251" t="s">
        <v>6561</v>
      </c>
    </row>
    <row r="1252" spans="1:11" x14ac:dyDescent="0.4">
      <c r="A1252" t="s">
        <v>5227</v>
      </c>
      <c r="B1252" t="s">
        <v>9</v>
      </c>
      <c r="C1252" t="s">
        <v>10</v>
      </c>
      <c r="D1252" t="s">
        <v>4510</v>
      </c>
      <c r="E1252" t="s">
        <v>5228</v>
      </c>
      <c r="F1252" t="str">
        <f>LEFT(E1252,5)</f>
        <v>서울특별시</v>
      </c>
      <c r="G1252" t="str">
        <f t="shared" si="47"/>
        <v xml:space="preserve">송파구 </v>
      </c>
      <c r="H1252" t="str">
        <f t="shared" si="48"/>
        <v>삼전동</v>
      </c>
      <c r="I1252" t="s">
        <v>5229</v>
      </c>
      <c r="J1252" t="s">
        <v>5230</v>
      </c>
      <c r="K1252" t="s">
        <v>2833</v>
      </c>
    </row>
    <row r="1253" spans="1:11" x14ac:dyDescent="0.4">
      <c r="A1253" t="s">
        <v>4509</v>
      </c>
      <c r="B1253" t="s">
        <v>9</v>
      </c>
      <c r="C1253" t="s">
        <v>10</v>
      </c>
      <c r="D1253" t="s">
        <v>4510</v>
      </c>
      <c r="E1253" t="s">
        <v>4511</v>
      </c>
      <c r="F1253" t="str">
        <f>LEFT(E1253,5)</f>
        <v>서울특별시</v>
      </c>
      <c r="G1253" t="str">
        <f t="shared" si="47"/>
        <v xml:space="preserve">송파구 </v>
      </c>
      <c r="H1253" t="str">
        <f t="shared" si="48"/>
        <v>삼전동</v>
      </c>
      <c r="I1253" t="s">
        <v>4512</v>
      </c>
      <c r="J1253" t="s">
        <v>4513</v>
      </c>
      <c r="K1253" t="s">
        <v>4514</v>
      </c>
    </row>
    <row r="1254" spans="1:11" x14ac:dyDescent="0.4">
      <c r="A1254" t="s">
        <v>4671</v>
      </c>
      <c r="B1254" t="s">
        <v>9</v>
      </c>
      <c r="C1254" t="s">
        <v>10</v>
      </c>
      <c r="D1254" t="s">
        <v>2714</v>
      </c>
      <c r="E1254" t="s">
        <v>4672</v>
      </c>
      <c r="F1254" t="str">
        <f>LEFT(E1254,5)</f>
        <v>서울특별시</v>
      </c>
      <c r="G1254" t="str">
        <f t="shared" si="47"/>
        <v xml:space="preserve">송파구 </v>
      </c>
      <c r="H1254" t="str">
        <f t="shared" si="48"/>
        <v>삼전동</v>
      </c>
      <c r="I1254" t="s">
        <v>4673</v>
      </c>
      <c r="J1254" t="s">
        <v>4674</v>
      </c>
      <c r="K1254" t="s">
        <v>4675</v>
      </c>
    </row>
    <row r="1255" spans="1:11" x14ac:dyDescent="0.4">
      <c r="A1255" t="s">
        <v>2713</v>
      </c>
      <c r="B1255" t="s">
        <v>9</v>
      </c>
      <c r="C1255" t="s">
        <v>10</v>
      </c>
      <c r="D1255" t="s">
        <v>2714</v>
      </c>
      <c r="E1255" t="s">
        <v>2715</v>
      </c>
      <c r="F1255" t="str">
        <f>LEFT(E1255,5)</f>
        <v>서울특별시</v>
      </c>
      <c r="G1255" t="str">
        <f t="shared" si="47"/>
        <v xml:space="preserve">송파구 </v>
      </c>
      <c r="H1255" t="str">
        <f t="shared" si="48"/>
        <v>삼전동</v>
      </c>
      <c r="I1255" t="s">
        <v>2716</v>
      </c>
      <c r="J1255" t="s">
        <v>2717</v>
      </c>
      <c r="K1255" t="s">
        <v>2718</v>
      </c>
    </row>
    <row r="1256" spans="1:11" x14ac:dyDescent="0.4">
      <c r="A1256" t="s">
        <v>8050</v>
      </c>
      <c r="B1256" t="s">
        <v>9</v>
      </c>
      <c r="C1256" t="s">
        <v>10</v>
      </c>
      <c r="D1256" t="s">
        <v>3216</v>
      </c>
      <c r="E1256" t="s">
        <v>8051</v>
      </c>
      <c r="F1256" t="str">
        <f>LEFT(E1256,5)</f>
        <v>서울특별시</v>
      </c>
      <c r="G1256" t="str">
        <f t="shared" si="47"/>
        <v xml:space="preserve">송파구 </v>
      </c>
      <c r="H1256" t="str">
        <f t="shared" si="48"/>
        <v>석촌동</v>
      </c>
      <c r="I1256" t="s">
        <v>8052</v>
      </c>
      <c r="J1256" t="s">
        <v>3339</v>
      </c>
      <c r="K1256" t="s">
        <v>8053</v>
      </c>
    </row>
    <row r="1257" spans="1:11" x14ac:dyDescent="0.4">
      <c r="A1257" t="s">
        <v>8416</v>
      </c>
      <c r="B1257" t="s">
        <v>9</v>
      </c>
      <c r="C1257" t="s">
        <v>10</v>
      </c>
      <c r="D1257" t="s">
        <v>5023</v>
      </c>
      <c r="E1257" t="s">
        <v>8417</v>
      </c>
      <c r="F1257" t="str">
        <f>LEFT(E1257,5)</f>
        <v>서울특별시</v>
      </c>
      <c r="G1257" t="str">
        <f t="shared" si="47"/>
        <v xml:space="preserve">송파구 </v>
      </c>
      <c r="H1257" t="str">
        <f t="shared" si="48"/>
        <v>석촌동</v>
      </c>
      <c r="I1257" t="s">
        <v>8418</v>
      </c>
      <c r="J1257" t="s">
        <v>7585</v>
      </c>
      <c r="K1257" t="s">
        <v>6400</v>
      </c>
    </row>
    <row r="1258" spans="1:11" x14ac:dyDescent="0.4">
      <c r="A1258" t="s">
        <v>7582</v>
      </c>
      <c r="B1258" t="s">
        <v>9</v>
      </c>
      <c r="C1258" t="s">
        <v>10</v>
      </c>
      <c r="D1258" t="s">
        <v>5023</v>
      </c>
      <c r="E1258" t="s">
        <v>7583</v>
      </c>
      <c r="F1258" t="str">
        <f>LEFT(E1258,5)</f>
        <v>서울특별시</v>
      </c>
      <c r="G1258" t="str">
        <f t="shared" si="47"/>
        <v xml:space="preserve">송파구 </v>
      </c>
      <c r="H1258" t="str">
        <f t="shared" si="48"/>
        <v>석촌동</v>
      </c>
      <c r="I1258" t="s">
        <v>7584</v>
      </c>
      <c r="J1258" t="s">
        <v>7585</v>
      </c>
      <c r="K1258" t="s">
        <v>7586</v>
      </c>
    </row>
    <row r="1259" spans="1:11" x14ac:dyDescent="0.4">
      <c r="A1259" t="s">
        <v>8516</v>
      </c>
      <c r="B1259" t="s">
        <v>9</v>
      </c>
      <c r="C1259" t="s">
        <v>10</v>
      </c>
      <c r="D1259" t="s">
        <v>5023</v>
      </c>
      <c r="E1259" t="s">
        <v>8517</v>
      </c>
      <c r="F1259" t="str">
        <f>LEFT(E1259,5)</f>
        <v>서울특별시</v>
      </c>
      <c r="G1259" t="str">
        <f t="shared" si="47"/>
        <v xml:space="preserve">송파구 </v>
      </c>
      <c r="H1259" t="str">
        <f t="shared" si="48"/>
        <v>석촌동</v>
      </c>
      <c r="I1259" t="s">
        <v>8518</v>
      </c>
      <c r="J1259" t="s">
        <v>8519</v>
      </c>
      <c r="K1259" t="s">
        <v>8520</v>
      </c>
    </row>
    <row r="1260" spans="1:11" x14ac:dyDescent="0.4">
      <c r="A1260" t="s">
        <v>6696</v>
      </c>
      <c r="B1260" t="s">
        <v>9</v>
      </c>
      <c r="C1260" t="s">
        <v>10</v>
      </c>
      <c r="D1260" t="s">
        <v>5023</v>
      </c>
      <c r="E1260" t="s">
        <v>6697</v>
      </c>
      <c r="F1260" t="str">
        <f>LEFT(E1260,5)</f>
        <v>서울특별시</v>
      </c>
      <c r="G1260" t="str">
        <f t="shared" si="47"/>
        <v xml:space="preserve">송파구 </v>
      </c>
      <c r="H1260" t="str">
        <f t="shared" si="48"/>
        <v>석촌동</v>
      </c>
      <c r="I1260" t="s">
        <v>6698</v>
      </c>
      <c r="J1260" t="s">
        <v>5026</v>
      </c>
      <c r="K1260" t="s">
        <v>6544</v>
      </c>
    </row>
    <row r="1261" spans="1:11" x14ac:dyDescent="0.4">
      <c r="A1261" t="s">
        <v>5022</v>
      </c>
      <c r="B1261" t="s">
        <v>9</v>
      </c>
      <c r="C1261" t="s">
        <v>10</v>
      </c>
      <c r="D1261" t="s">
        <v>5023</v>
      </c>
      <c r="E1261" t="s">
        <v>5024</v>
      </c>
      <c r="F1261" t="str">
        <f>LEFT(E1261,5)</f>
        <v>서울특별시</v>
      </c>
      <c r="G1261" t="str">
        <f t="shared" si="47"/>
        <v xml:space="preserve">송파구 </v>
      </c>
      <c r="H1261" t="str">
        <f t="shared" si="48"/>
        <v>석촌동</v>
      </c>
      <c r="I1261" t="s">
        <v>5025</v>
      </c>
      <c r="J1261" t="s">
        <v>5026</v>
      </c>
      <c r="K1261" t="s">
        <v>5027</v>
      </c>
    </row>
    <row r="1262" spans="1:11" x14ac:dyDescent="0.4">
      <c r="A1262" t="s">
        <v>8839</v>
      </c>
      <c r="B1262" t="s">
        <v>9</v>
      </c>
      <c r="C1262" t="s">
        <v>10</v>
      </c>
      <c r="D1262" t="s">
        <v>5023</v>
      </c>
      <c r="E1262" t="s">
        <v>8840</v>
      </c>
      <c r="F1262" t="str">
        <f>LEFT(E1262,5)</f>
        <v>서울특별시</v>
      </c>
      <c r="G1262" t="str">
        <f t="shared" si="47"/>
        <v xml:space="preserve">송파구 </v>
      </c>
      <c r="H1262" t="str">
        <f t="shared" si="48"/>
        <v>석촌동</v>
      </c>
      <c r="I1262" t="s">
        <v>8841</v>
      </c>
      <c r="J1262" t="s">
        <v>5026</v>
      </c>
      <c r="K1262" t="s">
        <v>8842</v>
      </c>
    </row>
    <row r="1263" spans="1:11" x14ac:dyDescent="0.4">
      <c r="A1263" t="s">
        <v>6274</v>
      </c>
      <c r="B1263" t="s">
        <v>9</v>
      </c>
      <c r="C1263" t="s">
        <v>10</v>
      </c>
      <c r="D1263" t="s">
        <v>3216</v>
      </c>
      <c r="E1263" t="s">
        <v>6275</v>
      </c>
      <c r="F1263" t="str">
        <f>LEFT(E1263,5)</f>
        <v>서울특별시</v>
      </c>
      <c r="G1263" t="str">
        <f t="shared" si="47"/>
        <v xml:space="preserve">송파구 </v>
      </c>
      <c r="H1263" t="str">
        <f t="shared" si="48"/>
        <v>석촌동</v>
      </c>
      <c r="I1263" t="s">
        <v>6276</v>
      </c>
      <c r="J1263" t="s">
        <v>3339</v>
      </c>
      <c r="K1263" t="s">
        <v>6277</v>
      </c>
    </row>
    <row r="1264" spans="1:11" x14ac:dyDescent="0.4">
      <c r="A1264" t="s">
        <v>3336</v>
      </c>
      <c r="B1264" t="s">
        <v>9</v>
      </c>
      <c r="C1264" t="s">
        <v>10</v>
      </c>
      <c r="D1264" t="s">
        <v>3216</v>
      </c>
      <c r="E1264" t="s">
        <v>3337</v>
      </c>
      <c r="F1264" t="str">
        <f>LEFT(E1264,5)</f>
        <v>서울특별시</v>
      </c>
      <c r="G1264" t="str">
        <f t="shared" si="47"/>
        <v xml:space="preserve">송파구 </v>
      </c>
      <c r="H1264" t="str">
        <f t="shared" si="48"/>
        <v>석촌동</v>
      </c>
      <c r="I1264" t="s">
        <v>3338</v>
      </c>
      <c r="J1264" t="s">
        <v>3339</v>
      </c>
      <c r="K1264" t="s">
        <v>948</v>
      </c>
    </row>
    <row r="1265" spans="1:11" x14ac:dyDescent="0.4">
      <c r="A1265" t="s">
        <v>8596</v>
      </c>
      <c r="B1265" t="s">
        <v>9</v>
      </c>
      <c r="C1265" t="s">
        <v>10</v>
      </c>
      <c r="D1265" t="s">
        <v>3216</v>
      </c>
      <c r="E1265" t="s">
        <v>8597</v>
      </c>
      <c r="F1265" t="str">
        <f>LEFT(E1265,5)</f>
        <v>서울특별시</v>
      </c>
      <c r="G1265" t="str">
        <f t="shared" si="47"/>
        <v xml:space="preserve">송파구 </v>
      </c>
      <c r="H1265" t="str">
        <f t="shared" si="48"/>
        <v>석촌동</v>
      </c>
      <c r="I1265" t="s">
        <v>8598</v>
      </c>
      <c r="J1265" t="s">
        <v>5048</v>
      </c>
      <c r="K1265" t="s">
        <v>8599</v>
      </c>
    </row>
    <row r="1266" spans="1:11" x14ac:dyDescent="0.4">
      <c r="A1266" t="s">
        <v>5045</v>
      </c>
      <c r="B1266" t="s">
        <v>9</v>
      </c>
      <c r="C1266" t="s">
        <v>10</v>
      </c>
      <c r="D1266" t="s">
        <v>3216</v>
      </c>
      <c r="E1266" t="s">
        <v>5046</v>
      </c>
      <c r="F1266" t="str">
        <f>LEFT(E1266,5)</f>
        <v>서울특별시</v>
      </c>
      <c r="G1266" t="str">
        <f t="shared" si="47"/>
        <v xml:space="preserve">송파구 </v>
      </c>
      <c r="H1266" t="str">
        <f t="shared" si="48"/>
        <v>석촌동</v>
      </c>
      <c r="I1266" t="s">
        <v>5047</v>
      </c>
      <c r="J1266" t="s">
        <v>5048</v>
      </c>
      <c r="K1266" t="s">
        <v>5049</v>
      </c>
    </row>
    <row r="1267" spans="1:11" x14ac:dyDescent="0.4">
      <c r="A1267" t="s">
        <v>6319</v>
      </c>
      <c r="B1267" t="s">
        <v>9</v>
      </c>
      <c r="C1267" t="s">
        <v>10</v>
      </c>
      <c r="D1267" t="s">
        <v>6320</v>
      </c>
      <c r="E1267" t="s">
        <v>6321</v>
      </c>
      <c r="F1267" t="str">
        <f>LEFT(E1267,5)</f>
        <v>서울특별시</v>
      </c>
      <c r="G1267" t="str">
        <f t="shared" si="47"/>
        <v xml:space="preserve">송파구 </v>
      </c>
      <c r="H1267" t="str">
        <f t="shared" si="48"/>
        <v>석촌동</v>
      </c>
      <c r="I1267" t="s">
        <v>6322</v>
      </c>
      <c r="J1267" t="s">
        <v>6323</v>
      </c>
      <c r="K1267" t="s">
        <v>6324</v>
      </c>
    </row>
    <row r="1268" spans="1:11" x14ac:dyDescent="0.4">
      <c r="A1268" t="s">
        <v>2882</v>
      </c>
      <c r="B1268" t="s">
        <v>9</v>
      </c>
      <c r="C1268" t="s">
        <v>10</v>
      </c>
      <c r="D1268" t="s">
        <v>2883</v>
      </c>
      <c r="E1268" t="s">
        <v>2884</v>
      </c>
      <c r="F1268" t="str">
        <f>LEFT(E1268,5)</f>
        <v>서울특별시</v>
      </c>
      <c r="G1268" t="str">
        <f t="shared" si="47"/>
        <v xml:space="preserve">송파구 </v>
      </c>
      <c r="H1268" t="str">
        <f t="shared" si="48"/>
        <v>석촌동</v>
      </c>
      <c r="I1268" t="s">
        <v>2885</v>
      </c>
      <c r="J1268" t="s">
        <v>2886</v>
      </c>
      <c r="K1268" t="s">
        <v>2232</v>
      </c>
    </row>
    <row r="1269" spans="1:11" x14ac:dyDescent="0.4">
      <c r="A1269" t="s">
        <v>7326</v>
      </c>
      <c r="B1269" t="s">
        <v>9</v>
      </c>
      <c r="C1269" t="s">
        <v>10</v>
      </c>
      <c r="D1269" t="s">
        <v>2883</v>
      </c>
      <c r="E1269" t="s">
        <v>7327</v>
      </c>
      <c r="F1269" t="str">
        <f>LEFT(E1269,5)</f>
        <v>서울특별시</v>
      </c>
      <c r="G1269" t="str">
        <f t="shared" si="47"/>
        <v xml:space="preserve">송파구 </v>
      </c>
      <c r="H1269" t="str">
        <f t="shared" si="48"/>
        <v>석촌동</v>
      </c>
      <c r="I1269" t="s">
        <v>7328</v>
      </c>
      <c r="J1269" t="s">
        <v>2886</v>
      </c>
      <c r="K1269" t="s">
        <v>7329</v>
      </c>
    </row>
    <row r="1270" spans="1:11" x14ac:dyDescent="0.4">
      <c r="A1270" t="s">
        <v>2682</v>
      </c>
      <c r="B1270" t="s">
        <v>9</v>
      </c>
      <c r="C1270" t="s">
        <v>10</v>
      </c>
      <c r="D1270" t="s">
        <v>2683</v>
      </c>
      <c r="E1270" t="s">
        <v>2684</v>
      </c>
      <c r="F1270" t="str">
        <f>LEFT(E1270,5)</f>
        <v>서울특별시</v>
      </c>
      <c r="G1270" t="str">
        <f t="shared" si="47"/>
        <v xml:space="preserve">송파구 </v>
      </c>
      <c r="H1270" t="str">
        <f t="shared" si="48"/>
        <v>석촌동</v>
      </c>
      <c r="I1270" t="s">
        <v>2685</v>
      </c>
      <c r="J1270" t="s">
        <v>2686</v>
      </c>
      <c r="K1270" t="s">
        <v>2687</v>
      </c>
    </row>
    <row r="1271" spans="1:11" x14ac:dyDescent="0.4">
      <c r="A1271" t="s">
        <v>7192</v>
      </c>
      <c r="B1271" t="s">
        <v>9</v>
      </c>
      <c r="C1271" t="s">
        <v>10</v>
      </c>
      <c r="D1271" t="s">
        <v>2683</v>
      </c>
      <c r="E1271" t="s">
        <v>7193</v>
      </c>
      <c r="F1271" t="str">
        <f>LEFT(E1271,5)</f>
        <v>서울특별시</v>
      </c>
      <c r="G1271" t="str">
        <f t="shared" si="47"/>
        <v xml:space="preserve">송파구 </v>
      </c>
      <c r="H1271" t="str">
        <f t="shared" si="48"/>
        <v>석촌동</v>
      </c>
      <c r="I1271" t="s">
        <v>7194</v>
      </c>
      <c r="J1271" t="s">
        <v>7195</v>
      </c>
      <c r="K1271" t="s">
        <v>7196</v>
      </c>
    </row>
    <row r="1272" spans="1:11" x14ac:dyDescent="0.4">
      <c r="A1272" t="s">
        <v>4104</v>
      </c>
      <c r="B1272" t="s">
        <v>9</v>
      </c>
      <c r="C1272" t="s">
        <v>10</v>
      </c>
      <c r="D1272" t="s">
        <v>3216</v>
      </c>
      <c r="E1272" t="s">
        <v>4105</v>
      </c>
      <c r="F1272" t="str">
        <f>LEFT(E1272,5)</f>
        <v>서울특별시</v>
      </c>
      <c r="G1272" t="str">
        <f t="shared" si="47"/>
        <v xml:space="preserve">송파구 </v>
      </c>
      <c r="H1272" t="str">
        <f t="shared" si="48"/>
        <v>석촌동</v>
      </c>
      <c r="I1272" t="s">
        <v>4106</v>
      </c>
      <c r="J1272" t="s">
        <v>3339</v>
      </c>
      <c r="K1272" t="s">
        <v>4107</v>
      </c>
    </row>
    <row r="1273" spans="1:11" x14ac:dyDescent="0.4">
      <c r="A1273" t="s">
        <v>5142</v>
      </c>
      <c r="B1273" t="s">
        <v>9</v>
      </c>
      <c r="C1273" t="s">
        <v>10</v>
      </c>
      <c r="D1273" t="s">
        <v>3216</v>
      </c>
      <c r="E1273" t="s">
        <v>5143</v>
      </c>
      <c r="F1273" t="str">
        <f>LEFT(E1273,5)</f>
        <v>서울특별시</v>
      </c>
      <c r="G1273" t="str">
        <f t="shared" si="47"/>
        <v xml:space="preserve">송파구 </v>
      </c>
      <c r="H1273" t="str">
        <f t="shared" si="48"/>
        <v>석촌동</v>
      </c>
      <c r="I1273" t="s">
        <v>5144</v>
      </c>
      <c r="J1273" t="s">
        <v>5048</v>
      </c>
      <c r="K1273" t="s">
        <v>5145</v>
      </c>
    </row>
    <row r="1274" spans="1:11" x14ac:dyDescent="0.4">
      <c r="A1274" t="s">
        <v>5878</v>
      </c>
      <c r="B1274" t="s">
        <v>9</v>
      </c>
      <c r="C1274" t="s">
        <v>10</v>
      </c>
      <c r="D1274" t="s">
        <v>3216</v>
      </c>
      <c r="E1274" t="s">
        <v>5879</v>
      </c>
      <c r="F1274" t="str">
        <f>LEFT(E1274,5)</f>
        <v>서울특별시</v>
      </c>
      <c r="G1274" t="str">
        <f t="shared" si="47"/>
        <v xml:space="preserve">송파구 </v>
      </c>
      <c r="H1274" t="str">
        <f t="shared" si="48"/>
        <v>석촌동</v>
      </c>
      <c r="I1274" t="s">
        <v>5880</v>
      </c>
      <c r="J1274" t="s">
        <v>5048</v>
      </c>
      <c r="K1274" t="s">
        <v>2625</v>
      </c>
    </row>
    <row r="1275" spans="1:11" x14ac:dyDescent="0.4">
      <c r="A1275" t="s">
        <v>6194</v>
      </c>
      <c r="B1275" t="s">
        <v>9</v>
      </c>
      <c r="C1275" t="s">
        <v>10</v>
      </c>
      <c r="D1275" t="s">
        <v>3216</v>
      </c>
      <c r="E1275" t="s">
        <v>6195</v>
      </c>
      <c r="F1275" t="str">
        <f>LEFT(E1275,5)</f>
        <v>서울특별시</v>
      </c>
      <c r="G1275" t="str">
        <f t="shared" si="47"/>
        <v xml:space="preserve">송파구 </v>
      </c>
      <c r="H1275" t="str">
        <f t="shared" si="48"/>
        <v>석촌동</v>
      </c>
      <c r="I1275" t="s">
        <v>6196</v>
      </c>
      <c r="J1275" t="s">
        <v>3339</v>
      </c>
      <c r="K1275" t="s">
        <v>3629</v>
      </c>
    </row>
    <row r="1276" spans="1:11" x14ac:dyDescent="0.4">
      <c r="A1276" t="s">
        <v>3215</v>
      </c>
      <c r="B1276" t="s">
        <v>9</v>
      </c>
      <c r="C1276" t="s">
        <v>10</v>
      </c>
      <c r="D1276" t="s">
        <v>3216</v>
      </c>
      <c r="E1276" t="s">
        <v>3217</v>
      </c>
      <c r="F1276" t="str">
        <f>LEFT(E1276,5)</f>
        <v>서울특별시</v>
      </c>
      <c r="G1276" t="str">
        <f t="shared" si="47"/>
        <v xml:space="preserve">송파구 </v>
      </c>
      <c r="H1276" t="str">
        <f t="shared" si="48"/>
        <v>석촌동</v>
      </c>
      <c r="I1276" t="s">
        <v>3218</v>
      </c>
      <c r="J1276" t="s">
        <v>3219</v>
      </c>
      <c r="K1276" t="s">
        <v>3220</v>
      </c>
    </row>
    <row r="1277" spans="1:11" x14ac:dyDescent="0.4">
      <c r="A1277" t="s">
        <v>5954</v>
      </c>
      <c r="B1277" t="s">
        <v>9</v>
      </c>
      <c r="C1277" t="s">
        <v>10</v>
      </c>
      <c r="D1277" t="s">
        <v>5955</v>
      </c>
      <c r="E1277" t="s">
        <v>5956</v>
      </c>
      <c r="F1277" t="str">
        <f>LEFT(E1277,5)</f>
        <v>서울특별시</v>
      </c>
      <c r="G1277" t="str">
        <f t="shared" si="47"/>
        <v xml:space="preserve">송파구 </v>
      </c>
      <c r="H1277" t="str">
        <f t="shared" si="48"/>
        <v>송파동</v>
      </c>
      <c r="I1277" t="s">
        <v>5957</v>
      </c>
      <c r="J1277" t="s">
        <v>5958</v>
      </c>
      <c r="K1277" t="s">
        <v>1961</v>
      </c>
    </row>
    <row r="1278" spans="1:11" x14ac:dyDescent="0.4">
      <c r="A1278" t="s">
        <v>4538</v>
      </c>
      <c r="B1278" t="s">
        <v>9</v>
      </c>
      <c r="C1278" t="s">
        <v>10</v>
      </c>
      <c r="D1278" t="s">
        <v>4539</v>
      </c>
      <c r="E1278" t="s">
        <v>4540</v>
      </c>
      <c r="F1278" t="str">
        <f>LEFT(E1278,5)</f>
        <v>서울특별시</v>
      </c>
      <c r="G1278" t="str">
        <f t="shared" si="47"/>
        <v xml:space="preserve">송파구 </v>
      </c>
      <c r="H1278" t="str">
        <f t="shared" si="48"/>
        <v>송파동</v>
      </c>
      <c r="I1278" t="s">
        <v>4541</v>
      </c>
      <c r="J1278" t="s">
        <v>4542</v>
      </c>
      <c r="K1278" t="s">
        <v>4543</v>
      </c>
    </row>
    <row r="1279" spans="1:11" x14ac:dyDescent="0.4">
      <c r="A1279" t="s">
        <v>8824</v>
      </c>
      <c r="B1279" t="s">
        <v>9</v>
      </c>
      <c r="C1279" t="s">
        <v>10</v>
      </c>
      <c r="D1279" t="s">
        <v>2991</v>
      </c>
      <c r="E1279" t="s">
        <v>8825</v>
      </c>
      <c r="F1279" t="str">
        <f>LEFT(E1279,5)</f>
        <v>서울특별시</v>
      </c>
      <c r="G1279" t="str">
        <f t="shared" si="47"/>
        <v xml:space="preserve">송파구 </v>
      </c>
      <c r="H1279" t="str">
        <f t="shared" si="48"/>
        <v>송파동</v>
      </c>
      <c r="I1279" t="s">
        <v>8826</v>
      </c>
      <c r="J1279" t="s">
        <v>8827</v>
      </c>
      <c r="K1279" t="s">
        <v>2232</v>
      </c>
    </row>
    <row r="1280" spans="1:11" x14ac:dyDescent="0.4">
      <c r="A1280" t="s">
        <v>2990</v>
      </c>
      <c r="B1280" t="s">
        <v>9</v>
      </c>
      <c r="C1280" t="s">
        <v>10</v>
      </c>
      <c r="D1280" t="s">
        <v>2991</v>
      </c>
      <c r="E1280" t="s">
        <v>2992</v>
      </c>
      <c r="F1280" t="str">
        <f>LEFT(E1280,5)</f>
        <v>서울특별시</v>
      </c>
      <c r="G1280" t="str">
        <f t="shared" si="47"/>
        <v xml:space="preserve">송파구 </v>
      </c>
      <c r="H1280" t="str">
        <f t="shared" si="48"/>
        <v>송파동</v>
      </c>
      <c r="I1280" t="s">
        <v>2993</v>
      </c>
      <c r="J1280" t="s">
        <v>2994</v>
      </c>
      <c r="K1280" t="s">
        <v>2995</v>
      </c>
    </row>
    <row r="1281" spans="1:11" x14ac:dyDescent="0.4">
      <c r="A1281" t="s">
        <v>7493</v>
      </c>
      <c r="B1281" t="s">
        <v>9</v>
      </c>
      <c r="C1281" t="s">
        <v>10</v>
      </c>
      <c r="D1281" t="s">
        <v>2991</v>
      </c>
      <c r="E1281" t="s">
        <v>7494</v>
      </c>
      <c r="F1281" t="str">
        <f>LEFT(E1281,5)</f>
        <v>서울특별시</v>
      </c>
      <c r="G1281" t="str">
        <f t="shared" si="47"/>
        <v xml:space="preserve">송파구 </v>
      </c>
      <c r="H1281" t="str">
        <f t="shared" si="48"/>
        <v>송파동</v>
      </c>
      <c r="I1281" t="s">
        <v>7495</v>
      </c>
      <c r="J1281" t="s">
        <v>2994</v>
      </c>
      <c r="K1281" t="s">
        <v>7496</v>
      </c>
    </row>
    <row r="1282" spans="1:11" x14ac:dyDescent="0.4">
      <c r="A1282" t="s">
        <v>4704</v>
      </c>
      <c r="B1282" t="s">
        <v>9</v>
      </c>
      <c r="C1282" t="s">
        <v>10</v>
      </c>
      <c r="D1282" t="s">
        <v>2991</v>
      </c>
      <c r="E1282" t="s">
        <v>4705</v>
      </c>
      <c r="F1282" t="str">
        <f>LEFT(E1282,5)</f>
        <v>서울특별시</v>
      </c>
      <c r="G1282" t="str">
        <f t="shared" si="47"/>
        <v xml:space="preserve">송파구 </v>
      </c>
      <c r="H1282" t="str">
        <f t="shared" si="48"/>
        <v>송파동</v>
      </c>
      <c r="I1282" t="s">
        <v>4706</v>
      </c>
      <c r="J1282" t="s">
        <v>4707</v>
      </c>
      <c r="K1282" t="s">
        <v>4708</v>
      </c>
    </row>
    <row r="1283" spans="1:11" x14ac:dyDescent="0.4">
      <c r="A1283" t="s">
        <v>5854</v>
      </c>
      <c r="B1283" t="s">
        <v>9</v>
      </c>
      <c r="C1283" t="s">
        <v>10</v>
      </c>
      <c r="D1283" t="s">
        <v>3763</v>
      </c>
      <c r="E1283" t="s">
        <v>5855</v>
      </c>
      <c r="F1283" t="str">
        <f>LEFT(E1283,5)</f>
        <v>서울특별시</v>
      </c>
      <c r="G1283" t="str">
        <f t="shared" ref="G1283:G1346" si="49">MID(E1283,7,4)</f>
        <v xml:space="preserve">송파구 </v>
      </c>
      <c r="H1283" t="str">
        <f t="shared" ref="H1283:H1346" si="50">MID(SUBSTITUTE(E1283," ",""),9,3)</f>
        <v>송파동</v>
      </c>
      <c r="I1283" t="s">
        <v>5856</v>
      </c>
      <c r="J1283" t="s">
        <v>4707</v>
      </c>
      <c r="K1283" t="s">
        <v>5857</v>
      </c>
    </row>
    <row r="1284" spans="1:11" x14ac:dyDescent="0.4">
      <c r="A1284" t="s">
        <v>8671</v>
      </c>
      <c r="B1284" t="s">
        <v>9</v>
      </c>
      <c r="C1284" t="s">
        <v>10</v>
      </c>
      <c r="D1284" t="s">
        <v>3763</v>
      </c>
      <c r="E1284" t="s">
        <v>8672</v>
      </c>
      <c r="F1284" t="str">
        <f>LEFT(E1284,5)</f>
        <v>서울특별시</v>
      </c>
      <c r="G1284" t="str">
        <f t="shared" si="49"/>
        <v xml:space="preserve">송파구 </v>
      </c>
      <c r="H1284" t="str">
        <f t="shared" si="50"/>
        <v>송파동</v>
      </c>
      <c r="I1284" t="s">
        <v>8673</v>
      </c>
      <c r="J1284" t="s">
        <v>4707</v>
      </c>
      <c r="K1284" t="s">
        <v>8674</v>
      </c>
    </row>
    <row r="1285" spans="1:11" x14ac:dyDescent="0.4">
      <c r="A1285" t="s">
        <v>6091</v>
      </c>
      <c r="B1285" t="s">
        <v>9</v>
      </c>
      <c r="C1285" t="s">
        <v>10</v>
      </c>
      <c r="D1285" t="s">
        <v>3763</v>
      </c>
      <c r="E1285" t="s">
        <v>6092</v>
      </c>
      <c r="F1285" t="str">
        <f>LEFT(E1285,5)</f>
        <v>서울특별시</v>
      </c>
      <c r="G1285" t="str">
        <f t="shared" si="49"/>
        <v xml:space="preserve">송파구 </v>
      </c>
      <c r="H1285" t="str">
        <f t="shared" si="50"/>
        <v>송파동</v>
      </c>
      <c r="I1285" t="s">
        <v>6093</v>
      </c>
      <c r="J1285" t="s">
        <v>6094</v>
      </c>
      <c r="K1285" t="s">
        <v>6095</v>
      </c>
    </row>
    <row r="1286" spans="1:11" x14ac:dyDescent="0.4">
      <c r="A1286" t="s">
        <v>3978</v>
      </c>
      <c r="B1286" t="s">
        <v>9</v>
      </c>
      <c r="C1286" t="s">
        <v>10</v>
      </c>
      <c r="D1286" t="s">
        <v>3763</v>
      </c>
      <c r="E1286" t="s">
        <v>3979</v>
      </c>
      <c r="F1286" t="str">
        <f>LEFT(E1286,5)</f>
        <v>서울특별시</v>
      </c>
      <c r="G1286" t="str">
        <f t="shared" si="49"/>
        <v xml:space="preserve">송파구 </v>
      </c>
      <c r="H1286" t="str">
        <f t="shared" si="50"/>
        <v>송파동</v>
      </c>
      <c r="I1286" t="s">
        <v>3980</v>
      </c>
      <c r="J1286" t="s">
        <v>3766</v>
      </c>
      <c r="K1286" t="s">
        <v>3981</v>
      </c>
    </row>
    <row r="1287" spans="1:11" x14ac:dyDescent="0.4">
      <c r="A1287" t="s">
        <v>3762</v>
      </c>
      <c r="B1287" t="s">
        <v>9</v>
      </c>
      <c r="C1287" t="s">
        <v>10</v>
      </c>
      <c r="D1287" t="s">
        <v>3763</v>
      </c>
      <c r="E1287" t="s">
        <v>3764</v>
      </c>
      <c r="F1287" t="str">
        <f>LEFT(E1287,5)</f>
        <v>서울특별시</v>
      </c>
      <c r="G1287" t="str">
        <f t="shared" si="49"/>
        <v xml:space="preserve">송파구 </v>
      </c>
      <c r="H1287" t="str">
        <f t="shared" si="50"/>
        <v>송파동</v>
      </c>
      <c r="I1287" t="s">
        <v>3765</v>
      </c>
      <c r="J1287" t="s">
        <v>3766</v>
      </c>
      <c r="K1287" t="s">
        <v>3767</v>
      </c>
    </row>
    <row r="1288" spans="1:11" x14ac:dyDescent="0.4">
      <c r="A1288" t="s">
        <v>3075</v>
      </c>
      <c r="B1288" t="s">
        <v>9</v>
      </c>
      <c r="C1288" t="s">
        <v>10</v>
      </c>
      <c r="D1288" t="s">
        <v>2991</v>
      </c>
      <c r="E1288" t="s">
        <v>3076</v>
      </c>
      <c r="F1288" t="str">
        <f>LEFT(E1288,5)</f>
        <v>서울특별시</v>
      </c>
      <c r="G1288" t="str">
        <f t="shared" si="49"/>
        <v xml:space="preserve">송파구 </v>
      </c>
      <c r="H1288" t="str">
        <f t="shared" si="50"/>
        <v>송파동</v>
      </c>
      <c r="I1288" t="s">
        <v>3077</v>
      </c>
      <c r="J1288" t="s">
        <v>3078</v>
      </c>
      <c r="K1288" t="s">
        <v>3079</v>
      </c>
    </row>
    <row r="1289" spans="1:11" x14ac:dyDescent="0.4">
      <c r="A1289" t="s">
        <v>8174</v>
      </c>
      <c r="B1289" t="s">
        <v>9</v>
      </c>
      <c r="C1289" t="s">
        <v>10</v>
      </c>
      <c r="D1289" t="s">
        <v>8175</v>
      </c>
      <c r="E1289" t="s">
        <v>8176</v>
      </c>
      <c r="F1289" t="str">
        <f>LEFT(E1289,5)</f>
        <v>서울특별시</v>
      </c>
      <c r="G1289" t="str">
        <f t="shared" si="49"/>
        <v xml:space="preserve">송파구 </v>
      </c>
      <c r="H1289" t="str">
        <f t="shared" si="50"/>
        <v>송파동</v>
      </c>
      <c r="I1289" t="s">
        <v>8177</v>
      </c>
      <c r="J1289" t="s">
        <v>8178</v>
      </c>
      <c r="K1289" t="s">
        <v>8179</v>
      </c>
    </row>
    <row r="1290" spans="1:11" x14ac:dyDescent="0.4">
      <c r="A1290" t="s">
        <v>8143</v>
      </c>
      <c r="B1290" t="s">
        <v>9</v>
      </c>
      <c r="C1290" t="s">
        <v>10</v>
      </c>
      <c r="D1290" t="s">
        <v>5327</v>
      </c>
      <c r="E1290" t="s">
        <v>8144</v>
      </c>
      <c r="F1290" t="str">
        <f>LEFT(E1290,5)</f>
        <v>서울특별시</v>
      </c>
      <c r="G1290" t="str">
        <f t="shared" si="49"/>
        <v xml:space="preserve">송파구 </v>
      </c>
      <c r="H1290" t="str">
        <f t="shared" si="50"/>
        <v>오금동</v>
      </c>
      <c r="I1290" t="s">
        <v>8145</v>
      </c>
      <c r="J1290" t="s">
        <v>8146</v>
      </c>
      <c r="K1290" t="s">
        <v>8147</v>
      </c>
    </row>
    <row r="1291" spans="1:11" x14ac:dyDescent="0.4">
      <c r="A1291" t="s">
        <v>8816</v>
      </c>
      <c r="B1291" t="s">
        <v>9</v>
      </c>
      <c r="C1291" t="s">
        <v>10</v>
      </c>
      <c r="D1291" t="s">
        <v>5327</v>
      </c>
      <c r="E1291" t="s">
        <v>8817</v>
      </c>
      <c r="F1291" t="str">
        <f>LEFT(E1291,5)</f>
        <v>서울특별시</v>
      </c>
      <c r="G1291" t="str">
        <f t="shared" si="49"/>
        <v xml:space="preserve">송파구 </v>
      </c>
      <c r="H1291" t="str">
        <f t="shared" si="50"/>
        <v>오금동</v>
      </c>
      <c r="I1291" t="s">
        <v>8818</v>
      </c>
      <c r="J1291" t="s">
        <v>8146</v>
      </c>
      <c r="K1291" t="s">
        <v>8819</v>
      </c>
    </row>
    <row r="1292" spans="1:11" x14ac:dyDescent="0.4">
      <c r="A1292" t="s">
        <v>5326</v>
      </c>
      <c r="B1292" t="s">
        <v>9</v>
      </c>
      <c r="C1292" t="s">
        <v>10</v>
      </c>
      <c r="D1292" t="s">
        <v>5327</v>
      </c>
      <c r="E1292" t="s">
        <v>5328</v>
      </c>
      <c r="F1292" t="str">
        <f>LEFT(E1292,5)</f>
        <v>서울특별시</v>
      </c>
      <c r="G1292" t="str">
        <f t="shared" si="49"/>
        <v xml:space="preserve">송파구 </v>
      </c>
      <c r="H1292" t="str">
        <f t="shared" si="50"/>
        <v>오금동</v>
      </c>
      <c r="I1292" t="s">
        <v>5329</v>
      </c>
      <c r="J1292" t="s">
        <v>5330</v>
      </c>
      <c r="K1292" t="s">
        <v>5331</v>
      </c>
    </row>
    <row r="1293" spans="1:11" x14ac:dyDescent="0.4">
      <c r="A1293" t="s">
        <v>4335</v>
      </c>
      <c r="B1293" t="s">
        <v>9</v>
      </c>
      <c r="C1293" t="s">
        <v>10</v>
      </c>
      <c r="D1293" t="s">
        <v>4336</v>
      </c>
      <c r="E1293" t="s">
        <v>4337</v>
      </c>
      <c r="F1293" t="str">
        <f>LEFT(E1293,5)</f>
        <v>서울특별시</v>
      </c>
      <c r="G1293" t="str">
        <f t="shared" si="49"/>
        <v xml:space="preserve">송파구 </v>
      </c>
      <c r="H1293" t="str">
        <f t="shared" si="50"/>
        <v>오금동</v>
      </c>
      <c r="I1293" t="s">
        <v>4338</v>
      </c>
      <c r="J1293" t="s">
        <v>4339</v>
      </c>
      <c r="K1293" t="s">
        <v>4340</v>
      </c>
    </row>
    <row r="1294" spans="1:11" x14ac:dyDescent="0.4">
      <c r="A1294" t="s">
        <v>6206</v>
      </c>
      <c r="B1294" t="s">
        <v>9</v>
      </c>
      <c r="C1294" t="s">
        <v>10</v>
      </c>
      <c r="D1294" t="s">
        <v>6207</v>
      </c>
      <c r="E1294" t="s">
        <v>6208</v>
      </c>
      <c r="F1294" t="str">
        <f>LEFT(E1294,5)</f>
        <v>서울특별시</v>
      </c>
      <c r="G1294" t="str">
        <f t="shared" si="49"/>
        <v xml:space="preserve">송파구 </v>
      </c>
      <c r="H1294" t="str">
        <f t="shared" si="50"/>
        <v>오금동</v>
      </c>
      <c r="I1294" t="s">
        <v>6209</v>
      </c>
      <c r="J1294" t="s">
        <v>6210</v>
      </c>
      <c r="K1294" t="s">
        <v>6211</v>
      </c>
    </row>
    <row r="1295" spans="1:11" x14ac:dyDescent="0.4">
      <c r="A1295" t="s">
        <v>380</v>
      </c>
      <c r="B1295" t="s">
        <v>9</v>
      </c>
      <c r="C1295" t="s">
        <v>10</v>
      </c>
      <c r="D1295" t="s">
        <v>236</v>
      </c>
      <c r="E1295" t="s">
        <v>381</v>
      </c>
      <c r="F1295" t="str">
        <f>LEFT(E1295,5)</f>
        <v>서울특별시</v>
      </c>
      <c r="G1295" t="str">
        <f t="shared" si="49"/>
        <v xml:space="preserve">송파구 </v>
      </c>
      <c r="H1295" t="str">
        <f t="shared" si="50"/>
        <v>잠실동</v>
      </c>
      <c r="I1295" t="s">
        <v>382</v>
      </c>
      <c r="J1295" t="s">
        <v>383</v>
      </c>
      <c r="K1295" t="s">
        <v>384</v>
      </c>
    </row>
    <row r="1296" spans="1:11" x14ac:dyDescent="0.4">
      <c r="A1296" t="s">
        <v>2916</v>
      </c>
      <c r="B1296" t="s">
        <v>9</v>
      </c>
      <c r="C1296" t="s">
        <v>10</v>
      </c>
      <c r="D1296" t="s">
        <v>236</v>
      </c>
      <c r="E1296" t="s">
        <v>2917</v>
      </c>
      <c r="F1296" t="str">
        <f>LEFT(E1296,5)</f>
        <v>서울특별시</v>
      </c>
      <c r="G1296" t="str">
        <f t="shared" si="49"/>
        <v xml:space="preserve">송파구 </v>
      </c>
      <c r="H1296" t="str">
        <f t="shared" si="50"/>
        <v>잠실동</v>
      </c>
      <c r="I1296" t="s">
        <v>2918</v>
      </c>
      <c r="J1296" t="s">
        <v>239</v>
      </c>
      <c r="K1296" t="s">
        <v>2919</v>
      </c>
    </row>
    <row r="1297" spans="1:11" x14ac:dyDescent="0.4">
      <c r="A1297" t="s">
        <v>2233</v>
      </c>
      <c r="B1297" t="s">
        <v>9</v>
      </c>
      <c r="C1297" t="s">
        <v>10</v>
      </c>
      <c r="D1297" t="s">
        <v>236</v>
      </c>
      <c r="E1297" t="s">
        <v>2234</v>
      </c>
      <c r="F1297" t="str">
        <f>LEFT(E1297,5)</f>
        <v>서울특별시</v>
      </c>
      <c r="G1297" t="str">
        <f t="shared" si="49"/>
        <v xml:space="preserve">송파구 </v>
      </c>
      <c r="H1297" t="str">
        <f t="shared" si="50"/>
        <v>잠실동</v>
      </c>
      <c r="I1297" t="s">
        <v>2235</v>
      </c>
      <c r="J1297" t="s">
        <v>239</v>
      </c>
      <c r="K1297" t="s">
        <v>2236</v>
      </c>
    </row>
    <row r="1298" spans="1:11" x14ac:dyDescent="0.4">
      <c r="A1298" t="s">
        <v>235</v>
      </c>
      <c r="B1298" t="s">
        <v>9</v>
      </c>
      <c r="C1298" t="s">
        <v>10</v>
      </c>
      <c r="D1298" t="s">
        <v>236</v>
      </c>
      <c r="E1298" t="s">
        <v>237</v>
      </c>
      <c r="F1298" t="str">
        <f>LEFT(E1298,5)</f>
        <v>서울특별시</v>
      </c>
      <c r="G1298" t="str">
        <f t="shared" si="49"/>
        <v xml:space="preserve">송파구 </v>
      </c>
      <c r="H1298" t="str">
        <f t="shared" si="50"/>
        <v>잠실동</v>
      </c>
      <c r="I1298" t="s">
        <v>238</v>
      </c>
      <c r="J1298" t="s">
        <v>239</v>
      </c>
      <c r="K1298" t="s">
        <v>240</v>
      </c>
    </row>
    <row r="1299" spans="1:11" x14ac:dyDescent="0.4">
      <c r="A1299" t="s">
        <v>1706</v>
      </c>
      <c r="B1299" t="s">
        <v>9</v>
      </c>
      <c r="C1299" t="s">
        <v>10</v>
      </c>
      <c r="D1299" t="s">
        <v>236</v>
      </c>
      <c r="E1299" t="s">
        <v>1707</v>
      </c>
      <c r="F1299" t="str">
        <f>LEFT(E1299,5)</f>
        <v>서울특별시</v>
      </c>
      <c r="G1299" t="str">
        <f t="shared" si="49"/>
        <v xml:space="preserve">송파구 </v>
      </c>
      <c r="H1299" t="str">
        <f t="shared" si="50"/>
        <v>잠실동</v>
      </c>
      <c r="I1299" t="s">
        <v>1708</v>
      </c>
      <c r="J1299" t="s">
        <v>239</v>
      </c>
      <c r="K1299" t="s">
        <v>1709</v>
      </c>
    </row>
    <row r="1300" spans="1:11" x14ac:dyDescent="0.4">
      <c r="A1300" t="s">
        <v>5535</v>
      </c>
      <c r="B1300" t="s">
        <v>9</v>
      </c>
      <c r="C1300" t="s">
        <v>10</v>
      </c>
      <c r="D1300" t="s">
        <v>5536</v>
      </c>
      <c r="E1300" t="s">
        <v>5537</v>
      </c>
      <c r="F1300" t="str">
        <f>LEFT(E1300,5)</f>
        <v>서울특별시</v>
      </c>
      <c r="G1300" t="str">
        <f t="shared" si="49"/>
        <v xml:space="preserve">송파구 </v>
      </c>
      <c r="H1300" t="str">
        <f t="shared" si="50"/>
        <v>잠실동</v>
      </c>
      <c r="I1300" t="s">
        <v>5538</v>
      </c>
      <c r="J1300" t="s">
        <v>5539</v>
      </c>
      <c r="K1300" t="s">
        <v>5540</v>
      </c>
    </row>
    <row r="1301" spans="1:11" x14ac:dyDescent="0.4">
      <c r="A1301" t="s">
        <v>3403</v>
      </c>
      <c r="B1301" t="s">
        <v>9</v>
      </c>
      <c r="C1301" t="s">
        <v>10</v>
      </c>
      <c r="D1301" t="s">
        <v>3404</v>
      </c>
      <c r="E1301" t="s">
        <v>3405</v>
      </c>
      <c r="F1301" t="str">
        <f>LEFT(E1301,5)</f>
        <v>서울특별시</v>
      </c>
      <c r="G1301" t="str">
        <f t="shared" si="49"/>
        <v xml:space="preserve">송파구 </v>
      </c>
      <c r="H1301" t="str">
        <f t="shared" si="50"/>
        <v>잠실동</v>
      </c>
      <c r="I1301" t="s">
        <v>3406</v>
      </c>
      <c r="J1301" t="s">
        <v>3407</v>
      </c>
      <c r="K1301" t="s">
        <v>3408</v>
      </c>
    </row>
    <row r="1302" spans="1:11" x14ac:dyDescent="0.4">
      <c r="A1302" t="s">
        <v>8666</v>
      </c>
      <c r="B1302" t="s">
        <v>9</v>
      </c>
      <c r="C1302" t="s">
        <v>10</v>
      </c>
      <c r="D1302" t="s">
        <v>8667</v>
      </c>
      <c r="E1302" t="s">
        <v>8668</v>
      </c>
      <c r="F1302" t="str">
        <f>LEFT(E1302,5)</f>
        <v>서울특별시</v>
      </c>
      <c r="G1302" t="str">
        <f t="shared" si="49"/>
        <v xml:space="preserve">송파구 </v>
      </c>
      <c r="H1302" t="str">
        <f t="shared" si="50"/>
        <v>풍납동</v>
      </c>
      <c r="I1302" t="s">
        <v>8669</v>
      </c>
      <c r="J1302" t="s">
        <v>8670</v>
      </c>
      <c r="K1302" t="s">
        <v>2757</v>
      </c>
    </row>
    <row r="1303" spans="1:11" x14ac:dyDescent="0.4">
      <c r="A1303" t="s">
        <v>8137</v>
      </c>
      <c r="B1303" t="s">
        <v>9</v>
      </c>
      <c r="C1303" t="s">
        <v>10</v>
      </c>
      <c r="D1303" t="s">
        <v>8138</v>
      </c>
      <c r="E1303" t="s">
        <v>8139</v>
      </c>
      <c r="F1303" t="str">
        <f>LEFT(E1303,5)</f>
        <v>서울특별시</v>
      </c>
      <c r="G1303" t="str">
        <f t="shared" si="49"/>
        <v xml:space="preserve">송파구 </v>
      </c>
      <c r="H1303" t="str">
        <f t="shared" si="50"/>
        <v>풍납동</v>
      </c>
      <c r="I1303" t="s">
        <v>8140</v>
      </c>
      <c r="J1303" t="s">
        <v>8141</v>
      </c>
      <c r="K1303" t="s">
        <v>8142</v>
      </c>
    </row>
    <row r="1304" spans="1:11" x14ac:dyDescent="0.4">
      <c r="A1304" t="s">
        <v>4062</v>
      </c>
      <c r="B1304" t="s">
        <v>9</v>
      </c>
      <c r="C1304" t="s">
        <v>10</v>
      </c>
      <c r="D1304" t="s">
        <v>4063</v>
      </c>
      <c r="E1304" t="s">
        <v>4064</v>
      </c>
      <c r="F1304" t="str">
        <f>LEFT(E1304,5)</f>
        <v>서울특별시</v>
      </c>
      <c r="G1304" t="str">
        <f t="shared" si="49"/>
        <v xml:space="preserve">송파구 </v>
      </c>
      <c r="H1304" t="str">
        <f t="shared" si="50"/>
        <v>풍납동</v>
      </c>
      <c r="I1304" t="s">
        <v>4065</v>
      </c>
      <c r="J1304" t="s">
        <v>4066</v>
      </c>
      <c r="K1304" t="s">
        <v>4067</v>
      </c>
    </row>
    <row r="1305" spans="1:11" x14ac:dyDescent="0.4">
      <c r="A1305" t="s">
        <v>5464</v>
      </c>
      <c r="B1305" t="s">
        <v>9</v>
      </c>
      <c r="C1305" t="s">
        <v>10</v>
      </c>
      <c r="D1305" t="s">
        <v>5465</v>
      </c>
      <c r="E1305" t="s">
        <v>5466</v>
      </c>
      <c r="F1305" t="str">
        <f>LEFT(E1305,5)</f>
        <v>서울특별시</v>
      </c>
      <c r="G1305" t="str">
        <f t="shared" si="49"/>
        <v xml:space="preserve">송파구 </v>
      </c>
      <c r="H1305" t="str">
        <f t="shared" si="50"/>
        <v>풍납동</v>
      </c>
      <c r="I1305" t="s">
        <v>5467</v>
      </c>
      <c r="J1305" t="s">
        <v>5468</v>
      </c>
      <c r="K1305" t="s">
        <v>5469</v>
      </c>
    </row>
    <row r="1306" spans="1:11" x14ac:dyDescent="0.4">
      <c r="A1306" t="s">
        <v>7097</v>
      </c>
      <c r="B1306" t="s">
        <v>9</v>
      </c>
      <c r="C1306" t="s">
        <v>10</v>
      </c>
      <c r="D1306" t="s">
        <v>7098</v>
      </c>
      <c r="E1306" t="s">
        <v>7099</v>
      </c>
      <c r="F1306" t="str">
        <f>LEFT(E1306,5)</f>
        <v>서울특별시</v>
      </c>
      <c r="G1306" t="str">
        <f t="shared" si="49"/>
        <v xml:space="preserve">양천구 </v>
      </c>
      <c r="H1306" t="str">
        <f>MID(SUBSTITUTE(E1306," ",""),9,2)</f>
        <v>목동</v>
      </c>
      <c r="I1306" t="s">
        <v>7100</v>
      </c>
      <c r="J1306" t="s">
        <v>7101</v>
      </c>
      <c r="K1306" t="s">
        <v>7102</v>
      </c>
    </row>
    <row r="1307" spans="1:11" x14ac:dyDescent="0.4">
      <c r="A1307" t="s">
        <v>7455</v>
      </c>
      <c r="B1307" t="s">
        <v>9</v>
      </c>
      <c r="C1307" t="s">
        <v>10</v>
      </c>
      <c r="D1307" t="s">
        <v>4240</v>
      </c>
      <c r="E1307" t="s">
        <v>7456</v>
      </c>
      <c r="F1307" t="str">
        <f>LEFT(E1307,5)</f>
        <v>서울특별시</v>
      </c>
      <c r="G1307" t="str">
        <f t="shared" si="49"/>
        <v xml:space="preserve">양천구 </v>
      </c>
      <c r="H1307" t="str">
        <f t="shared" ref="H1307:H1315" si="51">MID(SUBSTITUTE(E1307," ",""),9,2)</f>
        <v>목동</v>
      </c>
      <c r="I1307" t="s">
        <v>7457</v>
      </c>
      <c r="J1307" t="s">
        <v>4243</v>
      </c>
      <c r="K1307" t="s">
        <v>7458</v>
      </c>
    </row>
    <row r="1308" spans="1:11" x14ac:dyDescent="0.4">
      <c r="A1308" t="s">
        <v>4239</v>
      </c>
      <c r="B1308" t="s">
        <v>9</v>
      </c>
      <c r="C1308" t="s">
        <v>10</v>
      </c>
      <c r="D1308" t="s">
        <v>4240</v>
      </c>
      <c r="E1308" t="s">
        <v>4241</v>
      </c>
      <c r="F1308" t="str">
        <f>LEFT(E1308,5)</f>
        <v>서울특별시</v>
      </c>
      <c r="G1308" t="str">
        <f t="shared" si="49"/>
        <v xml:space="preserve">양천구 </v>
      </c>
      <c r="H1308" t="str">
        <f t="shared" si="51"/>
        <v>목동</v>
      </c>
      <c r="I1308" t="s">
        <v>4242</v>
      </c>
      <c r="J1308" t="s">
        <v>4243</v>
      </c>
      <c r="K1308" t="s">
        <v>4244</v>
      </c>
    </row>
    <row r="1309" spans="1:11" x14ac:dyDescent="0.4">
      <c r="A1309" t="s">
        <v>7890</v>
      </c>
      <c r="B1309" t="s">
        <v>9</v>
      </c>
      <c r="C1309" t="s">
        <v>10</v>
      </c>
      <c r="D1309" t="s">
        <v>7891</v>
      </c>
      <c r="E1309" t="s">
        <v>7892</v>
      </c>
      <c r="F1309" t="str">
        <f>LEFT(E1309,5)</f>
        <v>서울특별시</v>
      </c>
      <c r="G1309" t="str">
        <f t="shared" si="49"/>
        <v xml:space="preserve">양천구 </v>
      </c>
      <c r="H1309" t="str">
        <f t="shared" si="51"/>
        <v>목동</v>
      </c>
      <c r="I1309" t="s">
        <v>7893</v>
      </c>
      <c r="J1309" t="s">
        <v>7894</v>
      </c>
      <c r="K1309" t="s">
        <v>7895</v>
      </c>
    </row>
    <row r="1310" spans="1:11" x14ac:dyDescent="0.4">
      <c r="A1310" t="s">
        <v>5604</v>
      </c>
      <c r="B1310" t="s">
        <v>9</v>
      </c>
      <c r="C1310" t="s">
        <v>10</v>
      </c>
      <c r="D1310" t="s">
        <v>5034</v>
      </c>
      <c r="E1310" t="s">
        <v>5605</v>
      </c>
      <c r="F1310" t="str">
        <f>LEFT(E1310,5)</f>
        <v>서울특별시</v>
      </c>
      <c r="G1310" t="str">
        <f t="shared" si="49"/>
        <v xml:space="preserve">양천구 </v>
      </c>
      <c r="H1310" t="str">
        <f t="shared" si="51"/>
        <v>목동</v>
      </c>
      <c r="I1310" t="s">
        <v>5606</v>
      </c>
      <c r="J1310" t="s">
        <v>5037</v>
      </c>
      <c r="K1310" t="s">
        <v>1973</v>
      </c>
    </row>
    <row r="1311" spans="1:11" x14ac:dyDescent="0.4">
      <c r="A1311" t="s">
        <v>5033</v>
      </c>
      <c r="B1311" t="s">
        <v>9</v>
      </c>
      <c r="C1311" t="s">
        <v>10</v>
      </c>
      <c r="D1311" t="s">
        <v>5034</v>
      </c>
      <c r="E1311" t="s">
        <v>5035</v>
      </c>
      <c r="F1311" t="str">
        <f>LEFT(E1311,5)</f>
        <v>서울특별시</v>
      </c>
      <c r="G1311" t="str">
        <f t="shared" si="49"/>
        <v xml:space="preserve">양천구 </v>
      </c>
      <c r="H1311" t="str">
        <f t="shared" si="51"/>
        <v>목동</v>
      </c>
      <c r="I1311" t="s">
        <v>5036</v>
      </c>
      <c r="J1311" t="s">
        <v>5037</v>
      </c>
      <c r="K1311" t="s">
        <v>5038</v>
      </c>
    </row>
    <row r="1312" spans="1:11" x14ac:dyDescent="0.4">
      <c r="A1312" t="s">
        <v>7847</v>
      </c>
      <c r="B1312" t="s">
        <v>9</v>
      </c>
      <c r="C1312" t="s">
        <v>10</v>
      </c>
      <c r="D1312" t="s">
        <v>2906</v>
      </c>
      <c r="E1312" t="s">
        <v>7848</v>
      </c>
      <c r="F1312" t="str">
        <f>LEFT(E1312,5)</f>
        <v>서울특별시</v>
      </c>
      <c r="G1312" t="str">
        <f t="shared" si="49"/>
        <v xml:space="preserve">양천구 </v>
      </c>
      <c r="H1312" t="str">
        <f t="shared" si="51"/>
        <v>목동</v>
      </c>
      <c r="I1312" t="s">
        <v>7849</v>
      </c>
      <c r="J1312" t="s">
        <v>7850</v>
      </c>
      <c r="K1312" t="s">
        <v>7851</v>
      </c>
    </row>
    <row r="1313" spans="1:11" x14ac:dyDescent="0.4">
      <c r="A1313" t="s">
        <v>8201</v>
      </c>
      <c r="B1313" t="s">
        <v>9</v>
      </c>
      <c r="C1313" t="s">
        <v>10</v>
      </c>
      <c r="D1313" t="s">
        <v>2906</v>
      </c>
      <c r="E1313" t="s">
        <v>8202</v>
      </c>
      <c r="F1313" t="str">
        <f>LEFT(E1313,5)</f>
        <v>서울특별시</v>
      </c>
      <c r="G1313" t="str">
        <f t="shared" si="49"/>
        <v xml:space="preserve">양천구 </v>
      </c>
      <c r="H1313" t="str">
        <f t="shared" si="51"/>
        <v>목동</v>
      </c>
      <c r="I1313" t="s">
        <v>8203</v>
      </c>
      <c r="J1313" t="s">
        <v>7850</v>
      </c>
      <c r="K1313" t="s">
        <v>8204</v>
      </c>
    </row>
    <row r="1314" spans="1:11" x14ac:dyDescent="0.4">
      <c r="A1314" t="s">
        <v>2905</v>
      </c>
      <c r="B1314" t="s">
        <v>9</v>
      </c>
      <c r="C1314" t="s">
        <v>10</v>
      </c>
      <c r="D1314" t="s">
        <v>2906</v>
      </c>
      <c r="E1314" t="s">
        <v>2907</v>
      </c>
      <c r="F1314" t="str">
        <f>LEFT(E1314,5)</f>
        <v>서울특별시</v>
      </c>
      <c r="G1314" t="str">
        <f t="shared" si="49"/>
        <v xml:space="preserve">양천구 </v>
      </c>
      <c r="H1314" t="str">
        <f t="shared" si="51"/>
        <v>목동</v>
      </c>
      <c r="I1314" t="s">
        <v>2908</v>
      </c>
      <c r="J1314" t="s">
        <v>2909</v>
      </c>
      <c r="K1314" t="s">
        <v>2910</v>
      </c>
    </row>
    <row r="1315" spans="1:11" x14ac:dyDescent="0.4">
      <c r="A1315" t="s">
        <v>3288</v>
      </c>
      <c r="B1315" t="s">
        <v>9</v>
      </c>
      <c r="C1315" t="s">
        <v>10</v>
      </c>
      <c r="D1315" t="s">
        <v>2906</v>
      </c>
      <c r="E1315" t="s">
        <v>3289</v>
      </c>
      <c r="F1315" t="str">
        <f>LEFT(E1315,5)</f>
        <v>서울특별시</v>
      </c>
      <c r="G1315" t="str">
        <f t="shared" si="49"/>
        <v xml:space="preserve">양천구 </v>
      </c>
      <c r="H1315" t="str">
        <f t="shared" si="51"/>
        <v>목동</v>
      </c>
      <c r="I1315" t="s">
        <v>3290</v>
      </c>
      <c r="J1315" t="s">
        <v>2909</v>
      </c>
      <c r="K1315" t="s">
        <v>3291</v>
      </c>
    </row>
    <row r="1316" spans="1:11" x14ac:dyDescent="0.4">
      <c r="A1316" t="s">
        <v>8163</v>
      </c>
      <c r="B1316" t="s">
        <v>9</v>
      </c>
      <c r="C1316" t="s">
        <v>10</v>
      </c>
      <c r="D1316" t="s">
        <v>8164</v>
      </c>
      <c r="E1316" t="s">
        <v>8165</v>
      </c>
      <c r="F1316" t="str">
        <f>LEFT(E1316,5)</f>
        <v>서울특별시</v>
      </c>
      <c r="G1316" t="str">
        <f t="shared" si="49"/>
        <v xml:space="preserve">양천구 </v>
      </c>
      <c r="H1316" t="str">
        <f t="shared" si="50"/>
        <v>신월동</v>
      </c>
      <c r="I1316" t="s">
        <v>8166</v>
      </c>
      <c r="J1316" t="s">
        <v>8167</v>
      </c>
      <c r="K1316" t="s">
        <v>8168</v>
      </c>
    </row>
    <row r="1317" spans="1:11" x14ac:dyDescent="0.4">
      <c r="A1317" t="s">
        <v>2843</v>
      </c>
      <c r="B1317" t="s">
        <v>9</v>
      </c>
      <c r="C1317" t="s">
        <v>10</v>
      </c>
      <c r="D1317" t="s">
        <v>2844</v>
      </c>
      <c r="E1317" t="s">
        <v>2845</v>
      </c>
      <c r="F1317" t="str">
        <f>LEFT(E1317,5)</f>
        <v>서울특별시</v>
      </c>
      <c r="G1317" t="str">
        <f t="shared" si="49"/>
        <v xml:space="preserve">양천구 </v>
      </c>
      <c r="H1317" t="str">
        <f t="shared" si="50"/>
        <v>신월동</v>
      </c>
      <c r="I1317" t="s">
        <v>2846</v>
      </c>
      <c r="J1317" t="s">
        <v>2847</v>
      </c>
      <c r="K1317" t="s">
        <v>2848</v>
      </c>
    </row>
    <row r="1318" spans="1:11" x14ac:dyDescent="0.4">
      <c r="A1318" t="s">
        <v>8093</v>
      </c>
      <c r="B1318" t="s">
        <v>9</v>
      </c>
      <c r="C1318" t="s">
        <v>10</v>
      </c>
      <c r="D1318" t="s">
        <v>8094</v>
      </c>
      <c r="E1318" t="s">
        <v>8095</v>
      </c>
      <c r="F1318" t="str">
        <f>LEFT(E1318,5)</f>
        <v>서울특별시</v>
      </c>
      <c r="G1318" t="str">
        <f t="shared" si="49"/>
        <v xml:space="preserve">양천구 </v>
      </c>
      <c r="H1318" t="str">
        <f t="shared" si="50"/>
        <v>신월동</v>
      </c>
      <c r="I1318" t="s">
        <v>8096</v>
      </c>
      <c r="J1318" t="s">
        <v>8097</v>
      </c>
      <c r="K1318" t="s">
        <v>8098</v>
      </c>
    </row>
    <row r="1319" spans="1:11" x14ac:dyDescent="0.4">
      <c r="A1319" t="s">
        <v>6372</v>
      </c>
      <c r="B1319" t="s">
        <v>9</v>
      </c>
      <c r="C1319" t="s">
        <v>10</v>
      </c>
      <c r="D1319" t="s">
        <v>6373</v>
      </c>
      <c r="E1319" t="s">
        <v>6374</v>
      </c>
      <c r="F1319" t="str">
        <f>LEFT(E1319,5)</f>
        <v>서울특별시</v>
      </c>
      <c r="G1319" t="str">
        <f t="shared" si="49"/>
        <v xml:space="preserve">양천구 </v>
      </c>
      <c r="H1319" t="str">
        <f t="shared" si="50"/>
        <v>신월동</v>
      </c>
      <c r="I1319" t="s">
        <v>6375</v>
      </c>
      <c r="J1319" t="s">
        <v>6376</v>
      </c>
      <c r="K1319" t="s">
        <v>6377</v>
      </c>
    </row>
    <row r="1320" spans="1:11" x14ac:dyDescent="0.4">
      <c r="A1320" t="s">
        <v>8080</v>
      </c>
      <c r="B1320" t="s">
        <v>9</v>
      </c>
      <c r="C1320" t="s">
        <v>10</v>
      </c>
      <c r="D1320" t="s">
        <v>8081</v>
      </c>
      <c r="E1320" t="s">
        <v>8082</v>
      </c>
      <c r="F1320" t="str">
        <f>LEFT(E1320,5)</f>
        <v>서울특별시</v>
      </c>
      <c r="G1320" t="str">
        <f t="shared" si="49"/>
        <v xml:space="preserve">양천구 </v>
      </c>
      <c r="H1320" t="str">
        <f t="shared" si="50"/>
        <v>신월동</v>
      </c>
      <c r="I1320" t="s">
        <v>8083</v>
      </c>
      <c r="J1320" t="s">
        <v>8084</v>
      </c>
      <c r="K1320" t="s">
        <v>8085</v>
      </c>
    </row>
    <row r="1321" spans="1:11" x14ac:dyDescent="0.4">
      <c r="A1321" t="s">
        <v>7316</v>
      </c>
      <c r="B1321" t="s">
        <v>9</v>
      </c>
      <c r="C1321" t="s">
        <v>10</v>
      </c>
      <c r="D1321" t="s">
        <v>7317</v>
      </c>
      <c r="E1321" t="s">
        <v>7318</v>
      </c>
      <c r="F1321" t="str">
        <f>LEFT(E1321,5)</f>
        <v>서울특별시</v>
      </c>
      <c r="G1321" t="str">
        <f t="shared" si="49"/>
        <v xml:space="preserve">양천구 </v>
      </c>
      <c r="H1321" t="str">
        <f t="shared" si="50"/>
        <v>신월동</v>
      </c>
      <c r="I1321" t="s">
        <v>7319</v>
      </c>
      <c r="J1321" t="s">
        <v>7320</v>
      </c>
      <c r="K1321" t="s">
        <v>3542</v>
      </c>
    </row>
    <row r="1322" spans="1:11" x14ac:dyDescent="0.4">
      <c r="A1322" t="s">
        <v>6650</v>
      </c>
      <c r="B1322" t="s">
        <v>9</v>
      </c>
      <c r="C1322" t="s">
        <v>10</v>
      </c>
      <c r="D1322" t="s">
        <v>6651</v>
      </c>
      <c r="E1322" t="s">
        <v>6652</v>
      </c>
      <c r="F1322" t="str">
        <f>LEFT(E1322,5)</f>
        <v>서울특별시</v>
      </c>
      <c r="G1322" t="str">
        <f t="shared" si="49"/>
        <v xml:space="preserve">양천구 </v>
      </c>
      <c r="H1322" t="str">
        <f t="shared" si="50"/>
        <v>신월동</v>
      </c>
      <c r="I1322" t="s">
        <v>6653</v>
      </c>
      <c r="J1322" t="s">
        <v>6654</v>
      </c>
      <c r="K1322" t="s">
        <v>6655</v>
      </c>
    </row>
    <row r="1323" spans="1:11" x14ac:dyDescent="0.4">
      <c r="A1323" t="s">
        <v>2977</v>
      </c>
      <c r="B1323" t="s">
        <v>9</v>
      </c>
      <c r="C1323" t="s">
        <v>10</v>
      </c>
      <c r="D1323" t="s">
        <v>2978</v>
      </c>
      <c r="E1323" t="s">
        <v>2979</v>
      </c>
      <c r="F1323" t="str">
        <f>LEFT(E1323,5)</f>
        <v>서울특별시</v>
      </c>
      <c r="G1323" t="str">
        <f t="shared" si="49"/>
        <v xml:space="preserve">양천구 </v>
      </c>
      <c r="H1323" t="str">
        <f t="shared" si="50"/>
        <v>신월동</v>
      </c>
      <c r="I1323" t="s">
        <v>2980</v>
      </c>
      <c r="J1323" t="s">
        <v>2981</v>
      </c>
      <c r="K1323" t="s">
        <v>2701</v>
      </c>
    </row>
    <row r="1324" spans="1:11" x14ac:dyDescent="0.4">
      <c r="A1324" t="s">
        <v>3184</v>
      </c>
      <c r="B1324" t="s">
        <v>9</v>
      </c>
      <c r="C1324" t="s">
        <v>10</v>
      </c>
      <c r="D1324" t="s">
        <v>3185</v>
      </c>
      <c r="E1324" t="s">
        <v>3186</v>
      </c>
      <c r="F1324" t="str">
        <f>LEFT(E1324,5)</f>
        <v>서울특별시</v>
      </c>
      <c r="G1324" t="str">
        <f t="shared" si="49"/>
        <v xml:space="preserve">양천구 </v>
      </c>
      <c r="H1324" t="str">
        <f t="shared" si="50"/>
        <v>신월동</v>
      </c>
      <c r="I1324" t="s">
        <v>3187</v>
      </c>
      <c r="J1324" t="s">
        <v>3188</v>
      </c>
      <c r="K1324" t="s">
        <v>3189</v>
      </c>
    </row>
    <row r="1325" spans="1:11" x14ac:dyDescent="0.4">
      <c r="A1325" t="s">
        <v>3320</v>
      </c>
      <c r="B1325" t="s">
        <v>9</v>
      </c>
      <c r="C1325" t="s">
        <v>10</v>
      </c>
      <c r="D1325" t="s">
        <v>3185</v>
      </c>
      <c r="E1325" t="s">
        <v>3321</v>
      </c>
      <c r="F1325" t="str">
        <f>LEFT(E1325,5)</f>
        <v>서울특별시</v>
      </c>
      <c r="G1325" t="str">
        <f t="shared" si="49"/>
        <v xml:space="preserve">양천구 </v>
      </c>
      <c r="H1325" t="str">
        <f t="shared" si="50"/>
        <v>신월동</v>
      </c>
      <c r="I1325" t="s">
        <v>3322</v>
      </c>
      <c r="J1325" t="s">
        <v>3323</v>
      </c>
      <c r="K1325" t="s">
        <v>3324</v>
      </c>
    </row>
    <row r="1326" spans="1:11" x14ac:dyDescent="0.4">
      <c r="A1326" t="s">
        <v>4168</v>
      </c>
      <c r="B1326" t="s">
        <v>9</v>
      </c>
      <c r="C1326" t="s">
        <v>10</v>
      </c>
      <c r="D1326" t="s">
        <v>4169</v>
      </c>
      <c r="E1326" t="s">
        <v>4170</v>
      </c>
      <c r="F1326" t="str">
        <f>LEFT(E1326,5)</f>
        <v>서울특별시</v>
      </c>
      <c r="G1326" t="str">
        <f t="shared" si="49"/>
        <v xml:space="preserve">양천구 </v>
      </c>
      <c r="H1326" t="str">
        <f t="shared" si="50"/>
        <v>신월동</v>
      </c>
      <c r="I1326" t="s">
        <v>4171</v>
      </c>
      <c r="J1326" t="s">
        <v>4172</v>
      </c>
      <c r="K1326" t="s">
        <v>4173</v>
      </c>
    </row>
    <row r="1327" spans="1:11" x14ac:dyDescent="0.4">
      <c r="A1327" t="s">
        <v>4913</v>
      </c>
      <c r="B1327" t="s">
        <v>9</v>
      </c>
      <c r="C1327" t="s">
        <v>10</v>
      </c>
      <c r="D1327" t="s">
        <v>4914</v>
      </c>
      <c r="E1327" t="s">
        <v>4915</v>
      </c>
      <c r="F1327" t="str">
        <f>LEFT(E1327,5)</f>
        <v>서울특별시</v>
      </c>
      <c r="G1327" t="str">
        <f t="shared" si="49"/>
        <v xml:space="preserve">양천구 </v>
      </c>
      <c r="H1327" t="str">
        <f t="shared" si="50"/>
        <v>신월동</v>
      </c>
      <c r="I1327" t="s">
        <v>4916</v>
      </c>
      <c r="J1327" t="s">
        <v>4917</v>
      </c>
      <c r="K1327" t="s">
        <v>900</v>
      </c>
    </row>
    <row r="1328" spans="1:11" x14ac:dyDescent="0.4">
      <c r="A1328" t="s">
        <v>6119</v>
      </c>
      <c r="B1328" t="s">
        <v>9</v>
      </c>
      <c r="C1328" t="s">
        <v>10</v>
      </c>
      <c r="D1328" t="s">
        <v>4914</v>
      </c>
      <c r="E1328" t="s">
        <v>6120</v>
      </c>
      <c r="F1328" t="str">
        <f>LEFT(E1328,5)</f>
        <v>서울특별시</v>
      </c>
      <c r="G1328" t="str">
        <f t="shared" si="49"/>
        <v xml:space="preserve">양천구 </v>
      </c>
      <c r="H1328" t="str">
        <f t="shared" si="50"/>
        <v>신월동</v>
      </c>
      <c r="I1328" t="s">
        <v>6121</v>
      </c>
      <c r="J1328" t="s">
        <v>4917</v>
      </c>
      <c r="K1328" t="s">
        <v>6122</v>
      </c>
    </row>
    <row r="1329" spans="1:11" x14ac:dyDescent="0.4">
      <c r="A1329" t="s">
        <v>5254</v>
      </c>
      <c r="B1329" t="s">
        <v>9</v>
      </c>
      <c r="C1329" t="s">
        <v>10</v>
      </c>
      <c r="D1329" t="s">
        <v>1523</v>
      </c>
      <c r="E1329" t="s">
        <v>5255</v>
      </c>
      <c r="F1329" t="str">
        <f>LEFT(E1329,5)</f>
        <v>서울특별시</v>
      </c>
      <c r="G1329" t="str">
        <f t="shared" si="49"/>
        <v xml:space="preserve">양천구 </v>
      </c>
      <c r="H1329" t="str">
        <f t="shared" si="50"/>
        <v>신정동</v>
      </c>
      <c r="I1329" t="s">
        <v>5256</v>
      </c>
      <c r="J1329" t="s">
        <v>1422</v>
      </c>
      <c r="K1329" t="s">
        <v>5257</v>
      </c>
    </row>
    <row r="1330" spans="1:11" x14ac:dyDescent="0.4">
      <c r="A1330" t="s">
        <v>4700</v>
      </c>
      <c r="B1330" t="s">
        <v>9</v>
      </c>
      <c r="C1330" t="s">
        <v>10</v>
      </c>
      <c r="D1330" t="s">
        <v>1523</v>
      </c>
      <c r="E1330" t="s">
        <v>4701</v>
      </c>
      <c r="F1330" t="str">
        <f>LEFT(E1330,5)</f>
        <v>서울특별시</v>
      </c>
      <c r="G1330" t="str">
        <f t="shared" si="49"/>
        <v xml:space="preserve">양천구 </v>
      </c>
      <c r="H1330" t="str">
        <f t="shared" si="50"/>
        <v>신정동</v>
      </c>
      <c r="I1330" t="s">
        <v>4702</v>
      </c>
      <c r="J1330" t="s">
        <v>1422</v>
      </c>
      <c r="K1330" t="s">
        <v>4703</v>
      </c>
    </row>
    <row r="1331" spans="1:11" x14ac:dyDescent="0.4">
      <c r="A1331" t="s">
        <v>3360</v>
      </c>
      <c r="B1331" t="s">
        <v>9</v>
      </c>
      <c r="C1331" t="s">
        <v>10</v>
      </c>
      <c r="D1331" t="s">
        <v>1523</v>
      </c>
      <c r="E1331" t="s">
        <v>3361</v>
      </c>
      <c r="F1331" t="str">
        <f>LEFT(E1331,5)</f>
        <v>서울특별시</v>
      </c>
      <c r="G1331" t="str">
        <f t="shared" si="49"/>
        <v xml:space="preserve">양천구 </v>
      </c>
      <c r="H1331" t="str">
        <f t="shared" si="50"/>
        <v>신정동</v>
      </c>
      <c r="I1331" t="s">
        <v>3362</v>
      </c>
      <c r="J1331" t="s">
        <v>1422</v>
      </c>
      <c r="K1331" t="s">
        <v>3363</v>
      </c>
    </row>
    <row r="1332" spans="1:11" x14ac:dyDescent="0.4">
      <c r="A1332" t="s">
        <v>3427</v>
      </c>
      <c r="B1332" t="s">
        <v>9</v>
      </c>
      <c r="C1332" t="s">
        <v>10</v>
      </c>
      <c r="D1332" t="s">
        <v>1523</v>
      </c>
      <c r="E1332" t="s">
        <v>3428</v>
      </c>
      <c r="F1332" t="str">
        <f>LEFT(E1332,5)</f>
        <v>서울특별시</v>
      </c>
      <c r="G1332" t="str">
        <f t="shared" si="49"/>
        <v xml:space="preserve">양천구 </v>
      </c>
      <c r="H1332" t="str">
        <f t="shared" si="50"/>
        <v>신정동</v>
      </c>
      <c r="I1332" t="s">
        <v>3429</v>
      </c>
      <c r="J1332" t="s">
        <v>1422</v>
      </c>
      <c r="K1332" t="s">
        <v>3430</v>
      </c>
    </row>
    <row r="1333" spans="1:11" x14ac:dyDescent="0.4">
      <c r="A1333" t="s">
        <v>8535</v>
      </c>
      <c r="B1333" t="s">
        <v>9</v>
      </c>
      <c r="C1333" t="s">
        <v>10</v>
      </c>
      <c r="D1333" t="s">
        <v>1523</v>
      </c>
      <c r="E1333" t="s">
        <v>8536</v>
      </c>
      <c r="F1333" t="str">
        <f>LEFT(E1333,5)</f>
        <v>서울특별시</v>
      </c>
      <c r="G1333" t="str">
        <f t="shared" si="49"/>
        <v xml:space="preserve">양천구 </v>
      </c>
      <c r="H1333" t="str">
        <f t="shared" si="50"/>
        <v>신정동</v>
      </c>
      <c r="I1333" t="s">
        <v>8537</v>
      </c>
      <c r="J1333" t="s">
        <v>1422</v>
      </c>
      <c r="K1333" t="s">
        <v>8538</v>
      </c>
    </row>
    <row r="1334" spans="1:11" x14ac:dyDescent="0.4">
      <c r="A1334" t="s">
        <v>1522</v>
      </c>
      <c r="B1334" t="s">
        <v>9</v>
      </c>
      <c r="C1334" t="s">
        <v>10</v>
      </c>
      <c r="D1334" t="s">
        <v>1523</v>
      </c>
      <c r="E1334" t="s">
        <v>1524</v>
      </c>
      <c r="F1334" t="str">
        <f>LEFT(E1334,5)</f>
        <v>서울특별시</v>
      </c>
      <c r="G1334" t="str">
        <f t="shared" si="49"/>
        <v xml:space="preserve">양천구 </v>
      </c>
      <c r="H1334" t="str">
        <f t="shared" si="50"/>
        <v>신정동</v>
      </c>
      <c r="I1334" t="s">
        <v>1525</v>
      </c>
      <c r="J1334" t="s">
        <v>1422</v>
      </c>
      <c r="K1334" t="s">
        <v>1526</v>
      </c>
    </row>
    <row r="1335" spans="1:11" x14ac:dyDescent="0.4">
      <c r="A1335" t="s">
        <v>1750</v>
      </c>
      <c r="B1335" t="s">
        <v>9</v>
      </c>
      <c r="C1335" t="s">
        <v>10</v>
      </c>
      <c r="D1335" t="s">
        <v>1419</v>
      </c>
      <c r="E1335" t="s">
        <v>1751</v>
      </c>
      <c r="F1335" t="str">
        <f>LEFT(E1335,5)</f>
        <v>서울특별시</v>
      </c>
      <c r="G1335" t="str">
        <f t="shared" si="49"/>
        <v xml:space="preserve">양천구 </v>
      </c>
      <c r="H1335" t="str">
        <f t="shared" si="50"/>
        <v>신정동</v>
      </c>
      <c r="I1335" t="s">
        <v>1752</v>
      </c>
      <c r="J1335" t="s">
        <v>1422</v>
      </c>
      <c r="K1335" t="s">
        <v>506</v>
      </c>
    </row>
    <row r="1336" spans="1:11" x14ac:dyDescent="0.4">
      <c r="A1336" t="s">
        <v>1418</v>
      </c>
      <c r="B1336" t="s">
        <v>9</v>
      </c>
      <c r="C1336" t="s">
        <v>10</v>
      </c>
      <c r="D1336" t="s">
        <v>1419</v>
      </c>
      <c r="E1336" t="s">
        <v>1420</v>
      </c>
      <c r="F1336" t="str">
        <f>LEFT(E1336,5)</f>
        <v>서울특별시</v>
      </c>
      <c r="G1336" t="str">
        <f t="shared" si="49"/>
        <v xml:space="preserve">양천구 </v>
      </c>
      <c r="H1336" t="str">
        <f t="shared" si="50"/>
        <v>신정동</v>
      </c>
      <c r="I1336" t="s">
        <v>1421</v>
      </c>
      <c r="J1336" t="s">
        <v>1422</v>
      </c>
      <c r="K1336" t="s">
        <v>1423</v>
      </c>
    </row>
    <row r="1337" spans="1:11" x14ac:dyDescent="0.4">
      <c r="A1337" t="s">
        <v>3297</v>
      </c>
      <c r="B1337" t="s">
        <v>9</v>
      </c>
      <c r="C1337" t="s">
        <v>10</v>
      </c>
      <c r="D1337" t="s">
        <v>3298</v>
      </c>
      <c r="E1337" t="s">
        <v>3299</v>
      </c>
      <c r="F1337" t="str">
        <f>LEFT(E1337,5)</f>
        <v>서울특별시</v>
      </c>
      <c r="G1337" t="str">
        <f t="shared" si="49"/>
        <v xml:space="preserve">양천구 </v>
      </c>
      <c r="H1337" t="str">
        <f t="shared" si="50"/>
        <v>신정동</v>
      </c>
      <c r="I1337" t="s">
        <v>3300</v>
      </c>
      <c r="J1337" t="s">
        <v>3301</v>
      </c>
      <c r="K1337" t="s">
        <v>2625</v>
      </c>
    </row>
    <row r="1338" spans="1:11" x14ac:dyDescent="0.4">
      <c r="A1338" t="s">
        <v>8274</v>
      </c>
      <c r="B1338" t="s">
        <v>9</v>
      </c>
      <c r="C1338" t="s">
        <v>10</v>
      </c>
      <c r="D1338" t="s">
        <v>3298</v>
      </c>
      <c r="E1338" t="s">
        <v>8275</v>
      </c>
      <c r="F1338" t="str">
        <f>LEFT(E1338,5)</f>
        <v>서울특별시</v>
      </c>
      <c r="G1338" t="str">
        <f t="shared" si="49"/>
        <v xml:space="preserve">양천구 </v>
      </c>
      <c r="H1338" t="str">
        <f t="shared" si="50"/>
        <v>신정동</v>
      </c>
      <c r="I1338" t="s">
        <v>8276</v>
      </c>
      <c r="J1338" t="s">
        <v>3301</v>
      </c>
      <c r="K1338" t="s">
        <v>8277</v>
      </c>
    </row>
    <row r="1339" spans="1:11" x14ac:dyDescent="0.4">
      <c r="A1339" t="s">
        <v>6549</v>
      </c>
      <c r="B1339" t="s">
        <v>9</v>
      </c>
      <c r="C1339" t="s">
        <v>10</v>
      </c>
      <c r="D1339" t="s">
        <v>873</v>
      </c>
      <c r="E1339" t="s">
        <v>6550</v>
      </c>
      <c r="F1339" t="str">
        <f>LEFT(E1339,5)</f>
        <v>서울특별시</v>
      </c>
      <c r="G1339" t="str">
        <f t="shared" si="49"/>
        <v xml:space="preserve">양천구 </v>
      </c>
      <c r="H1339" t="str">
        <f t="shared" si="50"/>
        <v>신정동</v>
      </c>
      <c r="I1339" t="s">
        <v>6551</v>
      </c>
      <c r="J1339" t="s">
        <v>876</v>
      </c>
      <c r="K1339" t="s">
        <v>6552</v>
      </c>
    </row>
    <row r="1340" spans="1:11" x14ac:dyDescent="0.4">
      <c r="A1340" t="s">
        <v>872</v>
      </c>
      <c r="B1340" t="s">
        <v>9</v>
      </c>
      <c r="C1340" t="s">
        <v>10</v>
      </c>
      <c r="D1340" t="s">
        <v>873</v>
      </c>
      <c r="E1340" t="s">
        <v>874</v>
      </c>
      <c r="F1340" t="str">
        <f>LEFT(E1340,5)</f>
        <v>서울특별시</v>
      </c>
      <c r="G1340" t="str">
        <f t="shared" si="49"/>
        <v xml:space="preserve">양천구 </v>
      </c>
      <c r="H1340" t="str">
        <f t="shared" si="50"/>
        <v>신정동</v>
      </c>
      <c r="I1340" t="s">
        <v>875</v>
      </c>
      <c r="J1340" t="s">
        <v>876</v>
      </c>
      <c r="K1340" t="s">
        <v>877</v>
      </c>
    </row>
    <row r="1341" spans="1:11" x14ac:dyDescent="0.4">
      <c r="A1341" t="s">
        <v>1320</v>
      </c>
      <c r="B1341" t="s">
        <v>9</v>
      </c>
      <c r="C1341" t="s">
        <v>10</v>
      </c>
      <c r="D1341" t="s">
        <v>873</v>
      </c>
      <c r="E1341" t="s">
        <v>1321</v>
      </c>
      <c r="F1341" t="str">
        <f>LEFT(E1341,5)</f>
        <v>서울특별시</v>
      </c>
      <c r="G1341" t="str">
        <f t="shared" si="49"/>
        <v xml:space="preserve">양천구 </v>
      </c>
      <c r="H1341" t="str">
        <f t="shared" si="50"/>
        <v>신정동</v>
      </c>
      <c r="I1341" t="s">
        <v>1322</v>
      </c>
      <c r="J1341" t="s">
        <v>876</v>
      </c>
      <c r="K1341" t="s">
        <v>1323</v>
      </c>
    </row>
    <row r="1342" spans="1:11" x14ac:dyDescent="0.4">
      <c r="A1342" t="s">
        <v>1518</v>
      </c>
      <c r="B1342" t="s">
        <v>9</v>
      </c>
      <c r="C1342" t="s">
        <v>10</v>
      </c>
      <c r="D1342" t="s">
        <v>873</v>
      </c>
      <c r="E1342" t="s">
        <v>1519</v>
      </c>
      <c r="F1342" t="str">
        <f>LEFT(E1342,5)</f>
        <v>서울특별시</v>
      </c>
      <c r="G1342" t="str">
        <f t="shared" si="49"/>
        <v xml:space="preserve">양천구 </v>
      </c>
      <c r="H1342" t="str">
        <f t="shared" si="50"/>
        <v>신정동</v>
      </c>
      <c r="I1342" t="s">
        <v>1520</v>
      </c>
      <c r="J1342" t="s">
        <v>876</v>
      </c>
      <c r="K1342" t="s">
        <v>1521</v>
      </c>
    </row>
    <row r="1343" spans="1:11" x14ac:dyDescent="0.4">
      <c r="A1343" t="s">
        <v>3431</v>
      </c>
      <c r="B1343" t="s">
        <v>9</v>
      </c>
      <c r="C1343" t="s">
        <v>10</v>
      </c>
      <c r="D1343" t="s">
        <v>873</v>
      </c>
      <c r="E1343" t="s">
        <v>3432</v>
      </c>
      <c r="F1343" t="str">
        <f>LEFT(E1343,5)</f>
        <v>서울특별시</v>
      </c>
      <c r="G1343" t="str">
        <f t="shared" si="49"/>
        <v xml:space="preserve">양천구 </v>
      </c>
      <c r="H1343" t="str">
        <f t="shared" si="50"/>
        <v>신정동</v>
      </c>
      <c r="I1343" t="s">
        <v>3433</v>
      </c>
      <c r="J1343" t="s">
        <v>876</v>
      </c>
      <c r="K1343" t="s">
        <v>1433</v>
      </c>
    </row>
    <row r="1344" spans="1:11" x14ac:dyDescent="0.4">
      <c r="A1344" t="s">
        <v>6233</v>
      </c>
      <c r="B1344" t="s">
        <v>9</v>
      </c>
      <c r="C1344" t="s">
        <v>10</v>
      </c>
      <c r="D1344" t="s">
        <v>873</v>
      </c>
      <c r="E1344" t="s">
        <v>6234</v>
      </c>
      <c r="F1344" t="str">
        <f>LEFT(E1344,5)</f>
        <v>서울특별시</v>
      </c>
      <c r="G1344" t="str">
        <f t="shared" si="49"/>
        <v xml:space="preserve">양천구 </v>
      </c>
      <c r="H1344" t="str">
        <f t="shared" si="50"/>
        <v>신정동</v>
      </c>
      <c r="I1344" t="s">
        <v>6235</v>
      </c>
      <c r="J1344" t="s">
        <v>1280</v>
      </c>
      <c r="K1344" t="s">
        <v>4966</v>
      </c>
    </row>
    <row r="1345" spans="1:11" x14ac:dyDescent="0.4">
      <c r="A1345" t="s">
        <v>1725</v>
      </c>
      <c r="B1345" t="s">
        <v>9</v>
      </c>
      <c r="C1345" t="s">
        <v>10</v>
      </c>
      <c r="D1345" t="s">
        <v>873</v>
      </c>
      <c r="E1345" t="s">
        <v>1726</v>
      </c>
      <c r="F1345" t="str">
        <f>LEFT(E1345,5)</f>
        <v>서울특별시</v>
      </c>
      <c r="G1345" t="str">
        <f t="shared" si="49"/>
        <v xml:space="preserve">양천구 </v>
      </c>
      <c r="H1345" t="str">
        <f t="shared" si="50"/>
        <v>신정동</v>
      </c>
      <c r="I1345" t="s">
        <v>1727</v>
      </c>
      <c r="J1345" t="s">
        <v>1280</v>
      </c>
      <c r="K1345" t="s">
        <v>1728</v>
      </c>
    </row>
    <row r="1346" spans="1:11" x14ac:dyDescent="0.4">
      <c r="A1346" t="s">
        <v>4903</v>
      </c>
      <c r="B1346" t="s">
        <v>9</v>
      </c>
      <c r="C1346" t="s">
        <v>10</v>
      </c>
      <c r="D1346" t="s">
        <v>873</v>
      </c>
      <c r="E1346" t="s">
        <v>4904</v>
      </c>
      <c r="F1346" t="str">
        <f>LEFT(E1346,5)</f>
        <v>서울특별시</v>
      </c>
      <c r="G1346" t="str">
        <f t="shared" si="49"/>
        <v xml:space="preserve">양천구 </v>
      </c>
      <c r="H1346" t="str">
        <f t="shared" si="50"/>
        <v>신정동</v>
      </c>
      <c r="I1346" t="s">
        <v>4905</v>
      </c>
      <c r="J1346" t="s">
        <v>1280</v>
      </c>
      <c r="K1346" t="s">
        <v>4906</v>
      </c>
    </row>
    <row r="1347" spans="1:11" x14ac:dyDescent="0.4">
      <c r="A1347" t="s">
        <v>1277</v>
      </c>
      <c r="B1347" t="s">
        <v>9</v>
      </c>
      <c r="C1347" t="s">
        <v>10</v>
      </c>
      <c r="D1347" t="s">
        <v>873</v>
      </c>
      <c r="E1347" t="s">
        <v>1278</v>
      </c>
      <c r="F1347" t="str">
        <f>LEFT(E1347,5)</f>
        <v>서울특별시</v>
      </c>
      <c r="G1347" t="str">
        <f t="shared" ref="G1347:G1410" si="52">MID(E1347,7,4)</f>
        <v xml:space="preserve">양천구 </v>
      </c>
      <c r="H1347" t="str">
        <f t="shared" ref="H1347:H1410" si="53">MID(SUBSTITUTE(E1347," ",""),9,3)</f>
        <v>신정동</v>
      </c>
      <c r="I1347" t="s">
        <v>1279</v>
      </c>
      <c r="J1347" t="s">
        <v>1280</v>
      </c>
      <c r="K1347" t="s">
        <v>1281</v>
      </c>
    </row>
    <row r="1348" spans="1:11" x14ac:dyDescent="0.4">
      <c r="A1348" t="s">
        <v>6241</v>
      </c>
      <c r="B1348" t="s">
        <v>9</v>
      </c>
      <c r="C1348" t="s">
        <v>10</v>
      </c>
      <c r="D1348" t="s">
        <v>6242</v>
      </c>
      <c r="E1348" t="s">
        <v>6243</v>
      </c>
      <c r="F1348" t="str">
        <f>LEFT(E1348,5)</f>
        <v>서울특별시</v>
      </c>
      <c r="G1348" t="str">
        <f t="shared" si="52"/>
        <v xml:space="preserve">양천구 </v>
      </c>
      <c r="H1348" t="str">
        <f t="shared" si="53"/>
        <v>신정동</v>
      </c>
      <c r="I1348" t="s">
        <v>6244</v>
      </c>
      <c r="J1348" t="s">
        <v>6245</v>
      </c>
      <c r="K1348" t="s">
        <v>6246</v>
      </c>
    </row>
    <row r="1349" spans="1:11" x14ac:dyDescent="0.4">
      <c r="A1349" t="s">
        <v>7806</v>
      </c>
      <c r="B1349" t="s">
        <v>9</v>
      </c>
      <c r="C1349" t="s">
        <v>10</v>
      </c>
      <c r="D1349" t="s">
        <v>6242</v>
      </c>
      <c r="E1349" t="s">
        <v>7807</v>
      </c>
      <c r="F1349" t="str">
        <f>LEFT(E1349,5)</f>
        <v>서울특별시</v>
      </c>
      <c r="G1349" t="str">
        <f t="shared" si="52"/>
        <v xml:space="preserve">양천구 </v>
      </c>
      <c r="H1349" t="str">
        <f t="shared" si="53"/>
        <v>신정동</v>
      </c>
      <c r="I1349" t="s">
        <v>7808</v>
      </c>
      <c r="J1349" t="s">
        <v>6245</v>
      </c>
      <c r="K1349" t="s">
        <v>7809</v>
      </c>
    </row>
    <row r="1350" spans="1:11" x14ac:dyDescent="0.4">
      <c r="A1350" t="s">
        <v>4006</v>
      </c>
      <c r="B1350" t="s">
        <v>9</v>
      </c>
      <c r="C1350" t="s">
        <v>10</v>
      </c>
      <c r="D1350" t="s">
        <v>3298</v>
      </c>
      <c r="E1350" t="s">
        <v>4007</v>
      </c>
      <c r="F1350" t="str">
        <f>LEFT(E1350,5)</f>
        <v>서울특별시</v>
      </c>
      <c r="G1350" t="str">
        <f t="shared" si="52"/>
        <v xml:space="preserve">양천구 </v>
      </c>
      <c r="H1350" t="str">
        <f t="shared" si="53"/>
        <v>신정동</v>
      </c>
      <c r="I1350" t="s">
        <v>4008</v>
      </c>
      <c r="J1350" t="s">
        <v>4009</v>
      </c>
      <c r="K1350" t="s">
        <v>3797</v>
      </c>
    </row>
    <row r="1351" spans="1:11" x14ac:dyDescent="0.4">
      <c r="A1351" t="s">
        <v>6010</v>
      </c>
      <c r="B1351" t="s">
        <v>9</v>
      </c>
      <c r="C1351" t="s">
        <v>10</v>
      </c>
      <c r="D1351" t="s">
        <v>3298</v>
      </c>
      <c r="E1351" t="s">
        <v>6011</v>
      </c>
      <c r="F1351" t="str">
        <f>LEFT(E1351,5)</f>
        <v>서울특별시</v>
      </c>
      <c r="G1351" t="str">
        <f t="shared" si="52"/>
        <v xml:space="preserve">양천구 </v>
      </c>
      <c r="H1351" t="str">
        <f t="shared" si="53"/>
        <v>신정동</v>
      </c>
      <c r="I1351" t="s">
        <v>6012</v>
      </c>
      <c r="J1351" t="s">
        <v>4009</v>
      </c>
      <c r="K1351" t="s">
        <v>1052</v>
      </c>
    </row>
    <row r="1352" spans="1:11" x14ac:dyDescent="0.4">
      <c r="A1352" t="s">
        <v>7474</v>
      </c>
      <c r="B1352" t="s">
        <v>9</v>
      </c>
      <c r="C1352" t="s">
        <v>10</v>
      </c>
      <c r="D1352" t="s">
        <v>6779</v>
      </c>
      <c r="E1352" t="s">
        <v>7475</v>
      </c>
      <c r="F1352" t="str">
        <f>LEFT(E1352,5)</f>
        <v>서울특별시</v>
      </c>
      <c r="G1352" t="str">
        <f t="shared" si="52"/>
        <v xml:space="preserve">양천구 </v>
      </c>
      <c r="H1352" t="str">
        <f t="shared" si="53"/>
        <v>신정동</v>
      </c>
      <c r="I1352" t="s">
        <v>7476</v>
      </c>
      <c r="J1352" t="s">
        <v>6782</v>
      </c>
      <c r="K1352" t="s">
        <v>948</v>
      </c>
    </row>
    <row r="1353" spans="1:11" x14ac:dyDescent="0.4">
      <c r="A1353" t="s">
        <v>6778</v>
      </c>
      <c r="B1353" t="s">
        <v>9</v>
      </c>
      <c r="C1353" t="s">
        <v>10</v>
      </c>
      <c r="D1353" t="s">
        <v>6779</v>
      </c>
      <c r="E1353" t="s">
        <v>6780</v>
      </c>
      <c r="F1353" t="str">
        <f>LEFT(E1353,5)</f>
        <v>서울특별시</v>
      </c>
      <c r="G1353" t="str">
        <f t="shared" si="52"/>
        <v xml:space="preserve">양천구 </v>
      </c>
      <c r="H1353" t="str">
        <f t="shared" si="53"/>
        <v>신정동</v>
      </c>
      <c r="I1353" t="s">
        <v>6781</v>
      </c>
      <c r="J1353" t="s">
        <v>6782</v>
      </c>
      <c r="K1353" t="s">
        <v>6783</v>
      </c>
    </row>
    <row r="1354" spans="1:11" x14ac:dyDescent="0.4">
      <c r="A1354" t="s">
        <v>3194</v>
      </c>
      <c r="B1354" t="s">
        <v>9</v>
      </c>
      <c r="C1354" t="s">
        <v>10</v>
      </c>
      <c r="D1354" t="s">
        <v>3195</v>
      </c>
      <c r="E1354" t="s">
        <v>3196</v>
      </c>
      <c r="F1354" t="str">
        <f>LEFT(E1354,5)</f>
        <v>서울특별시</v>
      </c>
      <c r="G1354" t="str">
        <f t="shared" si="52"/>
        <v xml:space="preserve">양천구 </v>
      </c>
      <c r="H1354" t="str">
        <f t="shared" si="53"/>
        <v>신정동</v>
      </c>
      <c r="I1354" t="s">
        <v>3197</v>
      </c>
      <c r="J1354" t="s">
        <v>3198</v>
      </c>
      <c r="K1354" t="s">
        <v>3199</v>
      </c>
    </row>
    <row r="1355" spans="1:11" x14ac:dyDescent="0.4">
      <c r="A1355" t="s">
        <v>4691</v>
      </c>
      <c r="B1355" t="s">
        <v>9</v>
      </c>
      <c r="C1355" t="s">
        <v>10</v>
      </c>
      <c r="D1355" t="s">
        <v>1373</v>
      </c>
      <c r="E1355" t="s">
        <v>4692</v>
      </c>
      <c r="F1355" t="str">
        <f>LEFT(E1355,5)</f>
        <v>서울특별시</v>
      </c>
      <c r="G1355" t="str">
        <f t="shared" si="52"/>
        <v xml:space="preserve">양천구 </v>
      </c>
      <c r="H1355" t="str">
        <f t="shared" si="53"/>
        <v>신정동</v>
      </c>
      <c r="I1355" t="s">
        <v>4693</v>
      </c>
      <c r="J1355" t="s">
        <v>4694</v>
      </c>
      <c r="K1355" t="s">
        <v>4695</v>
      </c>
    </row>
    <row r="1356" spans="1:11" x14ac:dyDescent="0.4">
      <c r="A1356" t="s">
        <v>1537</v>
      </c>
      <c r="B1356" t="s">
        <v>9</v>
      </c>
      <c r="C1356" t="s">
        <v>10</v>
      </c>
      <c r="D1356" t="s">
        <v>1373</v>
      </c>
      <c r="E1356" t="s">
        <v>1538</v>
      </c>
      <c r="F1356" t="str">
        <f>LEFT(E1356,5)</f>
        <v>서울특별시</v>
      </c>
      <c r="G1356" t="str">
        <f t="shared" si="52"/>
        <v xml:space="preserve">양천구 </v>
      </c>
      <c r="H1356" t="str">
        <f t="shared" si="53"/>
        <v>신정동</v>
      </c>
      <c r="I1356" t="s">
        <v>1539</v>
      </c>
      <c r="J1356" t="s">
        <v>1376</v>
      </c>
      <c r="K1356" t="s">
        <v>1540</v>
      </c>
    </row>
    <row r="1357" spans="1:11" x14ac:dyDescent="0.4">
      <c r="A1357" t="s">
        <v>1806</v>
      </c>
      <c r="B1357" t="s">
        <v>9</v>
      </c>
      <c r="C1357" t="s">
        <v>10</v>
      </c>
      <c r="D1357" t="s">
        <v>1373</v>
      </c>
      <c r="E1357" t="s">
        <v>1807</v>
      </c>
      <c r="F1357" t="str">
        <f>LEFT(E1357,5)</f>
        <v>서울특별시</v>
      </c>
      <c r="G1357" t="str">
        <f t="shared" si="52"/>
        <v xml:space="preserve">양천구 </v>
      </c>
      <c r="H1357" t="str">
        <f t="shared" si="53"/>
        <v>신정동</v>
      </c>
      <c r="I1357" t="s">
        <v>1808</v>
      </c>
      <c r="J1357" t="s">
        <v>1376</v>
      </c>
      <c r="K1357" t="s">
        <v>1809</v>
      </c>
    </row>
    <row r="1358" spans="1:11" x14ac:dyDescent="0.4">
      <c r="A1358" t="s">
        <v>1372</v>
      </c>
      <c r="B1358" t="s">
        <v>9</v>
      </c>
      <c r="C1358" t="s">
        <v>10</v>
      </c>
      <c r="D1358" t="s">
        <v>1373</v>
      </c>
      <c r="E1358" t="s">
        <v>1374</v>
      </c>
      <c r="F1358" t="str">
        <f>LEFT(E1358,5)</f>
        <v>서울특별시</v>
      </c>
      <c r="G1358" t="str">
        <f t="shared" si="52"/>
        <v xml:space="preserve">양천구 </v>
      </c>
      <c r="H1358" t="str">
        <f t="shared" si="53"/>
        <v>신정동</v>
      </c>
      <c r="I1358" t="s">
        <v>1375</v>
      </c>
      <c r="J1358" t="s">
        <v>1376</v>
      </c>
      <c r="K1358" t="s">
        <v>1377</v>
      </c>
    </row>
    <row r="1359" spans="1:11" x14ac:dyDescent="0.4">
      <c r="A1359" t="s">
        <v>6236</v>
      </c>
      <c r="B1359" t="s">
        <v>9</v>
      </c>
      <c r="C1359" t="s">
        <v>10</v>
      </c>
      <c r="D1359" t="s">
        <v>3435</v>
      </c>
      <c r="E1359" t="s">
        <v>6237</v>
      </c>
      <c r="F1359" t="str">
        <f>LEFT(E1359,5)</f>
        <v>서울특별시</v>
      </c>
      <c r="G1359" t="str">
        <f t="shared" si="52"/>
        <v xml:space="preserve">양천구 </v>
      </c>
      <c r="H1359" t="str">
        <f t="shared" si="53"/>
        <v>신정동</v>
      </c>
      <c r="I1359" t="s">
        <v>6238</v>
      </c>
      <c r="J1359" t="s">
        <v>6239</v>
      </c>
      <c r="K1359" t="s">
        <v>6240</v>
      </c>
    </row>
    <row r="1360" spans="1:11" x14ac:dyDescent="0.4">
      <c r="A1360" t="s">
        <v>6595</v>
      </c>
      <c r="B1360" t="s">
        <v>9</v>
      </c>
      <c r="C1360" t="s">
        <v>10</v>
      </c>
      <c r="D1360" t="s">
        <v>3435</v>
      </c>
      <c r="E1360" t="s">
        <v>6596</v>
      </c>
      <c r="F1360" t="str">
        <f>LEFT(E1360,5)</f>
        <v>서울특별시</v>
      </c>
      <c r="G1360" t="str">
        <f t="shared" si="52"/>
        <v xml:space="preserve">양천구 </v>
      </c>
      <c r="H1360" t="str">
        <f t="shared" si="53"/>
        <v>신정동</v>
      </c>
      <c r="I1360" t="s">
        <v>6597</v>
      </c>
      <c r="J1360" t="s">
        <v>6239</v>
      </c>
      <c r="K1360" t="s">
        <v>6598</v>
      </c>
    </row>
    <row r="1361" spans="1:11" x14ac:dyDescent="0.4">
      <c r="A1361" t="s">
        <v>4045</v>
      </c>
      <c r="B1361" t="s">
        <v>9</v>
      </c>
      <c r="C1361" t="s">
        <v>10</v>
      </c>
      <c r="D1361" t="s">
        <v>3435</v>
      </c>
      <c r="E1361" t="s">
        <v>4046</v>
      </c>
      <c r="F1361" t="str">
        <f>LEFT(E1361,5)</f>
        <v>서울특별시</v>
      </c>
      <c r="G1361" t="str">
        <f t="shared" si="52"/>
        <v xml:space="preserve">양천구 </v>
      </c>
      <c r="H1361" t="str">
        <f t="shared" si="53"/>
        <v>신정동</v>
      </c>
      <c r="I1361" t="s">
        <v>4047</v>
      </c>
      <c r="J1361" t="s">
        <v>3438</v>
      </c>
      <c r="K1361" t="s">
        <v>4048</v>
      </c>
    </row>
    <row r="1362" spans="1:11" x14ac:dyDescent="0.4">
      <c r="A1362" t="s">
        <v>3434</v>
      </c>
      <c r="B1362" t="s">
        <v>9</v>
      </c>
      <c r="C1362" t="s">
        <v>10</v>
      </c>
      <c r="D1362" t="s">
        <v>3435</v>
      </c>
      <c r="E1362" t="s">
        <v>3436</v>
      </c>
      <c r="F1362" t="str">
        <f>LEFT(E1362,5)</f>
        <v>서울특별시</v>
      </c>
      <c r="G1362" t="str">
        <f t="shared" si="52"/>
        <v xml:space="preserve">양천구 </v>
      </c>
      <c r="H1362" t="str">
        <f t="shared" si="53"/>
        <v>신정동</v>
      </c>
      <c r="I1362" t="s">
        <v>3437</v>
      </c>
      <c r="J1362" t="s">
        <v>3438</v>
      </c>
      <c r="K1362" t="s">
        <v>1423</v>
      </c>
    </row>
    <row r="1363" spans="1:11" x14ac:dyDescent="0.4">
      <c r="A1363" t="s">
        <v>3925</v>
      </c>
      <c r="B1363" t="s">
        <v>9</v>
      </c>
      <c r="C1363" t="s">
        <v>10</v>
      </c>
      <c r="D1363" t="s">
        <v>3926</v>
      </c>
      <c r="E1363" t="s">
        <v>3927</v>
      </c>
      <c r="F1363" t="str">
        <f>LEFT(E1363,5)</f>
        <v>서울특별시</v>
      </c>
      <c r="G1363" t="str">
        <f t="shared" si="52"/>
        <v>영등포구</v>
      </c>
      <c r="H1363" t="str">
        <f>MID(SUBSTITUTE(E1363," ",""),10,3)</f>
        <v>당산동</v>
      </c>
      <c r="I1363" t="s">
        <v>3928</v>
      </c>
      <c r="J1363" t="s">
        <v>3929</v>
      </c>
      <c r="K1363" t="s">
        <v>3930</v>
      </c>
    </row>
    <row r="1364" spans="1:11" x14ac:dyDescent="0.4">
      <c r="A1364" t="s">
        <v>6410</v>
      </c>
      <c r="B1364" t="s">
        <v>9</v>
      </c>
      <c r="C1364" t="s">
        <v>10</v>
      </c>
      <c r="D1364" t="s">
        <v>6411</v>
      </c>
      <c r="E1364" t="s">
        <v>6412</v>
      </c>
      <c r="F1364" t="str">
        <f>LEFT(E1364,5)</f>
        <v>서울특별시</v>
      </c>
      <c r="G1364" t="str">
        <f t="shared" si="52"/>
        <v>영등포구</v>
      </c>
      <c r="H1364" t="str">
        <f t="shared" ref="H1364:H1427" si="54">MID(SUBSTITUTE(E1364," ",""),10,3)</f>
        <v>당산동</v>
      </c>
      <c r="I1364" t="s">
        <v>6413</v>
      </c>
      <c r="J1364" t="s">
        <v>6414</v>
      </c>
      <c r="K1364" t="s">
        <v>6415</v>
      </c>
    </row>
    <row r="1365" spans="1:11" x14ac:dyDescent="0.4">
      <c r="A1365" t="s">
        <v>5890</v>
      </c>
      <c r="B1365" t="s">
        <v>9</v>
      </c>
      <c r="C1365" t="s">
        <v>10</v>
      </c>
      <c r="D1365" t="s">
        <v>2997</v>
      </c>
      <c r="E1365" t="s">
        <v>5891</v>
      </c>
      <c r="F1365" t="str">
        <f>LEFT(E1365,5)</f>
        <v>서울특별시</v>
      </c>
      <c r="G1365" t="str">
        <f t="shared" si="52"/>
        <v>영등포구</v>
      </c>
      <c r="H1365" t="str">
        <f t="shared" si="54"/>
        <v>당산동</v>
      </c>
      <c r="I1365" t="s">
        <v>5892</v>
      </c>
      <c r="J1365" t="s">
        <v>5893</v>
      </c>
      <c r="K1365" t="s">
        <v>5894</v>
      </c>
    </row>
    <row r="1366" spans="1:11" x14ac:dyDescent="0.4">
      <c r="A1366" t="s">
        <v>2996</v>
      </c>
      <c r="B1366" t="s">
        <v>9</v>
      </c>
      <c r="C1366" t="s">
        <v>10</v>
      </c>
      <c r="D1366" t="s">
        <v>2997</v>
      </c>
      <c r="E1366" t="s">
        <v>2998</v>
      </c>
      <c r="F1366" t="str">
        <f>LEFT(E1366,5)</f>
        <v>서울특별시</v>
      </c>
      <c r="G1366" t="str">
        <f t="shared" si="52"/>
        <v>영등포구</v>
      </c>
      <c r="H1366" t="str">
        <f t="shared" si="54"/>
        <v>당산동</v>
      </c>
      <c r="I1366" t="s">
        <v>2999</v>
      </c>
      <c r="J1366" t="s">
        <v>3000</v>
      </c>
      <c r="K1366" t="s">
        <v>3001</v>
      </c>
    </row>
    <row r="1367" spans="1:11" x14ac:dyDescent="0.4">
      <c r="A1367" t="s">
        <v>6562</v>
      </c>
      <c r="B1367" t="s">
        <v>9</v>
      </c>
      <c r="C1367" t="s">
        <v>10</v>
      </c>
      <c r="D1367" t="s">
        <v>5191</v>
      </c>
      <c r="E1367" t="s">
        <v>6563</v>
      </c>
      <c r="F1367" t="str">
        <f>LEFT(E1367,5)</f>
        <v>서울특별시</v>
      </c>
      <c r="G1367" t="str">
        <f t="shared" si="52"/>
        <v>영등포구</v>
      </c>
      <c r="H1367" t="str">
        <f t="shared" si="54"/>
        <v>당산동</v>
      </c>
      <c r="I1367" t="s">
        <v>6564</v>
      </c>
      <c r="J1367" t="s">
        <v>5194</v>
      </c>
      <c r="K1367" t="s">
        <v>6565</v>
      </c>
    </row>
    <row r="1368" spans="1:11" x14ac:dyDescent="0.4">
      <c r="A1368" t="s">
        <v>5190</v>
      </c>
      <c r="B1368" t="s">
        <v>9</v>
      </c>
      <c r="C1368" t="s">
        <v>10</v>
      </c>
      <c r="D1368" t="s">
        <v>5191</v>
      </c>
      <c r="E1368" t="s">
        <v>5192</v>
      </c>
      <c r="F1368" t="str">
        <f>LEFT(E1368,5)</f>
        <v>서울특별시</v>
      </c>
      <c r="G1368" t="str">
        <f t="shared" si="52"/>
        <v>영등포구</v>
      </c>
      <c r="H1368" t="str">
        <f t="shared" si="54"/>
        <v>당산동</v>
      </c>
      <c r="I1368" t="s">
        <v>5193</v>
      </c>
      <c r="J1368" t="s">
        <v>5194</v>
      </c>
      <c r="K1368" t="s">
        <v>5195</v>
      </c>
    </row>
    <row r="1369" spans="1:11" x14ac:dyDescent="0.4">
      <c r="A1369" t="s">
        <v>6299</v>
      </c>
      <c r="B1369" t="s">
        <v>9</v>
      </c>
      <c r="C1369" t="s">
        <v>10</v>
      </c>
      <c r="D1369" t="s">
        <v>2399</v>
      </c>
      <c r="E1369" t="s">
        <v>6300</v>
      </c>
      <c r="F1369" t="str">
        <f>LEFT(E1369,5)</f>
        <v>서울특별시</v>
      </c>
      <c r="G1369" t="str">
        <f t="shared" si="52"/>
        <v>영등포구</v>
      </c>
      <c r="H1369" t="str">
        <f t="shared" si="54"/>
        <v>당산동</v>
      </c>
      <c r="I1369" t="s">
        <v>6301</v>
      </c>
      <c r="J1369" t="s">
        <v>2402</v>
      </c>
      <c r="K1369" t="s">
        <v>6302</v>
      </c>
    </row>
    <row r="1370" spans="1:11" x14ac:dyDescent="0.4">
      <c r="A1370" t="s">
        <v>2722</v>
      </c>
      <c r="B1370" t="s">
        <v>9</v>
      </c>
      <c r="C1370" t="s">
        <v>10</v>
      </c>
      <c r="D1370" t="s">
        <v>2399</v>
      </c>
      <c r="E1370" t="s">
        <v>2723</v>
      </c>
      <c r="F1370" t="str">
        <f>LEFT(E1370,5)</f>
        <v>서울특별시</v>
      </c>
      <c r="G1370" t="str">
        <f t="shared" si="52"/>
        <v>영등포구</v>
      </c>
      <c r="H1370" t="str">
        <f t="shared" si="54"/>
        <v>당산동</v>
      </c>
      <c r="I1370" t="s">
        <v>2724</v>
      </c>
      <c r="J1370" t="s">
        <v>2402</v>
      </c>
      <c r="K1370" t="s">
        <v>2725</v>
      </c>
    </row>
    <row r="1371" spans="1:11" x14ac:dyDescent="0.4">
      <c r="A1371" t="s">
        <v>2736</v>
      </c>
      <c r="B1371" t="s">
        <v>9</v>
      </c>
      <c r="C1371" t="s">
        <v>10</v>
      </c>
      <c r="D1371" t="s">
        <v>2399</v>
      </c>
      <c r="E1371" t="s">
        <v>2737</v>
      </c>
      <c r="F1371" t="str">
        <f>LEFT(E1371,5)</f>
        <v>서울특별시</v>
      </c>
      <c r="G1371" t="str">
        <f t="shared" si="52"/>
        <v>영등포구</v>
      </c>
      <c r="H1371" t="str">
        <f t="shared" si="54"/>
        <v>당산동</v>
      </c>
      <c r="I1371" t="s">
        <v>2738</v>
      </c>
      <c r="J1371" t="s">
        <v>2402</v>
      </c>
      <c r="K1371" t="s">
        <v>2739</v>
      </c>
    </row>
    <row r="1372" spans="1:11" x14ac:dyDescent="0.4">
      <c r="A1372" t="s">
        <v>2732</v>
      </c>
      <c r="B1372" t="s">
        <v>9</v>
      </c>
      <c r="C1372" t="s">
        <v>10</v>
      </c>
      <c r="D1372" t="s">
        <v>2399</v>
      </c>
      <c r="E1372" t="s">
        <v>2733</v>
      </c>
      <c r="F1372" t="str">
        <f>LEFT(E1372,5)</f>
        <v>서울특별시</v>
      </c>
      <c r="G1372" t="str">
        <f t="shared" si="52"/>
        <v>영등포구</v>
      </c>
      <c r="H1372" t="str">
        <f t="shared" si="54"/>
        <v>당산동</v>
      </c>
      <c r="I1372" t="s">
        <v>2734</v>
      </c>
      <c r="J1372" t="s">
        <v>2402</v>
      </c>
      <c r="K1372" t="s">
        <v>2735</v>
      </c>
    </row>
    <row r="1373" spans="1:11" x14ac:dyDescent="0.4">
      <c r="A1373" t="s">
        <v>6006</v>
      </c>
      <c r="B1373" t="s">
        <v>9</v>
      </c>
      <c r="C1373" t="s">
        <v>10</v>
      </c>
      <c r="D1373" t="s">
        <v>2399</v>
      </c>
      <c r="E1373" t="s">
        <v>6007</v>
      </c>
      <c r="F1373" t="str">
        <f>LEFT(E1373,5)</f>
        <v>서울특별시</v>
      </c>
      <c r="G1373" t="str">
        <f t="shared" si="52"/>
        <v>영등포구</v>
      </c>
      <c r="H1373" t="str">
        <f t="shared" si="54"/>
        <v>당산동</v>
      </c>
      <c r="I1373" t="s">
        <v>6008</v>
      </c>
      <c r="J1373" t="s">
        <v>2402</v>
      </c>
      <c r="K1373" t="s">
        <v>6009</v>
      </c>
    </row>
    <row r="1374" spans="1:11" x14ac:dyDescent="0.4">
      <c r="A1374" t="s">
        <v>6801</v>
      </c>
      <c r="B1374" t="s">
        <v>9</v>
      </c>
      <c r="C1374" t="s">
        <v>10</v>
      </c>
      <c r="D1374" t="s">
        <v>2399</v>
      </c>
      <c r="E1374" t="s">
        <v>6802</v>
      </c>
      <c r="F1374" t="str">
        <f>LEFT(E1374,5)</f>
        <v>서울특별시</v>
      </c>
      <c r="G1374" t="str">
        <f t="shared" si="52"/>
        <v>영등포구</v>
      </c>
      <c r="H1374" t="str">
        <f t="shared" si="54"/>
        <v>당산동</v>
      </c>
      <c r="I1374" t="s">
        <v>6803</v>
      </c>
      <c r="J1374" t="s">
        <v>2402</v>
      </c>
      <c r="K1374" t="s">
        <v>6804</v>
      </c>
    </row>
    <row r="1375" spans="1:11" x14ac:dyDescent="0.4">
      <c r="A1375" t="s">
        <v>2398</v>
      </c>
      <c r="B1375" t="s">
        <v>9</v>
      </c>
      <c r="C1375" t="s">
        <v>10</v>
      </c>
      <c r="D1375" t="s">
        <v>2399</v>
      </c>
      <c r="E1375" t="s">
        <v>2400</v>
      </c>
      <c r="F1375" t="str">
        <f>LEFT(E1375,5)</f>
        <v>서울특별시</v>
      </c>
      <c r="G1375" t="str">
        <f t="shared" si="52"/>
        <v>영등포구</v>
      </c>
      <c r="H1375" t="str">
        <f t="shared" si="54"/>
        <v>당산동</v>
      </c>
      <c r="I1375" t="s">
        <v>2401</v>
      </c>
      <c r="J1375" t="s">
        <v>2402</v>
      </c>
      <c r="K1375" t="s">
        <v>1834</v>
      </c>
    </row>
    <row r="1376" spans="1:11" x14ac:dyDescent="0.4">
      <c r="A1376" t="s">
        <v>6464</v>
      </c>
      <c r="B1376" t="s">
        <v>9</v>
      </c>
      <c r="C1376" t="s">
        <v>10</v>
      </c>
      <c r="D1376" t="s">
        <v>6465</v>
      </c>
      <c r="E1376" t="s">
        <v>6466</v>
      </c>
      <c r="F1376" t="str">
        <f>LEFT(E1376,5)</f>
        <v>서울특별시</v>
      </c>
      <c r="G1376" t="str">
        <f t="shared" si="52"/>
        <v>영등포구</v>
      </c>
      <c r="H1376" t="str">
        <f t="shared" si="54"/>
        <v>당산동</v>
      </c>
      <c r="I1376" t="s">
        <v>6467</v>
      </c>
      <c r="J1376" t="s">
        <v>2402</v>
      </c>
      <c r="K1376" t="s">
        <v>6468</v>
      </c>
    </row>
    <row r="1377" spans="1:11" x14ac:dyDescent="0.4">
      <c r="A1377" t="s">
        <v>2543</v>
      </c>
      <c r="B1377" t="s">
        <v>9</v>
      </c>
      <c r="C1377" t="s">
        <v>10</v>
      </c>
      <c r="D1377" t="s">
        <v>2399</v>
      </c>
      <c r="E1377" t="s">
        <v>2544</v>
      </c>
      <c r="F1377" t="str">
        <f>LEFT(E1377,5)</f>
        <v>서울특별시</v>
      </c>
      <c r="G1377" t="str">
        <f t="shared" si="52"/>
        <v>영등포구</v>
      </c>
      <c r="H1377" t="str">
        <f t="shared" si="54"/>
        <v>당산동</v>
      </c>
      <c r="I1377" t="s">
        <v>2545</v>
      </c>
      <c r="J1377" t="s">
        <v>2402</v>
      </c>
      <c r="K1377" t="s">
        <v>2546</v>
      </c>
    </row>
    <row r="1378" spans="1:11" x14ac:dyDescent="0.4">
      <c r="A1378" t="s">
        <v>4143</v>
      </c>
      <c r="B1378" t="s">
        <v>9</v>
      </c>
      <c r="C1378" t="s">
        <v>10</v>
      </c>
      <c r="D1378" t="s">
        <v>2399</v>
      </c>
      <c r="E1378" t="s">
        <v>4144</v>
      </c>
      <c r="F1378" t="str">
        <f>LEFT(E1378,5)</f>
        <v>서울특별시</v>
      </c>
      <c r="G1378" t="str">
        <f t="shared" si="52"/>
        <v>영등포구</v>
      </c>
      <c r="H1378" t="str">
        <f t="shared" si="54"/>
        <v>당산동</v>
      </c>
      <c r="I1378" t="s">
        <v>4145</v>
      </c>
      <c r="J1378" t="s">
        <v>2402</v>
      </c>
      <c r="K1378" t="s">
        <v>4146</v>
      </c>
    </row>
    <row r="1379" spans="1:11" x14ac:dyDescent="0.4">
      <c r="A1379" t="s">
        <v>4549</v>
      </c>
      <c r="B1379" t="s">
        <v>9</v>
      </c>
      <c r="C1379" t="s">
        <v>10</v>
      </c>
      <c r="D1379" t="s">
        <v>2399</v>
      </c>
      <c r="E1379" t="s">
        <v>4550</v>
      </c>
      <c r="F1379" t="str">
        <f>LEFT(E1379,5)</f>
        <v>서울특별시</v>
      </c>
      <c r="G1379" t="str">
        <f t="shared" si="52"/>
        <v>영등포구</v>
      </c>
      <c r="H1379" t="str">
        <f t="shared" si="54"/>
        <v>당산동</v>
      </c>
      <c r="I1379" t="s">
        <v>4551</v>
      </c>
      <c r="J1379" t="s">
        <v>2402</v>
      </c>
      <c r="K1379" t="s">
        <v>4552</v>
      </c>
    </row>
    <row r="1380" spans="1:11" x14ac:dyDescent="0.4">
      <c r="A1380" t="s">
        <v>5932</v>
      </c>
      <c r="B1380" t="s">
        <v>9</v>
      </c>
      <c r="C1380" t="s">
        <v>10</v>
      </c>
      <c r="D1380" t="s">
        <v>2399</v>
      </c>
      <c r="E1380" t="s">
        <v>5933</v>
      </c>
      <c r="F1380" t="str">
        <f>LEFT(E1380,5)</f>
        <v>서울특별시</v>
      </c>
      <c r="G1380" t="str">
        <f t="shared" si="52"/>
        <v>영등포구</v>
      </c>
      <c r="H1380" t="str">
        <f t="shared" si="54"/>
        <v>당산동</v>
      </c>
      <c r="I1380" t="s">
        <v>5934</v>
      </c>
      <c r="J1380" t="s">
        <v>2402</v>
      </c>
      <c r="K1380" t="s">
        <v>5889</v>
      </c>
    </row>
    <row r="1381" spans="1:11" x14ac:dyDescent="0.4">
      <c r="A1381" t="s">
        <v>2403</v>
      </c>
      <c r="B1381" t="s">
        <v>9</v>
      </c>
      <c r="C1381" t="s">
        <v>10</v>
      </c>
      <c r="D1381" t="s">
        <v>2399</v>
      </c>
      <c r="E1381" t="s">
        <v>2404</v>
      </c>
      <c r="F1381" t="str">
        <f>LEFT(E1381,5)</f>
        <v>서울특별시</v>
      </c>
      <c r="G1381" t="str">
        <f t="shared" si="52"/>
        <v>영등포구</v>
      </c>
      <c r="H1381" t="str">
        <f t="shared" si="54"/>
        <v>당산동</v>
      </c>
      <c r="I1381" t="s">
        <v>2405</v>
      </c>
      <c r="J1381" t="s">
        <v>2402</v>
      </c>
      <c r="K1381" t="s">
        <v>2406</v>
      </c>
    </row>
    <row r="1382" spans="1:11" x14ac:dyDescent="0.4">
      <c r="A1382" t="s">
        <v>6068</v>
      </c>
      <c r="B1382" t="s">
        <v>9</v>
      </c>
      <c r="C1382" t="s">
        <v>10</v>
      </c>
      <c r="D1382" t="s">
        <v>2399</v>
      </c>
      <c r="E1382" t="s">
        <v>6069</v>
      </c>
      <c r="F1382" t="str">
        <f>LEFT(E1382,5)</f>
        <v>서울특별시</v>
      </c>
      <c r="G1382" t="str">
        <f t="shared" si="52"/>
        <v>영등포구</v>
      </c>
      <c r="H1382" t="str">
        <f t="shared" si="54"/>
        <v>당산동</v>
      </c>
      <c r="I1382" t="s">
        <v>6070</v>
      </c>
      <c r="J1382" t="s">
        <v>2402</v>
      </c>
      <c r="K1382" t="s">
        <v>6071</v>
      </c>
    </row>
    <row r="1383" spans="1:11" x14ac:dyDescent="0.4">
      <c r="A1383" t="s">
        <v>4991</v>
      </c>
      <c r="B1383" t="s">
        <v>9</v>
      </c>
      <c r="C1383" t="s">
        <v>10</v>
      </c>
      <c r="D1383" t="s">
        <v>2399</v>
      </c>
      <c r="E1383" t="s">
        <v>4992</v>
      </c>
      <c r="F1383" t="str">
        <f>LEFT(E1383,5)</f>
        <v>서울특별시</v>
      </c>
      <c r="G1383" t="str">
        <f t="shared" si="52"/>
        <v>영등포구</v>
      </c>
      <c r="H1383" t="str">
        <f t="shared" si="54"/>
        <v>당산동</v>
      </c>
      <c r="I1383" t="s">
        <v>4993</v>
      </c>
      <c r="J1383" t="s">
        <v>2402</v>
      </c>
      <c r="K1383" t="s">
        <v>4994</v>
      </c>
    </row>
    <row r="1384" spans="1:11" x14ac:dyDescent="0.4">
      <c r="A1384" t="s">
        <v>2417</v>
      </c>
      <c r="B1384" t="s">
        <v>9</v>
      </c>
      <c r="C1384" t="s">
        <v>10</v>
      </c>
      <c r="D1384" t="s">
        <v>2399</v>
      </c>
      <c r="E1384" t="s">
        <v>2418</v>
      </c>
      <c r="F1384" t="str">
        <f>LEFT(E1384,5)</f>
        <v>서울특별시</v>
      </c>
      <c r="G1384" t="str">
        <f t="shared" si="52"/>
        <v>영등포구</v>
      </c>
      <c r="H1384" t="str">
        <f t="shared" si="54"/>
        <v>당산동</v>
      </c>
      <c r="I1384" t="s">
        <v>2419</v>
      </c>
      <c r="J1384" t="s">
        <v>2420</v>
      </c>
      <c r="K1384" t="s">
        <v>2421</v>
      </c>
    </row>
    <row r="1385" spans="1:11" x14ac:dyDescent="0.4">
      <c r="A1385" t="s">
        <v>4955</v>
      </c>
      <c r="B1385" t="s">
        <v>9</v>
      </c>
      <c r="C1385" t="s">
        <v>10</v>
      </c>
      <c r="D1385" t="s">
        <v>2399</v>
      </c>
      <c r="E1385" t="s">
        <v>4956</v>
      </c>
      <c r="F1385" t="str">
        <f>LEFT(E1385,5)</f>
        <v>서울특별시</v>
      </c>
      <c r="G1385" t="str">
        <f t="shared" si="52"/>
        <v>영등포구</v>
      </c>
      <c r="H1385" t="str">
        <f t="shared" si="54"/>
        <v>당산동</v>
      </c>
      <c r="I1385" t="s">
        <v>4957</v>
      </c>
      <c r="J1385" t="s">
        <v>2420</v>
      </c>
      <c r="K1385" t="s">
        <v>4958</v>
      </c>
    </row>
    <row r="1386" spans="1:11" x14ac:dyDescent="0.4">
      <c r="A1386" t="s">
        <v>2431</v>
      </c>
      <c r="B1386" t="s">
        <v>9</v>
      </c>
      <c r="C1386" t="s">
        <v>10</v>
      </c>
      <c r="D1386" t="s">
        <v>2399</v>
      </c>
      <c r="E1386" t="s">
        <v>2432</v>
      </c>
      <c r="F1386" t="str">
        <f>LEFT(E1386,5)</f>
        <v>서울특별시</v>
      </c>
      <c r="G1386" t="str">
        <f t="shared" si="52"/>
        <v>영등포구</v>
      </c>
      <c r="H1386" t="str">
        <f t="shared" si="54"/>
        <v>당산동</v>
      </c>
      <c r="I1386" t="s">
        <v>2433</v>
      </c>
      <c r="J1386" t="s">
        <v>2420</v>
      </c>
      <c r="K1386" t="s">
        <v>2434</v>
      </c>
    </row>
    <row r="1387" spans="1:11" x14ac:dyDescent="0.4">
      <c r="A1387" t="s">
        <v>2547</v>
      </c>
      <c r="B1387" t="s">
        <v>9</v>
      </c>
      <c r="C1387" t="s">
        <v>10</v>
      </c>
      <c r="D1387" t="s">
        <v>2399</v>
      </c>
      <c r="E1387" t="s">
        <v>2548</v>
      </c>
      <c r="F1387" t="str">
        <f>LEFT(E1387,5)</f>
        <v>서울특별시</v>
      </c>
      <c r="G1387" t="str">
        <f t="shared" si="52"/>
        <v>영등포구</v>
      </c>
      <c r="H1387" t="str">
        <f t="shared" si="54"/>
        <v>당산동</v>
      </c>
      <c r="I1387" t="s">
        <v>2549</v>
      </c>
      <c r="J1387" t="s">
        <v>2420</v>
      </c>
      <c r="K1387" t="s">
        <v>2550</v>
      </c>
    </row>
    <row r="1388" spans="1:11" x14ac:dyDescent="0.4">
      <c r="A1388" t="s">
        <v>4696</v>
      </c>
      <c r="B1388" t="s">
        <v>9</v>
      </c>
      <c r="C1388" t="s">
        <v>10</v>
      </c>
      <c r="D1388" t="s">
        <v>2399</v>
      </c>
      <c r="E1388" t="s">
        <v>4697</v>
      </c>
      <c r="F1388" t="str">
        <f>LEFT(E1388,5)</f>
        <v>서울특별시</v>
      </c>
      <c r="G1388" t="str">
        <f t="shared" si="52"/>
        <v>영등포구</v>
      </c>
      <c r="H1388" t="str">
        <f t="shared" si="54"/>
        <v>당산동</v>
      </c>
      <c r="I1388" t="s">
        <v>4698</v>
      </c>
      <c r="J1388" t="s">
        <v>2420</v>
      </c>
      <c r="K1388" t="s">
        <v>4699</v>
      </c>
    </row>
    <row r="1389" spans="1:11" x14ac:dyDescent="0.4">
      <c r="A1389" t="s">
        <v>4223</v>
      </c>
      <c r="B1389" t="s">
        <v>9</v>
      </c>
      <c r="C1389" t="s">
        <v>10</v>
      </c>
      <c r="D1389" t="s">
        <v>2399</v>
      </c>
      <c r="E1389" t="s">
        <v>4224</v>
      </c>
      <c r="F1389" t="str">
        <f>LEFT(E1389,5)</f>
        <v>서울특별시</v>
      </c>
      <c r="G1389" t="str">
        <f t="shared" si="52"/>
        <v>영등포구</v>
      </c>
      <c r="H1389" t="str">
        <f t="shared" si="54"/>
        <v>당산동</v>
      </c>
      <c r="I1389" t="s">
        <v>4225</v>
      </c>
      <c r="J1389" t="s">
        <v>2420</v>
      </c>
      <c r="K1389" t="s">
        <v>4226</v>
      </c>
    </row>
    <row r="1390" spans="1:11" x14ac:dyDescent="0.4">
      <c r="A1390" t="s">
        <v>2719</v>
      </c>
      <c r="B1390" t="s">
        <v>9</v>
      </c>
      <c r="C1390" t="s">
        <v>10</v>
      </c>
      <c r="D1390" t="s">
        <v>2399</v>
      </c>
      <c r="E1390" t="s">
        <v>2720</v>
      </c>
      <c r="F1390" t="str">
        <f>LEFT(E1390,5)</f>
        <v>서울특별시</v>
      </c>
      <c r="G1390" t="str">
        <f t="shared" si="52"/>
        <v>영등포구</v>
      </c>
      <c r="H1390" t="str">
        <f t="shared" si="54"/>
        <v>당산동</v>
      </c>
      <c r="I1390" t="s">
        <v>2721</v>
      </c>
      <c r="J1390" t="s">
        <v>2420</v>
      </c>
      <c r="K1390" t="s">
        <v>948</v>
      </c>
    </row>
    <row r="1391" spans="1:11" x14ac:dyDescent="0.4">
      <c r="A1391" t="s">
        <v>6172</v>
      </c>
      <c r="B1391" t="s">
        <v>9</v>
      </c>
      <c r="C1391" t="s">
        <v>10</v>
      </c>
      <c r="D1391" t="s">
        <v>2399</v>
      </c>
      <c r="E1391" t="s">
        <v>6173</v>
      </c>
      <c r="F1391" t="str">
        <f>LEFT(E1391,5)</f>
        <v>서울특별시</v>
      </c>
      <c r="G1391" t="str">
        <f t="shared" si="52"/>
        <v>영등포구</v>
      </c>
      <c r="H1391" t="str">
        <f t="shared" si="54"/>
        <v>당산동</v>
      </c>
      <c r="I1391" t="s">
        <v>6174</v>
      </c>
      <c r="J1391" t="s">
        <v>6175</v>
      </c>
      <c r="K1391" t="s">
        <v>665</v>
      </c>
    </row>
    <row r="1392" spans="1:11" x14ac:dyDescent="0.4">
      <c r="A1392" t="s">
        <v>2563</v>
      </c>
      <c r="B1392" t="s">
        <v>9</v>
      </c>
      <c r="C1392" t="s">
        <v>10</v>
      </c>
      <c r="D1392" t="s">
        <v>2564</v>
      </c>
      <c r="E1392" t="s">
        <v>2565</v>
      </c>
      <c r="F1392" t="str">
        <f>LEFT(E1392,5)</f>
        <v>서울특별시</v>
      </c>
      <c r="G1392" t="str">
        <f t="shared" si="52"/>
        <v>영등포구</v>
      </c>
      <c r="H1392" t="str">
        <f t="shared" si="54"/>
        <v>당산동</v>
      </c>
      <c r="I1392" t="s">
        <v>2566</v>
      </c>
      <c r="J1392" t="s">
        <v>2567</v>
      </c>
      <c r="K1392" t="s">
        <v>2568</v>
      </c>
    </row>
    <row r="1393" spans="1:11" x14ac:dyDescent="0.4">
      <c r="A1393" t="s">
        <v>4318</v>
      </c>
      <c r="B1393" t="s">
        <v>9</v>
      </c>
      <c r="C1393" t="s">
        <v>10</v>
      </c>
      <c r="D1393" t="s">
        <v>2564</v>
      </c>
      <c r="E1393" t="s">
        <v>4319</v>
      </c>
      <c r="F1393" t="str">
        <f>LEFT(E1393,5)</f>
        <v>서울특별시</v>
      </c>
      <c r="G1393" t="str">
        <f t="shared" si="52"/>
        <v>영등포구</v>
      </c>
      <c r="H1393" t="str">
        <f t="shared" si="54"/>
        <v>당산동</v>
      </c>
      <c r="I1393" t="s">
        <v>4320</v>
      </c>
      <c r="J1393" t="s">
        <v>2567</v>
      </c>
      <c r="K1393" t="s">
        <v>4321</v>
      </c>
    </row>
    <row r="1394" spans="1:11" x14ac:dyDescent="0.4">
      <c r="A1394" t="s">
        <v>2428</v>
      </c>
      <c r="B1394" t="s">
        <v>9</v>
      </c>
      <c r="C1394" t="s">
        <v>10</v>
      </c>
      <c r="D1394" t="s">
        <v>2399</v>
      </c>
      <c r="E1394" t="s">
        <v>2429</v>
      </c>
      <c r="F1394" t="str">
        <f>LEFT(E1394,5)</f>
        <v>서울특별시</v>
      </c>
      <c r="G1394" t="str">
        <f t="shared" si="52"/>
        <v>영등포구</v>
      </c>
      <c r="H1394" t="str">
        <f t="shared" si="54"/>
        <v>당산동</v>
      </c>
      <c r="I1394" t="s">
        <v>2430</v>
      </c>
      <c r="J1394" t="s">
        <v>2402</v>
      </c>
      <c r="K1394" t="s">
        <v>1666</v>
      </c>
    </row>
    <row r="1395" spans="1:11" x14ac:dyDescent="0.4">
      <c r="A1395" t="s">
        <v>1316</v>
      </c>
      <c r="B1395" t="s">
        <v>9</v>
      </c>
      <c r="C1395" t="s">
        <v>10</v>
      </c>
      <c r="D1395" t="s">
        <v>902</v>
      </c>
      <c r="E1395" t="s">
        <v>1317</v>
      </c>
      <c r="F1395" t="str">
        <f>LEFT(E1395,5)</f>
        <v>서울특별시</v>
      </c>
      <c r="G1395" t="str">
        <f t="shared" si="52"/>
        <v>영등포구</v>
      </c>
      <c r="H1395" t="str">
        <f t="shared" si="54"/>
        <v>당산동</v>
      </c>
      <c r="I1395" t="s">
        <v>1318</v>
      </c>
      <c r="J1395" t="s">
        <v>905</v>
      </c>
      <c r="K1395" t="s">
        <v>1319</v>
      </c>
    </row>
    <row r="1396" spans="1:11" x14ac:dyDescent="0.4">
      <c r="A1396" t="s">
        <v>901</v>
      </c>
      <c r="B1396" t="s">
        <v>9</v>
      </c>
      <c r="C1396" t="s">
        <v>10</v>
      </c>
      <c r="D1396" t="s">
        <v>902</v>
      </c>
      <c r="E1396" t="s">
        <v>903</v>
      </c>
      <c r="F1396" t="str">
        <f>LEFT(E1396,5)</f>
        <v>서울특별시</v>
      </c>
      <c r="G1396" t="str">
        <f t="shared" si="52"/>
        <v>영등포구</v>
      </c>
      <c r="H1396" t="str">
        <f t="shared" si="54"/>
        <v>당산동</v>
      </c>
      <c r="I1396" t="s">
        <v>904</v>
      </c>
      <c r="J1396" t="s">
        <v>905</v>
      </c>
      <c r="K1396" t="s">
        <v>906</v>
      </c>
    </row>
    <row r="1397" spans="1:11" x14ac:dyDescent="0.4">
      <c r="A1397" t="s">
        <v>2520</v>
      </c>
      <c r="B1397" t="s">
        <v>9</v>
      </c>
      <c r="C1397" t="s">
        <v>10</v>
      </c>
      <c r="D1397" t="s">
        <v>2521</v>
      </c>
      <c r="E1397" t="s">
        <v>2522</v>
      </c>
      <c r="F1397" t="str">
        <f>LEFT(E1397,5)</f>
        <v>서울특별시</v>
      </c>
      <c r="G1397" t="str">
        <f t="shared" si="52"/>
        <v>영등포구</v>
      </c>
      <c r="H1397" t="str">
        <f t="shared" si="54"/>
        <v>대림동</v>
      </c>
      <c r="I1397" t="s">
        <v>2523</v>
      </c>
      <c r="J1397" t="s">
        <v>2524</v>
      </c>
      <c r="K1397" t="s">
        <v>2525</v>
      </c>
    </row>
    <row r="1398" spans="1:11" x14ac:dyDescent="0.4">
      <c r="A1398" t="s">
        <v>2526</v>
      </c>
      <c r="B1398" t="s">
        <v>9</v>
      </c>
      <c r="C1398" t="s">
        <v>10</v>
      </c>
      <c r="D1398" t="s">
        <v>2527</v>
      </c>
      <c r="E1398" t="s">
        <v>2528</v>
      </c>
      <c r="F1398" t="str">
        <f>LEFT(E1398,5)</f>
        <v>서울특별시</v>
      </c>
      <c r="G1398" t="str">
        <f t="shared" si="52"/>
        <v>영등포구</v>
      </c>
      <c r="H1398" t="str">
        <f t="shared" si="54"/>
        <v>대림동</v>
      </c>
      <c r="I1398" t="s">
        <v>2529</v>
      </c>
      <c r="J1398" t="s">
        <v>2530</v>
      </c>
      <c r="K1398" t="s">
        <v>2531</v>
      </c>
    </row>
    <row r="1399" spans="1:11" x14ac:dyDescent="0.4">
      <c r="A1399" t="s">
        <v>3728</v>
      </c>
      <c r="B1399" t="s">
        <v>9</v>
      </c>
      <c r="C1399" t="s">
        <v>10</v>
      </c>
      <c r="D1399" t="s">
        <v>3729</v>
      </c>
      <c r="E1399" t="s">
        <v>3730</v>
      </c>
      <c r="F1399" t="str">
        <f>LEFT(E1399,5)</f>
        <v>서울특별시</v>
      </c>
      <c r="G1399" t="str">
        <f t="shared" si="52"/>
        <v>영등포구</v>
      </c>
      <c r="H1399" t="str">
        <f t="shared" si="54"/>
        <v>대림동</v>
      </c>
      <c r="I1399" t="s">
        <v>3731</v>
      </c>
      <c r="J1399" t="s">
        <v>2530</v>
      </c>
      <c r="K1399" t="s">
        <v>3732</v>
      </c>
    </row>
    <row r="1400" spans="1:11" x14ac:dyDescent="0.4">
      <c r="A1400" t="s">
        <v>2469</v>
      </c>
      <c r="B1400" t="s">
        <v>9</v>
      </c>
      <c r="C1400" t="s">
        <v>10</v>
      </c>
      <c r="D1400" t="s">
        <v>2470</v>
      </c>
      <c r="E1400" t="s">
        <v>2471</v>
      </c>
      <c r="F1400" t="str">
        <f>LEFT(E1400,5)</f>
        <v>서울특별시</v>
      </c>
      <c r="G1400" t="str">
        <f t="shared" si="52"/>
        <v>영등포구</v>
      </c>
      <c r="H1400" t="str">
        <f t="shared" si="54"/>
        <v>대림동</v>
      </c>
      <c r="I1400" t="s">
        <v>2472</v>
      </c>
      <c r="J1400" t="s">
        <v>2473</v>
      </c>
      <c r="K1400" t="s">
        <v>2474</v>
      </c>
    </row>
    <row r="1401" spans="1:11" x14ac:dyDescent="0.4">
      <c r="A1401" t="s">
        <v>2355</v>
      </c>
      <c r="B1401" t="s">
        <v>9</v>
      </c>
      <c r="C1401" t="s">
        <v>10</v>
      </c>
      <c r="D1401" t="s">
        <v>2356</v>
      </c>
      <c r="E1401" t="s">
        <v>2357</v>
      </c>
      <c r="F1401" t="str">
        <f>LEFT(E1401,5)</f>
        <v>서울특별시</v>
      </c>
      <c r="G1401" t="str">
        <f t="shared" si="52"/>
        <v>영등포구</v>
      </c>
      <c r="H1401" t="str">
        <f t="shared" si="54"/>
        <v>대림동</v>
      </c>
      <c r="I1401" t="s">
        <v>2358</v>
      </c>
      <c r="J1401" t="s">
        <v>2359</v>
      </c>
      <c r="K1401" t="s">
        <v>2360</v>
      </c>
    </row>
    <row r="1402" spans="1:11" x14ac:dyDescent="0.4">
      <c r="A1402" t="s">
        <v>2688</v>
      </c>
      <c r="B1402" t="s">
        <v>9</v>
      </c>
      <c r="C1402" t="s">
        <v>10</v>
      </c>
      <c r="D1402" t="s">
        <v>2356</v>
      </c>
      <c r="E1402" t="s">
        <v>2689</v>
      </c>
      <c r="F1402" t="str">
        <f>LEFT(E1402,5)</f>
        <v>서울특별시</v>
      </c>
      <c r="G1402" t="str">
        <f t="shared" si="52"/>
        <v>영등포구</v>
      </c>
      <c r="H1402" t="str">
        <f t="shared" si="54"/>
        <v>대림동</v>
      </c>
      <c r="I1402" t="s">
        <v>2690</v>
      </c>
      <c r="J1402" t="s">
        <v>2535</v>
      </c>
      <c r="K1402" t="s">
        <v>2691</v>
      </c>
    </row>
    <row r="1403" spans="1:11" x14ac:dyDescent="0.4">
      <c r="A1403" t="s">
        <v>2532</v>
      </c>
      <c r="B1403" t="s">
        <v>9</v>
      </c>
      <c r="C1403" t="s">
        <v>10</v>
      </c>
      <c r="D1403" t="s">
        <v>2356</v>
      </c>
      <c r="E1403" t="s">
        <v>2533</v>
      </c>
      <c r="F1403" t="str">
        <f>LEFT(E1403,5)</f>
        <v>서울특별시</v>
      </c>
      <c r="G1403" t="str">
        <f t="shared" si="52"/>
        <v>영등포구</v>
      </c>
      <c r="H1403" t="str">
        <f t="shared" si="54"/>
        <v>대림동</v>
      </c>
      <c r="I1403" t="s">
        <v>2534</v>
      </c>
      <c r="J1403" t="s">
        <v>2535</v>
      </c>
      <c r="K1403" t="s">
        <v>2536</v>
      </c>
    </row>
    <row r="1404" spans="1:11" x14ac:dyDescent="0.4">
      <c r="A1404" t="s">
        <v>5006</v>
      </c>
      <c r="B1404" t="s">
        <v>9</v>
      </c>
      <c r="C1404" t="s">
        <v>10</v>
      </c>
      <c r="D1404" t="s">
        <v>2356</v>
      </c>
      <c r="E1404" t="s">
        <v>5007</v>
      </c>
      <c r="F1404" t="str">
        <f>LEFT(E1404,5)</f>
        <v>서울특별시</v>
      </c>
      <c r="G1404" t="str">
        <f t="shared" si="52"/>
        <v>영등포구</v>
      </c>
      <c r="H1404" t="str">
        <f t="shared" si="54"/>
        <v>대림동</v>
      </c>
      <c r="I1404" t="s">
        <v>5008</v>
      </c>
      <c r="J1404" t="s">
        <v>2535</v>
      </c>
      <c r="K1404" t="s">
        <v>5009</v>
      </c>
    </row>
    <row r="1405" spans="1:11" x14ac:dyDescent="0.4">
      <c r="A1405" t="s">
        <v>3549</v>
      </c>
      <c r="B1405" t="s">
        <v>9</v>
      </c>
      <c r="C1405" t="s">
        <v>10</v>
      </c>
      <c r="D1405" t="s">
        <v>3550</v>
      </c>
      <c r="E1405" t="s">
        <v>3551</v>
      </c>
      <c r="F1405" t="str">
        <f>LEFT(E1405,5)</f>
        <v>서울특별시</v>
      </c>
      <c r="G1405" t="str">
        <f t="shared" si="52"/>
        <v>영등포구</v>
      </c>
      <c r="H1405" t="str">
        <f t="shared" si="54"/>
        <v>대림동</v>
      </c>
      <c r="I1405" t="s">
        <v>3552</v>
      </c>
      <c r="J1405" t="s">
        <v>3553</v>
      </c>
      <c r="K1405" t="s">
        <v>1052</v>
      </c>
    </row>
    <row r="1406" spans="1:11" x14ac:dyDescent="0.4">
      <c r="A1406" t="s">
        <v>5599</v>
      </c>
      <c r="B1406" t="s">
        <v>9</v>
      </c>
      <c r="C1406" t="s">
        <v>10</v>
      </c>
      <c r="D1406" t="s">
        <v>4597</v>
      </c>
      <c r="E1406" t="s">
        <v>5600</v>
      </c>
      <c r="F1406" t="str">
        <f>LEFT(E1406,5)</f>
        <v>서울특별시</v>
      </c>
      <c r="G1406" t="str">
        <f t="shared" si="52"/>
        <v>영등포구</v>
      </c>
      <c r="H1406" t="str">
        <f t="shared" si="54"/>
        <v>대림동</v>
      </c>
      <c r="I1406" t="s">
        <v>5601</v>
      </c>
      <c r="J1406" t="s">
        <v>5602</v>
      </c>
      <c r="K1406" t="s">
        <v>5603</v>
      </c>
    </row>
    <row r="1407" spans="1:11" x14ac:dyDescent="0.4">
      <c r="A1407" t="s">
        <v>8506</v>
      </c>
      <c r="B1407" t="s">
        <v>9</v>
      </c>
      <c r="C1407" t="s">
        <v>10</v>
      </c>
      <c r="D1407" t="s">
        <v>4597</v>
      </c>
      <c r="E1407" t="s">
        <v>8507</v>
      </c>
      <c r="F1407" t="str">
        <f>LEFT(E1407,5)</f>
        <v>서울특별시</v>
      </c>
      <c r="G1407" t="str">
        <f t="shared" si="52"/>
        <v>영등포구</v>
      </c>
      <c r="H1407" t="str">
        <f t="shared" si="54"/>
        <v>대림동</v>
      </c>
      <c r="I1407" t="s">
        <v>8508</v>
      </c>
      <c r="J1407" t="s">
        <v>4600</v>
      </c>
      <c r="K1407" t="s">
        <v>4442</v>
      </c>
    </row>
    <row r="1408" spans="1:11" x14ac:dyDescent="0.4">
      <c r="A1408" t="s">
        <v>8585</v>
      </c>
      <c r="B1408" t="s">
        <v>9</v>
      </c>
      <c r="C1408" t="s">
        <v>10</v>
      </c>
      <c r="D1408" t="s">
        <v>4597</v>
      </c>
      <c r="E1408" t="s">
        <v>8586</v>
      </c>
      <c r="F1408" t="str">
        <f>LEFT(E1408,5)</f>
        <v>서울특별시</v>
      </c>
      <c r="G1408" t="str">
        <f t="shared" si="52"/>
        <v>영등포구</v>
      </c>
      <c r="H1408" t="str">
        <f t="shared" si="54"/>
        <v>대림동</v>
      </c>
      <c r="I1408" t="s">
        <v>8587</v>
      </c>
      <c r="J1408" t="s">
        <v>4600</v>
      </c>
      <c r="K1408" t="s">
        <v>8588</v>
      </c>
    </row>
    <row r="1409" spans="1:11" x14ac:dyDescent="0.4">
      <c r="A1409" t="s">
        <v>4596</v>
      </c>
      <c r="B1409" t="s">
        <v>9</v>
      </c>
      <c r="C1409" t="s">
        <v>10</v>
      </c>
      <c r="D1409" t="s">
        <v>4597</v>
      </c>
      <c r="E1409" t="s">
        <v>4598</v>
      </c>
      <c r="F1409" t="str">
        <f>LEFT(E1409,5)</f>
        <v>서울특별시</v>
      </c>
      <c r="G1409" t="str">
        <f t="shared" si="52"/>
        <v>영등포구</v>
      </c>
      <c r="H1409" t="str">
        <f t="shared" si="54"/>
        <v>대림동</v>
      </c>
      <c r="I1409" t="s">
        <v>4599</v>
      </c>
      <c r="J1409" t="s">
        <v>4600</v>
      </c>
      <c r="K1409" t="s">
        <v>4048</v>
      </c>
    </row>
    <row r="1410" spans="1:11" x14ac:dyDescent="0.4">
      <c r="A1410" t="s">
        <v>3520</v>
      </c>
      <c r="B1410" t="s">
        <v>9</v>
      </c>
      <c r="C1410" t="s">
        <v>10</v>
      </c>
      <c r="D1410" t="s">
        <v>3521</v>
      </c>
      <c r="E1410" t="s">
        <v>3522</v>
      </c>
      <c r="F1410" t="str">
        <f>LEFT(E1410,5)</f>
        <v>서울특별시</v>
      </c>
      <c r="G1410" t="str">
        <f t="shared" si="52"/>
        <v>영등포구</v>
      </c>
      <c r="H1410" t="str">
        <f t="shared" si="54"/>
        <v>대림동</v>
      </c>
      <c r="I1410" t="s">
        <v>3523</v>
      </c>
      <c r="J1410" t="s">
        <v>3524</v>
      </c>
      <c r="K1410" t="s">
        <v>3525</v>
      </c>
    </row>
    <row r="1411" spans="1:11" x14ac:dyDescent="0.4">
      <c r="A1411" t="s">
        <v>2328</v>
      </c>
      <c r="B1411" t="s">
        <v>9</v>
      </c>
      <c r="C1411" t="s">
        <v>10</v>
      </c>
      <c r="D1411" t="s">
        <v>2329</v>
      </c>
      <c r="E1411" t="s">
        <v>2330</v>
      </c>
      <c r="F1411" t="str">
        <f>LEFT(E1411,5)</f>
        <v>서울특별시</v>
      </c>
      <c r="G1411" t="str">
        <f t="shared" ref="G1411:G1474" si="55">MID(E1411,7,4)</f>
        <v>영등포구</v>
      </c>
      <c r="H1411" t="str">
        <f t="shared" si="54"/>
        <v>대림동</v>
      </c>
      <c r="I1411" t="s">
        <v>2331</v>
      </c>
      <c r="J1411" t="s">
        <v>2332</v>
      </c>
      <c r="K1411" t="s">
        <v>2333</v>
      </c>
    </row>
    <row r="1412" spans="1:11" x14ac:dyDescent="0.4">
      <c r="A1412" t="s">
        <v>2569</v>
      </c>
      <c r="B1412" t="s">
        <v>9</v>
      </c>
      <c r="C1412" t="s">
        <v>10</v>
      </c>
      <c r="D1412" t="s">
        <v>2570</v>
      </c>
      <c r="E1412" t="s">
        <v>2571</v>
      </c>
      <c r="F1412" t="str">
        <f>LEFT(E1412,5)</f>
        <v>서울특별시</v>
      </c>
      <c r="G1412" t="str">
        <f t="shared" si="55"/>
        <v>영등포구</v>
      </c>
      <c r="H1412" t="str">
        <f t="shared" si="54"/>
        <v>도림동</v>
      </c>
      <c r="I1412" t="s">
        <v>2572</v>
      </c>
      <c r="J1412" t="s">
        <v>2573</v>
      </c>
      <c r="K1412" t="s">
        <v>2574</v>
      </c>
    </row>
    <row r="1413" spans="1:11" x14ac:dyDescent="0.4">
      <c r="A1413" t="s">
        <v>6506</v>
      </c>
      <c r="B1413" t="s">
        <v>9</v>
      </c>
      <c r="C1413" t="s">
        <v>10</v>
      </c>
      <c r="D1413" t="s">
        <v>2570</v>
      </c>
      <c r="E1413" t="s">
        <v>6507</v>
      </c>
      <c r="F1413" t="str">
        <f>LEFT(E1413,5)</f>
        <v>서울특별시</v>
      </c>
      <c r="G1413" t="str">
        <f t="shared" si="55"/>
        <v>영등포구</v>
      </c>
      <c r="H1413" t="str">
        <f t="shared" si="54"/>
        <v>도림동</v>
      </c>
      <c r="I1413" t="s">
        <v>6508</v>
      </c>
      <c r="J1413" t="s">
        <v>2573</v>
      </c>
      <c r="K1413" t="s">
        <v>6509</v>
      </c>
    </row>
    <row r="1414" spans="1:11" x14ac:dyDescent="0.4">
      <c r="A1414" t="s">
        <v>6789</v>
      </c>
      <c r="B1414" t="s">
        <v>9</v>
      </c>
      <c r="C1414" t="s">
        <v>10</v>
      </c>
      <c r="D1414" t="s">
        <v>5285</v>
      </c>
      <c r="E1414" t="s">
        <v>6790</v>
      </c>
      <c r="F1414" t="str">
        <f>LEFT(E1414,5)</f>
        <v>서울특별시</v>
      </c>
      <c r="G1414" t="str">
        <f t="shared" si="55"/>
        <v>영등포구</v>
      </c>
      <c r="H1414" t="str">
        <f t="shared" si="54"/>
        <v>문래동</v>
      </c>
      <c r="I1414" t="s">
        <v>6791</v>
      </c>
      <c r="J1414" t="s">
        <v>5288</v>
      </c>
      <c r="K1414" t="s">
        <v>2045</v>
      </c>
    </row>
    <row r="1415" spans="1:11" x14ac:dyDescent="0.4">
      <c r="A1415" t="s">
        <v>5284</v>
      </c>
      <c r="B1415" t="s">
        <v>9</v>
      </c>
      <c r="C1415" t="s">
        <v>10</v>
      </c>
      <c r="D1415" t="s">
        <v>5285</v>
      </c>
      <c r="E1415" t="s">
        <v>5286</v>
      </c>
      <c r="F1415" t="str">
        <f>LEFT(E1415,5)</f>
        <v>서울특별시</v>
      </c>
      <c r="G1415" t="str">
        <f t="shared" si="55"/>
        <v>영등포구</v>
      </c>
      <c r="H1415" t="str">
        <f t="shared" si="54"/>
        <v>문래동</v>
      </c>
      <c r="I1415" t="s">
        <v>5287</v>
      </c>
      <c r="J1415" t="s">
        <v>5288</v>
      </c>
      <c r="K1415" t="s">
        <v>5289</v>
      </c>
    </row>
    <row r="1416" spans="1:11" x14ac:dyDescent="0.4">
      <c r="A1416" t="s">
        <v>6425</v>
      </c>
      <c r="B1416" t="s">
        <v>9</v>
      </c>
      <c r="C1416" t="s">
        <v>10</v>
      </c>
      <c r="D1416" t="s">
        <v>2297</v>
      </c>
      <c r="E1416" t="s">
        <v>6426</v>
      </c>
      <c r="F1416" t="str">
        <f>LEFT(E1416,5)</f>
        <v>서울특별시</v>
      </c>
      <c r="G1416" t="str">
        <f t="shared" si="55"/>
        <v>영등포구</v>
      </c>
      <c r="H1416" t="str">
        <f t="shared" si="54"/>
        <v>신길동</v>
      </c>
      <c r="I1416" t="s">
        <v>6427</v>
      </c>
      <c r="J1416" t="s">
        <v>6428</v>
      </c>
      <c r="K1416" t="s">
        <v>5032</v>
      </c>
    </row>
    <row r="1417" spans="1:11" x14ac:dyDescent="0.4">
      <c r="A1417" t="s">
        <v>2296</v>
      </c>
      <c r="B1417" t="s">
        <v>9</v>
      </c>
      <c r="C1417" t="s">
        <v>10</v>
      </c>
      <c r="D1417" t="s">
        <v>2297</v>
      </c>
      <c r="E1417" t="s">
        <v>2298</v>
      </c>
      <c r="F1417" t="str">
        <f>LEFT(E1417,5)</f>
        <v>서울특별시</v>
      </c>
      <c r="G1417" t="str">
        <f t="shared" si="55"/>
        <v>영등포구</v>
      </c>
      <c r="H1417" t="str">
        <f t="shared" si="54"/>
        <v>신길동</v>
      </c>
      <c r="I1417" t="s">
        <v>2299</v>
      </c>
      <c r="J1417" t="s">
        <v>2300</v>
      </c>
      <c r="K1417" t="s">
        <v>2301</v>
      </c>
    </row>
    <row r="1418" spans="1:11" x14ac:dyDescent="0.4">
      <c r="A1418" t="s">
        <v>2444</v>
      </c>
      <c r="B1418" t="s">
        <v>9</v>
      </c>
      <c r="C1418" t="s">
        <v>10</v>
      </c>
      <c r="D1418" t="s">
        <v>2297</v>
      </c>
      <c r="E1418" t="s">
        <v>2445</v>
      </c>
      <c r="F1418" t="str">
        <f>LEFT(E1418,5)</f>
        <v>서울특별시</v>
      </c>
      <c r="G1418" t="str">
        <f t="shared" si="55"/>
        <v>영등포구</v>
      </c>
      <c r="H1418" t="str">
        <f t="shared" si="54"/>
        <v>신길동</v>
      </c>
      <c r="I1418" t="s">
        <v>2446</v>
      </c>
      <c r="J1418" t="s">
        <v>2447</v>
      </c>
      <c r="K1418" t="s">
        <v>2448</v>
      </c>
    </row>
    <row r="1419" spans="1:11" x14ac:dyDescent="0.4">
      <c r="A1419" t="s">
        <v>7330</v>
      </c>
      <c r="B1419" t="s">
        <v>9</v>
      </c>
      <c r="C1419" t="s">
        <v>10</v>
      </c>
      <c r="D1419" t="s">
        <v>7331</v>
      </c>
      <c r="E1419" t="s">
        <v>7332</v>
      </c>
      <c r="F1419" t="str">
        <f>LEFT(E1419,5)</f>
        <v>서울특별시</v>
      </c>
      <c r="G1419" t="str">
        <f t="shared" si="55"/>
        <v>영등포구</v>
      </c>
      <c r="H1419" t="str">
        <f t="shared" si="54"/>
        <v>신길동</v>
      </c>
      <c r="I1419" t="s">
        <v>7333</v>
      </c>
      <c r="J1419" t="s">
        <v>7334</v>
      </c>
      <c r="K1419" t="s">
        <v>6419</v>
      </c>
    </row>
    <row r="1420" spans="1:11" x14ac:dyDescent="0.4">
      <c r="A1420" t="s">
        <v>4865</v>
      </c>
      <c r="B1420" t="s">
        <v>9</v>
      </c>
      <c r="C1420" t="s">
        <v>10</v>
      </c>
      <c r="D1420" t="s">
        <v>4866</v>
      </c>
      <c r="E1420" t="s">
        <v>4867</v>
      </c>
      <c r="F1420" t="str">
        <f>LEFT(E1420,5)</f>
        <v>서울특별시</v>
      </c>
      <c r="G1420" t="str">
        <f t="shared" si="55"/>
        <v>영등포구</v>
      </c>
      <c r="H1420" t="str">
        <f t="shared" si="54"/>
        <v>신길동</v>
      </c>
      <c r="I1420" t="s">
        <v>4868</v>
      </c>
      <c r="J1420" t="s">
        <v>4869</v>
      </c>
      <c r="K1420" t="s">
        <v>4870</v>
      </c>
    </row>
    <row r="1421" spans="1:11" x14ac:dyDescent="0.4">
      <c r="A1421" t="s">
        <v>6325</v>
      </c>
      <c r="B1421" t="s">
        <v>9</v>
      </c>
      <c r="C1421" t="s">
        <v>10</v>
      </c>
      <c r="D1421" t="s">
        <v>6326</v>
      </c>
      <c r="E1421" t="s">
        <v>6327</v>
      </c>
      <c r="F1421" t="str">
        <f>LEFT(E1421,5)</f>
        <v>서울특별시</v>
      </c>
      <c r="G1421" t="str">
        <f t="shared" si="55"/>
        <v>영등포구</v>
      </c>
      <c r="H1421" t="str">
        <f t="shared" si="54"/>
        <v>신길동</v>
      </c>
      <c r="I1421" t="s">
        <v>6328</v>
      </c>
      <c r="J1421" t="s">
        <v>6329</v>
      </c>
      <c r="K1421" t="s">
        <v>6330</v>
      </c>
    </row>
    <row r="1422" spans="1:11" x14ac:dyDescent="0.4">
      <c r="A1422" t="s">
        <v>2504</v>
      </c>
      <c r="B1422" t="s">
        <v>9</v>
      </c>
      <c r="C1422" t="s">
        <v>10</v>
      </c>
      <c r="D1422" t="s">
        <v>2505</v>
      </c>
      <c r="E1422" t="s">
        <v>2506</v>
      </c>
      <c r="F1422" t="str">
        <f>LEFT(E1422,5)</f>
        <v>서울특별시</v>
      </c>
      <c r="G1422" t="str">
        <f t="shared" si="55"/>
        <v>영등포구</v>
      </c>
      <c r="H1422" t="str">
        <f t="shared" si="54"/>
        <v>신길동</v>
      </c>
      <c r="I1422" t="s">
        <v>2507</v>
      </c>
      <c r="J1422" t="s">
        <v>2508</v>
      </c>
      <c r="K1422" t="s">
        <v>2509</v>
      </c>
    </row>
    <row r="1423" spans="1:11" x14ac:dyDescent="0.4">
      <c r="A1423" t="s">
        <v>6331</v>
      </c>
      <c r="B1423" t="s">
        <v>9</v>
      </c>
      <c r="C1423" t="s">
        <v>10</v>
      </c>
      <c r="D1423" t="s">
        <v>6332</v>
      </c>
      <c r="E1423" t="s">
        <v>6333</v>
      </c>
      <c r="F1423" t="str">
        <f>LEFT(E1423,5)</f>
        <v>서울특별시</v>
      </c>
      <c r="G1423" t="str">
        <f t="shared" si="55"/>
        <v>영등포구</v>
      </c>
      <c r="H1423" t="str">
        <f t="shared" si="54"/>
        <v>신길동</v>
      </c>
      <c r="I1423" t="s">
        <v>6334</v>
      </c>
      <c r="J1423" t="s">
        <v>6335</v>
      </c>
      <c r="K1423" t="s">
        <v>6336</v>
      </c>
    </row>
    <row r="1424" spans="1:11" x14ac:dyDescent="0.4">
      <c r="A1424" t="s">
        <v>7785</v>
      </c>
      <c r="B1424" t="s">
        <v>9</v>
      </c>
      <c r="C1424" t="s">
        <v>10</v>
      </c>
      <c r="D1424" t="s">
        <v>7786</v>
      </c>
      <c r="E1424" t="s">
        <v>7787</v>
      </c>
      <c r="F1424" t="str">
        <f>LEFT(E1424,5)</f>
        <v>서울특별시</v>
      </c>
      <c r="G1424" t="str">
        <f t="shared" si="55"/>
        <v>영등포구</v>
      </c>
      <c r="H1424" t="str">
        <f t="shared" si="54"/>
        <v>신길동</v>
      </c>
      <c r="I1424" t="s">
        <v>7788</v>
      </c>
      <c r="J1424" t="s">
        <v>7789</v>
      </c>
      <c r="K1424" t="s">
        <v>7790</v>
      </c>
    </row>
    <row r="1425" spans="1:11" x14ac:dyDescent="0.4">
      <c r="A1425" t="s">
        <v>6184</v>
      </c>
      <c r="B1425" t="s">
        <v>9</v>
      </c>
      <c r="C1425" t="s">
        <v>10</v>
      </c>
      <c r="D1425" t="s">
        <v>5147</v>
      </c>
      <c r="E1425" t="s">
        <v>6185</v>
      </c>
      <c r="F1425" t="str">
        <f>LEFT(E1425,5)</f>
        <v>서울특별시</v>
      </c>
      <c r="G1425" t="str">
        <f t="shared" si="55"/>
        <v>영등포구</v>
      </c>
      <c r="H1425" t="str">
        <f t="shared" si="54"/>
        <v>양평동</v>
      </c>
      <c r="I1425" t="s">
        <v>6186</v>
      </c>
      <c r="J1425" t="s">
        <v>6187</v>
      </c>
      <c r="K1425" t="s">
        <v>3663</v>
      </c>
    </row>
    <row r="1426" spans="1:11" x14ac:dyDescent="0.4">
      <c r="A1426" t="s">
        <v>3234</v>
      </c>
      <c r="B1426" t="s">
        <v>9</v>
      </c>
      <c r="C1426" t="s">
        <v>10</v>
      </c>
      <c r="D1426" t="s">
        <v>3235</v>
      </c>
      <c r="E1426" t="s">
        <v>3236</v>
      </c>
      <c r="F1426" t="str">
        <f>LEFT(E1426,5)</f>
        <v>서울특별시</v>
      </c>
      <c r="G1426" t="str">
        <f t="shared" si="55"/>
        <v>영등포구</v>
      </c>
      <c r="H1426" t="str">
        <f t="shared" si="54"/>
        <v>양평동</v>
      </c>
      <c r="I1426" t="s">
        <v>11</v>
      </c>
      <c r="J1426" t="s">
        <v>11</v>
      </c>
      <c r="K1426" t="s">
        <v>3237</v>
      </c>
    </row>
    <row r="1427" spans="1:11" x14ac:dyDescent="0.4">
      <c r="A1427" t="s">
        <v>6814</v>
      </c>
      <c r="B1427" t="s">
        <v>9</v>
      </c>
      <c r="C1427" t="s">
        <v>10</v>
      </c>
      <c r="D1427" t="s">
        <v>5147</v>
      </c>
      <c r="E1427" t="s">
        <v>6815</v>
      </c>
      <c r="F1427" t="str">
        <f>LEFT(E1427,5)</f>
        <v>서울특별시</v>
      </c>
      <c r="G1427" t="str">
        <f t="shared" si="55"/>
        <v>영등포구</v>
      </c>
      <c r="H1427" t="str">
        <f t="shared" si="54"/>
        <v>양평동</v>
      </c>
      <c r="I1427" t="s">
        <v>6816</v>
      </c>
      <c r="J1427" t="s">
        <v>5150</v>
      </c>
      <c r="K1427" t="s">
        <v>6817</v>
      </c>
    </row>
    <row r="1428" spans="1:11" x14ac:dyDescent="0.4">
      <c r="A1428" t="s">
        <v>5146</v>
      </c>
      <c r="B1428" t="s">
        <v>9</v>
      </c>
      <c r="C1428" t="s">
        <v>10</v>
      </c>
      <c r="D1428" t="s">
        <v>5147</v>
      </c>
      <c r="E1428" t="s">
        <v>5148</v>
      </c>
      <c r="F1428" t="str">
        <f>LEFT(E1428,5)</f>
        <v>서울특별시</v>
      </c>
      <c r="G1428" t="str">
        <f t="shared" si="55"/>
        <v>영등포구</v>
      </c>
      <c r="H1428" t="str">
        <f t="shared" ref="H1428:H1480" si="56">MID(SUBSTITUTE(E1428," ",""),10,3)</f>
        <v>양평동</v>
      </c>
      <c r="I1428" t="s">
        <v>5149</v>
      </c>
      <c r="J1428" t="s">
        <v>5150</v>
      </c>
      <c r="K1428" t="s">
        <v>5151</v>
      </c>
    </row>
    <row r="1429" spans="1:11" x14ac:dyDescent="0.4">
      <c r="A1429" t="s">
        <v>5200</v>
      </c>
      <c r="B1429" t="s">
        <v>9</v>
      </c>
      <c r="C1429" t="s">
        <v>10</v>
      </c>
      <c r="D1429" t="s">
        <v>5201</v>
      </c>
      <c r="E1429" t="s">
        <v>5202</v>
      </c>
      <c r="F1429" t="str">
        <f>LEFT(E1429,5)</f>
        <v>서울특별시</v>
      </c>
      <c r="G1429" t="str">
        <f t="shared" si="55"/>
        <v>영등포구</v>
      </c>
      <c r="H1429" t="str">
        <f t="shared" si="56"/>
        <v>양평동</v>
      </c>
      <c r="I1429" t="s">
        <v>5203</v>
      </c>
      <c r="J1429" t="s">
        <v>5204</v>
      </c>
      <c r="K1429" t="s">
        <v>5205</v>
      </c>
    </row>
    <row r="1430" spans="1:11" x14ac:dyDescent="0.4">
      <c r="A1430" t="s">
        <v>7083</v>
      </c>
      <c r="B1430" t="s">
        <v>9</v>
      </c>
      <c r="C1430" t="s">
        <v>10</v>
      </c>
      <c r="D1430" t="s">
        <v>5201</v>
      </c>
      <c r="E1430" t="s">
        <v>7084</v>
      </c>
      <c r="F1430" t="str">
        <f>LEFT(E1430,5)</f>
        <v>서울특별시</v>
      </c>
      <c r="G1430" t="str">
        <f t="shared" si="55"/>
        <v>영등포구</v>
      </c>
      <c r="H1430" t="str">
        <f t="shared" si="56"/>
        <v>양평동</v>
      </c>
      <c r="I1430" t="s">
        <v>7085</v>
      </c>
      <c r="J1430" t="s">
        <v>5204</v>
      </c>
      <c r="K1430" t="s">
        <v>7086</v>
      </c>
    </row>
    <row r="1431" spans="1:11" x14ac:dyDescent="0.4">
      <c r="A1431" t="s">
        <v>2781</v>
      </c>
      <c r="B1431" t="s">
        <v>9</v>
      </c>
      <c r="C1431" t="s">
        <v>10</v>
      </c>
      <c r="D1431" t="s">
        <v>2782</v>
      </c>
      <c r="E1431" t="s">
        <v>2783</v>
      </c>
      <c r="F1431" t="str">
        <f>LEFT(E1431,5)</f>
        <v>서울특별시</v>
      </c>
      <c r="G1431" t="str">
        <f t="shared" si="55"/>
        <v>영등포구</v>
      </c>
      <c r="H1431" t="str">
        <f t="shared" si="56"/>
        <v>양평동</v>
      </c>
      <c r="I1431" t="s">
        <v>2784</v>
      </c>
      <c r="J1431" t="s">
        <v>2785</v>
      </c>
      <c r="K1431" t="s">
        <v>2786</v>
      </c>
    </row>
    <row r="1432" spans="1:11" x14ac:dyDescent="0.4">
      <c r="A1432" t="s">
        <v>287</v>
      </c>
      <c r="B1432" t="s">
        <v>9</v>
      </c>
      <c r="C1432" t="s">
        <v>10</v>
      </c>
      <c r="D1432" t="s">
        <v>288</v>
      </c>
      <c r="E1432" t="s">
        <v>289</v>
      </c>
      <c r="F1432" t="str">
        <f>LEFT(E1432,5)</f>
        <v>서울특별시</v>
      </c>
      <c r="G1432" t="str">
        <f t="shared" si="55"/>
        <v>영등포구</v>
      </c>
      <c r="H1432" t="str">
        <f t="shared" si="56"/>
        <v>양평동</v>
      </c>
      <c r="I1432" t="s">
        <v>290</v>
      </c>
      <c r="J1432" t="s">
        <v>291</v>
      </c>
      <c r="K1432" t="s">
        <v>292</v>
      </c>
    </row>
    <row r="1433" spans="1:11" x14ac:dyDescent="0.4">
      <c r="A1433" t="s">
        <v>6973</v>
      </c>
      <c r="B1433" t="s">
        <v>9</v>
      </c>
      <c r="C1433" t="s">
        <v>10</v>
      </c>
      <c r="D1433" t="s">
        <v>288</v>
      </c>
      <c r="E1433" t="s">
        <v>6974</v>
      </c>
      <c r="F1433" t="str">
        <f>LEFT(E1433,5)</f>
        <v>서울특별시</v>
      </c>
      <c r="G1433" t="str">
        <f t="shared" si="55"/>
        <v>영등포구</v>
      </c>
      <c r="H1433" t="str">
        <f t="shared" si="56"/>
        <v>양평동</v>
      </c>
      <c r="I1433" t="s">
        <v>6975</v>
      </c>
      <c r="J1433" t="s">
        <v>6976</v>
      </c>
      <c r="K1433" t="s">
        <v>6977</v>
      </c>
    </row>
    <row r="1434" spans="1:11" x14ac:dyDescent="0.4">
      <c r="A1434" t="s">
        <v>7042</v>
      </c>
      <c r="B1434" t="s">
        <v>9</v>
      </c>
      <c r="C1434" t="s">
        <v>10</v>
      </c>
      <c r="D1434" t="s">
        <v>2782</v>
      </c>
      <c r="E1434" t="s">
        <v>7043</v>
      </c>
      <c r="F1434" t="str">
        <f>LEFT(E1434,5)</f>
        <v>서울특별시</v>
      </c>
      <c r="G1434" t="str">
        <f t="shared" si="55"/>
        <v>영등포구</v>
      </c>
      <c r="H1434" t="str">
        <f t="shared" si="56"/>
        <v>양평동</v>
      </c>
      <c r="I1434" t="s">
        <v>7044</v>
      </c>
      <c r="J1434" t="s">
        <v>6976</v>
      </c>
      <c r="K1434" t="s">
        <v>7045</v>
      </c>
    </row>
    <row r="1435" spans="1:11" x14ac:dyDescent="0.4">
      <c r="A1435" t="s">
        <v>7038</v>
      </c>
      <c r="B1435" t="s">
        <v>9</v>
      </c>
      <c r="C1435" t="s">
        <v>10</v>
      </c>
      <c r="D1435" t="s">
        <v>2782</v>
      </c>
      <c r="E1435" t="s">
        <v>7039</v>
      </c>
      <c r="F1435" t="str">
        <f>LEFT(E1435,5)</f>
        <v>서울특별시</v>
      </c>
      <c r="G1435" t="str">
        <f t="shared" si="55"/>
        <v>영등포구</v>
      </c>
      <c r="H1435" t="str">
        <f t="shared" si="56"/>
        <v>양평동</v>
      </c>
      <c r="I1435" t="s">
        <v>7040</v>
      </c>
      <c r="J1435" t="s">
        <v>6976</v>
      </c>
      <c r="K1435" t="s">
        <v>7041</v>
      </c>
    </row>
    <row r="1436" spans="1:11" x14ac:dyDescent="0.4">
      <c r="A1436" t="s">
        <v>1849</v>
      </c>
      <c r="B1436" t="s">
        <v>9</v>
      </c>
      <c r="C1436" t="s">
        <v>10</v>
      </c>
      <c r="D1436" t="s">
        <v>1850</v>
      </c>
      <c r="E1436" t="s">
        <v>1851</v>
      </c>
      <c r="F1436" t="str">
        <f>LEFT(E1436,5)</f>
        <v>서울특별시</v>
      </c>
      <c r="G1436" t="str">
        <f t="shared" si="55"/>
        <v>영등포구</v>
      </c>
      <c r="H1436" t="str">
        <f>MID(SUBSTITUTE(E1436," ",""),10,4)</f>
        <v>여의도동</v>
      </c>
      <c r="I1436" t="s">
        <v>1852</v>
      </c>
      <c r="J1436" t="s">
        <v>1644</v>
      </c>
      <c r="K1436" t="s">
        <v>1853</v>
      </c>
    </row>
    <row r="1437" spans="1:11" x14ac:dyDescent="0.4">
      <c r="A1437" t="s">
        <v>1640</v>
      </c>
      <c r="B1437" t="s">
        <v>9</v>
      </c>
      <c r="C1437" t="s">
        <v>10</v>
      </c>
      <c r="D1437" t="s">
        <v>1641</v>
      </c>
      <c r="E1437" t="s">
        <v>1642</v>
      </c>
      <c r="F1437" t="str">
        <f>LEFT(E1437,5)</f>
        <v>서울특별시</v>
      </c>
      <c r="G1437" t="str">
        <f t="shared" si="55"/>
        <v>영등포구</v>
      </c>
      <c r="H1437" t="str">
        <f t="shared" ref="H1437:H1480" si="57">MID(SUBSTITUTE(E1437," ",""),10,4)</f>
        <v>여의도동</v>
      </c>
      <c r="I1437" t="s">
        <v>1643</v>
      </c>
      <c r="J1437" t="s">
        <v>1644</v>
      </c>
      <c r="K1437" t="s">
        <v>1645</v>
      </c>
    </row>
    <row r="1438" spans="1:11" x14ac:dyDescent="0.4">
      <c r="A1438" t="s">
        <v>1859</v>
      </c>
      <c r="B1438" t="s">
        <v>9</v>
      </c>
      <c r="C1438" t="s">
        <v>10</v>
      </c>
      <c r="D1438" t="s">
        <v>1860</v>
      </c>
      <c r="E1438" t="s">
        <v>1861</v>
      </c>
      <c r="F1438" t="str">
        <f>LEFT(E1438,5)</f>
        <v>서울특별시</v>
      </c>
      <c r="G1438" t="str">
        <f t="shared" si="55"/>
        <v>영등포구</v>
      </c>
      <c r="H1438" t="str">
        <f t="shared" si="57"/>
        <v>여의도동</v>
      </c>
      <c r="I1438" t="s">
        <v>1862</v>
      </c>
      <c r="J1438" t="s">
        <v>1644</v>
      </c>
      <c r="K1438" t="s">
        <v>1863</v>
      </c>
    </row>
    <row r="1439" spans="1:11" x14ac:dyDescent="0.4">
      <c r="A1439" t="s">
        <v>2435</v>
      </c>
      <c r="B1439" t="s">
        <v>9</v>
      </c>
      <c r="C1439" t="s">
        <v>10</v>
      </c>
      <c r="D1439" t="s">
        <v>1860</v>
      </c>
      <c r="E1439" t="s">
        <v>2436</v>
      </c>
      <c r="F1439" t="str">
        <f>LEFT(E1439,5)</f>
        <v>서울특별시</v>
      </c>
      <c r="G1439" t="str">
        <f t="shared" si="55"/>
        <v>영등포구</v>
      </c>
      <c r="H1439" t="str">
        <f t="shared" si="57"/>
        <v>여의도동</v>
      </c>
      <c r="I1439" t="s">
        <v>2437</v>
      </c>
      <c r="J1439" t="s">
        <v>1644</v>
      </c>
      <c r="K1439" t="s">
        <v>2178</v>
      </c>
    </row>
    <row r="1440" spans="1:11" x14ac:dyDescent="0.4">
      <c r="A1440" t="s">
        <v>1061</v>
      </c>
      <c r="B1440" t="s">
        <v>9</v>
      </c>
      <c r="C1440" t="s">
        <v>10</v>
      </c>
      <c r="D1440" t="s">
        <v>445</v>
      </c>
      <c r="E1440" t="s">
        <v>1062</v>
      </c>
      <c r="F1440" t="str">
        <f>LEFT(E1440,5)</f>
        <v>서울특별시</v>
      </c>
      <c r="G1440" t="str">
        <f t="shared" si="55"/>
        <v>영등포구</v>
      </c>
      <c r="H1440" t="str">
        <f t="shared" si="57"/>
        <v>여의도동</v>
      </c>
      <c r="I1440" t="s">
        <v>1063</v>
      </c>
      <c r="J1440" t="s">
        <v>448</v>
      </c>
      <c r="K1440" t="s">
        <v>1064</v>
      </c>
    </row>
    <row r="1441" spans="1:11" x14ac:dyDescent="0.4">
      <c r="A1441" t="s">
        <v>444</v>
      </c>
      <c r="B1441" t="s">
        <v>9</v>
      </c>
      <c r="C1441" t="s">
        <v>10</v>
      </c>
      <c r="D1441" t="s">
        <v>445</v>
      </c>
      <c r="E1441" t="s">
        <v>446</v>
      </c>
      <c r="F1441" t="str">
        <f>LEFT(E1441,5)</f>
        <v>서울특별시</v>
      </c>
      <c r="G1441" t="str">
        <f t="shared" si="55"/>
        <v>영등포구</v>
      </c>
      <c r="H1441" t="str">
        <f t="shared" si="57"/>
        <v>여의도동</v>
      </c>
      <c r="I1441" t="s">
        <v>447</v>
      </c>
      <c r="J1441" t="s">
        <v>448</v>
      </c>
      <c r="K1441" t="s">
        <v>449</v>
      </c>
    </row>
    <row r="1442" spans="1:11" x14ac:dyDescent="0.4">
      <c r="A1442" t="s">
        <v>1293</v>
      </c>
      <c r="B1442" t="s">
        <v>9</v>
      </c>
      <c r="C1442" t="s">
        <v>10</v>
      </c>
      <c r="D1442" t="s">
        <v>371</v>
      </c>
      <c r="E1442" t="s">
        <v>1294</v>
      </c>
      <c r="F1442" t="str">
        <f>LEFT(E1442,5)</f>
        <v>서울특별시</v>
      </c>
      <c r="G1442" t="str">
        <f t="shared" si="55"/>
        <v>영등포구</v>
      </c>
      <c r="H1442" t="str">
        <f t="shared" si="57"/>
        <v>여의도동</v>
      </c>
      <c r="I1442" t="s">
        <v>1295</v>
      </c>
      <c r="J1442" t="s">
        <v>374</v>
      </c>
      <c r="K1442" t="s">
        <v>1296</v>
      </c>
    </row>
    <row r="1443" spans="1:11" x14ac:dyDescent="0.4">
      <c r="A1443" t="s">
        <v>370</v>
      </c>
      <c r="B1443" t="s">
        <v>9</v>
      </c>
      <c r="C1443" t="s">
        <v>10</v>
      </c>
      <c r="D1443" t="s">
        <v>371</v>
      </c>
      <c r="E1443" t="s">
        <v>372</v>
      </c>
      <c r="F1443" t="str">
        <f>LEFT(E1443,5)</f>
        <v>서울특별시</v>
      </c>
      <c r="G1443" t="str">
        <f t="shared" si="55"/>
        <v>영등포구</v>
      </c>
      <c r="H1443" t="str">
        <f t="shared" si="57"/>
        <v>여의도동</v>
      </c>
      <c r="I1443" t="s">
        <v>373</v>
      </c>
      <c r="J1443" t="s">
        <v>374</v>
      </c>
      <c r="K1443" t="s">
        <v>375</v>
      </c>
    </row>
    <row r="1444" spans="1:11" x14ac:dyDescent="0.4">
      <c r="A1444" t="s">
        <v>5696</v>
      </c>
      <c r="B1444" t="s">
        <v>9</v>
      </c>
      <c r="C1444" t="s">
        <v>10</v>
      </c>
      <c r="D1444" t="s">
        <v>1992</v>
      </c>
      <c r="E1444" t="s">
        <v>5697</v>
      </c>
      <c r="F1444" t="str">
        <f>LEFT(E1444,5)</f>
        <v>서울특별시</v>
      </c>
      <c r="G1444" t="str">
        <f t="shared" si="55"/>
        <v>영등포구</v>
      </c>
      <c r="H1444" t="str">
        <f t="shared" si="57"/>
        <v>여의도동</v>
      </c>
      <c r="I1444" t="s">
        <v>5698</v>
      </c>
      <c r="J1444" t="s">
        <v>141</v>
      </c>
      <c r="K1444" t="s">
        <v>5699</v>
      </c>
    </row>
    <row r="1445" spans="1:11" x14ac:dyDescent="0.4">
      <c r="A1445" t="s">
        <v>7264</v>
      </c>
      <c r="B1445" t="s">
        <v>9</v>
      </c>
      <c r="C1445" t="s">
        <v>10</v>
      </c>
      <c r="D1445" t="s">
        <v>1992</v>
      </c>
      <c r="E1445" t="s">
        <v>7265</v>
      </c>
      <c r="F1445" t="str">
        <f>LEFT(E1445,5)</f>
        <v>서울특별시</v>
      </c>
      <c r="G1445" t="str">
        <f t="shared" si="55"/>
        <v>영등포구</v>
      </c>
      <c r="H1445" t="str">
        <f t="shared" si="57"/>
        <v>여의도동</v>
      </c>
      <c r="I1445" t="s">
        <v>7266</v>
      </c>
      <c r="J1445" t="s">
        <v>141</v>
      </c>
      <c r="K1445" t="s">
        <v>7267</v>
      </c>
    </row>
    <row r="1446" spans="1:11" x14ac:dyDescent="0.4">
      <c r="A1446" t="s">
        <v>7795</v>
      </c>
      <c r="B1446" t="s">
        <v>9</v>
      </c>
      <c r="C1446" t="s">
        <v>10</v>
      </c>
      <c r="D1446" t="s">
        <v>1992</v>
      </c>
      <c r="E1446" t="s">
        <v>7796</v>
      </c>
      <c r="F1446" t="str">
        <f>LEFT(E1446,5)</f>
        <v>서울특별시</v>
      </c>
      <c r="G1446" t="str">
        <f t="shared" si="55"/>
        <v>영등포구</v>
      </c>
      <c r="H1446" t="str">
        <f t="shared" si="57"/>
        <v>여의도동</v>
      </c>
      <c r="I1446" t="s">
        <v>7797</v>
      </c>
      <c r="J1446" t="s">
        <v>141</v>
      </c>
      <c r="K1446" t="s">
        <v>7798</v>
      </c>
    </row>
    <row r="1447" spans="1:11" x14ac:dyDescent="0.4">
      <c r="A1447" t="s">
        <v>1991</v>
      </c>
      <c r="B1447" t="s">
        <v>9</v>
      </c>
      <c r="C1447" t="s">
        <v>10</v>
      </c>
      <c r="D1447" t="s">
        <v>1992</v>
      </c>
      <c r="E1447" t="s">
        <v>1993</v>
      </c>
      <c r="F1447" t="str">
        <f>LEFT(E1447,5)</f>
        <v>서울특별시</v>
      </c>
      <c r="G1447" t="str">
        <f t="shared" si="55"/>
        <v>영등포구</v>
      </c>
      <c r="H1447" t="str">
        <f t="shared" si="57"/>
        <v>여의도동</v>
      </c>
      <c r="I1447" t="s">
        <v>1994</v>
      </c>
      <c r="J1447" t="s">
        <v>141</v>
      </c>
      <c r="K1447" t="s">
        <v>1995</v>
      </c>
    </row>
    <row r="1448" spans="1:11" x14ac:dyDescent="0.4">
      <c r="A1448" t="s">
        <v>1696</v>
      </c>
      <c r="B1448" t="s">
        <v>9</v>
      </c>
      <c r="C1448" t="s">
        <v>10</v>
      </c>
      <c r="D1448" t="s">
        <v>608</v>
      </c>
      <c r="E1448" t="s">
        <v>1697</v>
      </c>
      <c r="F1448" t="str">
        <f>LEFT(E1448,5)</f>
        <v>서울특별시</v>
      </c>
      <c r="G1448" t="str">
        <f t="shared" si="55"/>
        <v>영등포구</v>
      </c>
      <c r="H1448" t="str">
        <f t="shared" si="57"/>
        <v>여의도동</v>
      </c>
      <c r="I1448" t="s">
        <v>1698</v>
      </c>
      <c r="J1448" t="s">
        <v>141</v>
      </c>
      <c r="K1448" t="s">
        <v>1699</v>
      </c>
    </row>
    <row r="1449" spans="1:11" x14ac:dyDescent="0.4">
      <c r="A1449" t="s">
        <v>607</v>
      </c>
      <c r="B1449" t="s">
        <v>9</v>
      </c>
      <c r="C1449" t="s">
        <v>10</v>
      </c>
      <c r="D1449" t="s">
        <v>608</v>
      </c>
      <c r="E1449" t="s">
        <v>609</v>
      </c>
      <c r="F1449" t="str">
        <f>LEFT(E1449,5)</f>
        <v>서울특별시</v>
      </c>
      <c r="G1449" t="str">
        <f t="shared" si="55"/>
        <v>영등포구</v>
      </c>
      <c r="H1449" t="str">
        <f t="shared" si="57"/>
        <v>여의도동</v>
      </c>
      <c r="I1449" t="s">
        <v>610</v>
      </c>
      <c r="J1449" t="s">
        <v>141</v>
      </c>
      <c r="K1449" t="s">
        <v>611</v>
      </c>
    </row>
    <row r="1450" spans="1:11" x14ac:dyDescent="0.4">
      <c r="A1450" t="s">
        <v>137</v>
      </c>
      <c r="B1450" t="s">
        <v>9</v>
      </c>
      <c r="C1450" t="s">
        <v>10</v>
      </c>
      <c r="D1450" t="s">
        <v>138</v>
      </c>
      <c r="E1450" t="s">
        <v>139</v>
      </c>
      <c r="F1450" t="str">
        <f>LEFT(E1450,5)</f>
        <v>서울특별시</v>
      </c>
      <c r="G1450" t="str">
        <f t="shared" si="55"/>
        <v>영등포구</v>
      </c>
      <c r="H1450" t="str">
        <f t="shared" si="57"/>
        <v>여의도동</v>
      </c>
      <c r="I1450" t="s">
        <v>140</v>
      </c>
      <c r="J1450" t="s">
        <v>141</v>
      </c>
      <c r="K1450" t="s">
        <v>142</v>
      </c>
    </row>
    <row r="1451" spans="1:11" x14ac:dyDescent="0.4">
      <c r="A1451" t="s">
        <v>7233</v>
      </c>
      <c r="B1451" t="s">
        <v>9</v>
      </c>
      <c r="C1451" t="s">
        <v>10</v>
      </c>
      <c r="D1451" t="s">
        <v>7234</v>
      </c>
      <c r="E1451" t="s">
        <v>7235</v>
      </c>
      <c r="F1451" t="str">
        <f>LEFT(E1451,5)</f>
        <v>서울특별시</v>
      </c>
      <c r="G1451" t="str">
        <f t="shared" si="55"/>
        <v>영등포구</v>
      </c>
      <c r="H1451" t="str">
        <f t="shared" si="57"/>
        <v>여의도동</v>
      </c>
      <c r="I1451" t="s">
        <v>7236</v>
      </c>
      <c r="J1451" t="s">
        <v>141</v>
      </c>
      <c r="K1451" t="s">
        <v>7237</v>
      </c>
    </row>
    <row r="1452" spans="1:11" x14ac:dyDescent="0.4">
      <c r="A1452" t="s">
        <v>5850</v>
      </c>
      <c r="B1452" t="s">
        <v>9</v>
      </c>
      <c r="C1452" t="s">
        <v>10</v>
      </c>
      <c r="D1452" t="s">
        <v>608</v>
      </c>
      <c r="E1452" t="s">
        <v>5851</v>
      </c>
      <c r="F1452" t="str">
        <f>LEFT(E1452,5)</f>
        <v>서울특별시</v>
      </c>
      <c r="G1452" t="str">
        <f t="shared" si="55"/>
        <v>영등포구</v>
      </c>
      <c r="H1452" t="str">
        <f t="shared" si="57"/>
        <v>여의도동</v>
      </c>
      <c r="I1452" t="s">
        <v>5852</v>
      </c>
      <c r="J1452" t="s">
        <v>141</v>
      </c>
      <c r="K1452" t="s">
        <v>5853</v>
      </c>
    </row>
    <row r="1453" spans="1:11" x14ac:dyDescent="0.4">
      <c r="A1453" t="s">
        <v>1742</v>
      </c>
      <c r="B1453" t="s">
        <v>9</v>
      </c>
      <c r="C1453" t="s">
        <v>10</v>
      </c>
      <c r="D1453" t="s">
        <v>608</v>
      </c>
      <c r="E1453" t="s">
        <v>1743</v>
      </c>
      <c r="F1453" t="str">
        <f>LEFT(E1453,5)</f>
        <v>서울특별시</v>
      </c>
      <c r="G1453" t="str">
        <f t="shared" si="55"/>
        <v>영등포구</v>
      </c>
      <c r="H1453" t="str">
        <f t="shared" si="57"/>
        <v>여의도동</v>
      </c>
      <c r="I1453" t="s">
        <v>1744</v>
      </c>
      <c r="J1453" t="s">
        <v>141</v>
      </c>
      <c r="K1453" t="s">
        <v>1745</v>
      </c>
    </row>
    <row r="1454" spans="1:11" x14ac:dyDescent="0.4">
      <c r="A1454" t="s">
        <v>4263</v>
      </c>
      <c r="B1454" t="s">
        <v>9</v>
      </c>
      <c r="C1454" t="s">
        <v>10</v>
      </c>
      <c r="D1454" t="s">
        <v>4264</v>
      </c>
      <c r="E1454" t="s">
        <v>4265</v>
      </c>
      <c r="F1454" t="str">
        <f>LEFT(E1454,5)</f>
        <v>서울특별시</v>
      </c>
      <c r="G1454" t="str">
        <f t="shared" si="55"/>
        <v>영등포구</v>
      </c>
      <c r="H1454" t="str">
        <f t="shared" si="57"/>
        <v>영등포동</v>
      </c>
      <c r="I1454" t="s">
        <v>11</v>
      </c>
      <c r="J1454" t="s">
        <v>11</v>
      </c>
      <c r="K1454" t="s">
        <v>4266</v>
      </c>
    </row>
    <row r="1455" spans="1:11" x14ac:dyDescent="0.4">
      <c r="A1455" t="s">
        <v>3831</v>
      </c>
      <c r="B1455" t="s">
        <v>9</v>
      </c>
      <c r="C1455" t="s">
        <v>10</v>
      </c>
      <c r="D1455" t="s">
        <v>3832</v>
      </c>
      <c r="E1455" t="s">
        <v>3833</v>
      </c>
      <c r="F1455" t="str">
        <f>LEFT(E1455,5)</f>
        <v>서울특별시</v>
      </c>
      <c r="G1455" t="str">
        <f t="shared" si="55"/>
        <v>영등포구</v>
      </c>
      <c r="H1455" t="str">
        <f t="shared" si="57"/>
        <v>영등포동</v>
      </c>
      <c r="I1455" t="s">
        <v>3834</v>
      </c>
      <c r="J1455" t="s">
        <v>3835</v>
      </c>
      <c r="K1455" t="s">
        <v>3836</v>
      </c>
    </row>
    <row r="1456" spans="1:11" x14ac:dyDescent="0.4">
      <c r="A1456" t="s">
        <v>228</v>
      </c>
      <c r="B1456" t="s">
        <v>9</v>
      </c>
      <c r="C1456" t="s">
        <v>10</v>
      </c>
      <c r="D1456" t="s">
        <v>229</v>
      </c>
      <c r="E1456" t="s">
        <v>230</v>
      </c>
      <c r="F1456" t="str">
        <f>LEFT(E1456,5)</f>
        <v>서울특별시</v>
      </c>
      <c r="G1456" t="str">
        <f t="shared" si="55"/>
        <v>영등포구</v>
      </c>
      <c r="H1456" t="str">
        <f t="shared" si="57"/>
        <v>영등포동</v>
      </c>
      <c r="I1456" t="s">
        <v>231</v>
      </c>
      <c r="J1456" t="s">
        <v>232</v>
      </c>
      <c r="K1456" t="s">
        <v>233</v>
      </c>
    </row>
    <row r="1457" spans="1:11" x14ac:dyDescent="0.4">
      <c r="A1457" t="s">
        <v>7259</v>
      </c>
      <c r="B1457" t="s">
        <v>9</v>
      </c>
      <c r="C1457" t="s">
        <v>10</v>
      </c>
      <c r="D1457" t="s">
        <v>7260</v>
      </c>
      <c r="E1457" t="s">
        <v>7261</v>
      </c>
      <c r="F1457" t="str">
        <f>LEFT(E1457,5)</f>
        <v>서울특별시</v>
      </c>
      <c r="G1457" t="str">
        <f t="shared" si="55"/>
        <v>영등포구</v>
      </c>
      <c r="H1457" t="str">
        <f t="shared" si="57"/>
        <v>영등포동</v>
      </c>
      <c r="I1457" t="s">
        <v>7262</v>
      </c>
      <c r="J1457" t="s">
        <v>7263</v>
      </c>
      <c r="K1457" t="s">
        <v>2280</v>
      </c>
    </row>
    <row r="1458" spans="1:11" x14ac:dyDescent="0.4">
      <c r="A1458" t="s">
        <v>131</v>
      </c>
      <c r="B1458" t="s">
        <v>9</v>
      </c>
      <c r="C1458" t="s">
        <v>10</v>
      </c>
      <c r="D1458" t="s">
        <v>132</v>
      </c>
      <c r="E1458" t="s">
        <v>133</v>
      </c>
      <c r="F1458" t="str">
        <f>LEFT(E1458,5)</f>
        <v>서울특별시</v>
      </c>
      <c r="G1458" t="str">
        <f t="shared" si="55"/>
        <v>영등포구</v>
      </c>
      <c r="H1458" t="str">
        <f t="shared" si="57"/>
        <v>영등포동</v>
      </c>
      <c r="I1458" t="s">
        <v>134</v>
      </c>
      <c r="J1458" t="s">
        <v>135</v>
      </c>
      <c r="K1458" t="s">
        <v>136</v>
      </c>
    </row>
    <row r="1459" spans="1:11" x14ac:dyDescent="0.4">
      <c r="A1459" t="s">
        <v>1982</v>
      </c>
      <c r="B1459" t="s">
        <v>9</v>
      </c>
      <c r="C1459" t="s">
        <v>10</v>
      </c>
      <c r="D1459" t="s">
        <v>97</v>
      </c>
      <c r="E1459" t="s">
        <v>1983</v>
      </c>
      <c r="F1459" t="str">
        <f>LEFT(E1459,5)</f>
        <v>서울특별시</v>
      </c>
      <c r="G1459" t="str">
        <f t="shared" si="55"/>
        <v>영등포구</v>
      </c>
      <c r="H1459" t="str">
        <f t="shared" si="57"/>
        <v>영등포동</v>
      </c>
      <c r="I1459" t="s">
        <v>1984</v>
      </c>
      <c r="J1459" t="s">
        <v>1985</v>
      </c>
      <c r="K1459" t="s">
        <v>1986</v>
      </c>
    </row>
    <row r="1460" spans="1:11" x14ac:dyDescent="0.4">
      <c r="A1460" t="s">
        <v>2365</v>
      </c>
      <c r="B1460" t="s">
        <v>9</v>
      </c>
      <c r="C1460" t="s">
        <v>10</v>
      </c>
      <c r="D1460" t="s">
        <v>97</v>
      </c>
      <c r="E1460" t="s">
        <v>2366</v>
      </c>
      <c r="F1460" t="str">
        <f>LEFT(E1460,5)</f>
        <v>서울특별시</v>
      </c>
      <c r="G1460" t="str">
        <f t="shared" si="55"/>
        <v>영등포구</v>
      </c>
      <c r="H1460" t="str">
        <f t="shared" si="57"/>
        <v>영등포동</v>
      </c>
      <c r="I1460" t="s">
        <v>2367</v>
      </c>
      <c r="J1460" t="s">
        <v>100</v>
      </c>
      <c r="K1460" t="s">
        <v>2368</v>
      </c>
    </row>
    <row r="1461" spans="1:11" x14ac:dyDescent="0.4">
      <c r="A1461" t="s">
        <v>526</v>
      </c>
      <c r="B1461" t="s">
        <v>9</v>
      </c>
      <c r="C1461" t="s">
        <v>10</v>
      </c>
      <c r="D1461" t="s">
        <v>97</v>
      </c>
      <c r="E1461" t="s">
        <v>527</v>
      </c>
      <c r="F1461" t="str">
        <f>LEFT(E1461,5)</f>
        <v>서울특별시</v>
      </c>
      <c r="G1461" t="str">
        <f t="shared" si="55"/>
        <v>영등포구</v>
      </c>
      <c r="H1461" t="str">
        <f t="shared" si="57"/>
        <v>영등포동</v>
      </c>
      <c r="I1461" t="s">
        <v>528</v>
      </c>
      <c r="J1461" t="s">
        <v>189</v>
      </c>
      <c r="K1461" t="s">
        <v>529</v>
      </c>
    </row>
    <row r="1462" spans="1:11" x14ac:dyDescent="0.4">
      <c r="A1462" t="s">
        <v>1330</v>
      </c>
      <c r="B1462" t="s">
        <v>9</v>
      </c>
      <c r="C1462" t="s">
        <v>10</v>
      </c>
      <c r="D1462" t="s">
        <v>97</v>
      </c>
      <c r="E1462" t="s">
        <v>1331</v>
      </c>
      <c r="F1462" t="str">
        <f>LEFT(E1462,5)</f>
        <v>서울특별시</v>
      </c>
      <c r="G1462" t="str">
        <f t="shared" si="55"/>
        <v>영등포구</v>
      </c>
      <c r="H1462" t="str">
        <f t="shared" si="57"/>
        <v>영등포동</v>
      </c>
      <c r="I1462" t="s">
        <v>1332</v>
      </c>
      <c r="J1462" t="s">
        <v>189</v>
      </c>
      <c r="K1462" t="s">
        <v>1333</v>
      </c>
    </row>
    <row r="1463" spans="1:11" x14ac:dyDescent="0.4">
      <c r="A1463" t="s">
        <v>704</v>
      </c>
      <c r="B1463" t="s">
        <v>9</v>
      </c>
      <c r="C1463" t="s">
        <v>10</v>
      </c>
      <c r="D1463" t="s">
        <v>97</v>
      </c>
      <c r="E1463" t="s">
        <v>705</v>
      </c>
      <c r="F1463" t="str">
        <f>LEFT(E1463,5)</f>
        <v>서울특별시</v>
      </c>
      <c r="G1463" t="str">
        <f t="shared" si="55"/>
        <v>영등포구</v>
      </c>
      <c r="H1463" t="str">
        <f t="shared" si="57"/>
        <v>영등포동</v>
      </c>
      <c r="I1463" t="s">
        <v>706</v>
      </c>
      <c r="J1463" t="s">
        <v>100</v>
      </c>
      <c r="K1463" t="s">
        <v>707</v>
      </c>
    </row>
    <row r="1464" spans="1:11" x14ac:dyDescent="0.4">
      <c r="A1464" t="s">
        <v>96</v>
      </c>
      <c r="B1464" t="s">
        <v>9</v>
      </c>
      <c r="C1464" t="s">
        <v>10</v>
      </c>
      <c r="D1464" t="s">
        <v>97</v>
      </c>
      <c r="E1464" t="s">
        <v>98</v>
      </c>
      <c r="F1464" t="str">
        <f>LEFT(E1464,5)</f>
        <v>서울특별시</v>
      </c>
      <c r="G1464" t="str">
        <f t="shared" si="55"/>
        <v>영등포구</v>
      </c>
      <c r="H1464" t="str">
        <f t="shared" si="57"/>
        <v>영등포동</v>
      </c>
      <c r="I1464" t="s">
        <v>99</v>
      </c>
      <c r="J1464" t="s">
        <v>100</v>
      </c>
      <c r="K1464" t="s">
        <v>101</v>
      </c>
    </row>
    <row r="1465" spans="1:11" x14ac:dyDescent="0.4">
      <c r="A1465" t="s">
        <v>2777</v>
      </c>
      <c r="B1465" t="s">
        <v>9</v>
      </c>
      <c r="C1465" t="s">
        <v>10</v>
      </c>
      <c r="D1465" t="s">
        <v>97</v>
      </c>
      <c r="E1465" t="s">
        <v>2778</v>
      </c>
      <c r="F1465" t="str">
        <f>LEFT(E1465,5)</f>
        <v>서울특별시</v>
      </c>
      <c r="G1465" t="str">
        <f t="shared" si="55"/>
        <v>영등포구</v>
      </c>
      <c r="H1465" t="str">
        <f t="shared" si="57"/>
        <v>영등포동</v>
      </c>
      <c r="I1465" t="s">
        <v>2779</v>
      </c>
      <c r="J1465" t="s">
        <v>11</v>
      </c>
      <c r="K1465" t="s">
        <v>2780</v>
      </c>
    </row>
    <row r="1466" spans="1:11" x14ac:dyDescent="0.4">
      <c r="A1466" t="s">
        <v>186</v>
      </c>
      <c r="B1466" t="s">
        <v>9</v>
      </c>
      <c r="C1466" t="s">
        <v>10</v>
      </c>
      <c r="D1466" t="s">
        <v>97</v>
      </c>
      <c r="E1466" t="s">
        <v>187</v>
      </c>
      <c r="F1466" t="str">
        <f>LEFT(E1466,5)</f>
        <v>서울특별시</v>
      </c>
      <c r="G1466" t="str">
        <f t="shared" si="55"/>
        <v>영등포구</v>
      </c>
      <c r="H1466" t="str">
        <f t="shared" si="57"/>
        <v>영등포동</v>
      </c>
      <c r="I1466" t="s">
        <v>188</v>
      </c>
      <c r="J1466" t="s">
        <v>189</v>
      </c>
      <c r="K1466" t="s">
        <v>190</v>
      </c>
    </row>
    <row r="1467" spans="1:11" x14ac:dyDescent="0.4">
      <c r="A1467" t="s">
        <v>1177</v>
      </c>
      <c r="B1467" t="s">
        <v>9</v>
      </c>
      <c r="C1467" t="s">
        <v>10</v>
      </c>
      <c r="D1467" t="s">
        <v>97</v>
      </c>
      <c r="E1467" t="s">
        <v>1178</v>
      </c>
      <c r="F1467" t="str">
        <f>LEFT(E1467,5)</f>
        <v>서울특별시</v>
      </c>
      <c r="G1467" t="str">
        <f t="shared" si="55"/>
        <v>영등포구</v>
      </c>
      <c r="H1467" t="str">
        <f t="shared" si="57"/>
        <v>영등포동</v>
      </c>
      <c r="I1467" t="s">
        <v>1179</v>
      </c>
      <c r="J1467" t="s">
        <v>189</v>
      </c>
      <c r="K1467" t="s">
        <v>1180</v>
      </c>
    </row>
    <row r="1468" spans="1:11" x14ac:dyDescent="0.4">
      <c r="A1468" t="s">
        <v>346</v>
      </c>
      <c r="B1468" t="s">
        <v>9</v>
      </c>
      <c r="C1468" t="s">
        <v>10</v>
      </c>
      <c r="D1468" t="s">
        <v>97</v>
      </c>
      <c r="E1468" t="s">
        <v>347</v>
      </c>
      <c r="F1468" t="str">
        <f>LEFT(E1468,5)</f>
        <v>서울특별시</v>
      </c>
      <c r="G1468" t="str">
        <f t="shared" si="55"/>
        <v>영등포구</v>
      </c>
      <c r="H1468" t="str">
        <f t="shared" si="57"/>
        <v>영등포동</v>
      </c>
      <c r="I1468" t="s">
        <v>348</v>
      </c>
      <c r="J1468" t="s">
        <v>100</v>
      </c>
      <c r="K1468" t="s">
        <v>349</v>
      </c>
    </row>
    <row r="1469" spans="1:11" x14ac:dyDescent="0.4">
      <c r="A1469" t="s">
        <v>5244</v>
      </c>
      <c r="B1469" t="s">
        <v>9</v>
      </c>
      <c r="C1469" t="s">
        <v>10</v>
      </c>
      <c r="D1469" t="s">
        <v>5245</v>
      </c>
      <c r="E1469" t="s">
        <v>5246</v>
      </c>
      <c r="F1469" t="str">
        <f>LEFT(E1469,5)</f>
        <v>서울특별시</v>
      </c>
      <c r="G1469" t="str">
        <f t="shared" si="55"/>
        <v>영등포구</v>
      </c>
      <c r="H1469" t="str">
        <f t="shared" si="57"/>
        <v>영등포동</v>
      </c>
      <c r="I1469" t="s">
        <v>5247</v>
      </c>
      <c r="J1469" t="s">
        <v>5248</v>
      </c>
      <c r="K1469" t="s">
        <v>5249</v>
      </c>
    </row>
    <row r="1470" spans="1:11" x14ac:dyDescent="0.4">
      <c r="A1470" t="s">
        <v>8853</v>
      </c>
      <c r="B1470" t="s">
        <v>9</v>
      </c>
      <c r="C1470" t="s">
        <v>10</v>
      </c>
      <c r="D1470" t="s">
        <v>73</v>
      </c>
      <c r="E1470" t="s">
        <v>8854</v>
      </c>
      <c r="F1470" t="str">
        <f>LEFT(E1470,5)</f>
        <v>서울특별시</v>
      </c>
      <c r="G1470" t="str">
        <f t="shared" si="55"/>
        <v>영등포구</v>
      </c>
      <c r="H1470" t="str">
        <f t="shared" si="57"/>
        <v>영등포동</v>
      </c>
      <c r="I1470" t="s">
        <v>11</v>
      </c>
      <c r="J1470" t="s">
        <v>11</v>
      </c>
      <c r="K1470" t="s">
        <v>4266</v>
      </c>
    </row>
    <row r="1471" spans="1:11" x14ac:dyDescent="0.4">
      <c r="A1471" t="s">
        <v>6924</v>
      </c>
      <c r="B1471" t="s">
        <v>9</v>
      </c>
      <c r="C1471" t="s">
        <v>10</v>
      </c>
      <c r="D1471" t="s">
        <v>73</v>
      </c>
      <c r="E1471" t="s">
        <v>6925</v>
      </c>
      <c r="F1471" t="str">
        <f>LEFT(E1471,5)</f>
        <v>서울특별시</v>
      </c>
      <c r="G1471" t="str">
        <f t="shared" si="55"/>
        <v>영등포구</v>
      </c>
      <c r="H1471" t="str">
        <f t="shared" si="57"/>
        <v>영등포동</v>
      </c>
      <c r="I1471" t="s">
        <v>2121</v>
      </c>
      <c r="J1471" t="s">
        <v>76</v>
      </c>
      <c r="K1471" t="s">
        <v>59</v>
      </c>
    </row>
    <row r="1472" spans="1:11" x14ac:dyDescent="0.4">
      <c r="A1472" t="s">
        <v>72</v>
      </c>
      <c r="B1472" t="s">
        <v>9</v>
      </c>
      <c r="C1472" t="s">
        <v>10</v>
      </c>
      <c r="D1472" t="s">
        <v>73</v>
      </c>
      <c r="E1472" t="s">
        <v>74</v>
      </c>
      <c r="F1472" t="str">
        <f>LEFT(E1472,5)</f>
        <v>서울특별시</v>
      </c>
      <c r="G1472" t="str">
        <f t="shared" si="55"/>
        <v>영등포구</v>
      </c>
      <c r="H1472" t="str">
        <f t="shared" si="57"/>
        <v>영등포동</v>
      </c>
      <c r="I1472" t="s">
        <v>75</v>
      </c>
      <c r="J1472" t="s">
        <v>76</v>
      </c>
      <c r="K1472" t="s">
        <v>77</v>
      </c>
    </row>
    <row r="1473" spans="1:11" x14ac:dyDescent="0.4">
      <c r="A1473" t="s">
        <v>1874</v>
      </c>
      <c r="B1473" t="s">
        <v>9</v>
      </c>
      <c r="C1473" t="s">
        <v>10</v>
      </c>
      <c r="D1473" t="s">
        <v>73</v>
      </c>
      <c r="E1473" t="s">
        <v>74</v>
      </c>
      <c r="F1473" t="str">
        <f>LEFT(E1473,5)</f>
        <v>서울특별시</v>
      </c>
      <c r="G1473" t="str">
        <f t="shared" si="55"/>
        <v>영등포구</v>
      </c>
      <c r="H1473" t="str">
        <f t="shared" si="57"/>
        <v>영등포동</v>
      </c>
      <c r="I1473" t="s">
        <v>1875</v>
      </c>
      <c r="J1473" t="s">
        <v>76</v>
      </c>
      <c r="K1473" t="s">
        <v>724</v>
      </c>
    </row>
    <row r="1474" spans="1:11" x14ac:dyDescent="0.4">
      <c r="A1474" t="s">
        <v>2119</v>
      </c>
      <c r="B1474" t="s">
        <v>9</v>
      </c>
      <c r="C1474" t="s">
        <v>10</v>
      </c>
      <c r="D1474" t="s">
        <v>73</v>
      </c>
      <c r="E1474" t="s">
        <v>2120</v>
      </c>
      <c r="F1474" t="str">
        <f>LEFT(E1474,5)</f>
        <v>서울특별시</v>
      </c>
      <c r="G1474" t="str">
        <f t="shared" si="55"/>
        <v>영등포구</v>
      </c>
      <c r="H1474" t="str">
        <f t="shared" si="57"/>
        <v>영등포동</v>
      </c>
      <c r="I1474" t="s">
        <v>2121</v>
      </c>
      <c r="J1474" t="s">
        <v>76</v>
      </c>
      <c r="K1474" t="s">
        <v>2122</v>
      </c>
    </row>
    <row r="1475" spans="1:11" x14ac:dyDescent="0.4">
      <c r="A1475" t="s">
        <v>2109</v>
      </c>
      <c r="B1475" t="s">
        <v>9</v>
      </c>
      <c r="C1475" t="s">
        <v>10</v>
      </c>
      <c r="D1475" t="s">
        <v>73</v>
      </c>
      <c r="E1475" t="s">
        <v>2110</v>
      </c>
      <c r="F1475" t="str">
        <f>LEFT(E1475,5)</f>
        <v>서울특별시</v>
      </c>
      <c r="G1475" t="str">
        <f t="shared" ref="G1475:G1538" si="58">MID(E1475,7,4)</f>
        <v>영등포구</v>
      </c>
      <c r="H1475" t="str">
        <f t="shared" si="57"/>
        <v>영등포동</v>
      </c>
      <c r="I1475" t="s">
        <v>2111</v>
      </c>
      <c r="J1475" t="s">
        <v>76</v>
      </c>
      <c r="K1475" t="s">
        <v>2112</v>
      </c>
    </row>
    <row r="1476" spans="1:11" x14ac:dyDescent="0.4">
      <c r="A1476" t="s">
        <v>2740</v>
      </c>
      <c r="B1476" t="s">
        <v>9</v>
      </c>
      <c r="C1476" t="s">
        <v>10</v>
      </c>
      <c r="D1476" t="s">
        <v>73</v>
      </c>
      <c r="E1476" t="s">
        <v>2741</v>
      </c>
      <c r="F1476" t="str">
        <f>LEFT(E1476,5)</f>
        <v>서울특별시</v>
      </c>
      <c r="G1476" t="str">
        <f t="shared" si="58"/>
        <v>영등포구</v>
      </c>
      <c r="H1476" t="str">
        <f t="shared" si="57"/>
        <v>영등포동</v>
      </c>
      <c r="I1476" t="s">
        <v>2742</v>
      </c>
      <c r="J1476" t="s">
        <v>76</v>
      </c>
      <c r="K1476" t="s">
        <v>2743</v>
      </c>
    </row>
    <row r="1477" spans="1:11" x14ac:dyDescent="0.4">
      <c r="A1477" t="s">
        <v>6256</v>
      </c>
      <c r="B1477" t="s">
        <v>9</v>
      </c>
      <c r="C1477" t="s">
        <v>10</v>
      </c>
      <c r="D1477" t="s">
        <v>73</v>
      </c>
      <c r="E1477" t="s">
        <v>6257</v>
      </c>
      <c r="F1477" t="str">
        <f>LEFT(E1477,5)</f>
        <v>서울특별시</v>
      </c>
      <c r="G1477" t="str">
        <f t="shared" si="58"/>
        <v>영등포구</v>
      </c>
      <c r="H1477" t="str">
        <f t="shared" si="57"/>
        <v>영등포동</v>
      </c>
      <c r="I1477" t="s">
        <v>6258</v>
      </c>
      <c r="J1477" t="s">
        <v>76</v>
      </c>
      <c r="K1477" t="s">
        <v>6259</v>
      </c>
    </row>
    <row r="1478" spans="1:11" x14ac:dyDescent="0.4">
      <c r="A1478" t="s">
        <v>396</v>
      </c>
      <c r="B1478" t="s">
        <v>9</v>
      </c>
      <c r="C1478" t="s">
        <v>10</v>
      </c>
      <c r="D1478" t="s">
        <v>73</v>
      </c>
      <c r="E1478" t="s">
        <v>397</v>
      </c>
      <c r="F1478" t="str">
        <f>LEFT(E1478,5)</f>
        <v>서울특별시</v>
      </c>
      <c r="G1478" t="str">
        <f t="shared" si="58"/>
        <v>영등포구</v>
      </c>
      <c r="H1478" t="str">
        <f t="shared" si="57"/>
        <v>영등포동</v>
      </c>
      <c r="I1478" t="s">
        <v>398</v>
      </c>
      <c r="J1478" t="s">
        <v>76</v>
      </c>
      <c r="K1478" t="s">
        <v>399</v>
      </c>
    </row>
    <row r="1479" spans="1:11" x14ac:dyDescent="0.4">
      <c r="A1479" t="s">
        <v>3230</v>
      </c>
      <c r="B1479" t="s">
        <v>9</v>
      </c>
      <c r="C1479" t="s">
        <v>10</v>
      </c>
      <c r="D1479" t="s">
        <v>73</v>
      </c>
      <c r="E1479" t="s">
        <v>3231</v>
      </c>
      <c r="F1479" t="str">
        <f>LEFT(E1479,5)</f>
        <v>서울특별시</v>
      </c>
      <c r="G1479" t="str">
        <f t="shared" si="58"/>
        <v>영등포구</v>
      </c>
      <c r="H1479" t="str">
        <f t="shared" si="57"/>
        <v>영등포동</v>
      </c>
      <c r="I1479" t="s">
        <v>3232</v>
      </c>
      <c r="J1479" t="s">
        <v>76</v>
      </c>
      <c r="K1479" t="s">
        <v>3233</v>
      </c>
    </row>
    <row r="1480" spans="1:11" x14ac:dyDescent="0.4">
      <c r="A1480" t="s">
        <v>3080</v>
      </c>
      <c r="B1480" t="s">
        <v>9</v>
      </c>
      <c r="C1480" t="s">
        <v>10</v>
      </c>
      <c r="D1480" t="s">
        <v>3081</v>
      </c>
      <c r="E1480" t="s">
        <v>3082</v>
      </c>
      <c r="F1480" t="str">
        <f>LEFT(E1480,5)</f>
        <v>서울특별시</v>
      </c>
      <c r="G1480" t="str">
        <f t="shared" si="58"/>
        <v>영등포구</v>
      </c>
      <c r="H1480" t="str">
        <f t="shared" si="57"/>
        <v>영등포동</v>
      </c>
      <c r="I1480" t="s">
        <v>3083</v>
      </c>
      <c r="J1480" t="s">
        <v>3084</v>
      </c>
      <c r="K1480" t="s">
        <v>3085</v>
      </c>
    </row>
    <row r="1481" spans="1:11" x14ac:dyDescent="0.4">
      <c r="A1481" t="s">
        <v>1076</v>
      </c>
      <c r="B1481" t="s">
        <v>9</v>
      </c>
      <c r="C1481" t="s">
        <v>10</v>
      </c>
      <c r="D1481" t="s">
        <v>1077</v>
      </c>
      <c r="E1481" t="s">
        <v>1078</v>
      </c>
      <c r="F1481" t="str">
        <f>LEFT(E1481,5)</f>
        <v>서울특별시</v>
      </c>
      <c r="G1481" t="str">
        <f t="shared" si="58"/>
        <v xml:space="preserve">용산구 </v>
      </c>
      <c r="H1481" t="str">
        <f t="shared" ref="H1475:H1538" si="59">MID(SUBSTITUTE(E1481," ",""),9,3)</f>
        <v>갈월동</v>
      </c>
      <c r="I1481" t="s">
        <v>1079</v>
      </c>
      <c r="J1481" t="s">
        <v>1080</v>
      </c>
      <c r="K1481" t="s">
        <v>1081</v>
      </c>
    </row>
    <row r="1482" spans="1:11" x14ac:dyDescent="0.4">
      <c r="A1482" t="s">
        <v>6715</v>
      </c>
      <c r="B1482" t="s">
        <v>9</v>
      </c>
      <c r="C1482" t="s">
        <v>10</v>
      </c>
      <c r="D1482" t="s">
        <v>30</v>
      </c>
      <c r="E1482" t="s">
        <v>6716</v>
      </c>
      <c r="F1482" t="str">
        <f>LEFT(E1482,5)</f>
        <v>서울특별시</v>
      </c>
      <c r="G1482" t="str">
        <f t="shared" si="58"/>
        <v xml:space="preserve">용산구 </v>
      </c>
      <c r="H1482" t="str">
        <f t="shared" si="59"/>
        <v>남영동</v>
      </c>
      <c r="I1482" t="s">
        <v>6717</v>
      </c>
      <c r="J1482" t="s">
        <v>33</v>
      </c>
      <c r="K1482" t="s">
        <v>6718</v>
      </c>
    </row>
    <row r="1483" spans="1:11" x14ac:dyDescent="0.4">
      <c r="A1483" t="s">
        <v>1196</v>
      </c>
      <c r="B1483" t="s">
        <v>9</v>
      </c>
      <c r="C1483" t="s">
        <v>10</v>
      </c>
      <c r="D1483" t="s">
        <v>30</v>
      </c>
      <c r="E1483" t="s">
        <v>1197</v>
      </c>
      <c r="F1483" t="str">
        <f>LEFT(E1483,5)</f>
        <v>서울특별시</v>
      </c>
      <c r="G1483" t="str">
        <f t="shared" si="58"/>
        <v xml:space="preserve">용산구 </v>
      </c>
      <c r="H1483" t="str">
        <f t="shared" si="59"/>
        <v>남영동</v>
      </c>
      <c r="I1483" t="s">
        <v>1198</v>
      </c>
      <c r="J1483" t="s">
        <v>33</v>
      </c>
      <c r="K1483" t="s">
        <v>1199</v>
      </c>
    </row>
    <row r="1484" spans="1:11" x14ac:dyDescent="0.4">
      <c r="A1484" t="s">
        <v>29</v>
      </c>
      <c r="B1484" t="s">
        <v>9</v>
      </c>
      <c r="C1484" t="s">
        <v>10</v>
      </c>
      <c r="D1484" t="s">
        <v>30</v>
      </c>
      <c r="E1484" t="s">
        <v>31</v>
      </c>
      <c r="F1484" t="str">
        <f>LEFT(E1484,5)</f>
        <v>서울특별시</v>
      </c>
      <c r="G1484" t="str">
        <f t="shared" si="58"/>
        <v xml:space="preserve">용산구 </v>
      </c>
      <c r="H1484" t="str">
        <f t="shared" si="59"/>
        <v>남영동</v>
      </c>
      <c r="I1484" t="s">
        <v>32</v>
      </c>
      <c r="J1484" t="s">
        <v>33</v>
      </c>
      <c r="K1484" t="s">
        <v>34</v>
      </c>
    </row>
    <row r="1485" spans="1:11" x14ac:dyDescent="0.4">
      <c r="A1485" t="s">
        <v>7984</v>
      </c>
      <c r="B1485" t="s">
        <v>9</v>
      </c>
      <c r="C1485" t="s">
        <v>10</v>
      </c>
      <c r="D1485" t="s">
        <v>30</v>
      </c>
      <c r="E1485" t="s">
        <v>7985</v>
      </c>
      <c r="F1485" t="str">
        <f>LEFT(E1485,5)</f>
        <v>서울특별시</v>
      </c>
      <c r="G1485" t="str">
        <f t="shared" si="58"/>
        <v xml:space="preserve">용산구 </v>
      </c>
      <c r="H1485" t="str">
        <f t="shared" si="59"/>
        <v>남영동</v>
      </c>
      <c r="I1485" t="s">
        <v>7986</v>
      </c>
      <c r="J1485" t="s">
        <v>33</v>
      </c>
      <c r="K1485" t="s">
        <v>7987</v>
      </c>
    </row>
    <row r="1486" spans="1:11" x14ac:dyDescent="0.4">
      <c r="A1486" t="s">
        <v>1110</v>
      </c>
      <c r="B1486" t="s">
        <v>9</v>
      </c>
      <c r="C1486" t="s">
        <v>10</v>
      </c>
      <c r="D1486" t="s">
        <v>30</v>
      </c>
      <c r="E1486" t="s">
        <v>1111</v>
      </c>
      <c r="F1486" t="str">
        <f>LEFT(E1486,5)</f>
        <v>서울특별시</v>
      </c>
      <c r="G1486" t="str">
        <f t="shared" si="58"/>
        <v xml:space="preserve">용산구 </v>
      </c>
      <c r="H1486" t="str">
        <f t="shared" si="59"/>
        <v>남영동</v>
      </c>
      <c r="I1486" t="s">
        <v>1112</v>
      </c>
      <c r="J1486" t="s">
        <v>33</v>
      </c>
      <c r="K1486" t="s">
        <v>1113</v>
      </c>
    </row>
    <row r="1487" spans="1:11" x14ac:dyDescent="0.4">
      <c r="A1487" t="s">
        <v>8847</v>
      </c>
      <c r="B1487" t="s">
        <v>9</v>
      </c>
      <c r="C1487" t="s">
        <v>10</v>
      </c>
      <c r="D1487" t="s">
        <v>8848</v>
      </c>
      <c r="E1487" t="s">
        <v>8849</v>
      </c>
      <c r="F1487" t="str">
        <f>LEFT(E1487,5)</f>
        <v>서울특별시</v>
      </c>
      <c r="G1487" t="str">
        <f t="shared" si="58"/>
        <v xml:space="preserve">용산구 </v>
      </c>
      <c r="H1487" t="str">
        <f t="shared" si="59"/>
        <v>동빙고</v>
      </c>
      <c r="I1487" t="s">
        <v>8850</v>
      </c>
      <c r="J1487" t="s">
        <v>8851</v>
      </c>
      <c r="K1487" t="s">
        <v>8852</v>
      </c>
    </row>
    <row r="1488" spans="1:11" x14ac:dyDescent="0.4">
      <c r="A1488" t="s">
        <v>3779</v>
      </c>
      <c r="B1488" t="s">
        <v>9</v>
      </c>
      <c r="C1488" t="s">
        <v>10</v>
      </c>
      <c r="D1488" t="s">
        <v>3780</v>
      </c>
      <c r="E1488" t="s">
        <v>3781</v>
      </c>
      <c r="F1488" t="str">
        <f>LEFT(E1488,5)</f>
        <v>서울특별시</v>
      </c>
      <c r="G1488" t="str">
        <f t="shared" si="58"/>
        <v xml:space="preserve">용산구 </v>
      </c>
      <c r="H1488" t="str">
        <f t="shared" si="59"/>
        <v>동자동</v>
      </c>
      <c r="I1488" t="s">
        <v>3782</v>
      </c>
      <c r="J1488" t="s">
        <v>3783</v>
      </c>
      <c r="K1488" t="s">
        <v>3784</v>
      </c>
    </row>
    <row r="1489" spans="1:11" x14ac:dyDescent="0.4">
      <c r="A1489" t="s">
        <v>3649</v>
      </c>
      <c r="B1489" t="s">
        <v>9</v>
      </c>
      <c r="C1489" t="s">
        <v>10</v>
      </c>
      <c r="D1489" t="s">
        <v>3650</v>
      </c>
      <c r="E1489" t="s">
        <v>3651</v>
      </c>
      <c r="F1489" t="str">
        <f>LEFT(E1489,5)</f>
        <v>서울특별시</v>
      </c>
      <c r="G1489" t="str">
        <f t="shared" si="58"/>
        <v xml:space="preserve">용산구 </v>
      </c>
      <c r="H1489" t="str">
        <f t="shared" si="59"/>
        <v>보광동</v>
      </c>
      <c r="I1489" t="s">
        <v>3652</v>
      </c>
      <c r="J1489" t="s">
        <v>3653</v>
      </c>
      <c r="K1489" t="s">
        <v>3654</v>
      </c>
    </row>
    <row r="1490" spans="1:11" x14ac:dyDescent="0.4">
      <c r="A1490" t="s">
        <v>8820</v>
      </c>
      <c r="B1490" t="s">
        <v>9</v>
      </c>
      <c r="C1490" t="s">
        <v>10</v>
      </c>
      <c r="D1490" t="s">
        <v>3650</v>
      </c>
      <c r="E1490" t="s">
        <v>8821</v>
      </c>
      <c r="F1490" t="str">
        <f>LEFT(E1490,5)</f>
        <v>서울특별시</v>
      </c>
      <c r="G1490" t="str">
        <f t="shared" si="58"/>
        <v xml:space="preserve">용산구 </v>
      </c>
      <c r="H1490" t="str">
        <f t="shared" si="59"/>
        <v>보광동</v>
      </c>
      <c r="I1490" t="s">
        <v>8822</v>
      </c>
      <c r="J1490" t="s">
        <v>3653</v>
      </c>
      <c r="K1490" t="s">
        <v>8823</v>
      </c>
    </row>
    <row r="1491" spans="1:11" x14ac:dyDescent="0.4">
      <c r="A1491" t="s">
        <v>3785</v>
      </c>
      <c r="B1491" t="s">
        <v>9</v>
      </c>
      <c r="C1491" t="s">
        <v>10</v>
      </c>
      <c r="D1491" t="s">
        <v>3650</v>
      </c>
      <c r="E1491" t="s">
        <v>3786</v>
      </c>
      <c r="F1491" t="str">
        <f>LEFT(E1491,5)</f>
        <v>서울특별시</v>
      </c>
      <c r="G1491" t="str">
        <f t="shared" si="58"/>
        <v xml:space="preserve">용산구 </v>
      </c>
      <c r="H1491" t="str">
        <f t="shared" si="59"/>
        <v>보광동</v>
      </c>
      <c r="I1491" t="s">
        <v>3787</v>
      </c>
      <c r="J1491" t="s">
        <v>3653</v>
      </c>
      <c r="K1491" t="s">
        <v>3788</v>
      </c>
    </row>
    <row r="1492" spans="1:11" x14ac:dyDescent="0.4">
      <c r="A1492" t="s">
        <v>7382</v>
      </c>
      <c r="B1492" t="s">
        <v>9</v>
      </c>
      <c r="C1492" t="s">
        <v>10</v>
      </c>
      <c r="D1492" t="s">
        <v>7383</v>
      </c>
      <c r="E1492" t="s">
        <v>7384</v>
      </c>
      <c r="F1492" t="str">
        <f>LEFT(E1492,5)</f>
        <v>서울특별시</v>
      </c>
      <c r="G1492" t="str">
        <f t="shared" si="58"/>
        <v xml:space="preserve">용산구 </v>
      </c>
      <c r="H1492" t="str">
        <f t="shared" si="59"/>
        <v>보광동</v>
      </c>
      <c r="I1492" t="s">
        <v>7385</v>
      </c>
      <c r="J1492" t="s">
        <v>7386</v>
      </c>
      <c r="K1492" t="s">
        <v>7387</v>
      </c>
    </row>
    <row r="1493" spans="1:11" x14ac:dyDescent="0.4">
      <c r="A1493" t="s">
        <v>7571</v>
      </c>
      <c r="B1493" t="s">
        <v>9</v>
      </c>
      <c r="C1493" t="s">
        <v>10</v>
      </c>
      <c r="D1493" t="s">
        <v>7572</v>
      </c>
      <c r="E1493" t="s">
        <v>7573</v>
      </c>
      <c r="F1493" t="str">
        <f>LEFT(E1493,5)</f>
        <v>서울특별시</v>
      </c>
      <c r="G1493" t="str">
        <f t="shared" si="58"/>
        <v xml:space="preserve">용산구 </v>
      </c>
      <c r="H1493" t="str">
        <f t="shared" si="59"/>
        <v>서계동</v>
      </c>
      <c r="I1493" t="s">
        <v>7574</v>
      </c>
      <c r="J1493" t="s">
        <v>7575</v>
      </c>
      <c r="K1493" t="s">
        <v>7576</v>
      </c>
    </row>
    <row r="1494" spans="1:11" x14ac:dyDescent="0.4">
      <c r="A1494" t="s">
        <v>3792</v>
      </c>
      <c r="B1494" t="s">
        <v>9</v>
      </c>
      <c r="C1494" t="s">
        <v>10</v>
      </c>
      <c r="D1494" t="s">
        <v>3793</v>
      </c>
      <c r="E1494" t="s">
        <v>3794</v>
      </c>
      <c r="F1494" t="str">
        <f>LEFT(E1494,5)</f>
        <v>서울특별시</v>
      </c>
      <c r="G1494" t="str">
        <f t="shared" si="58"/>
        <v xml:space="preserve">용산구 </v>
      </c>
      <c r="H1494" t="str">
        <f t="shared" si="59"/>
        <v>신계동</v>
      </c>
      <c r="I1494" t="s">
        <v>3795</v>
      </c>
      <c r="J1494" t="s">
        <v>3796</v>
      </c>
      <c r="K1494" t="s">
        <v>3797</v>
      </c>
    </row>
    <row r="1495" spans="1:11" x14ac:dyDescent="0.4">
      <c r="A1495" t="s">
        <v>4544</v>
      </c>
      <c r="B1495" t="s">
        <v>9</v>
      </c>
      <c r="C1495" t="s">
        <v>10</v>
      </c>
      <c r="D1495" t="s">
        <v>4545</v>
      </c>
      <c r="E1495" t="s">
        <v>4546</v>
      </c>
      <c r="F1495" t="str">
        <f>LEFT(E1495,5)</f>
        <v>서울특별시</v>
      </c>
      <c r="G1495" t="str">
        <f t="shared" si="58"/>
        <v xml:space="preserve">용산구 </v>
      </c>
      <c r="H1495" t="str">
        <f t="shared" si="59"/>
        <v>용문동</v>
      </c>
      <c r="I1495" t="s">
        <v>4547</v>
      </c>
      <c r="J1495" t="s">
        <v>4492</v>
      </c>
      <c r="K1495" t="s">
        <v>4548</v>
      </c>
    </row>
    <row r="1496" spans="1:11" x14ac:dyDescent="0.4">
      <c r="A1496" t="s">
        <v>1879</v>
      </c>
      <c r="B1496" t="s">
        <v>9</v>
      </c>
      <c r="C1496" t="s">
        <v>10</v>
      </c>
      <c r="D1496" t="s">
        <v>1880</v>
      </c>
      <c r="E1496" t="s">
        <v>1881</v>
      </c>
      <c r="F1496" t="str">
        <f>LEFT(E1496,5)</f>
        <v>서울특별시</v>
      </c>
      <c r="G1496" t="str">
        <f t="shared" si="58"/>
        <v xml:space="preserve">용산구 </v>
      </c>
      <c r="H1496" t="str">
        <f t="shared" si="59"/>
        <v>원효로</v>
      </c>
      <c r="I1496" t="s">
        <v>1882</v>
      </c>
      <c r="J1496" t="s">
        <v>1883</v>
      </c>
      <c r="K1496" t="s">
        <v>1884</v>
      </c>
    </row>
    <row r="1497" spans="1:11" x14ac:dyDescent="0.4">
      <c r="A1497" t="s">
        <v>4489</v>
      </c>
      <c r="B1497" t="s">
        <v>9</v>
      </c>
      <c r="C1497" t="s">
        <v>10</v>
      </c>
      <c r="D1497" t="s">
        <v>1880</v>
      </c>
      <c r="E1497" t="s">
        <v>4490</v>
      </c>
      <c r="F1497" t="str">
        <f>LEFT(E1497,5)</f>
        <v>서울특별시</v>
      </c>
      <c r="G1497" t="str">
        <f t="shared" si="58"/>
        <v xml:space="preserve">용산구 </v>
      </c>
      <c r="H1497" t="str">
        <f t="shared" si="59"/>
        <v>원효로</v>
      </c>
      <c r="I1497" t="s">
        <v>4491</v>
      </c>
      <c r="J1497" t="s">
        <v>4492</v>
      </c>
      <c r="K1497" t="s">
        <v>4493</v>
      </c>
    </row>
    <row r="1498" spans="1:11" x14ac:dyDescent="0.4">
      <c r="A1498" t="s">
        <v>6970</v>
      </c>
      <c r="B1498" t="s">
        <v>9</v>
      </c>
      <c r="C1498" t="s">
        <v>10</v>
      </c>
      <c r="D1498" t="s">
        <v>1880</v>
      </c>
      <c r="E1498" t="s">
        <v>6971</v>
      </c>
      <c r="F1498" t="str">
        <f>LEFT(E1498,5)</f>
        <v>서울특별시</v>
      </c>
      <c r="G1498" t="str">
        <f t="shared" si="58"/>
        <v xml:space="preserve">용산구 </v>
      </c>
      <c r="H1498" t="str">
        <f t="shared" si="59"/>
        <v>원효로</v>
      </c>
      <c r="I1498" t="s">
        <v>6972</v>
      </c>
      <c r="J1498" t="s">
        <v>4441</v>
      </c>
      <c r="K1498" t="s">
        <v>4789</v>
      </c>
    </row>
    <row r="1499" spans="1:11" x14ac:dyDescent="0.4">
      <c r="A1499" t="s">
        <v>5504</v>
      </c>
      <c r="B1499" t="s">
        <v>9</v>
      </c>
      <c r="C1499" t="s">
        <v>10</v>
      </c>
      <c r="D1499" t="s">
        <v>1880</v>
      </c>
      <c r="E1499" t="s">
        <v>5505</v>
      </c>
      <c r="F1499" t="str">
        <f>LEFT(E1499,5)</f>
        <v>서울특별시</v>
      </c>
      <c r="G1499" t="str">
        <f t="shared" si="58"/>
        <v xml:space="preserve">용산구 </v>
      </c>
      <c r="H1499" t="str">
        <f t="shared" si="59"/>
        <v>원효로</v>
      </c>
      <c r="I1499" t="s">
        <v>5506</v>
      </c>
      <c r="J1499" t="s">
        <v>4441</v>
      </c>
      <c r="K1499" t="s">
        <v>4681</v>
      </c>
    </row>
    <row r="1500" spans="1:11" x14ac:dyDescent="0.4">
      <c r="A1500" t="s">
        <v>4437</v>
      </c>
      <c r="B1500" t="s">
        <v>9</v>
      </c>
      <c r="C1500" t="s">
        <v>10</v>
      </c>
      <c r="D1500" t="s">
        <v>4438</v>
      </c>
      <c r="E1500" t="s">
        <v>4439</v>
      </c>
      <c r="F1500" t="str">
        <f>LEFT(E1500,5)</f>
        <v>서울특별시</v>
      </c>
      <c r="G1500" t="str">
        <f t="shared" si="58"/>
        <v xml:space="preserve">용산구 </v>
      </c>
      <c r="H1500" t="str">
        <f t="shared" si="59"/>
        <v>원효로</v>
      </c>
      <c r="I1500" t="s">
        <v>4440</v>
      </c>
      <c r="J1500" t="s">
        <v>4441</v>
      </c>
      <c r="K1500" t="s">
        <v>4442</v>
      </c>
    </row>
    <row r="1501" spans="1:11" x14ac:dyDescent="0.4">
      <c r="A1501" t="s">
        <v>5172</v>
      </c>
      <c r="B1501" t="s">
        <v>9</v>
      </c>
      <c r="C1501" t="s">
        <v>10</v>
      </c>
      <c r="D1501" t="s">
        <v>4438</v>
      </c>
      <c r="E1501" t="s">
        <v>5173</v>
      </c>
      <c r="F1501" t="str">
        <f>LEFT(E1501,5)</f>
        <v>서울특별시</v>
      </c>
      <c r="G1501" t="str">
        <f t="shared" si="58"/>
        <v xml:space="preserve">용산구 </v>
      </c>
      <c r="H1501" t="str">
        <f t="shared" si="59"/>
        <v>원효로</v>
      </c>
      <c r="I1501" t="s">
        <v>5174</v>
      </c>
      <c r="J1501" t="s">
        <v>4441</v>
      </c>
      <c r="K1501" t="s">
        <v>1105</v>
      </c>
    </row>
    <row r="1502" spans="1:11" x14ac:dyDescent="0.4">
      <c r="A1502" t="s">
        <v>5162</v>
      </c>
      <c r="B1502" t="s">
        <v>9</v>
      </c>
      <c r="C1502" t="s">
        <v>10</v>
      </c>
      <c r="D1502" t="s">
        <v>4438</v>
      </c>
      <c r="E1502" t="s">
        <v>5163</v>
      </c>
      <c r="F1502" t="str">
        <f>LEFT(E1502,5)</f>
        <v>서울특별시</v>
      </c>
      <c r="G1502" t="str">
        <f t="shared" si="58"/>
        <v xml:space="preserve">용산구 </v>
      </c>
      <c r="H1502" t="str">
        <f t="shared" si="59"/>
        <v>원효로</v>
      </c>
      <c r="I1502" t="s">
        <v>5164</v>
      </c>
      <c r="J1502" t="s">
        <v>4441</v>
      </c>
      <c r="K1502" t="s">
        <v>5165</v>
      </c>
    </row>
    <row r="1503" spans="1:11" x14ac:dyDescent="0.4">
      <c r="A1503" t="s">
        <v>4213</v>
      </c>
      <c r="B1503" t="s">
        <v>9</v>
      </c>
      <c r="C1503" t="s">
        <v>10</v>
      </c>
      <c r="D1503" t="s">
        <v>4214</v>
      </c>
      <c r="E1503" t="s">
        <v>4215</v>
      </c>
      <c r="F1503" t="str">
        <f>LEFT(E1503,5)</f>
        <v>서울특별시</v>
      </c>
      <c r="G1503" t="str">
        <f t="shared" si="58"/>
        <v xml:space="preserve">용산구 </v>
      </c>
      <c r="H1503" t="str">
        <f t="shared" si="59"/>
        <v>이촌동</v>
      </c>
      <c r="I1503" t="s">
        <v>4216</v>
      </c>
      <c r="J1503" t="s">
        <v>4217</v>
      </c>
      <c r="K1503" t="s">
        <v>4218</v>
      </c>
    </row>
    <row r="1504" spans="1:11" x14ac:dyDescent="0.4">
      <c r="A1504" t="s">
        <v>6282</v>
      </c>
      <c r="B1504" t="s">
        <v>9</v>
      </c>
      <c r="C1504" t="s">
        <v>10</v>
      </c>
      <c r="D1504" t="s">
        <v>4214</v>
      </c>
      <c r="E1504" t="s">
        <v>6283</v>
      </c>
      <c r="F1504" t="str">
        <f>LEFT(E1504,5)</f>
        <v>서울특별시</v>
      </c>
      <c r="G1504" t="str">
        <f t="shared" si="58"/>
        <v xml:space="preserve">용산구 </v>
      </c>
      <c r="H1504" t="str">
        <f t="shared" si="59"/>
        <v>이촌동</v>
      </c>
      <c r="I1504" t="s">
        <v>6284</v>
      </c>
      <c r="J1504" t="s">
        <v>4217</v>
      </c>
      <c r="K1504" t="s">
        <v>6285</v>
      </c>
    </row>
    <row r="1505" spans="1:11" x14ac:dyDescent="0.4">
      <c r="A1505" t="s">
        <v>264</v>
      </c>
      <c r="B1505" t="s">
        <v>9</v>
      </c>
      <c r="C1505" t="s">
        <v>10</v>
      </c>
      <c r="D1505" t="s">
        <v>265</v>
      </c>
      <c r="E1505" t="s">
        <v>266</v>
      </c>
      <c r="F1505" t="str">
        <f>LEFT(E1505,5)</f>
        <v>서울특별시</v>
      </c>
      <c r="G1505" t="str">
        <f t="shared" si="58"/>
        <v xml:space="preserve">용산구 </v>
      </c>
      <c r="H1505" t="str">
        <f t="shared" si="59"/>
        <v>이태원</v>
      </c>
      <c r="I1505" t="s">
        <v>267</v>
      </c>
      <c r="J1505" t="s">
        <v>268</v>
      </c>
      <c r="K1505" t="s">
        <v>269</v>
      </c>
    </row>
    <row r="1506" spans="1:11" x14ac:dyDescent="0.4">
      <c r="A1506" t="s">
        <v>1978</v>
      </c>
      <c r="B1506" t="s">
        <v>9</v>
      </c>
      <c r="C1506" t="s">
        <v>10</v>
      </c>
      <c r="D1506" t="s">
        <v>265</v>
      </c>
      <c r="E1506" t="s">
        <v>1979</v>
      </c>
      <c r="F1506" t="str">
        <f>LEFT(E1506,5)</f>
        <v>서울특별시</v>
      </c>
      <c r="G1506" t="str">
        <f t="shared" si="58"/>
        <v xml:space="preserve">용산구 </v>
      </c>
      <c r="H1506" t="str">
        <f t="shared" si="59"/>
        <v>이태원</v>
      </c>
      <c r="I1506" t="s">
        <v>1980</v>
      </c>
      <c r="J1506" t="s">
        <v>268</v>
      </c>
      <c r="K1506" t="s">
        <v>1981</v>
      </c>
    </row>
    <row r="1507" spans="1:11" x14ac:dyDescent="0.4">
      <c r="A1507" t="s">
        <v>7687</v>
      </c>
      <c r="B1507" t="s">
        <v>9</v>
      </c>
      <c r="C1507" t="s">
        <v>10</v>
      </c>
      <c r="D1507" t="s">
        <v>265</v>
      </c>
      <c r="E1507" t="s">
        <v>7688</v>
      </c>
      <c r="F1507" t="str">
        <f>LEFT(E1507,5)</f>
        <v>서울특별시</v>
      </c>
      <c r="G1507" t="str">
        <f t="shared" si="58"/>
        <v xml:space="preserve">용산구 </v>
      </c>
      <c r="H1507" t="str">
        <f t="shared" si="59"/>
        <v>이태원</v>
      </c>
      <c r="I1507" t="s">
        <v>7689</v>
      </c>
      <c r="J1507" t="s">
        <v>7690</v>
      </c>
      <c r="K1507" t="s">
        <v>7691</v>
      </c>
    </row>
    <row r="1508" spans="1:11" x14ac:dyDescent="0.4">
      <c r="A1508" t="s">
        <v>2131</v>
      </c>
      <c r="B1508" t="s">
        <v>9</v>
      </c>
      <c r="C1508" t="s">
        <v>10</v>
      </c>
      <c r="D1508" t="s">
        <v>265</v>
      </c>
      <c r="E1508" t="s">
        <v>2132</v>
      </c>
      <c r="F1508" t="str">
        <f>LEFT(E1508,5)</f>
        <v>서울특별시</v>
      </c>
      <c r="G1508" t="str">
        <f t="shared" si="58"/>
        <v xml:space="preserve">용산구 </v>
      </c>
      <c r="H1508" t="str">
        <f t="shared" si="59"/>
        <v>이태원</v>
      </c>
      <c r="I1508" t="s">
        <v>2133</v>
      </c>
      <c r="J1508" t="s">
        <v>2134</v>
      </c>
      <c r="K1508" t="s">
        <v>2135</v>
      </c>
    </row>
    <row r="1509" spans="1:11" x14ac:dyDescent="0.4">
      <c r="A1509" t="s">
        <v>3774</v>
      </c>
      <c r="B1509" t="s">
        <v>9</v>
      </c>
      <c r="C1509" t="s">
        <v>10</v>
      </c>
      <c r="D1509" t="s">
        <v>265</v>
      </c>
      <c r="E1509" t="s">
        <v>3775</v>
      </c>
      <c r="F1509" t="str">
        <f>LEFT(E1509,5)</f>
        <v>서울특별시</v>
      </c>
      <c r="G1509" t="str">
        <f t="shared" si="58"/>
        <v xml:space="preserve">용산구 </v>
      </c>
      <c r="H1509" t="str">
        <f t="shared" si="59"/>
        <v>이태원</v>
      </c>
      <c r="I1509" t="s">
        <v>3776</v>
      </c>
      <c r="J1509" t="s">
        <v>3777</v>
      </c>
      <c r="K1509" t="s">
        <v>3778</v>
      </c>
    </row>
    <row r="1510" spans="1:11" x14ac:dyDescent="0.4">
      <c r="A1510" t="s">
        <v>5138</v>
      </c>
      <c r="B1510" t="s">
        <v>9</v>
      </c>
      <c r="C1510" t="s">
        <v>10</v>
      </c>
      <c r="D1510" t="s">
        <v>265</v>
      </c>
      <c r="E1510" t="s">
        <v>5139</v>
      </c>
      <c r="F1510" t="str">
        <f>LEFT(E1510,5)</f>
        <v>서울특별시</v>
      </c>
      <c r="G1510" t="str">
        <f t="shared" si="58"/>
        <v xml:space="preserve">용산구 </v>
      </c>
      <c r="H1510" t="str">
        <f t="shared" si="59"/>
        <v>이태원</v>
      </c>
      <c r="I1510" t="s">
        <v>5140</v>
      </c>
      <c r="J1510" t="s">
        <v>3777</v>
      </c>
      <c r="K1510" t="s">
        <v>5141</v>
      </c>
    </row>
    <row r="1511" spans="1:11" x14ac:dyDescent="0.4">
      <c r="A1511" t="s">
        <v>6286</v>
      </c>
      <c r="B1511" t="s">
        <v>9</v>
      </c>
      <c r="C1511" t="s">
        <v>10</v>
      </c>
      <c r="D1511" t="s">
        <v>265</v>
      </c>
      <c r="E1511" t="s">
        <v>6287</v>
      </c>
      <c r="F1511" t="str">
        <f>LEFT(E1511,5)</f>
        <v>서울특별시</v>
      </c>
      <c r="G1511" t="str">
        <f t="shared" si="58"/>
        <v xml:space="preserve">용산구 </v>
      </c>
      <c r="H1511" t="str">
        <f t="shared" si="59"/>
        <v>이태원</v>
      </c>
      <c r="I1511" t="s">
        <v>6288</v>
      </c>
      <c r="J1511" t="s">
        <v>3777</v>
      </c>
      <c r="K1511" t="s">
        <v>6289</v>
      </c>
    </row>
    <row r="1512" spans="1:11" x14ac:dyDescent="0.4">
      <c r="A1512" t="s">
        <v>6890</v>
      </c>
      <c r="B1512" t="s">
        <v>9</v>
      </c>
      <c r="C1512" t="s">
        <v>10</v>
      </c>
      <c r="D1512" t="s">
        <v>6891</v>
      </c>
      <c r="E1512" t="s">
        <v>6892</v>
      </c>
      <c r="F1512" t="str">
        <f>LEFT(E1512,5)</f>
        <v>서울특별시</v>
      </c>
      <c r="G1512" t="str">
        <f t="shared" si="58"/>
        <v xml:space="preserve">용산구 </v>
      </c>
      <c r="H1512" t="str">
        <f t="shared" si="59"/>
        <v>이태원</v>
      </c>
      <c r="I1512" t="s">
        <v>6893</v>
      </c>
      <c r="J1512" t="s">
        <v>6894</v>
      </c>
      <c r="K1512" t="s">
        <v>6895</v>
      </c>
    </row>
    <row r="1513" spans="1:11" x14ac:dyDescent="0.4">
      <c r="A1513" t="s">
        <v>8943</v>
      </c>
      <c r="B1513" t="s">
        <v>9</v>
      </c>
      <c r="C1513" t="s">
        <v>10</v>
      </c>
      <c r="D1513" t="s">
        <v>6891</v>
      </c>
      <c r="E1513" t="s">
        <v>8944</v>
      </c>
      <c r="F1513" t="str">
        <f>LEFT(E1513,5)</f>
        <v>서울특별시</v>
      </c>
      <c r="G1513" t="str">
        <f t="shared" si="58"/>
        <v xml:space="preserve">용산구 </v>
      </c>
      <c r="H1513" t="str">
        <f t="shared" si="59"/>
        <v>이태원</v>
      </c>
      <c r="I1513" t="s">
        <v>8945</v>
      </c>
      <c r="J1513" t="s">
        <v>6894</v>
      </c>
      <c r="K1513" t="s">
        <v>8946</v>
      </c>
    </row>
    <row r="1514" spans="1:11" x14ac:dyDescent="0.4">
      <c r="A1514" t="s">
        <v>7171</v>
      </c>
      <c r="B1514" t="s">
        <v>9</v>
      </c>
      <c r="C1514" t="s">
        <v>10</v>
      </c>
      <c r="D1514" t="s">
        <v>7172</v>
      </c>
      <c r="E1514" t="s">
        <v>7173</v>
      </c>
      <c r="F1514" t="str">
        <f>LEFT(E1514,5)</f>
        <v>서울특별시</v>
      </c>
      <c r="G1514" t="str">
        <f t="shared" si="58"/>
        <v xml:space="preserve">용산구 </v>
      </c>
      <c r="H1514" t="str">
        <f t="shared" si="59"/>
        <v>청파동</v>
      </c>
      <c r="I1514" t="s">
        <v>7174</v>
      </c>
      <c r="J1514" t="s">
        <v>7175</v>
      </c>
      <c r="K1514" t="s">
        <v>7176</v>
      </c>
    </row>
    <row r="1515" spans="1:11" x14ac:dyDescent="0.4">
      <c r="A1515" t="s">
        <v>7504</v>
      </c>
      <c r="B1515" t="s">
        <v>9</v>
      </c>
      <c r="C1515" t="s">
        <v>10</v>
      </c>
      <c r="D1515" t="s">
        <v>7505</v>
      </c>
      <c r="E1515" t="s">
        <v>7506</v>
      </c>
      <c r="F1515" t="str">
        <f>LEFT(E1515,5)</f>
        <v>서울특별시</v>
      </c>
      <c r="G1515" t="str">
        <f t="shared" si="58"/>
        <v xml:space="preserve">용산구 </v>
      </c>
      <c r="H1515" t="str">
        <f t="shared" si="59"/>
        <v>청파동</v>
      </c>
      <c r="I1515" t="s">
        <v>7507</v>
      </c>
      <c r="J1515" t="s">
        <v>7175</v>
      </c>
      <c r="K1515" t="s">
        <v>5001</v>
      </c>
    </row>
    <row r="1516" spans="1:11" x14ac:dyDescent="0.4">
      <c r="A1516" t="s">
        <v>8197</v>
      </c>
      <c r="B1516" t="s">
        <v>9</v>
      </c>
      <c r="C1516" t="s">
        <v>10</v>
      </c>
      <c r="D1516" t="s">
        <v>7505</v>
      </c>
      <c r="E1516" t="s">
        <v>8198</v>
      </c>
      <c r="F1516" t="str">
        <f>LEFT(E1516,5)</f>
        <v>서울특별시</v>
      </c>
      <c r="G1516" t="str">
        <f t="shared" si="58"/>
        <v xml:space="preserve">용산구 </v>
      </c>
      <c r="H1516" t="str">
        <f t="shared" si="59"/>
        <v>청파동</v>
      </c>
      <c r="I1516" t="s">
        <v>8199</v>
      </c>
      <c r="J1516" t="s">
        <v>7175</v>
      </c>
      <c r="K1516" t="s">
        <v>8200</v>
      </c>
    </row>
    <row r="1517" spans="1:11" x14ac:dyDescent="0.4">
      <c r="A1517" t="s">
        <v>6278</v>
      </c>
      <c r="B1517" t="s">
        <v>9</v>
      </c>
      <c r="C1517" t="s">
        <v>10</v>
      </c>
      <c r="D1517" t="s">
        <v>4069</v>
      </c>
      <c r="E1517" t="s">
        <v>6279</v>
      </c>
      <c r="F1517" t="str">
        <f>LEFT(E1517,5)</f>
        <v>서울특별시</v>
      </c>
      <c r="G1517" t="str">
        <f t="shared" si="58"/>
        <v xml:space="preserve">용산구 </v>
      </c>
      <c r="H1517" t="str">
        <f t="shared" si="59"/>
        <v>한강로</v>
      </c>
      <c r="I1517" t="s">
        <v>6280</v>
      </c>
      <c r="J1517" t="s">
        <v>2241</v>
      </c>
      <c r="K1517" t="s">
        <v>6281</v>
      </c>
    </row>
    <row r="1518" spans="1:11" x14ac:dyDescent="0.4">
      <c r="A1518" t="s">
        <v>4068</v>
      </c>
      <c r="B1518" t="s">
        <v>9</v>
      </c>
      <c r="C1518" t="s">
        <v>10</v>
      </c>
      <c r="D1518" t="s">
        <v>4069</v>
      </c>
      <c r="E1518" t="s">
        <v>4070</v>
      </c>
      <c r="F1518" t="str">
        <f>LEFT(E1518,5)</f>
        <v>서울특별시</v>
      </c>
      <c r="G1518" t="str">
        <f t="shared" si="58"/>
        <v xml:space="preserve">용산구 </v>
      </c>
      <c r="H1518" t="str">
        <f t="shared" si="59"/>
        <v>한강로</v>
      </c>
      <c r="I1518" t="s">
        <v>4071</v>
      </c>
      <c r="J1518" t="s">
        <v>2241</v>
      </c>
      <c r="K1518" t="s">
        <v>4072</v>
      </c>
    </row>
    <row r="1519" spans="1:11" x14ac:dyDescent="0.4">
      <c r="A1519" t="s">
        <v>2237</v>
      </c>
      <c r="B1519" t="s">
        <v>9</v>
      </c>
      <c r="C1519" t="s">
        <v>10</v>
      </c>
      <c r="D1519" t="s">
        <v>2238</v>
      </c>
      <c r="E1519" t="s">
        <v>2239</v>
      </c>
      <c r="F1519" t="str">
        <f>LEFT(E1519,5)</f>
        <v>서울특별시</v>
      </c>
      <c r="G1519" t="str">
        <f t="shared" si="58"/>
        <v xml:space="preserve">용산구 </v>
      </c>
      <c r="H1519" t="str">
        <f t="shared" si="59"/>
        <v>한강로</v>
      </c>
      <c r="I1519" t="s">
        <v>2240</v>
      </c>
      <c r="J1519" t="s">
        <v>2241</v>
      </c>
      <c r="K1519" t="s">
        <v>2242</v>
      </c>
    </row>
    <row r="1520" spans="1:11" x14ac:dyDescent="0.4">
      <c r="A1520" t="s">
        <v>3789</v>
      </c>
      <c r="B1520" t="s">
        <v>9</v>
      </c>
      <c r="C1520" t="s">
        <v>10</v>
      </c>
      <c r="D1520" t="s">
        <v>2238</v>
      </c>
      <c r="E1520" t="s">
        <v>3790</v>
      </c>
      <c r="F1520" t="str">
        <f>LEFT(E1520,5)</f>
        <v>서울특별시</v>
      </c>
      <c r="G1520" t="str">
        <f t="shared" si="58"/>
        <v xml:space="preserve">용산구 </v>
      </c>
      <c r="H1520" t="str">
        <f t="shared" si="59"/>
        <v>한강로</v>
      </c>
      <c r="I1520" t="s">
        <v>3791</v>
      </c>
      <c r="J1520" t="s">
        <v>2241</v>
      </c>
      <c r="K1520" t="s">
        <v>2280</v>
      </c>
    </row>
    <row r="1521" spans="1:11" x14ac:dyDescent="0.4">
      <c r="A1521" t="s">
        <v>1355</v>
      </c>
      <c r="B1521" t="s">
        <v>9</v>
      </c>
      <c r="C1521" t="s">
        <v>10</v>
      </c>
      <c r="D1521" t="s">
        <v>485</v>
      </c>
      <c r="E1521" t="s">
        <v>1356</v>
      </c>
      <c r="F1521" t="str">
        <f>LEFT(E1521,5)</f>
        <v>서울특별시</v>
      </c>
      <c r="G1521" t="str">
        <f t="shared" si="58"/>
        <v xml:space="preserve">용산구 </v>
      </c>
      <c r="H1521" t="str">
        <f t="shared" si="59"/>
        <v>한강로</v>
      </c>
      <c r="I1521" t="s">
        <v>1357</v>
      </c>
      <c r="J1521" t="s">
        <v>488</v>
      </c>
      <c r="K1521" t="s">
        <v>1358</v>
      </c>
    </row>
    <row r="1522" spans="1:11" x14ac:dyDescent="0.4">
      <c r="A1522" t="s">
        <v>484</v>
      </c>
      <c r="B1522" t="s">
        <v>9</v>
      </c>
      <c r="C1522" t="s">
        <v>10</v>
      </c>
      <c r="D1522" t="s">
        <v>485</v>
      </c>
      <c r="E1522" t="s">
        <v>486</v>
      </c>
      <c r="F1522" t="str">
        <f>LEFT(E1522,5)</f>
        <v>서울특별시</v>
      </c>
      <c r="G1522" t="str">
        <f t="shared" si="58"/>
        <v xml:space="preserve">용산구 </v>
      </c>
      <c r="H1522" t="str">
        <f t="shared" si="59"/>
        <v>한강로</v>
      </c>
      <c r="I1522" t="s">
        <v>487</v>
      </c>
      <c r="J1522" t="s">
        <v>488</v>
      </c>
      <c r="K1522" t="s">
        <v>489</v>
      </c>
    </row>
    <row r="1523" spans="1:11" x14ac:dyDescent="0.4">
      <c r="A1523" t="s">
        <v>1124</v>
      </c>
      <c r="B1523" t="s">
        <v>9</v>
      </c>
      <c r="C1523" t="s">
        <v>10</v>
      </c>
      <c r="D1523" t="s">
        <v>1125</v>
      </c>
      <c r="E1523" t="s">
        <v>1126</v>
      </c>
      <c r="F1523" t="str">
        <f>LEFT(E1523,5)</f>
        <v>서울특별시</v>
      </c>
      <c r="G1523" t="str">
        <f t="shared" si="58"/>
        <v xml:space="preserve">용산구 </v>
      </c>
      <c r="H1523" t="str">
        <f t="shared" si="59"/>
        <v>한강로</v>
      </c>
      <c r="I1523" t="s">
        <v>1127</v>
      </c>
      <c r="J1523" t="s">
        <v>488</v>
      </c>
      <c r="K1523" t="s">
        <v>1128</v>
      </c>
    </row>
    <row r="1524" spans="1:11" x14ac:dyDescent="0.4">
      <c r="A1524" t="s">
        <v>60</v>
      </c>
      <c r="B1524" t="s">
        <v>9</v>
      </c>
      <c r="C1524" t="s">
        <v>10</v>
      </c>
      <c r="D1524" t="s">
        <v>61</v>
      </c>
      <c r="E1524" t="s">
        <v>62</v>
      </c>
      <c r="F1524" t="str">
        <f>LEFT(E1524,5)</f>
        <v>서울특별시</v>
      </c>
      <c r="G1524" t="str">
        <f t="shared" si="58"/>
        <v xml:space="preserve">용산구 </v>
      </c>
      <c r="H1524" t="str">
        <f t="shared" si="59"/>
        <v>한강로</v>
      </c>
      <c r="I1524" t="s">
        <v>63</v>
      </c>
      <c r="J1524" t="s">
        <v>64</v>
      </c>
      <c r="K1524" t="s">
        <v>65</v>
      </c>
    </row>
    <row r="1525" spans="1:11" x14ac:dyDescent="0.4">
      <c r="A1525" t="s">
        <v>5840</v>
      </c>
      <c r="B1525" t="s">
        <v>9</v>
      </c>
      <c r="C1525" t="s">
        <v>10</v>
      </c>
      <c r="D1525" t="s">
        <v>3916</v>
      </c>
      <c r="E1525" t="s">
        <v>5841</v>
      </c>
      <c r="F1525" t="str">
        <f>LEFT(E1525,5)</f>
        <v>서울특별시</v>
      </c>
      <c r="G1525" t="str">
        <f t="shared" si="58"/>
        <v xml:space="preserve">용산구 </v>
      </c>
      <c r="H1525" t="str">
        <f t="shared" si="59"/>
        <v>한남동</v>
      </c>
      <c r="I1525" t="s">
        <v>5842</v>
      </c>
      <c r="J1525" t="s">
        <v>3919</v>
      </c>
      <c r="K1525" t="s">
        <v>5843</v>
      </c>
    </row>
    <row r="1526" spans="1:11" x14ac:dyDescent="0.4">
      <c r="A1526" t="s">
        <v>3915</v>
      </c>
      <c r="B1526" t="s">
        <v>9</v>
      </c>
      <c r="C1526" t="s">
        <v>10</v>
      </c>
      <c r="D1526" t="s">
        <v>3916</v>
      </c>
      <c r="E1526" t="s">
        <v>3917</v>
      </c>
      <c r="F1526" t="str">
        <f>LEFT(E1526,5)</f>
        <v>서울특별시</v>
      </c>
      <c r="G1526" t="str">
        <f t="shared" si="58"/>
        <v xml:space="preserve">용산구 </v>
      </c>
      <c r="H1526" t="str">
        <f t="shared" si="59"/>
        <v>한남동</v>
      </c>
      <c r="I1526" t="s">
        <v>3918</v>
      </c>
      <c r="J1526" t="s">
        <v>3919</v>
      </c>
      <c r="K1526" t="s">
        <v>3920</v>
      </c>
    </row>
    <row r="1527" spans="1:11" x14ac:dyDescent="0.4">
      <c r="A1527" t="s">
        <v>8020</v>
      </c>
      <c r="B1527" t="s">
        <v>9</v>
      </c>
      <c r="C1527" t="s">
        <v>10</v>
      </c>
      <c r="D1527" t="s">
        <v>8021</v>
      </c>
      <c r="E1527" t="s">
        <v>8022</v>
      </c>
      <c r="F1527" t="str">
        <f>LEFT(E1527,5)</f>
        <v>서울특별시</v>
      </c>
      <c r="G1527" t="str">
        <f t="shared" si="58"/>
        <v xml:space="preserve">용산구 </v>
      </c>
      <c r="H1527" t="str">
        <f t="shared" si="59"/>
        <v>한남동</v>
      </c>
      <c r="I1527" t="s">
        <v>8023</v>
      </c>
      <c r="J1527" t="s">
        <v>8024</v>
      </c>
      <c r="K1527" t="s">
        <v>8025</v>
      </c>
    </row>
    <row r="1528" spans="1:11" x14ac:dyDescent="0.4">
      <c r="A1528" t="s">
        <v>6615</v>
      </c>
      <c r="B1528" t="s">
        <v>9</v>
      </c>
      <c r="C1528" t="s">
        <v>10</v>
      </c>
      <c r="D1528" t="s">
        <v>3769</v>
      </c>
      <c r="E1528" t="s">
        <v>6616</v>
      </c>
      <c r="F1528" t="str">
        <f>LEFT(E1528,5)</f>
        <v>서울특별시</v>
      </c>
      <c r="G1528" t="str">
        <f t="shared" si="58"/>
        <v xml:space="preserve">용산구 </v>
      </c>
      <c r="H1528" t="str">
        <f t="shared" si="59"/>
        <v>한남동</v>
      </c>
      <c r="I1528" t="s">
        <v>6617</v>
      </c>
      <c r="J1528" t="s">
        <v>809</v>
      </c>
      <c r="K1528" t="s">
        <v>6618</v>
      </c>
    </row>
    <row r="1529" spans="1:11" x14ac:dyDescent="0.4">
      <c r="A1529" t="s">
        <v>4998</v>
      </c>
      <c r="B1529" t="s">
        <v>9</v>
      </c>
      <c r="C1529" t="s">
        <v>10</v>
      </c>
      <c r="D1529" t="s">
        <v>3769</v>
      </c>
      <c r="E1529" t="s">
        <v>4999</v>
      </c>
      <c r="F1529" t="str">
        <f>LEFT(E1529,5)</f>
        <v>서울특별시</v>
      </c>
      <c r="G1529" t="str">
        <f t="shared" si="58"/>
        <v xml:space="preserve">용산구 </v>
      </c>
      <c r="H1529" t="str">
        <f t="shared" si="59"/>
        <v>한남동</v>
      </c>
      <c r="I1529" t="s">
        <v>5000</v>
      </c>
      <c r="J1529" t="s">
        <v>4610</v>
      </c>
      <c r="K1529" t="s">
        <v>5001</v>
      </c>
    </row>
    <row r="1530" spans="1:11" x14ac:dyDescent="0.4">
      <c r="A1530" t="s">
        <v>4607</v>
      </c>
      <c r="B1530" t="s">
        <v>9</v>
      </c>
      <c r="C1530" t="s">
        <v>10</v>
      </c>
      <c r="D1530" t="s">
        <v>3769</v>
      </c>
      <c r="E1530" t="s">
        <v>4608</v>
      </c>
      <c r="F1530" t="str">
        <f>LEFT(E1530,5)</f>
        <v>서울특별시</v>
      </c>
      <c r="G1530" t="str">
        <f t="shared" si="58"/>
        <v xml:space="preserve">용산구 </v>
      </c>
      <c r="H1530" t="str">
        <f t="shared" si="59"/>
        <v>한남동</v>
      </c>
      <c r="I1530" t="s">
        <v>4609</v>
      </c>
      <c r="J1530" t="s">
        <v>4610</v>
      </c>
      <c r="K1530" t="s">
        <v>4611</v>
      </c>
    </row>
    <row r="1531" spans="1:11" x14ac:dyDescent="0.4">
      <c r="A1531" t="s">
        <v>8539</v>
      </c>
      <c r="B1531" t="s">
        <v>9</v>
      </c>
      <c r="C1531" t="s">
        <v>10</v>
      </c>
      <c r="D1531" t="s">
        <v>8540</v>
      </c>
      <c r="E1531" t="s">
        <v>8541</v>
      </c>
      <c r="F1531" t="str">
        <f>LEFT(E1531,5)</f>
        <v>서울특별시</v>
      </c>
      <c r="G1531" t="str">
        <f t="shared" si="58"/>
        <v xml:space="preserve">용산구 </v>
      </c>
      <c r="H1531" t="str">
        <f t="shared" si="59"/>
        <v>한남동</v>
      </c>
      <c r="I1531" t="s">
        <v>8542</v>
      </c>
      <c r="J1531" t="s">
        <v>4610</v>
      </c>
      <c r="K1531" t="s">
        <v>8543</v>
      </c>
    </row>
    <row r="1532" spans="1:11" x14ac:dyDescent="0.4">
      <c r="A1532" t="s">
        <v>8068</v>
      </c>
      <c r="B1532" t="s">
        <v>9</v>
      </c>
      <c r="C1532" t="s">
        <v>10</v>
      </c>
      <c r="D1532" t="s">
        <v>3769</v>
      </c>
      <c r="E1532" t="s">
        <v>8069</v>
      </c>
      <c r="F1532" t="str">
        <f>LEFT(E1532,5)</f>
        <v>서울특별시</v>
      </c>
      <c r="G1532" t="str">
        <f t="shared" si="58"/>
        <v xml:space="preserve">용산구 </v>
      </c>
      <c r="H1532" t="str">
        <f t="shared" si="59"/>
        <v>한남동</v>
      </c>
      <c r="I1532" t="s">
        <v>8070</v>
      </c>
      <c r="J1532" t="s">
        <v>4610</v>
      </c>
      <c r="K1532" t="s">
        <v>8071</v>
      </c>
    </row>
    <row r="1533" spans="1:11" x14ac:dyDescent="0.4">
      <c r="A1533" t="s">
        <v>8686</v>
      </c>
      <c r="B1533" t="s">
        <v>9</v>
      </c>
      <c r="C1533" t="s">
        <v>10</v>
      </c>
      <c r="D1533" t="s">
        <v>3769</v>
      </c>
      <c r="E1533" t="s">
        <v>8687</v>
      </c>
      <c r="F1533" t="str">
        <f>LEFT(E1533,5)</f>
        <v>서울특별시</v>
      </c>
      <c r="G1533" t="str">
        <f t="shared" si="58"/>
        <v xml:space="preserve">용산구 </v>
      </c>
      <c r="H1533" t="str">
        <f t="shared" si="59"/>
        <v>한남동</v>
      </c>
      <c r="I1533" t="s">
        <v>8688</v>
      </c>
      <c r="J1533" t="s">
        <v>4610</v>
      </c>
      <c r="K1533" t="s">
        <v>8689</v>
      </c>
    </row>
    <row r="1534" spans="1:11" x14ac:dyDescent="0.4">
      <c r="A1534" t="s">
        <v>8675</v>
      </c>
      <c r="B1534" t="s">
        <v>9</v>
      </c>
      <c r="C1534" t="s">
        <v>10</v>
      </c>
      <c r="D1534" t="s">
        <v>3769</v>
      </c>
      <c r="E1534" t="s">
        <v>8676</v>
      </c>
      <c r="F1534" t="str">
        <f>LEFT(E1534,5)</f>
        <v>서울특별시</v>
      </c>
      <c r="G1534" t="str">
        <f t="shared" si="58"/>
        <v xml:space="preserve">용산구 </v>
      </c>
      <c r="H1534" t="str">
        <f t="shared" si="59"/>
        <v>한남동</v>
      </c>
      <c r="I1534" t="s">
        <v>8677</v>
      </c>
      <c r="J1534" t="s">
        <v>3772</v>
      </c>
      <c r="K1534" t="s">
        <v>8678</v>
      </c>
    </row>
    <row r="1535" spans="1:11" x14ac:dyDescent="0.4">
      <c r="A1535" t="s">
        <v>3768</v>
      </c>
      <c r="B1535" t="s">
        <v>9</v>
      </c>
      <c r="C1535" t="s">
        <v>10</v>
      </c>
      <c r="D1535" t="s">
        <v>3769</v>
      </c>
      <c r="E1535" t="s">
        <v>3770</v>
      </c>
      <c r="F1535" t="str">
        <f>LEFT(E1535,5)</f>
        <v>서울특별시</v>
      </c>
      <c r="G1535" t="str">
        <f t="shared" si="58"/>
        <v xml:space="preserve">용산구 </v>
      </c>
      <c r="H1535" t="str">
        <f t="shared" si="59"/>
        <v>한남동</v>
      </c>
      <c r="I1535" t="s">
        <v>3771</v>
      </c>
      <c r="J1535" t="s">
        <v>3772</v>
      </c>
      <c r="K1535" t="s">
        <v>3773</v>
      </c>
    </row>
    <row r="1536" spans="1:11" x14ac:dyDescent="0.4">
      <c r="A1536" t="s">
        <v>6260</v>
      </c>
      <c r="B1536" t="s">
        <v>9</v>
      </c>
      <c r="C1536" t="s">
        <v>10</v>
      </c>
      <c r="D1536" t="s">
        <v>6261</v>
      </c>
      <c r="E1536" t="s">
        <v>6262</v>
      </c>
      <c r="F1536" t="str">
        <f>LEFT(E1536,5)</f>
        <v>서울특별시</v>
      </c>
      <c r="G1536" t="str">
        <f t="shared" si="58"/>
        <v xml:space="preserve">용산구 </v>
      </c>
      <c r="H1536" t="str">
        <f t="shared" si="59"/>
        <v>한남동</v>
      </c>
      <c r="I1536" t="s">
        <v>6263</v>
      </c>
      <c r="J1536" t="s">
        <v>3772</v>
      </c>
      <c r="K1536" t="s">
        <v>6264</v>
      </c>
    </row>
    <row r="1537" spans="1:11" x14ac:dyDescent="0.4">
      <c r="A1537" t="s">
        <v>6265</v>
      </c>
      <c r="B1537" t="s">
        <v>9</v>
      </c>
      <c r="C1537" t="s">
        <v>10</v>
      </c>
      <c r="D1537" t="s">
        <v>3769</v>
      </c>
      <c r="E1537" t="s">
        <v>6266</v>
      </c>
      <c r="F1537" t="str">
        <f>LEFT(E1537,5)</f>
        <v>서울특별시</v>
      </c>
      <c r="G1537" t="str">
        <f t="shared" si="58"/>
        <v xml:space="preserve">용산구 </v>
      </c>
      <c r="H1537" t="str">
        <f t="shared" si="59"/>
        <v>한남동</v>
      </c>
      <c r="I1537" t="s">
        <v>6267</v>
      </c>
      <c r="J1537" t="s">
        <v>3772</v>
      </c>
      <c r="K1537" t="s">
        <v>6268</v>
      </c>
    </row>
    <row r="1538" spans="1:11" x14ac:dyDescent="0.4">
      <c r="A1538" t="s">
        <v>8633</v>
      </c>
      <c r="B1538" t="s">
        <v>9</v>
      </c>
      <c r="C1538" t="s">
        <v>10</v>
      </c>
      <c r="D1538" t="s">
        <v>3769</v>
      </c>
      <c r="E1538" t="s">
        <v>8634</v>
      </c>
      <c r="F1538" t="str">
        <f>LEFT(E1538,5)</f>
        <v>서울특별시</v>
      </c>
      <c r="G1538" t="str">
        <f t="shared" si="58"/>
        <v xml:space="preserve">용산구 </v>
      </c>
      <c r="H1538" t="str">
        <f t="shared" si="59"/>
        <v>한남동</v>
      </c>
      <c r="I1538" t="s">
        <v>8635</v>
      </c>
      <c r="J1538" t="s">
        <v>3772</v>
      </c>
      <c r="K1538" t="s">
        <v>1558</v>
      </c>
    </row>
    <row r="1539" spans="1:11" x14ac:dyDescent="0.4">
      <c r="A1539" t="s">
        <v>8799</v>
      </c>
      <c r="B1539" t="s">
        <v>9</v>
      </c>
      <c r="C1539" t="s">
        <v>10</v>
      </c>
      <c r="D1539" t="s">
        <v>8800</v>
      </c>
      <c r="E1539" t="s">
        <v>8801</v>
      </c>
      <c r="F1539" t="str">
        <f>LEFT(E1539,5)</f>
        <v>서울특별시</v>
      </c>
      <c r="G1539" t="str">
        <f t="shared" ref="G1539:G1602" si="60">MID(E1539,7,4)</f>
        <v xml:space="preserve">용산구 </v>
      </c>
      <c r="H1539" t="str">
        <f t="shared" ref="H1539:H1602" si="61">MID(SUBSTITUTE(E1539," ",""),9,3)</f>
        <v>한남동</v>
      </c>
      <c r="I1539" t="s">
        <v>8802</v>
      </c>
      <c r="J1539" t="s">
        <v>8803</v>
      </c>
      <c r="K1539" t="s">
        <v>6669</v>
      </c>
    </row>
    <row r="1540" spans="1:11" x14ac:dyDescent="0.4">
      <c r="A1540" t="s">
        <v>9008</v>
      </c>
      <c r="B1540" t="s">
        <v>9</v>
      </c>
      <c r="C1540" t="s">
        <v>10</v>
      </c>
      <c r="D1540" t="s">
        <v>9009</v>
      </c>
      <c r="E1540" t="s">
        <v>9010</v>
      </c>
      <c r="F1540" t="str">
        <f>LEFT(E1540,5)</f>
        <v>서울특별시</v>
      </c>
      <c r="G1540" t="str">
        <f t="shared" si="60"/>
        <v xml:space="preserve">용산구 </v>
      </c>
      <c r="H1540" t="str">
        <f t="shared" si="61"/>
        <v>한남동</v>
      </c>
      <c r="I1540" t="s">
        <v>9011</v>
      </c>
      <c r="J1540" t="s">
        <v>9012</v>
      </c>
      <c r="K1540" t="s">
        <v>9013</v>
      </c>
    </row>
    <row r="1541" spans="1:11" x14ac:dyDescent="0.4">
      <c r="A1541" t="s">
        <v>8934</v>
      </c>
      <c r="B1541" t="s">
        <v>9</v>
      </c>
      <c r="C1541" t="s">
        <v>10</v>
      </c>
      <c r="D1541" t="s">
        <v>8935</v>
      </c>
      <c r="E1541" t="s">
        <v>8936</v>
      </c>
      <c r="F1541" t="str">
        <f>LEFT(E1541,5)</f>
        <v>서울특별시</v>
      </c>
      <c r="G1541" t="str">
        <f t="shared" si="60"/>
        <v xml:space="preserve">용산구 </v>
      </c>
      <c r="H1541" t="str">
        <f t="shared" si="61"/>
        <v>한남동</v>
      </c>
      <c r="I1541" t="s">
        <v>8937</v>
      </c>
      <c r="J1541" t="s">
        <v>3772</v>
      </c>
      <c r="K1541" t="s">
        <v>8938</v>
      </c>
    </row>
    <row r="1542" spans="1:11" x14ac:dyDescent="0.4">
      <c r="A1542" t="s">
        <v>805</v>
      </c>
      <c r="B1542" t="s">
        <v>9</v>
      </c>
      <c r="C1542" t="s">
        <v>10</v>
      </c>
      <c r="D1542" t="s">
        <v>806</v>
      </c>
      <c r="E1542" t="s">
        <v>807</v>
      </c>
      <c r="F1542" t="str">
        <f>LEFT(E1542,5)</f>
        <v>서울특별시</v>
      </c>
      <c r="G1542" t="str">
        <f t="shared" si="60"/>
        <v xml:space="preserve">용산구 </v>
      </c>
      <c r="H1542" t="str">
        <f t="shared" si="61"/>
        <v>한남동</v>
      </c>
      <c r="I1542" t="s">
        <v>808</v>
      </c>
      <c r="J1542" t="s">
        <v>809</v>
      </c>
      <c r="K1542" t="s">
        <v>810</v>
      </c>
    </row>
    <row r="1543" spans="1:11" x14ac:dyDescent="0.4">
      <c r="A1543" t="s">
        <v>3635</v>
      </c>
      <c r="B1543" t="s">
        <v>9</v>
      </c>
      <c r="C1543" t="s">
        <v>10</v>
      </c>
      <c r="D1543" t="s">
        <v>1435</v>
      </c>
      <c r="E1543" t="s">
        <v>3636</v>
      </c>
      <c r="F1543" t="str">
        <f>LEFT(E1543,5)</f>
        <v>서울특별시</v>
      </c>
      <c r="G1543" t="str">
        <f t="shared" si="60"/>
        <v xml:space="preserve">은평구 </v>
      </c>
      <c r="H1543" t="str">
        <f t="shared" si="61"/>
        <v>갈현동</v>
      </c>
      <c r="I1543" t="s">
        <v>3637</v>
      </c>
      <c r="J1543" t="s">
        <v>3638</v>
      </c>
      <c r="K1543" t="s">
        <v>59</v>
      </c>
    </row>
    <row r="1544" spans="1:11" x14ac:dyDescent="0.4">
      <c r="A1544" t="s">
        <v>7006</v>
      </c>
      <c r="B1544" t="s">
        <v>9</v>
      </c>
      <c r="C1544" t="s">
        <v>10</v>
      </c>
      <c r="D1544" t="s">
        <v>1435</v>
      </c>
      <c r="E1544" t="s">
        <v>7007</v>
      </c>
      <c r="F1544" t="str">
        <f>LEFT(E1544,5)</f>
        <v>서울특별시</v>
      </c>
      <c r="G1544" t="str">
        <f t="shared" si="60"/>
        <v xml:space="preserve">은평구 </v>
      </c>
      <c r="H1544" t="str">
        <f t="shared" si="61"/>
        <v>갈현동</v>
      </c>
      <c r="I1544" t="s">
        <v>7008</v>
      </c>
      <c r="J1544" t="s">
        <v>3638</v>
      </c>
      <c r="K1544" t="s">
        <v>7009</v>
      </c>
    </row>
    <row r="1545" spans="1:11" x14ac:dyDescent="0.4">
      <c r="A1545" t="s">
        <v>8772</v>
      </c>
      <c r="B1545" t="s">
        <v>9</v>
      </c>
      <c r="C1545" t="s">
        <v>10</v>
      </c>
      <c r="D1545" t="s">
        <v>1435</v>
      </c>
      <c r="E1545" t="s">
        <v>8773</v>
      </c>
      <c r="F1545" t="str">
        <f>LEFT(E1545,5)</f>
        <v>서울특별시</v>
      </c>
      <c r="G1545" t="str">
        <f t="shared" si="60"/>
        <v xml:space="preserve">은평구 </v>
      </c>
      <c r="H1545" t="str">
        <f t="shared" si="61"/>
        <v>갈현동</v>
      </c>
      <c r="I1545" t="s">
        <v>8774</v>
      </c>
      <c r="J1545" t="s">
        <v>3638</v>
      </c>
      <c r="K1545" t="s">
        <v>8775</v>
      </c>
    </row>
    <row r="1546" spans="1:11" x14ac:dyDescent="0.4">
      <c r="A1546" t="s">
        <v>3957</v>
      </c>
      <c r="B1546" t="s">
        <v>9</v>
      </c>
      <c r="C1546" t="s">
        <v>10</v>
      </c>
      <c r="D1546" t="s">
        <v>1435</v>
      </c>
      <c r="E1546" t="s">
        <v>3958</v>
      </c>
      <c r="F1546" t="str">
        <f>LEFT(E1546,5)</f>
        <v>서울특별시</v>
      </c>
      <c r="G1546" t="str">
        <f t="shared" si="60"/>
        <v xml:space="preserve">은평구 </v>
      </c>
      <c r="H1546" t="str">
        <f t="shared" si="61"/>
        <v>갈현동</v>
      </c>
      <c r="I1546" t="s">
        <v>3959</v>
      </c>
      <c r="J1546" t="s">
        <v>3960</v>
      </c>
      <c r="K1546" t="s">
        <v>3961</v>
      </c>
    </row>
    <row r="1547" spans="1:11" x14ac:dyDescent="0.4">
      <c r="A1547" t="s">
        <v>4091</v>
      </c>
      <c r="B1547" t="s">
        <v>9</v>
      </c>
      <c r="C1547" t="s">
        <v>10</v>
      </c>
      <c r="D1547" t="s">
        <v>1435</v>
      </c>
      <c r="E1547" t="s">
        <v>4092</v>
      </c>
      <c r="F1547" t="str">
        <f>LEFT(E1547,5)</f>
        <v>서울특별시</v>
      </c>
      <c r="G1547" t="str">
        <f t="shared" si="60"/>
        <v xml:space="preserve">은평구 </v>
      </c>
      <c r="H1547" t="str">
        <f t="shared" si="61"/>
        <v>갈현동</v>
      </c>
      <c r="I1547" t="s">
        <v>4093</v>
      </c>
      <c r="J1547" t="s">
        <v>759</v>
      </c>
      <c r="K1547" t="s">
        <v>4094</v>
      </c>
    </row>
    <row r="1548" spans="1:11" x14ac:dyDescent="0.4">
      <c r="A1548" t="s">
        <v>1434</v>
      </c>
      <c r="B1548" t="s">
        <v>9</v>
      </c>
      <c r="C1548" t="s">
        <v>10</v>
      </c>
      <c r="D1548" t="s">
        <v>1435</v>
      </c>
      <c r="E1548" t="s">
        <v>1436</v>
      </c>
      <c r="F1548" t="str">
        <f>LEFT(E1548,5)</f>
        <v>서울특별시</v>
      </c>
      <c r="G1548" t="str">
        <f t="shared" si="60"/>
        <v xml:space="preserve">은평구 </v>
      </c>
      <c r="H1548" t="str">
        <f t="shared" si="61"/>
        <v>갈현동</v>
      </c>
      <c r="I1548" t="s">
        <v>1437</v>
      </c>
      <c r="J1548" t="s">
        <v>759</v>
      </c>
      <c r="K1548" t="s">
        <v>1438</v>
      </c>
    </row>
    <row r="1549" spans="1:11" x14ac:dyDescent="0.4">
      <c r="A1549" t="s">
        <v>755</v>
      </c>
      <c r="B1549" t="s">
        <v>9</v>
      </c>
      <c r="C1549" t="s">
        <v>10</v>
      </c>
      <c r="D1549" t="s">
        <v>756</v>
      </c>
      <c r="E1549" t="s">
        <v>757</v>
      </c>
      <c r="F1549" t="str">
        <f>LEFT(E1549,5)</f>
        <v>서울특별시</v>
      </c>
      <c r="G1549" t="str">
        <f t="shared" si="60"/>
        <v xml:space="preserve">은평구 </v>
      </c>
      <c r="H1549" t="str">
        <f t="shared" si="61"/>
        <v>갈현동</v>
      </c>
      <c r="I1549" t="s">
        <v>758</v>
      </c>
      <c r="J1549" t="s">
        <v>759</v>
      </c>
      <c r="K1549" t="s">
        <v>760</v>
      </c>
    </row>
    <row r="1550" spans="1:11" x14ac:dyDescent="0.4">
      <c r="A1550" t="s">
        <v>1814</v>
      </c>
      <c r="B1550" t="s">
        <v>9</v>
      </c>
      <c r="C1550" t="s">
        <v>10</v>
      </c>
      <c r="D1550" t="s">
        <v>756</v>
      </c>
      <c r="E1550" t="s">
        <v>1815</v>
      </c>
      <c r="F1550" t="str">
        <f>LEFT(E1550,5)</f>
        <v>서울특별시</v>
      </c>
      <c r="G1550" t="str">
        <f t="shared" si="60"/>
        <v xml:space="preserve">은평구 </v>
      </c>
      <c r="H1550" t="str">
        <f t="shared" si="61"/>
        <v>갈현동</v>
      </c>
      <c r="I1550" t="s">
        <v>1816</v>
      </c>
      <c r="J1550" t="s">
        <v>759</v>
      </c>
      <c r="K1550" t="s">
        <v>760</v>
      </c>
    </row>
    <row r="1551" spans="1:11" x14ac:dyDescent="0.4">
      <c r="A1551" t="s">
        <v>3897</v>
      </c>
      <c r="B1551" t="s">
        <v>9</v>
      </c>
      <c r="C1551" t="s">
        <v>10</v>
      </c>
      <c r="D1551" t="s">
        <v>756</v>
      </c>
      <c r="E1551" t="s">
        <v>3898</v>
      </c>
      <c r="F1551" t="str">
        <f>LEFT(E1551,5)</f>
        <v>서울특별시</v>
      </c>
      <c r="G1551" t="str">
        <f t="shared" si="60"/>
        <v xml:space="preserve">은평구 </v>
      </c>
      <c r="H1551" t="str">
        <f t="shared" si="61"/>
        <v>갈현동</v>
      </c>
      <c r="I1551" t="s">
        <v>3899</v>
      </c>
      <c r="J1551" t="s">
        <v>759</v>
      </c>
      <c r="K1551" t="s">
        <v>3900</v>
      </c>
    </row>
    <row r="1552" spans="1:11" x14ac:dyDescent="0.4">
      <c r="A1552" t="s">
        <v>5657</v>
      </c>
      <c r="B1552" t="s">
        <v>9</v>
      </c>
      <c r="C1552" t="s">
        <v>10</v>
      </c>
      <c r="D1552" t="s">
        <v>756</v>
      </c>
      <c r="E1552" t="s">
        <v>5658</v>
      </c>
      <c r="F1552" t="str">
        <f>LEFT(E1552,5)</f>
        <v>서울특별시</v>
      </c>
      <c r="G1552" t="str">
        <f t="shared" si="60"/>
        <v xml:space="preserve">은평구 </v>
      </c>
      <c r="H1552" t="str">
        <f t="shared" si="61"/>
        <v>갈현동</v>
      </c>
      <c r="I1552" t="s">
        <v>5659</v>
      </c>
      <c r="J1552" t="s">
        <v>759</v>
      </c>
      <c r="K1552" t="s">
        <v>5660</v>
      </c>
    </row>
    <row r="1553" spans="1:11" x14ac:dyDescent="0.4">
      <c r="A1553" t="s">
        <v>5002</v>
      </c>
      <c r="B1553" t="s">
        <v>9</v>
      </c>
      <c r="C1553" t="s">
        <v>10</v>
      </c>
      <c r="D1553" t="s">
        <v>756</v>
      </c>
      <c r="E1553" t="s">
        <v>5003</v>
      </c>
      <c r="F1553" t="str">
        <f>LEFT(E1553,5)</f>
        <v>서울특별시</v>
      </c>
      <c r="G1553" t="str">
        <f t="shared" si="60"/>
        <v xml:space="preserve">은평구 </v>
      </c>
      <c r="H1553" t="str">
        <f t="shared" si="61"/>
        <v>갈현동</v>
      </c>
      <c r="I1553" t="s">
        <v>5004</v>
      </c>
      <c r="J1553" t="s">
        <v>759</v>
      </c>
      <c r="K1553" t="s">
        <v>5005</v>
      </c>
    </row>
    <row r="1554" spans="1:11" x14ac:dyDescent="0.4">
      <c r="A1554" t="s">
        <v>3625</v>
      </c>
      <c r="B1554" t="s">
        <v>9</v>
      </c>
      <c r="C1554" t="s">
        <v>10</v>
      </c>
      <c r="D1554" t="s">
        <v>3626</v>
      </c>
      <c r="E1554" t="s">
        <v>3627</v>
      </c>
      <c r="F1554" t="str">
        <f>LEFT(E1554,5)</f>
        <v>서울특별시</v>
      </c>
      <c r="G1554" t="str">
        <f t="shared" si="60"/>
        <v xml:space="preserve">은평구 </v>
      </c>
      <c r="H1554" t="str">
        <f t="shared" si="61"/>
        <v>갈현동</v>
      </c>
      <c r="I1554" t="s">
        <v>3628</v>
      </c>
      <c r="J1554" t="s">
        <v>759</v>
      </c>
      <c r="K1554" t="s">
        <v>3629</v>
      </c>
    </row>
    <row r="1555" spans="1:11" x14ac:dyDescent="0.4">
      <c r="A1555" t="s">
        <v>5569</v>
      </c>
      <c r="B1555" t="s">
        <v>9</v>
      </c>
      <c r="C1555" t="s">
        <v>10</v>
      </c>
      <c r="D1555" t="s">
        <v>3626</v>
      </c>
      <c r="E1555" t="s">
        <v>5570</v>
      </c>
      <c r="F1555" t="str">
        <f>LEFT(E1555,5)</f>
        <v>서울특별시</v>
      </c>
      <c r="G1555" t="str">
        <f t="shared" si="60"/>
        <v xml:space="preserve">은평구 </v>
      </c>
      <c r="H1555" t="str">
        <f t="shared" si="61"/>
        <v>갈현동</v>
      </c>
      <c r="I1555" t="s">
        <v>5571</v>
      </c>
      <c r="J1555" t="s">
        <v>3960</v>
      </c>
      <c r="K1555" t="s">
        <v>3687</v>
      </c>
    </row>
    <row r="1556" spans="1:11" x14ac:dyDescent="0.4">
      <c r="A1556" t="s">
        <v>8939</v>
      </c>
      <c r="B1556" t="s">
        <v>9</v>
      </c>
      <c r="C1556" t="s">
        <v>10</v>
      </c>
      <c r="D1556" t="s">
        <v>3626</v>
      </c>
      <c r="E1556" t="s">
        <v>8940</v>
      </c>
      <c r="F1556" t="str">
        <f>LEFT(E1556,5)</f>
        <v>서울특별시</v>
      </c>
      <c r="G1556" t="str">
        <f t="shared" si="60"/>
        <v xml:space="preserve">은평구 </v>
      </c>
      <c r="H1556" t="str">
        <f t="shared" si="61"/>
        <v>갈현동</v>
      </c>
      <c r="I1556" t="s">
        <v>8941</v>
      </c>
      <c r="J1556" t="s">
        <v>3638</v>
      </c>
      <c r="K1556" t="s">
        <v>8942</v>
      </c>
    </row>
    <row r="1557" spans="1:11" x14ac:dyDescent="0.4">
      <c r="A1557" t="s">
        <v>5836</v>
      </c>
      <c r="B1557" t="s">
        <v>9</v>
      </c>
      <c r="C1557" t="s">
        <v>10</v>
      </c>
      <c r="D1557" t="s">
        <v>3626</v>
      </c>
      <c r="E1557" t="s">
        <v>5837</v>
      </c>
      <c r="F1557" t="str">
        <f>LEFT(E1557,5)</f>
        <v>서울특별시</v>
      </c>
      <c r="G1557" t="str">
        <f t="shared" si="60"/>
        <v xml:space="preserve">은평구 </v>
      </c>
      <c r="H1557" t="str">
        <f t="shared" si="61"/>
        <v>갈현동</v>
      </c>
      <c r="I1557" t="s">
        <v>5838</v>
      </c>
      <c r="J1557" t="s">
        <v>3960</v>
      </c>
      <c r="K1557" t="s">
        <v>5839</v>
      </c>
    </row>
    <row r="1558" spans="1:11" x14ac:dyDescent="0.4">
      <c r="A1558" t="s">
        <v>540</v>
      </c>
      <c r="B1558" t="s">
        <v>9</v>
      </c>
      <c r="C1558" t="s">
        <v>10</v>
      </c>
      <c r="D1558" t="s">
        <v>541</v>
      </c>
      <c r="E1558" t="s">
        <v>542</v>
      </c>
      <c r="F1558" t="str">
        <f>LEFT(E1558,5)</f>
        <v>서울특별시</v>
      </c>
      <c r="G1558" t="str">
        <f t="shared" si="60"/>
        <v xml:space="preserve">은평구 </v>
      </c>
      <c r="H1558" t="str">
        <f t="shared" si="61"/>
        <v>갈현동</v>
      </c>
      <c r="I1558" t="s">
        <v>543</v>
      </c>
      <c r="J1558" t="s">
        <v>544</v>
      </c>
      <c r="K1558" t="s">
        <v>545</v>
      </c>
    </row>
    <row r="1559" spans="1:11" x14ac:dyDescent="0.4">
      <c r="A1559" t="s">
        <v>1265</v>
      </c>
      <c r="B1559" t="s">
        <v>9</v>
      </c>
      <c r="C1559" t="s">
        <v>10</v>
      </c>
      <c r="D1559" t="s">
        <v>541</v>
      </c>
      <c r="E1559" t="s">
        <v>1266</v>
      </c>
      <c r="F1559" t="str">
        <f>LEFT(E1559,5)</f>
        <v>서울특별시</v>
      </c>
      <c r="G1559" t="str">
        <f t="shared" si="60"/>
        <v xml:space="preserve">은평구 </v>
      </c>
      <c r="H1559" t="str">
        <f t="shared" si="61"/>
        <v>갈현동</v>
      </c>
      <c r="I1559" t="s">
        <v>1267</v>
      </c>
      <c r="J1559" t="s">
        <v>544</v>
      </c>
      <c r="K1559" t="s">
        <v>1268</v>
      </c>
    </row>
    <row r="1560" spans="1:11" x14ac:dyDescent="0.4">
      <c r="A1560" t="s">
        <v>1269</v>
      </c>
      <c r="B1560" t="s">
        <v>9</v>
      </c>
      <c r="C1560" t="s">
        <v>10</v>
      </c>
      <c r="D1560" t="s">
        <v>541</v>
      </c>
      <c r="E1560" t="s">
        <v>1266</v>
      </c>
      <c r="F1560" t="str">
        <f>LEFT(E1560,5)</f>
        <v>서울특별시</v>
      </c>
      <c r="G1560" t="str">
        <f t="shared" si="60"/>
        <v xml:space="preserve">은평구 </v>
      </c>
      <c r="H1560" t="str">
        <f t="shared" si="61"/>
        <v>갈현동</v>
      </c>
      <c r="I1560" t="s">
        <v>1267</v>
      </c>
      <c r="J1560" t="s">
        <v>544</v>
      </c>
      <c r="K1560" t="s">
        <v>1270</v>
      </c>
    </row>
    <row r="1561" spans="1:11" x14ac:dyDescent="0.4">
      <c r="A1561" t="s">
        <v>1497</v>
      </c>
      <c r="B1561" t="s">
        <v>9</v>
      </c>
      <c r="C1561" t="s">
        <v>10</v>
      </c>
      <c r="D1561" t="s">
        <v>541</v>
      </c>
      <c r="E1561" t="s">
        <v>1498</v>
      </c>
      <c r="F1561" t="str">
        <f>LEFT(E1561,5)</f>
        <v>서울특별시</v>
      </c>
      <c r="G1561" t="str">
        <f t="shared" si="60"/>
        <v xml:space="preserve">은평구 </v>
      </c>
      <c r="H1561" t="str">
        <f t="shared" si="61"/>
        <v>갈현동</v>
      </c>
      <c r="I1561" t="s">
        <v>1499</v>
      </c>
      <c r="J1561" t="s">
        <v>544</v>
      </c>
      <c r="K1561" t="s">
        <v>1500</v>
      </c>
    </row>
    <row r="1562" spans="1:11" x14ac:dyDescent="0.4">
      <c r="A1562" t="s">
        <v>1609</v>
      </c>
      <c r="B1562" t="s">
        <v>9</v>
      </c>
      <c r="C1562" t="s">
        <v>10</v>
      </c>
      <c r="D1562" t="s">
        <v>541</v>
      </c>
      <c r="E1562" t="s">
        <v>1610</v>
      </c>
      <c r="F1562" t="str">
        <f>LEFT(E1562,5)</f>
        <v>서울특별시</v>
      </c>
      <c r="G1562" t="str">
        <f t="shared" si="60"/>
        <v xml:space="preserve">은평구 </v>
      </c>
      <c r="H1562" t="str">
        <f t="shared" si="61"/>
        <v>갈현동</v>
      </c>
      <c r="I1562" t="s">
        <v>1611</v>
      </c>
      <c r="J1562" t="s">
        <v>544</v>
      </c>
      <c r="K1562" t="s">
        <v>1612</v>
      </c>
    </row>
    <row r="1563" spans="1:11" x14ac:dyDescent="0.4">
      <c r="A1563" t="s">
        <v>3676</v>
      </c>
      <c r="B1563" t="s">
        <v>9</v>
      </c>
      <c r="C1563" t="s">
        <v>10</v>
      </c>
      <c r="D1563" t="s">
        <v>3677</v>
      </c>
      <c r="E1563" t="s">
        <v>3678</v>
      </c>
      <c r="F1563" t="str">
        <f>LEFT(E1563,5)</f>
        <v>서울특별시</v>
      </c>
      <c r="G1563" t="str">
        <f t="shared" si="60"/>
        <v xml:space="preserve">은평구 </v>
      </c>
      <c r="H1563" t="str">
        <f t="shared" si="61"/>
        <v>갈현동</v>
      </c>
      <c r="I1563" t="s">
        <v>3679</v>
      </c>
      <c r="J1563" t="s">
        <v>3680</v>
      </c>
      <c r="K1563" t="s">
        <v>3681</v>
      </c>
    </row>
    <row r="1564" spans="1:11" x14ac:dyDescent="0.4">
      <c r="A1564" t="s">
        <v>7181</v>
      </c>
      <c r="B1564" t="s">
        <v>9</v>
      </c>
      <c r="C1564" t="s">
        <v>10</v>
      </c>
      <c r="D1564" t="s">
        <v>7182</v>
      </c>
      <c r="E1564" t="s">
        <v>7183</v>
      </c>
      <c r="F1564" t="str">
        <f>LEFT(E1564,5)</f>
        <v>서울특별시</v>
      </c>
      <c r="G1564" t="str">
        <f t="shared" si="60"/>
        <v xml:space="preserve">은평구 </v>
      </c>
      <c r="H1564" t="str">
        <f t="shared" si="61"/>
        <v>갈현동</v>
      </c>
      <c r="I1564" t="s">
        <v>7184</v>
      </c>
      <c r="J1564" t="s">
        <v>7185</v>
      </c>
      <c r="K1564" t="s">
        <v>7186</v>
      </c>
    </row>
    <row r="1565" spans="1:11" x14ac:dyDescent="0.4">
      <c r="A1565" t="s">
        <v>5166</v>
      </c>
      <c r="B1565" t="s">
        <v>9</v>
      </c>
      <c r="C1565" t="s">
        <v>10</v>
      </c>
      <c r="D1565" t="s">
        <v>5167</v>
      </c>
      <c r="E1565" t="s">
        <v>5168</v>
      </c>
      <c r="F1565" t="str">
        <f>LEFT(E1565,5)</f>
        <v>서울특별시</v>
      </c>
      <c r="G1565" t="str">
        <f t="shared" si="60"/>
        <v xml:space="preserve">은평구 </v>
      </c>
      <c r="H1565" t="str">
        <f t="shared" si="61"/>
        <v>구산동</v>
      </c>
      <c r="I1565" t="s">
        <v>5169</v>
      </c>
      <c r="J1565" t="s">
        <v>5170</v>
      </c>
      <c r="K1565" t="s">
        <v>5171</v>
      </c>
    </row>
    <row r="1566" spans="1:11" x14ac:dyDescent="0.4">
      <c r="A1566" t="s">
        <v>4618</v>
      </c>
      <c r="B1566" t="s">
        <v>9</v>
      </c>
      <c r="C1566" t="s">
        <v>10</v>
      </c>
      <c r="D1566" t="s">
        <v>1341</v>
      </c>
      <c r="E1566" t="s">
        <v>4619</v>
      </c>
      <c r="F1566" t="str">
        <f>LEFT(E1566,5)</f>
        <v>서울특별시</v>
      </c>
      <c r="G1566" t="str">
        <f t="shared" si="60"/>
        <v xml:space="preserve">은평구 </v>
      </c>
      <c r="H1566" t="str">
        <f t="shared" si="61"/>
        <v>녹번동</v>
      </c>
      <c r="I1566" t="s">
        <v>4620</v>
      </c>
      <c r="J1566" t="s">
        <v>1344</v>
      </c>
      <c r="K1566" t="s">
        <v>4621</v>
      </c>
    </row>
    <row r="1567" spans="1:11" x14ac:dyDescent="0.4">
      <c r="A1567" t="s">
        <v>1340</v>
      </c>
      <c r="B1567" t="s">
        <v>9</v>
      </c>
      <c r="C1567" t="s">
        <v>10</v>
      </c>
      <c r="D1567" t="s">
        <v>1341</v>
      </c>
      <c r="E1567" t="s">
        <v>1342</v>
      </c>
      <c r="F1567" t="str">
        <f>LEFT(E1567,5)</f>
        <v>서울특별시</v>
      </c>
      <c r="G1567" t="str">
        <f t="shared" si="60"/>
        <v xml:space="preserve">은평구 </v>
      </c>
      <c r="H1567" t="str">
        <f t="shared" si="61"/>
        <v>녹번동</v>
      </c>
      <c r="I1567" t="s">
        <v>1343</v>
      </c>
      <c r="J1567" t="s">
        <v>1344</v>
      </c>
      <c r="K1567" t="s">
        <v>1345</v>
      </c>
    </row>
    <row r="1568" spans="1:11" x14ac:dyDescent="0.4">
      <c r="A1568" t="s">
        <v>4314</v>
      </c>
      <c r="B1568" t="s">
        <v>9</v>
      </c>
      <c r="C1568" t="s">
        <v>10</v>
      </c>
      <c r="D1568" t="s">
        <v>1341</v>
      </c>
      <c r="E1568" t="s">
        <v>4315</v>
      </c>
      <c r="F1568" t="str">
        <f>LEFT(E1568,5)</f>
        <v>서울특별시</v>
      </c>
      <c r="G1568" t="str">
        <f t="shared" si="60"/>
        <v xml:space="preserve">은평구 </v>
      </c>
      <c r="H1568" t="str">
        <f t="shared" si="61"/>
        <v>녹번동</v>
      </c>
      <c r="I1568" t="s">
        <v>4316</v>
      </c>
      <c r="J1568" t="s">
        <v>4317</v>
      </c>
      <c r="K1568" t="s">
        <v>2280</v>
      </c>
    </row>
    <row r="1569" spans="1:11" x14ac:dyDescent="0.4">
      <c r="A1569" t="s">
        <v>6460</v>
      </c>
      <c r="B1569" t="s">
        <v>9</v>
      </c>
      <c r="C1569" t="s">
        <v>10</v>
      </c>
      <c r="D1569" t="s">
        <v>6461</v>
      </c>
      <c r="E1569" t="s">
        <v>6462</v>
      </c>
      <c r="F1569" t="str">
        <f>LEFT(E1569,5)</f>
        <v>서울특별시</v>
      </c>
      <c r="G1569" t="str">
        <f t="shared" si="60"/>
        <v xml:space="preserve">은평구 </v>
      </c>
      <c r="H1569" t="str">
        <f t="shared" si="61"/>
        <v>녹번동</v>
      </c>
      <c r="I1569" t="s">
        <v>6463</v>
      </c>
      <c r="J1569" t="s">
        <v>1344</v>
      </c>
      <c r="K1569" t="s">
        <v>5418</v>
      </c>
    </row>
    <row r="1570" spans="1:11" x14ac:dyDescent="0.4">
      <c r="A1570" t="s">
        <v>8457</v>
      </c>
      <c r="B1570" t="s">
        <v>9</v>
      </c>
      <c r="C1570" t="s">
        <v>10</v>
      </c>
      <c r="D1570" t="s">
        <v>5303</v>
      </c>
      <c r="E1570" t="s">
        <v>8458</v>
      </c>
      <c r="F1570" t="str">
        <f>LEFT(E1570,5)</f>
        <v>서울특별시</v>
      </c>
      <c r="G1570" t="str">
        <f t="shared" si="60"/>
        <v xml:space="preserve">은평구 </v>
      </c>
      <c r="H1570" t="str">
        <f t="shared" si="61"/>
        <v>녹번동</v>
      </c>
      <c r="I1570" t="s">
        <v>8459</v>
      </c>
      <c r="J1570" t="s">
        <v>5306</v>
      </c>
      <c r="K1570" t="s">
        <v>8460</v>
      </c>
    </row>
    <row r="1571" spans="1:11" x14ac:dyDescent="0.4">
      <c r="A1571" t="s">
        <v>5302</v>
      </c>
      <c r="B1571" t="s">
        <v>9</v>
      </c>
      <c r="C1571" t="s">
        <v>10</v>
      </c>
      <c r="D1571" t="s">
        <v>5303</v>
      </c>
      <c r="E1571" t="s">
        <v>5304</v>
      </c>
      <c r="F1571" t="str">
        <f>LEFT(E1571,5)</f>
        <v>서울특별시</v>
      </c>
      <c r="G1571" t="str">
        <f t="shared" si="60"/>
        <v xml:space="preserve">은평구 </v>
      </c>
      <c r="H1571" t="str">
        <f t="shared" si="61"/>
        <v>녹번동</v>
      </c>
      <c r="I1571" t="s">
        <v>5305</v>
      </c>
      <c r="J1571" t="s">
        <v>5306</v>
      </c>
      <c r="K1571" t="s">
        <v>5307</v>
      </c>
    </row>
    <row r="1572" spans="1:11" x14ac:dyDescent="0.4">
      <c r="A1572" t="s">
        <v>6397</v>
      </c>
      <c r="B1572" t="s">
        <v>9</v>
      </c>
      <c r="C1572" t="s">
        <v>10</v>
      </c>
      <c r="D1572" t="s">
        <v>4919</v>
      </c>
      <c r="E1572" t="s">
        <v>6398</v>
      </c>
      <c r="F1572" t="str">
        <f>LEFT(E1572,5)</f>
        <v>서울특별시</v>
      </c>
      <c r="G1572" t="str">
        <f t="shared" si="60"/>
        <v xml:space="preserve">은평구 </v>
      </c>
      <c r="H1572" t="str">
        <f t="shared" si="61"/>
        <v>녹번동</v>
      </c>
      <c r="I1572" t="s">
        <v>6399</v>
      </c>
      <c r="J1572" t="s">
        <v>4922</v>
      </c>
      <c r="K1572" t="s">
        <v>6400</v>
      </c>
    </row>
    <row r="1573" spans="1:11" x14ac:dyDescent="0.4">
      <c r="A1573" t="s">
        <v>4918</v>
      </c>
      <c r="B1573" t="s">
        <v>9</v>
      </c>
      <c r="C1573" t="s">
        <v>10</v>
      </c>
      <c r="D1573" t="s">
        <v>4919</v>
      </c>
      <c r="E1573" t="s">
        <v>4920</v>
      </c>
      <c r="F1573" t="str">
        <f>LEFT(E1573,5)</f>
        <v>서울특별시</v>
      </c>
      <c r="G1573" t="str">
        <f t="shared" si="60"/>
        <v xml:space="preserve">은평구 </v>
      </c>
      <c r="H1573" t="str">
        <f t="shared" si="61"/>
        <v>녹번동</v>
      </c>
      <c r="I1573" t="s">
        <v>4921</v>
      </c>
      <c r="J1573" t="s">
        <v>4922</v>
      </c>
      <c r="K1573" t="s">
        <v>4923</v>
      </c>
    </row>
    <row r="1574" spans="1:11" x14ac:dyDescent="0.4">
      <c r="A1574" t="s">
        <v>7567</v>
      </c>
      <c r="B1574" t="s">
        <v>9</v>
      </c>
      <c r="C1574" t="s">
        <v>10</v>
      </c>
      <c r="D1574" t="s">
        <v>4919</v>
      </c>
      <c r="E1574" t="s">
        <v>7568</v>
      </c>
      <c r="F1574" t="str">
        <f>LEFT(E1574,5)</f>
        <v>서울특별시</v>
      </c>
      <c r="G1574" t="str">
        <f t="shared" si="60"/>
        <v xml:space="preserve">은평구 </v>
      </c>
      <c r="H1574" t="str">
        <f t="shared" si="61"/>
        <v>녹번동</v>
      </c>
      <c r="I1574" t="s">
        <v>7569</v>
      </c>
      <c r="J1574" t="s">
        <v>4922</v>
      </c>
      <c r="K1574" t="s">
        <v>7570</v>
      </c>
    </row>
    <row r="1575" spans="1:11" x14ac:dyDescent="0.4">
      <c r="A1575" t="s">
        <v>5911</v>
      </c>
      <c r="B1575" t="s">
        <v>9</v>
      </c>
      <c r="C1575" t="s">
        <v>10</v>
      </c>
      <c r="D1575" t="s">
        <v>4919</v>
      </c>
      <c r="E1575" t="s">
        <v>5912</v>
      </c>
      <c r="F1575" t="str">
        <f>LEFT(E1575,5)</f>
        <v>서울특별시</v>
      </c>
      <c r="G1575" t="str">
        <f t="shared" si="60"/>
        <v xml:space="preserve">은평구 </v>
      </c>
      <c r="H1575" t="str">
        <f t="shared" si="61"/>
        <v>녹번동</v>
      </c>
      <c r="I1575" t="s">
        <v>5913</v>
      </c>
      <c r="J1575" t="s">
        <v>4922</v>
      </c>
      <c r="K1575" t="s">
        <v>5914</v>
      </c>
    </row>
    <row r="1576" spans="1:11" x14ac:dyDescent="0.4">
      <c r="A1576" t="s">
        <v>7282</v>
      </c>
      <c r="B1576" t="s">
        <v>9</v>
      </c>
      <c r="C1576" t="s">
        <v>10</v>
      </c>
      <c r="D1576" t="s">
        <v>7283</v>
      </c>
      <c r="E1576" t="s">
        <v>7284</v>
      </c>
      <c r="F1576" t="str">
        <f>LEFT(E1576,5)</f>
        <v>서울특별시</v>
      </c>
      <c r="G1576" t="str">
        <f t="shared" si="60"/>
        <v xml:space="preserve">은평구 </v>
      </c>
      <c r="H1576" t="str">
        <f t="shared" si="61"/>
        <v>녹번동</v>
      </c>
      <c r="I1576" t="s">
        <v>7285</v>
      </c>
      <c r="J1576" t="s">
        <v>7286</v>
      </c>
      <c r="K1576" t="s">
        <v>1081</v>
      </c>
    </row>
    <row r="1577" spans="1:11" x14ac:dyDescent="0.4">
      <c r="A1577" t="s">
        <v>7577</v>
      </c>
      <c r="B1577" t="s">
        <v>9</v>
      </c>
      <c r="C1577" t="s">
        <v>10</v>
      </c>
      <c r="D1577" t="s">
        <v>7578</v>
      </c>
      <c r="E1577" t="s">
        <v>7579</v>
      </c>
      <c r="F1577" t="str">
        <f>LEFT(E1577,5)</f>
        <v>서울특별시</v>
      </c>
      <c r="G1577" t="str">
        <f t="shared" si="60"/>
        <v xml:space="preserve">은평구 </v>
      </c>
      <c r="H1577" t="str">
        <f t="shared" si="61"/>
        <v>녹번동</v>
      </c>
      <c r="I1577" t="s">
        <v>7580</v>
      </c>
      <c r="J1577" t="s">
        <v>7286</v>
      </c>
      <c r="K1577" t="s">
        <v>7581</v>
      </c>
    </row>
    <row r="1578" spans="1:11" x14ac:dyDescent="0.4">
      <c r="A1578" t="s">
        <v>720</v>
      </c>
      <c r="B1578" t="s">
        <v>9</v>
      </c>
      <c r="C1578" t="s">
        <v>10</v>
      </c>
      <c r="D1578" t="s">
        <v>337</v>
      </c>
      <c r="E1578" t="s">
        <v>721</v>
      </c>
      <c r="F1578" t="str">
        <f>LEFT(E1578,5)</f>
        <v>서울특별시</v>
      </c>
      <c r="G1578" t="str">
        <f t="shared" si="60"/>
        <v xml:space="preserve">은평구 </v>
      </c>
      <c r="H1578" t="str">
        <f t="shared" si="61"/>
        <v>대조동</v>
      </c>
      <c r="I1578" t="s">
        <v>722</v>
      </c>
      <c r="J1578" t="s">
        <v>723</v>
      </c>
      <c r="K1578" t="s">
        <v>724</v>
      </c>
    </row>
    <row r="1579" spans="1:11" x14ac:dyDescent="0.4">
      <c r="A1579" t="s">
        <v>336</v>
      </c>
      <c r="B1579" t="s">
        <v>9</v>
      </c>
      <c r="C1579" t="s">
        <v>10</v>
      </c>
      <c r="D1579" t="s">
        <v>337</v>
      </c>
      <c r="E1579" t="s">
        <v>338</v>
      </c>
      <c r="F1579" t="str">
        <f>LEFT(E1579,5)</f>
        <v>서울특별시</v>
      </c>
      <c r="G1579" t="str">
        <f t="shared" si="60"/>
        <v xml:space="preserve">은평구 </v>
      </c>
      <c r="H1579" t="str">
        <f t="shared" si="61"/>
        <v>대조동</v>
      </c>
      <c r="I1579" t="s">
        <v>339</v>
      </c>
      <c r="J1579" t="s">
        <v>340</v>
      </c>
      <c r="K1579" t="s">
        <v>341</v>
      </c>
    </row>
    <row r="1580" spans="1:11" x14ac:dyDescent="0.4">
      <c r="A1580" t="s">
        <v>7781</v>
      </c>
      <c r="B1580" t="s">
        <v>9</v>
      </c>
      <c r="C1580" t="s">
        <v>10</v>
      </c>
      <c r="D1580" t="s">
        <v>337</v>
      </c>
      <c r="E1580" t="s">
        <v>7782</v>
      </c>
      <c r="F1580" t="str">
        <f>LEFT(E1580,5)</f>
        <v>서울특별시</v>
      </c>
      <c r="G1580" t="str">
        <f t="shared" si="60"/>
        <v xml:space="preserve">은평구 </v>
      </c>
      <c r="H1580" t="str">
        <f t="shared" si="61"/>
        <v>대조동</v>
      </c>
      <c r="I1580" t="s">
        <v>7783</v>
      </c>
      <c r="J1580" t="s">
        <v>340</v>
      </c>
      <c r="K1580" t="s">
        <v>7784</v>
      </c>
    </row>
    <row r="1581" spans="1:11" x14ac:dyDescent="0.4">
      <c r="A1581" t="s">
        <v>6490</v>
      </c>
      <c r="B1581" t="s">
        <v>9</v>
      </c>
      <c r="C1581" t="s">
        <v>10</v>
      </c>
      <c r="D1581" t="s">
        <v>6491</v>
      </c>
      <c r="E1581" t="s">
        <v>6492</v>
      </c>
      <c r="F1581" t="str">
        <f>LEFT(E1581,5)</f>
        <v>서울특별시</v>
      </c>
      <c r="G1581" t="str">
        <f t="shared" si="60"/>
        <v xml:space="preserve">은평구 </v>
      </c>
      <c r="H1581" t="str">
        <f t="shared" si="61"/>
        <v>대조동</v>
      </c>
      <c r="I1581" t="s">
        <v>6493</v>
      </c>
      <c r="J1581" t="s">
        <v>6494</v>
      </c>
      <c r="K1581" t="s">
        <v>6495</v>
      </c>
    </row>
    <row r="1582" spans="1:11" x14ac:dyDescent="0.4">
      <c r="A1582" t="s">
        <v>8901</v>
      </c>
      <c r="B1582" t="s">
        <v>9</v>
      </c>
      <c r="C1582" t="s">
        <v>10</v>
      </c>
      <c r="D1582" t="s">
        <v>517</v>
      </c>
      <c r="E1582" t="s">
        <v>8902</v>
      </c>
      <c r="F1582" t="str">
        <f>LEFT(E1582,5)</f>
        <v>서울특별시</v>
      </c>
      <c r="G1582" t="str">
        <f t="shared" si="60"/>
        <v xml:space="preserve">은평구 </v>
      </c>
      <c r="H1582" t="str">
        <f t="shared" si="61"/>
        <v>대조동</v>
      </c>
      <c r="I1582" t="s">
        <v>8903</v>
      </c>
      <c r="J1582" t="s">
        <v>520</v>
      </c>
      <c r="K1582" t="s">
        <v>8904</v>
      </c>
    </row>
    <row r="1583" spans="1:11" x14ac:dyDescent="0.4">
      <c r="A1583" t="s">
        <v>516</v>
      </c>
      <c r="B1583" t="s">
        <v>9</v>
      </c>
      <c r="C1583" t="s">
        <v>10</v>
      </c>
      <c r="D1583" t="s">
        <v>517</v>
      </c>
      <c r="E1583" t="s">
        <v>518</v>
      </c>
      <c r="F1583" t="str">
        <f>LEFT(E1583,5)</f>
        <v>서울특별시</v>
      </c>
      <c r="G1583" t="str">
        <f t="shared" si="60"/>
        <v xml:space="preserve">은평구 </v>
      </c>
      <c r="H1583" t="str">
        <f t="shared" si="61"/>
        <v>대조동</v>
      </c>
      <c r="I1583" t="s">
        <v>519</v>
      </c>
      <c r="J1583" t="s">
        <v>520</v>
      </c>
      <c r="K1583" t="s">
        <v>521</v>
      </c>
    </row>
    <row r="1584" spans="1:11" x14ac:dyDescent="0.4">
      <c r="A1584" t="s">
        <v>1096</v>
      </c>
      <c r="B1584" t="s">
        <v>9</v>
      </c>
      <c r="C1584" t="s">
        <v>10</v>
      </c>
      <c r="D1584" t="s">
        <v>517</v>
      </c>
      <c r="E1584" t="s">
        <v>1097</v>
      </c>
      <c r="F1584" t="str">
        <f>LEFT(E1584,5)</f>
        <v>서울특별시</v>
      </c>
      <c r="G1584" t="str">
        <f t="shared" si="60"/>
        <v xml:space="preserve">은평구 </v>
      </c>
      <c r="H1584" t="str">
        <f t="shared" si="61"/>
        <v>대조동</v>
      </c>
      <c r="I1584" t="s">
        <v>1098</v>
      </c>
      <c r="J1584" t="s">
        <v>520</v>
      </c>
      <c r="K1584" t="s">
        <v>1099</v>
      </c>
    </row>
    <row r="1585" spans="1:11" x14ac:dyDescent="0.4">
      <c r="A1585" t="s">
        <v>7674</v>
      </c>
      <c r="B1585" t="s">
        <v>9</v>
      </c>
      <c r="C1585" t="s">
        <v>10</v>
      </c>
      <c r="D1585" t="s">
        <v>517</v>
      </c>
      <c r="E1585" t="s">
        <v>7675</v>
      </c>
      <c r="F1585" t="str">
        <f>LEFT(E1585,5)</f>
        <v>서울특별시</v>
      </c>
      <c r="G1585" t="str">
        <f t="shared" si="60"/>
        <v xml:space="preserve">은평구 </v>
      </c>
      <c r="H1585" t="str">
        <f t="shared" si="61"/>
        <v>대조동</v>
      </c>
      <c r="I1585" t="s">
        <v>7676</v>
      </c>
      <c r="J1585" t="s">
        <v>520</v>
      </c>
      <c r="K1585" t="s">
        <v>7677</v>
      </c>
    </row>
    <row r="1586" spans="1:11" x14ac:dyDescent="0.4">
      <c r="A1586" t="s">
        <v>1057</v>
      </c>
      <c r="B1586" t="s">
        <v>9</v>
      </c>
      <c r="C1586" t="s">
        <v>10</v>
      </c>
      <c r="D1586" t="s">
        <v>517</v>
      </c>
      <c r="E1586" t="s">
        <v>1058</v>
      </c>
      <c r="F1586" t="str">
        <f>LEFT(E1586,5)</f>
        <v>서울특별시</v>
      </c>
      <c r="G1586" t="str">
        <f t="shared" si="60"/>
        <v xml:space="preserve">은평구 </v>
      </c>
      <c r="H1586" t="str">
        <f t="shared" si="61"/>
        <v>대조동</v>
      </c>
      <c r="I1586" t="s">
        <v>1059</v>
      </c>
      <c r="J1586" t="s">
        <v>520</v>
      </c>
      <c r="K1586" t="s">
        <v>1060</v>
      </c>
    </row>
    <row r="1587" spans="1:11" x14ac:dyDescent="0.4">
      <c r="A1587" t="s">
        <v>1781</v>
      </c>
      <c r="B1587" t="s">
        <v>9</v>
      </c>
      <c r="C1587" t="s">
        <v>10</v>
      </c>
      <c r="D1587" t="s">
        <v>517</v>
      </c>
      <c r="E1587" t="s">
        <v>1782</v>
      </c>
      <c r="F1587" t="str">
        <f>LEFT(E1587,5)</f>
        <v>서울특별시</v>
      </c>
      <c r="G1587" t="str">
        <f t="shared" si="60"/>
        <v xml:space="preserve">은평구 </v>
      </c>
      <c r="H1587" t="str">
        <f t="shared" si="61"/>
        <v>대조동</v>
      </c>
      <c r="I1587" t="s">
        <v>1783</v>
      </c>
      <c r="J1587" t="s">
        <v>520</v>
      </c>
      <c r="K1587" t="s">
        <v>1784</v>
      </c>
    </row>
    <row r="1588" spans="1:11" x14ac:dyDescent="0.4">
      <c r="A1588" t="s">
        <v>8335</v>
      </c>
      <c r="B1588" t="s">
        <v>9</v>
      </c>
      <c r="C1588" t="s">
        <v>10</v>
      </c>
      <c r="D1588" t="s">
        <v>3717</v>
      </c>
      <c r="E1588" t="s">
        <v>8336</v>
      </c>
      <c r="F1588" t="str">
        <f>LEFT(E1588,5)</f>
        <v>서울특별시</v>
      </c>
      <c r="G1588" t="str">
        <f t="shared" si="60"/>
        <v xml:space="preserve">은평구 </v>
      </c>
      <c r="H1588" t="str">
        <f t="shared" si="61"/>
        <v>대조동</v>
      </c>
      <c r="I1588" t="s">
        <v>8337</v>
      </c>
      <c r="J1588" t="s">
        <v>6050</v>
      </c>
      <c r="K1588" t="s">
        <v>8338</v>
      </c>
    </row>
    <row r="1589" spans="1:11" x14ac:dyDescent="0.4">
      <c r="A1589" t="s">
        <v>6566</v>
      </c>
      <c r="B1589" t="s">
        <v>9</v>
      </c>
      <c r="C1589" t="s">
        <v>10</v>
      </c>
      <c r="D1589" t="s">
        <v>3717</v>
      </c>
      <c r="E1589" t="s">
        <v>6567</v>
      </c>
      <c r="F1589" t="str">
        <f>LEFT(E1589,5)</f>
        <v>서울특별시</v>
      </c>
      <c r="G1589" t="str">
        <f t="shared" si="60"/>
        <v xml:space="preserve">은평구 </v>
      </c>
      <c r="H1589" t="str">
        <f t="shared" si="61"/>
        <v>대조동</v>
      </c>
      <c r="I1589" t="s">
        <v>6568</v>
      </c>
      <c r="J1589" t="s">
        <v>6050</v>
      </c>
      <c r="K1589" t="s">
        <v>6569</v>
      </c>
    </row>
    <row r="1590" spans="1:11" x14ac:dyDescent="0.4">
      <c r="A1590" t="s">
        <v>6763</v>
      </c>
      <c r="B1590" t="s">
        <v>9</v>
      </c>
      <c r="C1590" t="s">
        <v>10</v>
      </c>
      <c r="D1590" t="s">
        <v>3717</v>
      </c>
      <c r="E1590" t="s">
        <v>6764</v>
      </c>
      <c r="F1590" t="str">
        <f>LEFT(E1590,5)</f>
        <v>서울특별시</v>
      </c>
      <c r="G1590" t="str">
        <f t="shared" si="60"/>
        <v xml:space="preserve">은평구 </v>
      </c>
      <c r="H1590" t="str">
        <f t="shared" si="61"/>
        <v>대조동</v>
      </c>
      <c r="I1590" t="s">
        <v>6765</v>
      </c>
      <c r="J1590" t="s">
        <v>6050</v>
      </c>
      <c r="K1590" t="s">
        <v>6766</v>
      </c>
    </row>
    <row r="1591" spans="1:11" x14ac:dyDescent="0.4">
      <c r="A1591" t="s">
        <v>4715</v>
      </c>
      <c r="B1591" t="s">
        <v>9</v>
      </c>
      <c r="C1591" t="s">
        <v>10</v>
      </c>
      <c r="D1591" t="s">
        <v>337</v>
      </c>
      <c r="E1591" t="s">
        <v>4716</v>
      </c>
      <c r="F1591" t="str">
        <f>LEFT(E1591,5)</f>
        <v>서울특별시</v>
      </c>
      <c r="G1591" t="str">
        <f t="shared" si="60"/>
        <v xml:space="preserve">은평구 </v>
      </c>
      <c r="H1591" t="str">
        <f t="shared" si="61"/>
        <v>대조동</v>
      </c>
      <c r="I1591" t="s">
        <v>4717</v>
      </c>
      <c r="J1591" t="s">
        <v>4718</v>
      </c>
      <c r="K1591" t="s">
        <v>4719</v>
      </c>
    </row>
    <row r="1592" spans="1:11" x14ac:dyDescent="0.4">
      <c r="A1592" t="s">
        <v>8629</v>
      </c>
      <c r="B1592" t="s">
        <v>9</v>
      </c>
      <c r="C1592" t="s">
        <v>10</v>
      </c>
      <c r="D1592" t="s">
        <v>3717</v>
      </c>
      <c r="E1592" t="s">
        <v>8630</v>
      </c>
      <c r="F1592" t="str">
        <f>LEFT(E1592,5)</f>
        <v>서울특별시</v>
      </c>
      <c r="G1592" t="str">
        <f t="shared" si="60"/>
        <v xml:space="preserve">은평구 </v>
      </c>
      <c r="H1592" t="str">
        <f t="shared" si="61"/>
        <v>대조동</v>
      </c>
      <c r="I1592" t="s">
        <v>8631</v>
      </c>
      <c r="J1592" t="s">
        <v>6050</v>
      </c>
      <c r="K1592" t="s">
        <v>8632</v>
      </c>
    </row>
    <row r="1593" spans="1:11" x14ac:dyDescent="0.4">
      <c r="A1593" t="s">
        <v>6047</v>
      </c>
      <c r="B1593" t="s">
        <v>9</v>
      </c>
      <c r="C1593" t="s">
        <v>10</v>
      </c>
      <c r="D1593" t="s">
        <v>3717</v>
      </c>
      <c r="E1593" t="s">
        <v>6048</v>
      </c>
      <c r="F1593" t="str">
        <f>LEFT(E1593,5)</f>
        <v>서울특별시</v>
      </c>
      <c r="G1593" t="str">
        <f t="shared" si="60"/>
        <v xml:space="preserve">은평구 </v>
      </c>
      <c r="H1593" t="str">
        <f t="shared" si="61"/>
        <v>대조동</v>
      </c>
      <c r="I1593" t="s">
        <v>6049</v>
      </c>
      <c r="J1593" t="s">
        <v>6050</v>
      </c>
      <c r="K1593" t="s">
        <v>6051</v>
      </c>
    </row>
    <row r="1594" spans="1:11" x14ac:dyDescent="0.4">
      <c r="A1594" t="s">
        <v>3716</v>
      </c>
      <c r="B1594" t="s">
        <v>9</v>
      </c>
      <c r="C1594" t="s">
        <v>10</v>
      </c>
      <c r="D1594" t="s">
        <v>3717</v>
      </c>
      <c r="E1594" t="s">
        <v>3718</v>
      </c>
      <c r="F1594" t="str">
        <f>LEFT(E1594,5)</f>
        <v>서울특별시</v>
      </c>
      <c r="G1594" t="str">
        <f t="shared" si="60"/>
        <v xml:space="preserve">은평구 </v>
      </c>
      <c r="H1594" t="str">
        <f t="shared" si="61"/>
        <v>대조동</v>
      </c>
      <c r="I1594" t="s">
        <v>3719</v>
      </c>
      <c r="J1594" t="s">
        <v>3720</v>
      </c>
      <c r="K1594" t="s">
        <v>3721</v>
      </c>
    </row>
    <row r="1595" spans="1:11" x14ac:dyDescent="0.4">
      <c r="A1595" t="s">
        <v>5562</v>
      </c>
      <c r="B1595" t="s">
        <v>9</v>
      </c>
      <c r="C1595" t="s">
        <v>10</v>
      </c>
      <c r="D1595" t="s">
        <v>337</v>
      </c>
      <c r="E1595" t="s">
        <v>5563</v>
      </c>
      <c r="F1595" t="str">
        <f>LEFT(E1595,5)</f>
        <v>서울특별시</v>
      </c>
      <c r="G1595" t="str">
        <f t="shared" si="60"/>
        <v xml:space="preserve">은평구 </v>
      </c>
      <c r="H1595" t="str">
        <f t="shared" si="61"/>
        <v>대조동</v>
      </c>
      <c r="I1595" t="s">
        <v>5564</v>
      </c>
      <c r="J1595" t="s">
        <v>723</v>
      </c>
      <c r="K1595" t="s">
        <v>1776</v>
      </c>
    </row>
    <row r="1596" spans="1:11" x14ac:dyDescent="0.4">
      <c r="A1596" t="s">
        <v>8133</v>
      </c>
      <c r="B1596" t="s">
        <v>9</v>
      </c>
      <c r="C1596" t="s">
        <v>10</v>
      </c>
      <c r="D1596" t="s">
        <v>337</v>
      </c>
      <c r="E1596" t="s">
        <v>8134</v>
      </c>
      <c r="F1596" t="str">
        <f>LEFT(E1596,5)</f>
        <v>서울특별시</v>
      </c>
      <c r="G1596" t="str">
        <f t="shared" si="60"/>
        <v xml:space="preserve">은평구 </v>
      </c>
      <c r="H1596" t="str">
        <f t="shared" si="61"/>
        <v>대조동</v>
      </c>
      <c r="I1596" t="s">
        <v>8135</v>
      </c>
      <c r="J1596" t="s">
        <v>723</v>
      </c>
      <c r="K1596" t="s">
        <v>8136</v>
      </c>
    </row>
    <row r="1597" spans="1:11" x14ac:dyDescent="0.4">
      <c r="A1597" t="s">
        <v>3226</v>
      </c>
      <c r="B1597" t="s">
        <v>9</v>
      </c>
      <c r="C1597" t="s">
        <v>10</v>
      </c>
      <c r="D1597" t="s">
        <v>337</v>
      </c>
      <c r="E1597" t="s">
        <v>3227</v>
      </c>
      <c r="F1597" t="str">
        <f>LEFT(E1597,5)</f>
        <v>서울특별시</v>
      </c>
      <c r="G1597" t="str">
        <f t="shared" si="60"/>
        <v xml:space="preserve">은평구 </v>
      </c>
      <c r="H1597" t="str">
        <f t="shared" si="61"/>
        <v>대조동</v>
      </c>
      <c r="I1597" t="s">
        <v>3228</v>
      </c>
      <c r="J1597" t="s">
        <v>723</v>
      </c>
      <c r="K1597" t="s">
        <v>3229</v>
      </c>
    </row>
    <row r="1598" spans="1:11" x14ac:dyDescent="0.4">
      <c r="A1598" t="s">
        <v>1261</v>
      </c>
      <c r="B1598" t="s">
        <v>9</v>
      </c>
      <c r="C1598" t="s">
        <v>10</v>
      </c>
      <c r="D1598" t="s">
        <v>774</v>
      </c>
      <c r="E1598" t="s">
        <v>1262</v>
      </c>
      <c r="F1598" t="str">
        <f>LEFT(E1598,5)</f>
        <v>서울특별시</v>
      </c>
      <c r="G1598" t="str">
        <f t="shared" si="60"/>
        <v xml:space="preserve">은평구 </v>
      </c>
      <c r="H1598" t="str">
        <f t="shared" si="61"/>
        <v>불광동</v>
      </c>
      <c r="I1598" t="s">
        <v>1263</v>
      </c>
      <c r="J1598" t="s">
        <v>777</v>
      </c>
      <c r="K1598" t="s">
        <v>1264</v>
      </c>
    </row>
    <row r="1599" spans="1:11" x14ac:dyDescent="0.4">
      <c r="A1599" t="s">
        <v>4345</v>
      </c>
      <c r="B1599" t="s">
        <v>9</v>
      </c>
      <c r="C1599" t="s">
        <v>10</v>
      </c>
      <c r="D1599" t="s">
        <v>774</v>
      </c>
      <c r="E1599" t="s">
        <v>4346</v>
      </c>
      <c r="F1599" t="str">
        <f>LEFT(E1599,5)</f>
        <v>서울특별시</v>
      </c>
      <c r="G1599" t="str">
        <f t="shared" si="60"/>
        <v xml:space="preserve">은평구 </v>
      </c>
      <c r="H1599" t="str">
        <f t="shared" si="61"/>
        <v>불광동</v>
      </c>
      <c r="I1599" t="s">
        <v>4347</v>
      </c>
      <c r="J1599" t="s">
        <v>777</v>
      </c>
      <c r="K1599" t="s">
        <v>4348</v>
      </c>
    </row>
    <row r="1600" spans="1:11" x14ac:dyDescent="0.4">
      <c r="A1600" t="s">
        <v>773</v>
      </c>
      <c r="B1600" t="s">
        <v>9</v>
      </c>
      <c r="C1600" t="s">
        <v>10</v>
      </c>
      <c r="D1600" t="s">
        <v>774</v>
      </c>
      <c r="E1600" t="s">
        <v>775</v>
      </c>
      <c r="F1600" t="str">
        <f>LEFT(E1600,5)</f>
        <v>서울특별시</v>
      </c>
      <c r="G1600" t="str">
        <f t="shared" si="60"/>
        <v xml:space="preserve">은평구 </v>
      </c>
      <c r="H1600" t="str">
        <f t="shared" si="61"/>
        <v>불광동</v>
      </c>
      <c r="I1600" t="s">
        <v>776</v>
      </c>
      <c r="J1600" t="s">
        <v>777</v>
      </c>
      <c r="K1600" t="s">
        <v>778</v>
      </c>
    </row>
    <row r="1601" spans="1:11" x14ac:dyDescent="0.4">
      <c r="A1601" t="s">
        <v>1243</v>
      </c>
      <c r="B1601" t="s">
        <v>9</v>
      </c>
      <c r="C1601" t="s">
        <v>10</v>
      </c>
      <c r="D1601" t="s">
        <v>774</v>
      </c>
      <c r="E1601" t="s">
        <v>1244</v>
      </c>
      <c r="F1601" t="str">
        <f>LEFT(E1601,5)</f>
        <v>서울특별시</v>
      </c>
      <c r="G1601" t="str">
        <f t="shared" si="60"/>
        <v xml:space="preserve">은평구 </v>
      </c>
      <c r="H1601" t="str">
        <f t="shared" si="61"/>
        <v>불광동</v>
      </c>
      <c r="I1601" t="s">
        <v>1245</v>
      </c>
      <c r="J1601" t="s">
        <v>777</v>
      </c>
      <c r="K1601" t="s">
        <v>1246</v>
      </c>
    </row>
    <row r="1602" spans="1:11" x14ac:dyDescent="0.4">
      <c r="A1602" t="s">
        <v>6346</v>
      </c>
      <c r="B1602" t="s">
        <v>9</v>
      </c>
      <c r="C1602" t="s">
        <v>10</v>
      </c>
      <c r="D1602" t="s">
        <v>774</v>
      </c>
      <c r="E1602" t="s">
        <v>6347</v>
      </c>
      <c r="F1602" t="str">
        <f>LEFT(E1602,5)</f>
        <v>서울특별시</v>
      </c>
      <c r="G1602" t="str">
        <f t="shared" si="60"/>
        <v xml:space="preserve">은평구 </v>
      </c>
      <c r="H1602" t="str">
        <f t="shared" si="61"/>
        <v>불광동</v>
      </c>
      <c r="I1602" t="s">
        <v>6348</v>
      </c>
      <c r="J1602" t="s">
        <v>777</v>
      </c>
      <c r="K1602" t="s">
        <v>6349</v>
      </c>
    </row>
    <row r="1603" spans="1:11" x14ac:dyDescent="0.4">
      <c r="A1603" t="s">
        <v>5755</v>
      </c>
      <c r="B1603" t="s">
        <v>9</v>
      </c>
      <c r="C1603" t="s">
        <v>10</v>
      </c>
      <c r="D1603" t="s">
        <v>774</v>
      </c>
      <c r="E1603" t="s">
        <v>5756</v>
      </c>
      <c r="F1603" t="str">
        <f>LEFT(E1603,5)</f>
        <v>서울특별시</v>
      </c>
      <c r="G1603" t="str">
        <f t="shared" ref="G1603:G1666" si="62">MID(E1603,7,4)</f>
        <v xml:space="preserve">은평구 </v>
      </c>
      <c r="H1603" t="str">
        <f t="shared" ref="H1603:H1666" si="63">MID(SUBSTITUTE(E1603," ",""),9,3)</f>
        <v>불광동</v>
      </c>
      <c r="I1603" t="s">
        <v>5757</v>
      </c>
      <c r="J1603" t="s">
        <v>777</v>
      </c>
      <c r="K1603" t="s">
        <v>341</v>
      </c>
    </row>
    <row r="1604" spans="1:11" x14ac:dyDescent="0.4">
      <c r="A1604" t="s">
        <v>5613</v>
      </c>
      <c r="B1604" t="s">
        <v>9</v>
      </c>
      <c r="C1604" t="s">
        <v>10</v>
      </c>
      <c r="D1604" t="s">
        <v>774</v>
      </c>
      <c r="E1604" t="s">
        <v>5614</v>
      </c>
      <c r="F1604" t="str">
        <f>LEFT(E1604,5)</f>
        <v>서울특별시</v>
      </c>
      <c r="G1604" t="str">
        <f t="shared" si="62"/>
        <v xml:space="preserve">은평구 </v>
      </c>
      <c r="H1604" t="str">
        <f t="shared" si="63"/>
        <v>불광동</v>
      </c>
      <c r="I1604" t="s">
        <v>5615</v>
      </c>
      <c r="J1604" t="s">
        <v>777</v>
      </c>
      <c r="K1604" t="s">
        <v>5616</v>
      </c>
    </row>
    <row r="1605" spans="1:11" x14ac:dyDescent="0.4">
      <c r="A1605" t="s">
        <v>5125</v>
      </c>
      <c r="B1605" t="s">
        <v>9</v>
      </c>
      <c r="C1605" t="s">
        <v>10</v>
      </c>
      <c r="D1605" t="s">
        <v>774</v>
      </c>
      <c r="E1605" t="s">
        <v>5126</v>
      </c>
      <c r="F1605" t="str">
        <f>LEFT(E1605,5)</f>
        <v>서울특별시</v>
      </c>
      <c r="G1605" t="str">
        <f t="shared" si="62"/>
        <v xml:space="preserve">은평구 </v>
      </c>
      <c r="H1605" t="str">
        <f t="shared" si="63"/>
        <v>불광동</v>
      </c>
      <c r="I1605" t="s">
        <v>5127</v>
      </c>
      <c r="J1605" t="s">
        <v>777</v>
      </c>
      <c r="K1605" t="s">
        <v>5128</v>
      </c>
    </row>
    <row r="1606" spans="1:11" x14ac:dyDescent="0.4">
      <c r="A1606" t="s">
        <v>2826</v>
      </c>
      <c r="B1606" t="s">
        <v>9</v>
      </c>
      <c r="C1606" t="s">
        <v>10</v>
      </c>
      <c r="D1606" t="s">
        <v>774</v>
      </c>
      <c r="E1606" t="s">
        <v>2827</v>
      </c>
      <c r="F1606" t="str">
        <f>LEFT(E1606,5)</f>
        <v>서울특별시</v>
      </c>
      <c r="G1606" t="str">
        <f t="shared" si="62"/>
        <v xml:space="preserve">은평구 </v>
      </c>
      <c r="H1606" t="str">
        <f t="shared" si="63"/>
        <v>불광동</v>
      </c>
      <c r="I1606" t="s">
        <v>2828</v>
      </c>
      <c r="J1606" t="s">
        <v>777</v>
      </c>
      <c r="K1606" t="s">
        <v>2829</v>
      </c>
    </row>
    <row r="1607" spans="1:11" x14ac:dyDescent="0.4">
      <c r="A1607" t="s">
        <v>3565</v>
      </c>
      <c r="B1607" t="s">
        <v>9</v>
      </c>
      <c r="C1607" t="s">
        <v>10</v>
      </c>
      <c r="D1607" t="s">
        <v>1389</v>
      </c>
      <c r="E1607" t="s">
        <v>3566</v>
      </c>
      <c r="F1607" t="str">
        <f>LEFT(E1607,5)</f>
        <v>서울특별시</v>
      </c>
      <c r="G1607" t="str">
        <f t="shared" si="62"/>
        <v xml:space="preserve">은평구 </v>
      </c>
      <c r="H1607" t="str">
        <f t="shared" si="63"/>
        <v>불광동</v>
      </c>
      <c r="I1607" t="s">
        <v>3567</v>
      </c>
      <c r="J1607" t="s">
        <v>1392</v>
      </c>
      <c r="K1607" t="s">
        <v>3422</v>
      </c>
    </row>
    <row r="1608" spans="1:11" x14ac:dyDescent="0.4">
      <c r="A1608" t="s">
        <v>3803</v>
      </c>
      <c r="B1608" t="s">
        <v>9</v>
      </c>
      <c r="C1608" t="s">
        <v>10</v>
      </c>
      <c r="D1608" t="s">
        <v>1389</v>
      </c>
      <c r="E1608" t="s">
        <v>3804</v>
      </c>
      <c r="F1608" t="str">
        <f>LEFT(E1608,5)</f>
        <v>서울특별시</v>
      </c>
      <c r="G1608" t="str">
        <f t="shared" si="62"/>
        <v xml:space="preserve">은평구 </v>
      </c>
      <c r="H1608" t="str">
        <f t="shared" si="63"/>
        <v>불광동</v>
      </c>
      <c r="I1608" t="s">
        <v>3805</v>
      </c>
      <c r="J1608" t="s">
        <v>1392</v>
      </c>
      <c r="K1608" t="s">
        <v>1594</v>
      </c>
    </row>
    <row r="1609" spans="1:11" x14ac:dyDescent="0.4">
      <c r="A1609" t="s">
        <v>6162</v>
      </c>
      <c r="B1609" t="s">
        <v>9</v>
      </c>
      <c r="C1609" t="s">
        <v>10</v>
      </c>
      <c r="D1609" t="s">
        <v>6163</v>
      </c>
      <c r="E1609" t="s">
        <v>6164</v>
      </c>
      <c r="F1609" t="str">
        <f>LEFT(E1609,5)</f>
        <v>서울특별시</v>
      </c>
      <c r="G1609" t="str">
        <f t="shared" si="62"/>
        <v xml:space="preserve">은평구 </v>
      </c>
      <c r="H1609" t="str">
        <f t="shared" si="63"/>
        <v>불광동</v>
      </c>
      <c r="I1609" t="s">
        <v>6165</v>
      </c>
      <c r="J1609" t="s">
        <v>6166</v>
      </c>
      <c r="K1609" t="s">
        <v>6167</v>
      </c>
    </row>
    <row r="1610" spans="1:11" x14ac:dyDescent="0.4">
      <c r="A1610" t="s">
        <v>8472</v>
      </c>
      <c r="B1610" t="s">
        <v>9</v>
      </c>
      <c r="C1610" t="s">
        <v>10</v>
      </c>
      <c r="D1610" t="s">
        <v>8473</v>
      </c>
      <c r="E1610" t="s">
        <v>8474</v>
      </c>
      <c r="F1610" t="str">
        <f>LEFT(E1610,5)</f>
        <v>서울특별시</v>
      </c>
      <c r="G1610" t="str">
        <f t="shared" si="62"/>
        <v xml:space="preserve">은평구 </v>
      </c>
      <c r="H1610" t="str">
        <f t="shared" si="63"/>
        <v>불광동</v>
      </c>
      <c r="I1610" t="s">
        <v>8475</v>
      </c>
      <c r="J1610" t="s">
        <v>8476</v>
      </c>
      <c r="K1610" t="s">
        <v>8477</v>
      </c>
    </row>
    <row r="1611" spans="1:11" x14ac:dyDescent="0.4">
      <c r="A1611" t="s">
        <v>1388</v>
      </c>
      <c r="B1611" t="s">
        <v>9</v>
      </c>
      <c r="C1611" t="s">
        <v>10</v>
      </c>
      <c r="D1611" t="s">
        <v>1389</v>
      </c>
      <c r="E1611" t="s">
        <v>1390</v>
      </c>
      <c r="F1611" t="str">
        <f>LEFT(E1611,5)</f>
        <v>서울특별시</v>
      </c>
      <c r="G1611" t="str">
        <f t="shared" si="62"/>
        <v xml:space="preserve">은평구 </v>
      </c>
      <c r="H1611" t="str">
        <f t="shared" si="63"/>
        <v>불광동</v>
      </c>
      <c r="I1611" t="s">
        <v>1391</v>
      </c>
      <c r="J1611" t="s">
        <v>1392</v>
      </c>
      <c r="K1611" t="s">
        <v>1393</v>
      </c>
    </row>
    <row r="1612" spans="1:11" x14ac:dyDescent="0.4">
      <c r="A1612" t="s">
        <v>7410</v>
      </c>
      <c r="B1612" t="s">
        <v>9</v>
      </c>
      <c r="C1612" t="s">
        <v>10</v>
      </c>
      <c r="D1612" t="s">
        <v>7411</v>
      </c>
      <c r="E1612" t="s">
        <v>7412</v>
      </c>
      <c r="F1612" t="str">
        <f>LEFT(E1612,5)</f>
        <v>서울특별시</v>
      </c>
      <c r="G1612" t="str">
        <f t="shared" si="62"/>
        <v xml:space="preserve">은평구 </v>
      </c>
      <c r="H1612" t="str">
        <f t="shared" si="63"/>
        <v>불광동</v>
      </c>
      <c r="I1612" t="s">
        <v>7413</v>
      </c>
      <c r="J1612" t="s">
        <v>7414</v>
      </c>
      <c r="K1612" t="s">
        <v>4519</v>
      </c>
    </row>
    <row r="1613" spans="1:11" x14ac:dyDescent="0.4">
      <c r="A1613" t="s">
        <v>7822</v>
      </c>
      <c r="B1613" t="s">
        <v>9</v>
      </c>
      <c r="C1613" t="s">
        <v>10</v>
      </c>
      <c r="D1613" t="s">
        <v>7823</v>
      </c>
      <c r="E1613" t="s">
        <v>7824</v>
      </c>
      <c r="F1613" t="str">
        <f>LEFT(E1613,5)</f>
        <v>서울특별시</v>
      </c>
      <c r="G1613" t="str">
        <f t="shared" si="62"/>
        <v xml:space="preserve">은평구 </v>
      </c>
      <c r="H1613" t="str">
        <f t="shared" si="63"/>
        <v>수색동</v>
      </c>
      <c r="I1613" t="s">
        <v>7825</v>
      </c>
      <c r="J1613" t="s">
        <v>7826</v>
      </c>
      <c r="K1613" t="s">
        <v>1594</v>
      </c>
    </row>
    <row r="1614" spans="1:11" x14ac:dyDescent="0.4">
      <c r="A1614" t="s">
        <v>4033</v>
      </c>
      <c r="B1614" t="s">
        <v>9</v>
      </c>
      <c r="C1614" t="s">
        <v>10</v>
      </c>
      <c r="D1614" t="s">
        <v>4034</v>
      </c>
      <c r="E1614" t="s">
        <v>4035</v>
      </c>
      <c r="F1614" t="str">
        <f>LEFT(E1614,5)</f>
        <v>서울특별시</v>
      </c>
      <c r="G1614" t="str">
        <f t="shared" si="62"/>
        <v xml:space="preserve">은평구 </v>
      </c>
      <c r="H1614" t="str">
        <f t="shared" si="63"/>
        <v>신사동</v>
      </c>
      <c r="I1614" t="s">
        <v>4036</v>
      </c>
      <c r="J1614" t="s">
        <v>4037</v>
      </c>
      <c r="K1614" t="s">
        <v>4038</v>
      </c>
    </row>
    <row r="1615" spans="1:11" x14ac:dyDescent="0.4">
      <c r="A1615" t="s">
        <v>2696</v>
      </c>
      <c r="B1615" t="s">
        <v>9</v>
      </c>
      <c r="C1615" t="s">
        <v>10</v>
      </c>
      <c r="D1615" t="s">
        <v>2697</v>
      </c>
      <c r="E1615" t="s">
        <v>2698</v>
      </c>
      <c r="F1615" t="str">
        <f>LEFT(E1615,5)</f>
        <v>서울특별시</v>
      </c>
      <c r="G1615" t="str">
        <f t="shared" si="62"/>
        <v xml:space="preserve">은평구 </v>
      </c>
      <c r="H1615" t="str">
        <f t="shared" si="63"/>
        <v>신사동</v>
      </c>
      <c r="I1615" t="s">
        <v>2699</v>
      </c>
      <c r="J1615" t="s">
        <v>2700</v>
      </c>
      <c r="K1615" t="s">
        <v>2701</v>
      </c>
    </row>
    <row r="1616" spans="1:11" x14ac:dyDescent="0.4">
      <c r="A1616" t="s">
        <v>7827</v>
      </c>
      <c r="B1616" t="s">
        <v>9</v>
      </c>
      <c r="C1616" t="s">
        <v>10</v>
      </c>
      <c r="D1616" t="s">
        <v>5362</v>
      </c>
      <c r="E1616" t="s">
        <v>7828</v>
      </c>
      <c r="F1616" t="str">
        <f>LEFT(E1616,5)</f>
        <v>서울특별시</v>
      </c>
      <c r="G1616" t="str">
        <f t="shared" si="62"/>
        <v xml:space="preserve">은평구 </v>
      </c>
      <c r="H1616" t="str">
        <f t="shared" si="63"/>
        <v>역촌동</v>
      </c>
      <c r="I1616" t="s">
        <v>7829</v>
      </c>
      <c r="J1616" t="s">
        <v>7830</v>
      </c>
      <c r="K1616" t="s">
        <v>7831</v>
      </c>
    </row>
    <row r="1617" spans="1:11" x14ac:dyDescent="0.4">
      <c r="A1617" t="s">
        <v>4945</v>
      </c>
      <c r="B1617" t="s">
        <v>9</v>
      </c>
      <c r="C1617" t="s">
        <v>10</v>
      </c>
      <c r="D1617" t="s">
        <v>4946</v>
      </c>
      <c r="E1617" t="s">
        <v>4947</v>
      </c>
      <c r="F1617" t="str">
        <f>LEFT(E1617,5)</f>
        <v>서울특별시</v>
      </c>
      <c r="G1617" t="str">
        <f t="shared" si="62"/>
        <v xml:space="preserve">은평구 </v>
      </c>
      <c r="H1617" t="str">
        <f t="shared" si="63"/>
        <v>역촌동</v>
      </c>
      <c r="I1617" t="s">
        <v>4948</v>
      </c>
      <c r="J1617" t="s">
        <v>4949</v>
      </c>
      <c r="K1617" t="s">
        <v>4950</v>
      </c>
    </row>
    <row r="1618" spans="1:11" x14ac:dyDescent="0.4">
      <c r="A1618" t="s">
        <v>5361</v>
      </c>
      <c r="B1618" t="s">
        <v>9</v>
      </c>
      <c r="C1618" t="s">
        <v>10</v>
      </c>
      <c r="D1618" t="s">
        <v>5362</v>
      </c>
      <c r="E1618" t="s">
        <v>5363</v>
      </c>
      <c r="F1618" t="str">
        <f>LEFT(E1618,5)</f>
        <v>서울특별시</v>
      </c>
      <c r="G1618" t="str">
        <f t="shared" si="62"/>
        <v xml:space="preserve">은평구 </v>
      </c>
      <c r="H1618" t="str">
        <f t="shared" si="63"/>
        <v>역촌동</v>
      </c>
      <c r="I1618" t="s">
        <v>5364</v>
      </c>
      <c r="J1618" t="s">
        <v>5365</v>
      </c>
      <c r="K1618" t="s">
        <v>5366</v>
      </c>
    </row>
    <row r="1619" spans="1:11" x14ac:dyDescent="0.4">
      <c r="A1619" t="s">
        <v>7919</v>
      </c>
      <c r="B1619" t="s">
        <v>9</v>
      </c>
      <c r="C1619" t="s">
        <v>10</v>
      </c>
      <c r="D1619" t="s">
        <v>7920</v>
      </c>
      <c r="E1619" t="s">
        <v>7921</v>
      </c>
      <c r="F1619" t="str">
        <f>LEFT(E1619,5)</f>
        <v>서울특별시</v>
      </c>
      <c r="G1619" t="str">
        <f t="shared" si="62"/>
        <v xml:space="preserve">은평구 </v>
      </c>
      <c r="H1619" t="str">
        <f t="shared" si="63"/>
        <v>역촌동</v>
      </c>
      <c r="I1619" t="s">
        <v>7922</v>
      </c>
      <c r="J1619" t="s">
        <v>7923</v>
      </c>
      <c r="K1619" t="s">
        <v>7924</v>
      </c>
    </row>
    <row r="1620" spans="1:11" x14ac:dyDescent="0.4">
      <c r="A1620" t="s">
        <v>4010</v>
      </c>
      <c r="B1620" t="s">
        <v>9</v>
      </c>
      <c r="C1620" t="s">
        <v>10</v>
      </c>
      <c r="D1620" t="s">
        <v>4011</v>
      </c>
      <c r="E1620" t="s">
        <v>4012</v>
      </c>
      <c r="F1620" t="str">
        <f>LEFT(E1620,5)</f>
        <v>서울특별시</v>
      </c>
      <c r="G1620" t="str">
        <f t="shared" si="62"/>
        <v xml:space="preserve">은평구 </v>
      </c>
      <c r="H1620" t="str">
        <f t="shared" si="63"/>
        <v>역촌동</v>
      </c>
      <c r="I1620" t="s">
        <v>4013</v>
      </c>
      <c r="J1620" t="s">
        <v>4014</v>
      </c>
      <c r="K1620" t="s">
        <v>4015</v>
      </c>
    </row>
    <row r="1621" spans="1:11" x14ac:dyDescent="0.4">
      <c r="A1621" t="s">
        <v>5373</v>
      </c>
      <c r="B1621" t="s">
        <v>9</v>
      </c>
      <c r="C1621" t="s">
        <v>10</v>
      </c>
      <c r="D1621" t="s">
        <v>4011</v>
      </c>
      <c r="E1621" t="s">
        <v>5374</v>
      </c>
      <c r="F1621" t="str">
        <f>LEFT(E1621,5)</f>
        <v>서울특별시</v>
      </c>
      <c r="G1621" t="str">
        <f t="shared" si="62"/>
        <v xml:space="preserve">은평구 </v>
      </c>
      <c r="H1621" t="str">
        <f t="shared" si="63"/>
        <v>역촌동</v>
      </c>
      <c r="I1621" t="s">
        <v>5375</v>
      </c>
      <c r="J1621" t="s">
        <v>4014</v>
      </c>
      <c r="K1621" t="s">
        <v>3991</v>
      </c>
    </row>
    <row r="1622" spans="1:11" x14ac:dyDescent="0.4">
      <c r="A1622" t="s">
        <v>7678</v>
      </c>
      <c r="B1622" t="s">
        <v>9</v>
      </c>
      <c r="C1622" t="s">
        <v>10</v>
      </c>
      <c r="D1622" t="s">
        <v>3586</v>
      </c>
      <c r="E1622" t="s">
        <v>7679</v>
      </c>
      <c r="F1622" t="str">
        <f>LEFT(E1622,5)</f>
        <v>서울특별시</v>
      </c>
      <c r="G1622" t="str">
        <f t="shared" si="62"/>
        <v xml:space="preserve">은평구 </v>
      </c>
      <c r="H1622" t="str">
        <f t="shared" si="63"/>
        <v>응암동</v>
      </c>
      <c r="I1622" t="s">
        <v>7680</v>
      </c>
      <c r="J1622" t="s">
        <v>6613</v>
      </c>
      <c r="K1622" t="s">
        <v>2274</v>
      </c>
    </row>
    <row r="1623" spans="1:11" x14ac:dyDescent="0.4">
      <c r="A1623" t="s">
        <v>6610</v>
      </c>
      <c r="B1623" t="s">
        <v>9</v>
      </c>
      <c r="C1623" t="s">
        <v>10</v>
      </c>
      <c r="D1623" t="s">
        <v>3586</v>
      </c>
      <c r="E1623" t="s">
        <v>6611</v>
      </c>
      <c r="F1623" t="str">
        <f>LEFT(E1623,5)</f>
        <v>서울특별시</v>
      </c>
      <c r="G1623" t="str">
        <f t="shared" si="62"/>
        <v xml:space="preserve">은평구 </v>
      </c>
      <c r="H1623" t="str">
        <f t="shared" si="63"/>
        <v>응암동</v>
      </c>
      <c r="I1623" t="s">
        <v>6612</v>
      </c>
      <c r="J1623" t="s">
        <v>6613</v>
      </c>
      <c r="K1623" t="s">
        <v>6614</v>
      </c>
    </row>
    <row r="1624" spans="1:11" x14ac:dyDescent="0.4">
      <c r="A1624" t="s">
        <v>6731</v>
      </c>
      <c r="B1624" t="s">
        <v>9</v>
      </c>
      <c r="C1624" t="s">
        <v>10</v>
      </c>
      <c r="D1624" t="s">
        <v>4580</v>
      </c>
      <c r="E1624" t="s">
        <v>6732</v>
      </c>
      <c r="F1624" t="str">
        <f>LEFT(E1624,5)</f>
        <v>서울특별시</v>
      </c>
      <c r="G1624" t="str">
        <f t="shared" si="62"/>
        <v xml:space="preserve">은평구 </v>
      </c>
      <c r="H1624" t="str">
        <f t="shared" si="63"/>
        <v>응암동</v>
      </c>
      <c r="I1624" t="s">
        <v>6733</v>
      </c>
      <c r="J1624" t="s">
        <v>6734</v>
      </c>
      <c r="K1624" t="s">
        <v>6735</v>
      </c>
    </row>
    <row r="1625" spans="1:11" x14ac:dyDescent="0.4">
      <c r="A1625" t="s">
        <v>3006</v>
      </c>
      <c r="B1625" t="s">
        <v>9</v>
      </c>
      <c r="C1625" t="s">
        <v>10</v>
      </c>
      <c r="D1625" t="s">
        <v>2677</v>
      </c>
      <c r="E1625" t="s">
        <v>3007</v>
      </c>
      <c r="F1625" t="str">
        <f>LEFT(E1625,5)</f>
        <v>서울특별시</v>
      </c>
      <c r="G1625" t="str">
        <f t="shared" si="62"/>
        <v xml:space="preserve">은평구 </v>
      </c>
      <c r="H1625" t="str">
        <f t="shared" si="63"/>
        <v>응암동</v>
      </c>
      <c r="I1625" t="s">
        <v>3008</v>
      </c>
      <c r="J1625" t="s">
        <v>2680</v>
      </c>
      <c r="K1625" t="s">
        <v>3009</v>
      </c>
    </row>
    <row r="1626" spans="1:11" x14ac:dyDescent="0.4">
      <c r="A1626" t="s">
        <v>2676</v>
      </c>
      <c r="B1626" t="s">
        <v>9</v>
      </c>
      <c r="C1626" t="s">
        <v>10</v>
      </c>
      <c r="D1626" t="s">
        <v>2677</v>
      </c>
      <c r="E1626" t="s">
        <v>2678</v>
      </c>
      <c r="F1626" t="str">
        <f>LEFT(E1626,5)</f>
        <v>서울특별시</v>
      </c>
      <c r="G1626" t="str">
        <f t="shared" si="62"/>
        <v xml:space="preserve">은평구 </v>
      </c>
      <c r="H1626" t="str">
        <f t="shared" si="63"/>
        <v>응암동</v>
      </c>
      <c r="I1626" t="s">
        <v>2679</v>
      </c>
      <c r="J1626" t="s">
        <v>2680</v>
      </c>
      <c r="K1626" t="s">
        <v>2681</v>
      </c>
    </row>
    <row r="1627" spans="1:11" x14ac:dyDescent="0.4">
      <c r="A1627" t="s">
        <v>6342</v>
      </c>
      <c r="B1627" t="s">
        <v>9</v>
      </c>
      <c r="C1627" t="s">
        <v>10</v>
      </c>
      <c r="D1627" t="s">
        <v>401</v>
      </c>
      <c r="E1627" t="s">
        <v>6343</v>
      </c>
      <c r="F1627" t="str">
        <f>LEFT(E1627,5)</f>
        <v>서울특별시</v>
      </c>
      <c r="G1627" t="str">
        <f t="shared" si="62"/>
        <v xml:space="preserve">은평구 </v>
      </c>
      <c r="H1627" t="str">
        <f t="shared" si="63"/>
        <v>응암동</v>
      </c>
      <c r="I1627" t="s">
        <v>6344</v>
      </c>
      <c r="J1627" t="s">
        <v>3880</v>
      </c>
      <c r="K1627" t="s">
        <v>6345</v>
      </c>
    </row>
    <row r="1628" spans="1:11" x14ac:dyDescent="0.4">
      <c r="A1628" t="s">
        <v>8658</v>
      </c>
      <c r="B1628" t="s">
        <v>9</v>
      </c>
      <c r="C1628" t="s">
        <v>10</v>
      </c>
      <c r="D1628" t="s">
        <v>401</v>
      </c>
      <c r="E1628" t="s">
        <v>8659</v>
      </c>
      <c r="F1628" t="str">
        <f>LEFT(E1628,5)</f>
        <v>서울특별시</v>
      </c>
      <c r="G1628" t="str">
        <f t="shared" si="62"/>
        <v xml:space="preserve">은평구 </v>
      </c>
      <c r="H1628" t="str">
        <f t="shared" si="63"/>
        <v>응암동</v>
      </c>
      <c r="I1628" t="s">
        <v>8660</v>
      </c>
      <c r="J1628" t="s">
        <v>3880</v>
      </c>
      <c r="K1628" t="s">
        <v>8661</v>
      </c>
    </row>
    <row r="1629" spans="1:11" x14ac:dyDescent="0.4">
      <c r="A1629" t="s">
        <v>3877</v>
      </c>
      <c r="B1629" t="s">
        <v>9</v>
      </c>
      <c r="C1629" t="s">
        <v>10</v>
      </c>
      <c r="D1629" t="s">
        <v>401</v>
      </c>
      <c r="E1629" t="s">
        <v>3878</v>
      </c>
      <c r="F1629" t="str">
        <f>LEFT(E1629,5)</f>
        <v>서울특별시</v>
      </c>
      <c r="G1629" t="str">
        <f t="shared" si="62"/>
        <v xml:space="preserve">은평구 </v>
      </c>
      <c r="H1629" t="str">
        <f t="shared" si="63"/>
        <v>응암동</v>
      </c>
      <c r="I1629" t="s">
        <v>3879</v>
      </c>
      <c r="J1629" t="s">
        <v>3880</v>
      </c>
      <c r="K1629" t="s">
        <v>3881</v>
      </c>
    </row>
    <row r="1630" spans="1:11" x14ac:dyDescent="0.4">
      <c r="A1630" t="s">
        <v>5627</v>
      </c>
      <c r="B1630" t="s">
        <v>9</v>
      </c>
      <c r="C1630" t="s">
        <v>10</v>
      </c>
      <c r="D1630" t="s">
        <v>401</v>
      </c>
      <c r="E1630" t="s">
        <v>5628</v>
      </c>
      <c r="F1630" t="str">
        <f>LEFT(E1630,5)</f>
        <v>서울특별시</v>
      </c>
      <c r="G1630" t="str">
        <f t="shared" si="62"/>
        <v xml:space="preserve">은평구 </v>
      </c>
      <c r="H1630" t="str">
        <f t="shared" si="63"/>
        <v>응암동</v>
      </c>
      <c r="I1630" t="s">
        <v>5629</v>
      </c>
      <c r="J1630" t="s">
        <v>3880</v>
      </c>
      <c r="K1630" t="s">
        <v>2625</v>
      </c>
    </row>
    <row r="1631" spans="1:11" x14ac:dyDescent="0.4">
      <c r="A1631" t="s">
        <v>6848</v>
      </c>
      <c r="B1631" t="s">
        <v>9</v>
      </c>
      <c r="C1631" t="s">
        <v>10</v>
      </c>
      <c r="D1631" t="s">
        <v>401</v>
      </c>
      <c r="E1631" t="s">
        <v>6849</v>
      </c>
      <c r="F1631" t="str">
        <f>LEFT(E1631,5)</f>
        <v>서울특별시</v>
      </c>
      <c r="G1631" t="str">
        <f t="shared" si="62"/>
        <v xml:space="preserve">은평구 </v>
      </c>
      <c r="H1631" t="str">
        <f t="shared" si="63"/>
        <v>응암동</v>
      </c>
      <c r="I1631" t="s">
        <v>6850</v>
      </c>
      <c r="J1631" t="s">
        <v>3880</v>
      </c>
      <c r="K1631" t="s">
        <v>6851</v>
      </c>
    </row>
    <row r="1632" spans="1:11" x14ac:dyDescent="0.4">
      <c r="A1632" t="s">
        <v>4039</v>
      </c>
      <c r="B1632" t="s">
        <v>9</v>
      </c>
      <c r="C1632" t="s">
        <v>10</v>
      </c>
      <c r="D1632" t="s">
        <v>4040</v>
      </c>
      <c r="E1632" t="s">
        <v>4041</v>
      </c>
      <c r="F1632" t="str">
        <f>LEFT(E1632,5)</f>
        <v>서울특별시</v>
      </c>
      <c r="G1632" t="str">
        <f t="shared" si="62"/>
        <v xml:space="preserve">은평구 </v>
      </c>
      <c r="H1632" t="str">
        <f t="shared" si="63"/>
        <v>응암동</v>
      </c>
      <c r="I1632" t="s">
        <v>4042</v>
      </c>
      <c r="J1632" t="s">
        <v>4043</v>
      </c>
      <c r="K1632" t="s">
        <v>4044</v>
      </c>
    </row>
    <row r="1633" spans="1:11" x14ac:dyDescent="0.4">
      <c r="A1633" t="s">
        <v>6107</v>
      </c>
      <c r="B1633" t="s">
        <v>9</v>
      </c>
      <c r="C1633" t="s">
        <v>10</v>
      </c>
      <c r="D1633" t="s">
        <v>4040</v>
      </c>
      <c r="E1633" t="s">
        <v>6108</v>
      </c>
      <c r="F1633" t="str">
        <f>LEFT(E1633,5)</f>
        <v>서울특별시</v>
      </c>
      <c r="G1633" t="str">
        <f t="shared" si="62"/>
        <v xml:space="preserve">은평구 </v>
      </c>
      <c r="H1633" t="str">
        <f t="shared" si="63"/>
        <v>응암동</v>
      </c>
      <c r="I1633" t="s">
        <v>6109</v>
      </c>
      <c r="J1633" t="s">
        <v>4043</v>
      </c>
      <c r="K1633" t="s">
        <v>948</v>
      </c>
    </row>
    <row r="1634" spans="1:11" x14ac:dyDescent="0.4">
      <c r="A1634" t="s">
        <v>400</v>
      </c>
      <c r="B1634" t="s">
        <v>9</v>
      </c>
      <c r="C1634" t="s">
        <v>10</v>
      </c>
      <c r="D1634" t="s">
        <v>401</v>
      </c>
      <c r="E1634" t="s">
        <v>402</v>
      </c>
      <c r="F1634" t="str">
        <f>LEFT(E1634,5)</f>
        <v>서울특별시</v>
      </c>
      <c r="G1634" t="str">
        <f t="shared" si="62"/>
        <v xml:space="preserve">은평구 </v>
      </c>
      <c r="H1634" t="str">
        <f t="shared" si="63"/>
        <v>응암동</v>
      </c>
      <c r="I1634" t="s">
        <v>403</v>
      </c>
      <c r="J1634" t="s">
        <v>404</v>
      </c>
      <c r="K1634" t="s">
        <v>405</v>
      </c>
    </row>
    <row r="1635" spans="1:11" x14ac:dyDescent="0.4">
      <c r="A1635" t="s">
        <v>8728</v>
      </c>
      <c r="B1635" t="s">
        <v>9</v>
      </c>
      <c r="C1635" t="s">
        <v>10</v>
      </c>
      <c r="D1635" t="s">
        <v>401</v>
      </c>
      <c r="E1635" t="s">
        <v>8729</v>
      </c>
      <c r="F1635" t="str">
        <f>LEFT(E1635,5)</f>
        <v>서울특별시</v>
      </c>
      <c r="G1635" t="str">
        <f t="shared" si="62"/>
        <v xml:space="preserve">은평구 </v>
      </c>
      <c r="H1635" t="str">
        <f t="shared" si="63"/>
        <v>응암동</v>
      </c>
      <c r="I1635" t="s">
        <v>8730</v>
      </c>
      <c r="J1635" t="s">
        <v>404</v>
      </c>
      <c r="K1635" t="s">
        <v>8731</v>
      </c>
    </row>
    <row r="1636" spans="1:11" x14ac:dyDescent="0.4">
      <c r="A1636" t="s">
        <v>7791</v>
      </c>
      <c r="B1636" t="s">
        <v>9</v>
      </c>
      <c r="C1636" t="s">
        <v>10</v>
      </c>
      <c r="D1636" t="s">
        <v>401</v>
      </c>
      <c r="E1636" t="s">
        <v>7792</v>
      </c>
      <c r="F1636" t="str">
        <f>LEFT(E1636,5)</f>
        <v>서울특별시</v>
      </c>
      <c r="G1636" t="str">
        <f t="shared" si="62"/>
        <v xml:space="preserve">은평구 </v>
      </c>
      <c r="H1636" t="str">
        <f t="shared" si="63"/>
        <v>응암동</v>
      </c>
      <c r="I1636" t="s">
        <v>7793</v>
      </c>
      <c r="J1636" t="s">
        <v>404</v>
      </c>
      <c r="K1636" t="s">
        <v>7794</v>
      </c>
    </row>
    <row r="1637" spans="1:11" x14ac:dyDescent="0.4">
      <c r="A1637" t="s">
        <v>5765</v>
      </c>
      <c r="B1637" t="s">
        <v>9</v>
      </c>
      <c r="C1637" t="s">
        <v>10</v>
      </c>
      <c r="D1637" t="s">
        <v>401</v>
      </c>
      <c r="E1637" t="s">
        <v>5766</v>
      </c>
      <c r="F1637" t="str">
        <f>LEFT(E1637,5)</f>
        <v>서울특별시</v>
      </c>
      <c r="G1637" t="str">
        <f t="shared" si="62"/>
        <v xml:space="preserve">은평구 </v>
      </c>
      <c r="H1637" t="str">
        <f t="shared" si="63"/>
        <v>응암동</v>
      </c>
      <c r="I1637" t="s">
        <v>5767</v>
      </c>
      <c r="J1637" t="s">
        <v>404</v>
      </c>
      <c r="K1637" t="s">
        <v>5768</v>
      </c>
    </row>
    <row r="1638" spans="1:11" x14ac:dyDescent="0.4">
      <c r="A1638" t="s">
        <v>5415</v>
      </c>
      <c r="B1638" t="s">
        <v>9</v>
      </c>
      <c r="C1638" t="s">
        <v>10</v>
      </c>
      <c r="D1638" t="s">
        <v>401</v>
      </c>
      <c r="E1638" t="s">
        <v>5416</v>
      </c>
      <c r="F1638" t="str">
        <f>LEFT(E1638,5)</f>
        <v>서울특별시</v>
      </c>
      <c r="G1638" t="str">
        <f t="shared" si="62"/>
        <v xml:space="preserve">은평구 </v>
      </c>
      <c r="H1638" t="str">
        <f t="shared" si="63"/>
        <v>응암동</v>
      </c>
      <c r="I1638" t="s">
        <v>5417</v>
      </c>
      <c r="J1638" t="s">
        <v>3498</v>
      </c>
      <c r="K1638" t="s">
        <v>5418</v>
      </c>
    </row>
    <row r="1639" spans="1:11" x14ac:dyDescent="0.4">
      <c r="A1639" t="s">
        <v>6876</v>
      </c>
      <c r="B1639" t="s">
        <v>9</v>
      </c>
      <c r="C1639" t="s">
        <v>10</v>
      </c>
      <c r="D1639" t="s">
        <v>843</v>
      </c>
      <c r="E1639" t="s">
        <v>6877</v>
      </c>
      <c r="F1639" t="str">
        <f>LEFT(E1639,5)</f>
        <v>서울특별시</v>
      </c>
      <c r="G1639" t="str">
        <f t="shared" si="62"/>
        <v xml:space="preserve">은평구 </v>
      </c>
      <c r="H1639" t="str">
        <f t="shared" si="63"/>
        <v>응암동</v>
      </c>
      <c r="I1639" t="s">
        <v>6878</v>
      </c>
      <c r="J1639" t="s">
        <v>3498</v>
      </c>
      <c r="K1639" t="s">
        <v>6879</v>
      </c>
    </row>
    <row r="1640" spans="1:11" x14ac:dyDescent="0.4">
      <c r="A1640" t="s">
        <v>3495</v>
      </c>
      <c r="B1640" t="s">
        <v>9</v>
      </c>
      <c r="C1640" t="s">
        <v>10</v>
      </c>
      <c r="D1640" t="s">
        <v>843</v>
      </c>
      <c r="E1640" t="s">
        <v>3496</v>
      </c>
      <c r="F1640" t="str">
        <f>LEFT(E1640,5)</f>
        <v>서울특별시</v>
      </c>
      <c r="G1640" t="str">
        <f t="shared" si="62"/>
        <v xml:space="preserve">은평구 </v>
      </c>
      <c r="H1640" t="str">
        <f t="shared" si="63"/>
        <v>응암동</v>
      </c>
      <c r="I1640" t="s">
        <v>3497</v>
      </c>
      <c r="J1640" t="s">
        <v>3498</v>
      </c>
      <c r="K1640" t="s">
        <v>3499</v>
      </c>
    </row>
    <row r="1641" spans="1:11" x14ac:dyDescent="0.4">
      <c r="A1641" t="s">
        <v>7815</v>
      </c>
      <c r="B1641" t="s">
        <v>9</v>
      </c>
      <c r="C1641" t="s">
        <v>10</v>
      </c>
      <c r="D1641" t="s">
        <v>843</v>
      </c>
      <c r="E1641" t="s">
        <v>7816</v>
      </c>
      <c r="F1641" t="str">
        <f>LEFT(E1641,5)</f>
        <v>서울특별시</v>
      </c>
      <c r="G1641" t="str">
        <f t="shared" si="62"/>
        <v xml:space="preserve">은평구 </v>
      </c>
      <c r="H1641" t="str">
        <f t="shared" si="63"/>
        <v>응암동</v>
      </c>
      <c r="I1641" t="s">
        <v>7817</v>
      </c>
      <c r="J1641" t="s">
        <v>846</v>
      </c>
      <c r="K1641" t="s">
        <v>1492</v>
      </c>
    </row>
    <row r="1642" spans="1:11" x14ac:dyDescent="0.4">
      <c r="A1642" t="s">
        <v>6216</v>
      </c>
      <c r="B1642" t="s">
        <v>9</v>
      </c>
      <c r="C1642" t="s">
        <v>10</v>
      </c>
      <c r="D1642" t="s">
        <v>843</v>
      </c>
      <c r="E1642" t="s">
        <v>6217</v>
      </c>
      <c r="F1642" t="str">
        <f>LEFT(E1642,5)</f>
        <v>서울특별시</v>
      </c>
      <c r="G1642" t="str">
        <f t="shared" si="62"/>
        <v xml:space="preserve">은평구 </v>
      </c>
      <c r="H1642" t="str">
        <f t="shared" si="63"/>
        <v>응암동</v>
      </c>
      <c r="I1642" t="s">
        <v>6218</v>
      </c>
      <c r="J1642" t="s">
        <v>846</v>
      </c>
      <c r="K1642" t="s">
        <v>6219</v>
      </c>
    </row>
    <row r="1643" spans="1:11" x14ac:dyDescent="0.4">
      <c r="A1643" t="s">
        <v>4360</v>
      </c>
      <c r="B1643" t="s">
        <v>9</v>
      </c>
      <c r="C1643" t="s">
        <v>10</v>
      </c>
      <c r="D1643" t="s">
        <v>843</v>
      </c>
      <c r="E1643" t="s">
        <v>4361</v>
      </c>
      <c r="F1643" t="str">
        <f>LEFT(E1643,5)</f>
        <v>서울특별시</v>
      </c>
      <c r="G1643" t="str">
        <f t="shared" si="62"/>
        <v xml:space="preserve">은평구 </v>
      </c>
      <c r="H1643" t="str">
        <f t="shared" si="63"/>
        <v>응암동</v>
      </c>
      <c r="I1643" t="s">
        <v>4362</v>
      </c>
      <c r="J1643" t="s">
        <v>846</v>
      </c>
      <c r="K1643" t="s">
        <v>4363</v>
      </c>
    </row>
    <row r="1644" spans="1:11" x14ac:dyDescent="0.4">
      <c r="A1644" t="s">
        <v>842</v>
      </c>
      <c r="B1644" t="s">
        <v>9</v>
      </c>
      <c r="C1644" t="s">
        <v>10</v>
      </c>
      <c r="D1644" t="s">
        <v>843</v>
      </c>
      <c r="E1644" t="s">
        <v>844</v>
      </c>
      <c r="F1644" t="str">
        <f>LEFT(E1644,5)</f>
        <v>서울특별시</v>
      </c>
      <c r="G1644" t="str">
        <f t="shared" si="62"/>
        <v xml:space="preserve">은평구 </v>
      </c>
      <c r="H1644" t="str">
        <f t="shared" si="63"/>
        <v>응암동</v>
      </c>
      <c r="I1644" t="s">
        <v>845</v>
      </c>
      <c r="J1644" t="s">
        <v>846</v>
      </c>
      <c r="K1644" t="s">
        <v>847</v>
      </c>
    </row>
    <row r="1645" spans="1:11" x14ac:dyDescent="0.4">
      <c r="A1645" t="s">
        <v>1150</v>
      </c>
      <c r="B1645" t="s">
        <v>9</v>
      </c>
      <c r="C1645" t="s">
        <v>10</v>
      </c>
      <c r="D1645" t="s">
        <v>843</v>
      </c>
      <c r="E1645" t="s">
        <v>1151</v>
      </c>
      <c r="F1645" t="str">
        <f>LEFT(E1645,5)</f>
        <v>서울특별시</v>
      </c>
      <c r="G1645" t="str">
        <f t="shared" si="62"/>
        <v xml:space="preserve">은평구 </v>
      </c>
      <c r="H1645" t="str">
        <f t="shared" si="63"/>
        <v>응암동</v>
      </c>
      <c r="I1645" t="s">
        <v>1152</v>
      </c>
      <c r="J1645" t="s">
        <v>1153</v>
      </c>
      <c r="K1645" t="s">
        <v>1154</v>
      </c>
    </row>
    <row r="1646" spans="1:11" x14ac:dyDescent="0.4">
      <c r="A1646" t="s">
        <v>4322</v>
      </c>
      <c r="B1646" t="s">
        <v>9</v>
      </c>
      <c r="C1646" t="s">
        <v>10</v>
      </c>
      <c r="D1646" t="s">
        <v>4323</v>
      </c>
      <c r="E1646" t="s">
        <v>4324</v>
      </c>
      <c r="F1646" t="str">
        <f>LEFT(E1646,5)</f>
        <v>서울특별시</v>
      </c>
      <c r="G1646" t="str">
        <f t="shared" si="62"/>
        <v xml:space="preserve">은평구 </v>
      </c>
      <c r="H1646" t="str">
        <f t="shared" si="63"/>
        <v>응암동</v>
      </c>
      <c r="I1646" t="s">
        <v>4325</v>
      </c>
      <c r="J1646" t="s">
        <v>1153</v>
      </c>
      <c r="K1646" t="s">
        <v>4326</v>
      </c>
    </row>
    <row r="1647" spans="1:11" x14ac:dyDescent="0.4">
      <c r="A1647" t="s">
        <v>8883</v>
      </c>
      <c r="B1647" t="s">
        <v>9</v>
      </c>
      <c r="C1647" t="s">
        <v>10</v>
      </c>
      <c r="D1647" t="s">
        <v>4323</v>
      </c>
      <c r="E1647" t="s">
        <v>8884</v>
      </c>
      <c r="F1647" t="str">
        <f>LEFT(E1647,5)</f>
        <v>서울특별시</v>
      </c>
      <c r="G1647" t="str">
        <f t="shared" si="62"/>
        <v xml:space="preserve">은평구 </v>
      </c>
      <c r="H1647" t="str">
        <f t="shared" si="63"/>
        <v>응암동</v>
      </c>
      <c r="I1647" t="s">
        <v>8885</v>
      </c>
      <c r="J1647" t="s">
        <v>1153</v>
      </c>
      <c r="K1647" t="s">
        <v>8886</v>
      </c>
    </row>
    <row r="1648" spans="1:11" x14ac:dyDescent="0.4">
      <c r="A1648" t="s">
        <v>4427</v>
      </c>
      <c r="B1648" t="s">
        <v>9</v>
      </c>
      <c r="C1648" t="s">
        <v>10</v>
      </c>
      <c r="D1648" t="s">
        <v>4428</v>
      </c>
      <c r="E1648" t="s">
        <v>4429</v>
      </c>
      <c r="F1648" t="str">
        <f>LEFT(E1648,5)</f>
        <v>서울특별시</v>
      </c>
      <c r="G1648" t="str">
        <f t="shared" si="62"/>
        <v xml:space="preserve">은평구 </v>
      </c>
      <c r="H1648" t="str">
        <f t="shared" si="63"/>
        <v>응암동</v>
      </c>
      <c r="I1648" t="s">
        <v>4430</v>
      </c>
      <c r="J1648" t="s">
        <v>4431</v>
      </c>
      <c r="K1648" t="s">
        <v>1362</v>
      </c>
    </row>
    <row r="1649" spans="1:11" x14ac:dyDescent="0.4">
      <c r="A1649" t="s">
        <v>8238</v>
      </c>
      <c r="B1649" t="s">
        <v>9</v>
      </c>
      <c r="C1649" t="s">
        <v>10</v>
      </c>
      <c r="D1649" t="s">
        <v>4580</v>
      </c>
      <c r="E1649" t="s">
        <v>8239</v>
      </c>
      <c r="F1649" t="str">
        <f>LEFT(E1649,5)</f>
        <v>서울특별시</v>
      </c>
      <c r="G1649" t="str">
        <f t="shared" si="62"/>
        <v xml:space="preserve">은평구 </v>
      </c>
      <c r="H1649" t="str">
        <f t="shared" si="63"/>
        <v>응암동</v>
      </c>
      <c r="I1649" t="s">
        <v>8240</v>
      </c>
      <c r="J1649" t="s">
        <v>4583</v>
      </c>
      <c r="K1649" t="s">
        <v>7914</v>
      </c>
    </row>
    <row r="1650" spans="1:11" x14ac:dyDescent="0.4">
      <c r="A1650" t="s">
        <v>4579</v>
      </c>
      <c r="B1650" t="s">
        <v>9</v>
      </c>
      <c r="C1650" t="s">
        <v>10</v>
      </c>
      <c r="D1650" t="s">
        <v>4580</v>
      </c>
      <c r="E1650" t="s">
        <v>4581</v>
      </c>
      <c r="F1650" t="str">
        <f>LEFT(E1650,5)</f>
        <v>서울특별시</v>
      </c>
      <c r="G1650" t="str">
        <f t="shared" si="62"/>
        <v xml:space="preserve">은평구 </v>
      </c>
      <c r="H1650" t="str">
        <f t="shared" si="63"/>
        <v>응암동</v>
      </c>
      <c r="I1650" t="s">
        <v>4582</v>
      </c>
      <c r="J1650" t="s">
        <v>4583</v>
      </c>
      <c r="K1650" t="s">
        <v>4584</v>
      </c>
    </row>
    <row r="1651" spans="1:11" x14ac:dyDescent="0.4">
      <c r="A1651" t="s">
        <v>7151</v>
      </c>
      <c r="B1651" t="s">
        <v>9</v>
      </c>
      <c r="C1651" t="s">
        <v>10</v>
      </c>
      <c r="D1651" t="s">
        <v>4580</v>
      </c>
      <c r="E1651" t="s">
        <v>7152</v>
      </c>
      <c r="F1651" t="str">
        <f>LEFT(E1651,5)</f>
        <v>서울특별시</v>
      </c>
      <c r="G1651" t="str">
        <f t="shared" si="62"/>
        <v xml:space="preserve">은평구 </v>
      </c>
      <c r="H1651" t="str">
        <f t="shared" si="63"/>
        <v>응암동</v>
      </c>
      <c r="I1651" t="s">
        <v>7153</v>
      </c>
      <c r="J1651" t="s">
        <v>4583</v>
      </c>
      <c r="K1651" t="s">
        <v>7154</v>
      </c>
    </row>
    <row r="1652" spans="1:11" x14ac:dyDescent="0.4">
      <c r="A1652" t="s">
        <v>5134</v>
      </c>
      <c r="B1652" t="s">
        <v>9</v>
      </c>
      <c r="C1652" t="s">
        <v>10</v>
      </c>
      <c r="D1652" t="s">
        <v>4580</v>
      </c>
      <c r="E1652" t="s">
        <v>5135</v>
      </c>
      <c r="F1652" t="str">
        <f>LEFT(E1652,5)</f>
        <v>서울특별시</v>
      </c>
      <c r="G1652" t="str">
        <f t="shared" si="62"/>
        <v xml:space="preserve">은평구 </v>
      </c>
      <c r="H1652" t="str">
        <f t="shared" si="63"/>
        <v>응암동</v>
      </c>
      <c r="I1652" t="s">
        <v>5136</v>
      </c>
      <c r="J1652" t="s">
        <v>4583</v>
      </c>
      <c r="K1652" t="s">
        <v>5137</v>
      </c>
    </row>
    <row r="1653" spans="1:11" x14ac:dyDescent="0.4">
      <c r="A1653" t="s">
        <v>8808</v>
      </c>
      <c r="B1653" t="s">
        <v>9</v>
      </c>
      <c r="C1653" t="s">
        <v>10</v>
      </c>
      <c r="D1653" t="s">
        <v>4580</v>
      </c>
      <c r="E1653" t="s">
        <v>8809</v>
      </c>
      <c r="F1653" t="str">
        <f>LEFT(E1653,5)</f>
        <v>서울특별시</v>
      </c>
      <c r="G1653" t="str">
        <f t="shared" si="62"/>
        <v xml:space="preserve">은평구 </v>
      </c>
      <c r="H1653" t="str">
        <f t="shared" si="63"/>
        <v>응암동</v>
      </c>
      <c r="I1653" t="s">
        <v>8810</v>
      </c>
      <c r="J1653" t="s">
        <v>4583</v>
      </c>
      <c r="K1653" t="s">
        <v>7191</v>
      </c>
    </row>
    <row r="1654" spans="1:11" x14ac:dyDescent="0.4">
      <c r="A1654" t="s">
        <v>8878</v>
      </c>
      <c r="B1654" t="s">
        <v>9</v>
      </c>
      <c r="C1654" t="s">
        <v>10</v>
      </c>
      <c r="D1654" t="s">
        <v>4580</v>
      </c>
      <c r="E1654" t="s">
        <v>8879</v>
      </c>
      <c r="F1654" t="str">
        <f>LEFT(E1654,5)</f>
        <v>서울특별시</v>
      </c>
      <c r="G1654" t="str">
        <f t="shared" si="62"/>
        <v xml:space="preserve">은평구 </v>
      </c>
      <c r="H1654" t="str">
        <f t="shared" si="63"/>
        <v>응암동</v>
      </c>
      <c r="I1654" t="s">
        <v>8880</v>
      </c>
      <c r="J1654" t="s">
        <v>8881</v>
      </c>
      <c r="K1654" t="s">
        <v>8882</v>
      </c>
    </row>
    <row r="1655" spans="1:11" x14ac:dyDescent="0.4">
      <c r="A1655" t="s">
        <v>3585</v>
      </c>
      <c r="B1655" t="s">
        <v>9</v>
      </c>
      <c r="C1655" t="s">
        <v>10</v>
      </c>
      <c r="D1655" t="s">
        <v>3586</v>
      </c>
      <c r="E1655" t="s">
        <v>3587</v>
      </c>
      <c r="F1655" t="str">
        <f>LEFT(E1655,5)</f>
        <v>서울특별시</v>
      </c>
      <c r="G1655" t="str">
        <f t="shared" si="62"/>
        <v xml:space="preserve">은평구 </v>
      </c>
      <c r="H1655" t="str">
        <f t="shared" si="63"/>
        <v>응암동</v>
      </c>
      <c r="I1655" t="s">
        <v>3588</v>
      </c>
      <c r="J1655" t="s">
        <v>3589</v>
      </c>
      <c r="K1655" t="s">
        <v>3590</v>
      </c>
    </row>
    <row r="1656" spans="1:11" x14ac:dyDescent="0.4">
      <c r="A1656" t="s">
        <v>8205</v>
      </c>
      <c r="B1656" t="s">
        <v>9</v>
      </c>
      <c r="C1656" t="s">
        <v>10</v>
      </c>
      <c r="D1656" t="s">
        <v>8206</v>
      </c>
      <c r="E1656" t="s">
        <v>8207</v>
      </c>
      <c r="F1656" t="str">
        <f>LEFT(E1656,5)</f>
        <v>서울특별시</v>
      </c>
      <c r="G1656" t="str">
        <f t="shared" si="62"/>
        <v xml:space="preserve">종로구 </v>
      </c>
      <c r="H1656" t="str">
        <f t="shared" si="63"/>
        <v>견지동</v>
      </c>
      <c r="I1656" t="s">
        <v>11</v>
      </c>
      <c r="J1656" t="s">
        <v>11</v>
      </c>
      <c r="K1656" t="s">
        <v>6281</v>
      </c>
    </row>
    <row r="1657" spans="1:11" x14ac:dyDescent="0.4">
      <c r="A1657" t="s">
        <v>2350</v>
      </c>
      <c r="B1657" t="s">
        <v>9</v>
      </c>
      <c r="C1657" t="s">
        <v>10</v>
      </c>
      <c r="D1657" t="s">
        <v>2351</v>
      </c>
      <c r="E1657" t="s">
        <v>2352</v>
      </c>
      <c r="F1657" t="str">
        <f>LEFT(E1657,5)</f>
        <v>서울특별시</v>
      </c>
      <c r="G1657" t="str">
        <f t="shared" si="62"/>
        <v xml:space="preserve">종로구 </v>
      </c>
      <c r="H1657" t="str">
        <f t="shared" si="63"/>
        <v>공평동</v>
      </c>
      <c r="I1657" t="s">
        <v>2353</v>
      </c>
      <c r="J1657" t="s">
        <v>11</v>
      </c>
      <c r="K1657" t="s">
        <v>2354</v>
      </c>
    </row>
    <row r="1658" spans="1:11" x14ac:dyDescent="0.4">
      <c r="A1658" t="s">
        <v>1889</v>
      </c>
      <c r="B1658" t="s">
        <v>9</v>
      </c>
      <c r="C1658" t="s">
        <v>10</v>
      </c>
      <c r="D1658" t="s">
        <v>1890</v>
      </c>
      <c r="E1658" t="s">
        <v>1891</v>
      </c>
      <c r="F1658" t="str">
        <f>LEFT(E1658,5)</f>
        <v>서울특별시</v>
      </c>
      <c r="G1658" t="str">
        <f t="shared" si="62"/>
        <v xml:space="preserve">종로구 </v>
      </c>
      <c r="H1658" t="str">
        <f t="shared" si="63"/>
        <v>관수동</v>
      </c>
      <c r="I1658" t="s">
        <v>1892</v>
      </c>
      <c r="J1658" t="s">
        <v>1893</v>
      </c>
      <c r="K1658" t="s">
        <v>1894</v>
      </c>
    </row>
    <row r="1659" spans="1:11" x14ac:dyDescent="0.4">
      <c r="A1659" t="s">
        <v>4977</v>
      </c>
      <c r="B1659" t="s">
        <v>9</v>
      </c>
      <c r="C1659" t="s">
        <v>10</v>
      </c>
      <c r="D1659" t="s">
        <v>1890</v>
      </c>
      <c r="E1659" t="s">
        <v>4978</v>
      </c>
      <c r="F1659" t="str">
        <f>LEFT(E1659,5)</f>
        <v>서울특별시</v>
      </c>
      <c r="G1659" t="str">
        <f t="shared" si="62"/>
        <v xml:space="preserve">종로구 </v>
      </c>
      <c r="H1659" t="str">
        <f t="shared" si="63"/>
        <v>관수동</v>
      </c>
      <c r="I1659" t="s">
        <v>4979</v>
      </c>
      <c r="J1659" t="s">
        <v>1893</v>
      </c>
      <c r="K1659" t="s">
        <v>4980</v>
      </c>
    </row>
    <row r="1660" spans="1:11" x14ac:dyDescent="0.4">
      <c r="A1660" t="s">
        <v>7034</v>
      </c>
      <c r="B1660" t="s">
        <v>9</v>
      </c>
      <c r="C1660" t="s">
        <v>10</v>
      </c>
      <c r="D1660" t="s">
        <v>1923</v>
      </c>
      <c r="E1660" t="s">
        <v>7035</v>
      </c>
      <c r="F1660" t="str">
        <f>LEFT(E1660,5)</f>
        <v>서울특별시</v>
      </c>
      <c r="G1660" t="str">
        <f t="shared" si="62"/>
        <v xml:space="preserve">종로구 </v>
      </c>
      <c r="H1660" t="str">
        <f t="shared" si="63"/>
        <v>관철동</v>
      </c>
      <c r="I1660" t="s">
        <v>7036</v>
      </c>
      <c r="J1660" t="s">
        <v>1926</v>
      </c>
      <c r="K1660" t="s">
        <v>7037</v>
      </c>
    </row>
    <row r="1661" spans="1:11" x14ac:dyDescent="0.4">
      <c r="A1661" t="s">
        <v>1922</v>
      </c>
      <c r="B1661" t="s">
        <v>9</v>
      </c>
      <c r="C1661" t="s">
        <v>10</v>
      </c>
      <c r="D1661" t="s">
        <v>1923</v>
      </c>
      <c r="E1661" t="s">
        <v>1924</v>
      </c>
      <c r="F1661" t="str">
        <f>LEFT(E1661,5)</f>
        <v>서울특별시</v>
      </c>
      <c r="G1661" t="str">
        <f t="shared" si="62"/>
        <v xml:space="preserve">종로구 </v>
      </c>
      <c r="H1661" t="str">
        <f t="shared" si="63"/>
        <v>관철동</v>
      </c>
      <c r="I1661" t="s">
        <v>1925</v>
      </c>
      <c r="J1661" t="s">
        <v>1926</v>
      </c>
      <c r="K1661" t="s">
        <v>1927</v>
      </c>
    </row>
    <row r="1662" spans="1:11" x14ac:dyDescent="0.4">
      <c r="A1662" t="s">
        <v>8871</v>
      </c>
      <c r="B1662" t="s">
        <v>9</v>
      </c>
      <c r="C1662" t="s">
        <v>10</v>
      </c>
      <c r="D1662" t="s">
        <v>1923</v>
      </c>
      <c r="E1662" t="s">
        <v>8872</v>
      </c>
      <c r="F1662" t="str">
        <f>LEFT(E1662,5)</f>
        <v>서울특별시</v>
      </c>
      <c r="G1662" t="str">
        <f t="shared" si="62"/>
        <v xml:space="preserve">종로구 </v>
      </c>
      <c r="H1662" t="str">
        <f t="shared" si="63"/>
        <v>관철동</v>
      </c>
      <c r="I1662" t="s">
        <v>8873</v>
      </c>
      <c r="J1662" t="s">
        <v>1926</v>
      </c>
      <c r="K1662" t="s">
        <v>2763</v>
      </c>
    </row>
    <row r="1663" spans="1:11" x14ac:dyDescent="0.4">
      <c r="A1663" t="s">
        <v>2291</v>
      </c>
      <c r="B1663" t="s">
        <v>9</v>
      </c>
      <c r="C1663" t="s">
        <v>10</v>
      </c>
      <c r="D1663" t="s">
        <v>1923</v>
      </c>
      <c r="E1663" t="s">
        <v>2292</v>
      </c>
      <c r="F1663" t="str">
        <f>LEFT(E1663,5)</f>
        <v>서울특별시</v>
      </c>
      <c r="G1663" t="str">
        <f t="shared" si="62"/>
        <v xml:space="preserve">종로구 </v>
      </c>
      <c r="H1663" t="str">
        <f t="shared" si="63"/>
        <v>관철동</v>
      </c>
      <c r="I1663" t="s">
        <v>2293</v>
      </c>
      <c r="J1663" t="s">
        <v>2294</v>
      </c>
      <c r="K1663" t="s">
        <v>2295</v>
      </c>
    </row>
    <row r="1664" spans="1:11" x14ac:dyDescent="0.4">
      <c r="A1664" t="s">
        <v>4157</v>
      </c>
      <c r="B1664" t="s">
        <v>9</v>
      </c>
      <c r="C1664" t="s">
        <v>10</v>
      </c>
      <c r="D1664" t="s">
        <v>4158</v>
      </c>
      <c r="E1664" t="s">
        <v>4159</v>
      </c>
      <c r="F1664" t="str">
        <f>LEFT(E1664,5)</f>
        <v>서울특별시</v>
      </c>
      <c r="G1664" t="str">
        <f t="shared" si="62"/>
        <v xml:space="preserve">종로구 </v>
      </c>
      <c r="H1664" t="str">
        <f t="shared" si="63"/>
        <v>관훈동</v>
      </c>
      <c r="I1664" t="s">
        <v>4160</v>
      </c>
      <c r="J1664" t="s">
        <v>4161</v>
      </c>
      <c r="K1664" t="s">
        <v>4162</v>
      </c>
    </row>
    <row r="1665" spans="1:11" x14ac:dyDescent="0.4">
      <c r="A1665" t="s">
        <v>5214</v>
      </c>
      <c r="B1665" t="s">
        <v>9</v>
      </c>
      <c r="C1665" t="s">
        <v>10</v>
      </c>
      <c r="D1665" t="s">
        <v>3345</v>
      </c>
      <c r="E1665" t="s">
        <v>5215</v>
      </c>
      <c r="F1665" t="str">
        <f>LEFT(E1665,5)</f>
        <v>서울특별시</v>
      </c>
      <c r="G1665" t="str">
        <f t="shared" si="62"/>
        <v xml:space="preserve">종로구 </v>
      </c>
      <c r="H1665" t="str">
        <f t="shared" si="63"/>
        <v>구기동</v>
      </c>
      <c r="I1665" t="s">
        <v>5216</v>
      </c>
      <c r="J1665" t="s">
        <v>3348</v>
      </c>
      <c r="K1665" t="s">
        <v>5217</v>
      </c>
    </row>
    <row r="1666" spans="1:11" x14ac:dyDescent="0.4">
      <c r="A1666" t="s">
        <v>3344</v>
      </c>
      <c r="B1666" t="s">
        <v>9</v>
      </c>
      <c r="C1666" t="s">
        <v>10</v>
      </c>
      <c r="D1666" t="s">
        <v>3345</v>
      </c>
      <c r="E1666" t="s">
        <v>3346</v>
      </c>
      <c r="F1666" t="str">
        <f>LEFT(E1666,5)</f>
        <v>서울특별시</v>
      </c>
      <c r="G1666" t="str">
        <f t="shared" si="62"/>
        <v xml:space="preserve">종로구 </v>
      </c>
      <c r="H1666" t="str">
        <f t="shared" si="63"/>
        <v>구기동</v>
      </c>
      <c r="I1666" t="s">
        <v>3347</v>
      </c>
      <c r="J1666" t="s">
        <v>3348</v>
      </c>
      <c r="K1666" t="s">
        <v>3349</v>
      </c>
    </row>
    <row r="1667" spans="1:11" x14ac:dyDescent="0.4">
      <c r="A1667" t="s">
        <v>5959</v>
      </c>
      <c r="B1667" t="s">
        <v>9</v>
      </c>
      <c r="C1667" t="s">
        <v>10</v>
      </c>
      <c r="D1667" t="s">
        <v>3345</v>
      </c>
      <c r="E1667" t="s">
        <v>5960</v>
      </c>
      <c r="F1667" t="str">
        <f>LEFT(E1667,5)</f>
        <v>서울특별시</v>
      </c>
      <c r="G1667" t="str">
        <f t="shared" ref="G1667:G1730" si="64">MID(E1667,7,4)</f>
        <v xml:space="preserve">종로구 </v>
      </c>
      <c r="H1667" t="str">
        <f t="shared" ref="H1667:H1730" si="65">MID(SUBSTITUTE(E1667," ",""),9,3)</f>
        <v>구기동</v>
      </c>
      <c r="I1667" t="s">
        <v>5961</v>
      </c>
      <c r="J1667" t="s">
        <v>5962</v>
      </c>
      <c r="K1667" t="s">
        <v>5889</v>
      </c>
    </row>
    <row r="1668" spans="1:11" x14ac:dyDescent="0.4">
      <c r="A1668" t="s">
        <v>2618</v>
      </c>
      <c r="B1668" t="s">
        <v>9</v>
      </c>
      <c r="C1668" t="s">
        <v>10</v>
      </c>
      <c r="D1668" t="s">
        <v>602</v>
      </c>
      <c r="E1668" t="s">
        <v>2619</v>
      </c>
      <c r="F1668" t="str">
        <f>LEFT(E1668,5)</f>
        <v>서울특별시</v>
      </c>
      <c r="G1668" t="str">
        <f t="shared" si="64"/>
        <v xml:space="preserve">종로구 </v>
      </c>
      <c r="H1668" t="str">
        <f t="shared" si="65"/>
        <v>낙원동</v>
      </c>
      <c r="I1668" t="s">
        <v>2620</v>
      </c>
      <c r="J1668" t="s">
        <v>562</v>
      </c>
      <c r="K1668" t="s">
        <v>2621</v>
      </c>
    </row>
    <row r="1669" spans="1:11" x14ac:dyDescent="0.4">
      <c r="A1669" t="s">
        <v>601</v>
      </c>
      <c r="B1669" t="s">
        <v>9</v>
      </c>
      <c r="C1669" t="s">
        <v>10</v>
      </c>
      <c r="D1669" t="s">
        <v>602</v>
      </c>
      <c r="E1669" t="s">
        <v>603</v>
      </c>
      <c r="F1669" t="str">
        <f>LEFT(E1669,5)</f>
        <v>서울특별시</v>
      </c>
      <c r="G1669" t="str">
        <f t="shared" si="64"/>
        <v xml:space="preserve">종로구 </v>
      </c>
      <c r="H1669" t="str">
        <f t="shared" si="65"/>
        <v>낙원동</v>
      </c>
      <c r="I1669" t="s">
        <v>604</v>
      </c>
      <c r="J1669" t="s">
        <v>562</v>
      </c>
      <c r="K1669" t="s">
        <v>605</v>
      </c>
    </row>
    <row r="1670" spans="1:11" x14ac:dyDescent="0.4">
      <c r="A1670" t="s">
        <v>5981</v>
      </c>
      <c r="B1670" t="s">
        <v>9</v>
      </c>
      <c r="C1670" t="s">
        <v>10</v>
      </c>
      <c r="D1670" t="s">
        <v>602</v>
      </c>
      <c r="E1670" t="s">
        <v>5982</v>
      </c>
      <c r="F1670" t="str">
        <f>LEFT(E1670,5)</f>
        <v>서울특별시</v>
      </c>
      <c r="G1670" t="str">
        <f t="shared" si="64"/>
        <v xml:space="preserve">종로구 </v>
      </c>
      <c r="H1670" t="str">
        <f t="shared" si="65"/>
        <v>낙원동</v>
      </c>
      <c r="I1670" t="s">
        <v>5983</v>
      </c>
      <c r="J1670" t="s">
        <v>562</v>
      </c>
      <c r="K1670" t="s">
        <v>5984</v>
      </c>
    </row>
    <row r="1671" spans="1:11" x14ac:dyDescent="0.4">
      <c r="A1671" t="s">
        <v>3040</v>
      </c>
      <c r="B1671" t="s">
        <v>9</v>
      </c>
      <c r="C1671" t="s">
        <v>10</v>
      </c>
      <c r="D1671" t="s">
        <v>602</v>
      </c>
      <c r="E1671" t="s">
        <v>3041</v>
      </c>
      <c r="F1671" t="str">
        <f>LEFT(E1671,5)</f>
        <v>서울특별시</v>
      </c>
      <c r="G1671" t="str">
        <f t="shared" si="64"/>
        <v xml:space="preserve">종로구 </v>
      </c>
      <c r="H1671" t="str">
        <f t="shared" si="65"/>
        <v>낙원동</v>
      </c>
      <c r="I1671" t="s">
        <v>3042</v>
      </c>
      <c r="J1671" t="s">
        <v>914</v>
      </c>
      <c r="K1671" t="s">
        <v>3043</v>
      </c>
    </row>
    <row r="1672" spans="1:11" x14ac:dyDescent="0.4">
      <c r="A1672" t="s">
        <v>911</v>
      </c>
      <c r="B1672" t="s">
        <v>9</v>
      </c>
      <c r="C1672" t="s">
        <v>10</v>
      </c>
      <c r="D1672" t="s">
        <v>602</v>
      </c>
      <c r="E1672" t="s">
        <v>912</v>
      </c>
      <c r="F1672" t="str">
        <f>LEFT(E1672,5)</f>
        <v>서울특별시</v>
      </c>
      <c r="G1672" t="str">
        <f t="shared" si="64"/>
        <v xml:space="preserve">종로구 </v>
      </c>
      <c r="H1672" t="str">
        <f t="shared" si="65"/>
        <v>낙원동</v>
      </c>
      <c r="I1672" t="s">
        <v>913</v>
      </c>
      <c r="J1672" t="s">
        <v>914</v>
      </c>
      <c r="K1672" t="s">
        <v>915</v>
      </c>
    </row>
    <row r="1673" spans="1:11" x14ac:dyDescent="0.4">
      <c r="A1673" t="s">
        <v>2159</v>
      </c>
      <c r="B1673" t="s">
        <v>9</v>
      </c>
      <c r="C1673" t="s">
        <v>10</v>
      </c>
      <c r="D1673" t="s">
        <v>602</v>
      </c>
      <c r="E1673" t="s">
        <v>2160</v>
      </c>
      <c r="F1673" t="str">
        <f>LEFT(E1673,5)</f>
        <v>서울특별시</v>
      </c>
      <c r="G1673" t="str">
        <f t="shared" si="64"/>
        <v xml:space="preserve">종로구 </v>
      </c>
      <c r="H1673" t="str">
        <f t="shared" si="65"/>
        <v>낙원동</v>
      </c>
      <c r="I1673" t="s">
        <v>2161</v>
      </c>
      <c r="J1673" t="s">
        <v>914</v>
      </c>
      <c r="K1673" t="s">
        <v>2162</v>
      </c>
    </row>
    <row r="1674" spans="1:11" x14ac:dyDescent="0.4">
      <c r="A1674" t="s">
        <v>2306</v>
      </c>
      <c r="B1674" t="s">
        <v>9</v>
      </c>
      <c r="C1674" t="s">
        <v>10</v>
      </c>
      <c r="D1674" t="s">
        <v>602</v>
      </c>
      <c r="E1674" t="s">
        <v>2307</v>
      </c>
      <c r="F1674" t="str">
        <f>LEFT(E1674,5)</f>
        <v>서울특별시</v>
      </c>
      <c r="G1674" t="str">
        <f t="shared" si="64"/>
        <v xml:space="preserve">종로구 </v>
      </c>
      <c r="H1674" t="str">
        <f t="shared" si="65"/>
        <v>낙원동</v>
      </c>
      <c r="I1674" t="s">
        <v>2308</v>
      </c>
      <c r="J1674" t="s">
        <v>914</v>
      </c>
      <c r="K1674" t="s">
        <v>2309</v>
      </c>
    </row>
    <row r="1675" spans="1:11" x14ac:dyDescent="0.4">
      <c r="A1675" t="s">
        <v>8921</v>
      </c>
      <c r="B1675" t="s">
        <v>9</v>
      </c>
      <c r="C1675" t="s">
        <v>10</v>
      </c>
      <c r="D1675" t="s">
        <v>602</v>
      </c>
      <c r="E1675" t="s">
        <v>8922</v>
      </c>
      <c r="F1675" t="str">
        <f>LEFT(E1675,5)</f>
        <v>서울특별시</v>
      </c>
      <c r="G1675" t="str">
        <f t="shared" si="64"/>
        <v xml:space="preserve">종로구 </v>
      </c>
      <c r="H1675" t="str">
        <f t="shared" si="65"/>
        <v>낙원동</v>
      </c>
      <c r="I1675" t="s">
        <v>8923</v>
      </c>
      <c r="J1675" t="s">
        <v>914</v>
      </c>
      <c r="K1675" t="s">
        <v>5633</v>
      </c>
    </row>
    <row r="1676" spans="1:11" x14ac:dyDescent="0.4">
      <c r="A1676" t="s">
        <v>8394</v>
      </c>
      <c r="B1676" t="s">
        <v>9</v>
      </c>
      <c r="C1676" t="s">
        <v>10</v>
      </c>
      <c r="D1676" t="s">
        <v>602</v>
      </c>
      <c r="E1676" t="s">
        <v>8395</v>
      </c>
      <c r="F1676" t="str">
        <f>LEFT(E1676,5)</f>
        <v>서울특별시</v>
      </c>
      <c r="G1676" t="str">
        <f t="shared" si="64"/>
        <v xml:space="preserve">종로구 </v>
      </c>
      <c r="H1676" t="str">
        <f t="shared" si="65"/>
        <v>낙원동</v>
      </c>
      <c r="I1676" t="s">
        <v>8396</v>
      </c>
      <c r="J1676" t="s">
        <v>914</v>
      </c>
      <c r="K1676" t="s">
        <v>4944</v>
      </c>
    </row>
    <row r="1677" spans="1:11" x14ac:dyDescent="0.4">
      <c r="A1677" t="s">
        <v>2823</v>
      </c>
      <c r="B1677" t="s">
        <v>9</v>
      </c>
      <c r="C1677" t="s">
        <v>10</v>
      </c>
      <c r="D1677" t="s">
        <v>602</v>
      </c>
      <c r="E1677" t="s">
        <v>2824</v>
      </c>
      <c r="F1677" t="str">
        <f>LEFT(E1677,5)</f>
        <v>서울특별시</v>
      </c>
      <c r="G1677" t="str">
        <f t="shared" si="64"/>
        <v xml:space="preserve">종로구 </v>
      </c>
      <c r="H1677" t="str">
        <f t="shared" si="65"/>
        <v>낙원동</v>
      </c>
      <c r="I1677" t="s">
        <v>2825</v>
      </c>
      <c r="J1677" t="s">
        <v>914</v>
      </c>
      <c r="K1677" t="s">
        <v>1594</v>
      </c>
    </row>
    <row r="1678" spans="1:11" x14ac:dyDescent="0.4">
      <c r="A1678" t="s">
        <v>2105</v>
      </c>
      <c r="B1678" t="s">
        <v>9</v>
      </c>
      <c r="C1678" t="s">
        <v>10</v>
      </c>
      <c r="D1678" t="s">
        <v>602</v>
      </c>
      <c r="E1678" t="s">
        <v>2106</v>
      </c>
      <c r="F1678" t="str">
        <f>LEFT(E1678,5)</f>
        <v>서울특별시</v>
      </c>
      <c r="G1678" t="str">
        <f t="shared" si="64"/>
        <v xml:space="preserve">종로구 </v>
      </c>
      <c r="H1678" t="str">
        <f t="shared" si="65"/>
        <v>낙원동</v>
      </c>
      <c r="I1678" t="s">
        <v>2107</v>
      </c>
      <c r="J1678" t="s">
        <v>914</v>
      </c>
      <c r="K1678" t="s">
        <v>2108</v>
      </c>
    </row>
    <row r="1679" spans="1:11" x14ac:dyDescent="0.4">
      <c r="A1679" t="s">
        <v>2346</v>
      </c>
      <c r="B1679" t="s">
        <v>9</v>
      </c>
      <c r="C1679" t="s">
        <v>10</v>
      </c>
      <c r="D1679" t="s">
        <v>602</v>
      </c>
      <c r="E1679" t="s">
        <v>2347</v>
      </c>
      <c r="F1679" t="str">
        <f>LEFT(E1679,5)</f>
        <v>서울특별시</v>
      </c>
      <c r="G1679" t="str">
        <f t="shared" si="64"/>
        <v xml:space="preserve">종로구 </v>
      </c>
      <c r="H1679" t="str">
        <f t="shared" si="65"/>
        <v>낙원동</v>
      </c>
      <c r="I1679" t="s">
        <v>2348</v>
      </c>
      <c r="J1679" t="s">
        <v>914</v>
      </c>
      <c r="K1679" t="s">
        <v>2349</v>
      </c>
    </row>
    <row r="1680" spans="1:11" x14ac:dyDescent="0.4">
      <c r="A1680" t="s">
        <v>3350</v>
      </c>
      <c r="B1680" t="s">
        <v>9</v>
      </c>
      <c r="C1680" t="s">
        <v>10</v>
      </c>
      <c r="D1680" t="s">
        <v>602</v>
      </c>
      <c r="E1680" t="s">
        <v>3351</v>
      </c>
      <c r="F1680" t="str">
        <f>LEFT(E1680,5)</f>
        <v>서울특별시</v>
      </c>
      <c r="G1680" t="str">
        <f t="shared" si="64"/>
        <v xml:space="preserve">종로구 </v>
      </c>
      <c r="H1680" t="str">
        <f t="shared" si="65"/>
        <v>낙원동</v>
      </c>
      <c r="I1680" t="s">
        <v>3352</v>
      </c>
      <c r="J1680" t="s">
        <v>914</v>
      </c>
      <c r="K1680" t="s">
        <v>3353</v>
      </c>
    </row>
    <row r="1681" spans="1:11" x14ac:dyDescent="0.4">
      <c r="A1681" t="s">
        <v>2334</v>
      </c>
      <c r="B1681" t="s">
        <v>9</v>
      </c>
      <c r="C1681" t="s">
        <v>10</v>
      </c>
      <c r="D1681" t="s">
        <v>602</v>
      </c>
      <c r="E1681" t="s">
        <v>2335</v>
      </c>
      <c r="F1681" t="str">
        <f>LEFT(E1681,5)</f>
        <v>서울특별시</v>
      </c>
      <c r="G1681" t="str">
        <f t="shared" si="64"/>
        <v xml:space="preserve">종로구 </v>
      </c>
      <c r="H1681" t="str">
        <f t="shared" si="65"/>
        <v>낙원동</v>
      </c>
      <c r="I1681" t="s">
        <v>2336</v>
      </c>
      <c r="J1681" t="s">
        <v>1857</v>
      </c>
      <c r="K1681" t="s">
        <v>2337</v>
      </c>
    </row>
    <row r="1682" spans="1:11" x14ac:dyDescent="0.4">
      <c r="A1682" t="s">
        <v>4341</v>
      </c>
      <c r="B1682" t="s">
        <v>9</v>
      </c>
      <c r="C1682" t="s">
        <v>10</v>
      </c>
      <c r="D1682" t="s">
        <v>602</v>
      </c>
      <c r="E1682" t="s">
        <v>4342</v>
      </c>
      <c r="F1682" t="str">
        <f>LEFT(E1682,5)</f>
        <v>서울특별시</v>
      </c>
      <c r="G1682" t="str">
        <f t="shared" si="64"/>
        <v xml:space="preserve">종로구 </v>
      </c>
      <c r="H1682" t="str">
        <f t="shared" si="65"/>
        <v>낙원동</v>
      </c>
      <c r="I1682" t="s">
        <v>4343</v>
      </c>
      <c r="J1682" t="s">
        <v>1857</v>
      </c>
      <c r="K1682" t="s">
        <v>4344</v>
      </c>
    </row>
    <row r="1683" spans="1:11" x14ac:dyDescent="0.4">
      <c r="A1683" t="s">
        <v>2510</v>
      </c>
      <c r="B1683" t="s">
        <v>9</v>
      </c>
      <c r="C1683" t="s">
        <v>10</v>
      </c>
      <c r="D1683" t="s">
        <v>602</v>
      </c>
      <c r="E1683" t="s">
        <v>2511</v>
      </c>
      <c r="F1683" t="str">
        <f>LEFT(E1683,5)</f>
        <v>서울특별시</v>
      </c>
      <c r="G1683" t="str">
        <f t="shared" si="64"/>
        <v xml:space="preserve">종로구 </v>
      </c>
      <c r="H1683" t="str">
        <f t="shared" si="65"/>
        <v>낙원동</v>
      </c>
      <c r="I1683" t="s">
        <v>2512</v>
      </c>
      <c r="J1683" t="s">
        <v>1857</v>
      </c>
      <c r="K1683" t="s">
        <v>2513</v>
      </c>
    </row>
    <row r="1684" spans="1:11" x14ac:dyDescent="0.4">
      <c r="A1684" t="s">
        <v>2626</v>
      </c>
      <c r="B1684" t="s">
        <v>9</v>
      </c>
      <c r="C1684" t="s">
        <v>10</v>
      </c>
      <c r="D1684" t="s">
        <v>602</v>
      </c>
      <c r="E1684" t="s">
        <v>2627</v>
      </c>
      <c r="F1684" t="str">
        <f>LEFT(E1684,5)</f>
        <v>서울특별시</v>
      </c>
      <c r="G1684" t="str">
        <f t="shared" si="64"/>
        <v xml:space="preserve">종로구 </v>
      </c>
      <c r="H1684" t="str">
        <f t="shared" si="65"/>
        <v>낙원동</v>
      </c>
      <c r="I1684" t="s">
        <v>2628</v>
      </c>
      <c r="J1684" t="s">
        <v>1857</v>
      </c>
      <c r="K1684" t="s">
        <v>2629</v>
      </c>
    </row>
    <row r="1685" spans="1:11" x14ac:dyDescent="0.4">
      <c r="A1685" t="s">
        <v>3109</v>
      </c>
      <c r="B1685" t="s">
        <v>9</v>
      </c>
      <c r="C1685" t="s">
        <v>10</v>
      </c>
      <c r="D1685" t="s">
        <v>602</v>
      </c>
      <c r="E1685" t="s">
        <v>3110</v>
      </c>
      <c r="F1685" t="str">
        <f>LEFT(E1685,5)</f>
        <v>서울특별시</v>
      </c>
      <c r="G1685" t="str">
        <f t="shared" si="64"/>
        <v xml:space="preserve">종로구 </v>
      </c>
      <c r="H1685" t="str">
        <f t="shared" si="65"/>
        <v>낙원동</v>
      </c>
      <c r="I1685" t="s">
        <v>3111</v>
      </c>
      <c r="J1685" t="s">
        <v>1857</v>
      </c>
      <c r="K1685" t="s">
        <v>3112</v>
      </c>
    </row>
    <row r="1686" spans="1:11" x14ac:dyDescent="0.4">
      <c r="A1686" t="s">
        <v>2982</v>
      </c>
      <c r="B1686" t="s">
        <v>9</v>
      </c>
      <c r="C1686" t="s">
        <v>10</v>
      </c>
      <c r="D1686" t="s">
        <v>602</v>
      </c>
      <c r="E1686" t="s">
        <v>2983</v>
      </c>
      <c r="F1686" t="str">
        <f>LEFT(E1686,5)</f>
        <v>서울특별시</v>
      </c>
      <c r="G1686" t="str">
        <f t="shared" si="64"/>
        <v xml:space="preserve">종로구 </v>
      </c>
      <c r="H1686" t="str">
        <f t="shared" si="65"/>
        <v>낙원동</v>
      </c>
      <c r="I1686" t="s">
        <v>2984</v>
      </c>
      <c r="J1686" t="s">
        <v>1857</v>
      </c>
      <c r="K1686" t="s">
        <v>2985</v>
      </c>
    </row>
    <row r="1687" spans="1:11" x14ac:dyDescent="0.4">
      <c r="A1687" t="s">
        <v>2646</v>
      </c>
      <c r="B1687" t="s">
        <v>9</v>
      </c>
      <c r="C1687" t="s">
        <v>10</v>
      </c>
      <c r="D1687" t="s">
        <v>602</v>
      </c>
      <c r="E1687" t="s">
        <v>2647</v>
      </c>
      <c r="F1687" t="str">
        <f>LEFT(E1687,5)</f>
        <v>서울특별시</v>
      </c>
      <c r="G1687" t="str">
        <f t="shared" si="64"/>
        <v xml:space="preserve">종로구 </v>
      </c>
      <c r="H1687" t="str">
        <f t="shared" si="65"/>
        <v>낙원동</v>
      </c>
      <c r="I1687" t="s">
        <v>2648</v>
      </c>
      <c r="J1687" t="s">
        <v>1857</v>
      </c>
      <c r="K1687" t="s">
        <v>2649</v>
      </c>
    </row>
    <row r="1688" spans="1:11" x14ac:dyDescent="0.4">
      <c r="A1688" t="s">
        <v>7548</v>
      </c>
      <c r="B1688" t="s">
        <v>9</v>
      </c>
      <c r="C1688" t="s">
        <v>10</v>
      </c>
      <c r="D1688" t="s">
        <v>602</v>
      </c>
      <c r="E1688" t="s">
        <v>7549</v>
      </c>
      <c r="F1688" t="str">
        <f>LEFT(E1688,5)</f>
        <v>서울특별시</v>
      </c>
      <c r="G1688" t="str">
        <f t="shared" si="64"/>
        <v xml:space="preserve">종로구 </v>
      </c>
      <c r="H1688" t="str">
        <f t="shared" si="65"/>
        <v>낙원동</v>
      </c>
      <c r="I1688" t="s">
        <v>7550</v>
      </c>
      <c r="J1688" t="s">
        <v>1857</v>
      </c>
      <c r="K1688" t="s">
        <v>7551</v>
      </c>
    </row>
    <row r="1689" spans="1:11" x14ac:dyDescent="0.4">
      <c r="A1689" t="s">
        <v>2064</v>
      </c>
      <c r="B1689" t="s">
        <v>9</v>
      </c>
      <c r="C1689" t="s">
        <v>10</v>
      </c>
      <c r="D1689" t="s">
        <v>602</v>
      </c>
      <c r="E1689" t="s">
        <v>2065</v>
      </c>
      <c r="F1689" t="str">
        <f>LEFT(E1689,5)</f>
        <v>서울특별시</v>
      </c>
      <c r="G1689" t="str">
        <f t="shared" si="64"/>
        <v xml:space="preserve">종로구 </v>
      </c>
      <c r="H1689" t="str">
        <f t="shared" si="65"/>
        <v>낙원동</v>
      </c>
      <c r="I1689" t="s">
        <v>2066</v>
      </c>
      <c r="J1689" t="s">
        <v>1857</v>
      </c>
      <c r="K1689" t="s">
        <v>2067</v>
      </c>
    </row>
    <row r="1690" spans="1:11" x14ac:dyDescent="0.4">
      <c r="A1690" t="s">
        <v>1854</v>
      </c>
      <c r="B1690" t="s">
        <v>9</v>
      </c>
      <c r="C1690" t="s">
        <v>10</v>
      </c>
      <c r="D1690" t="s">
        <v>602</v>
      </c>
      <c r="E1690" t="s">
        <v>1855</v>
      </c>
      <c r="F1690" t="str">
        <f>LEFT(E1690,5)</f>
        <v>서울특별시</v>
      </c>
      <c r="G1690" t="str">
        <f t="shared" si="64"/>
        <v xml:space="preserve">종로구 </v>
      </c>
      <c r="H1690" t="str">
        <f t="shared" si="65"/>
        <v>낙원동</v>
      </c>
      <c r="I1690" t="s">
        <v>1856</v>
      </c>
      <c r="J1690" t="s">
        <v>1857</v>
      </c>
      <c r="K1690" t="s">
        <v>1858</v>
      </c>
    </row>
    <row r="1691" spans="1:11" x14ac:dyDescent="0.4">
      <c r="A1691" t="s">
        <v>3028</v>
      </c>
      <c r="B1691" t="s">
        <v>9</v>
      </c>
      <c r="C1691" t="s">
        <v>10</v>
      </c>
      <c r="D1691" t="s">
        <v>602</v>
      </c>
      <c r="E1691" t="s">
        <v>3029</v>
      </c>
      <c r="F1691" t="str">
        <f>LEFT(E1691,5)</f>
        <v>서울특별시</v>
      </c>
      <c r="G1691" t="str">
        <f t="shared" si="64"/>
        <v xml:space="preserve">종로구 </v>
      </c>
      <c r="H1691" t="str">
        <f t="shared" si="65"/>
        <v>낙원동</v>
      </c>
      <c r="I1691" t="s">
        <v>3030</v>
      </c>
      <c r="J1691" t="s">
        <v>1857</v>
      </c>
      <c r="K1691" t="s">
        <v>900</v>
      </c>
    </row>
    <row r="1692" spans="1:11" x14ac:dyDescent="0.4">
      <c r="A1692" t="s">
        <v>2986</v>
      </c>
      <c r="B1692" t="s">
        <v>9</v>
      </c>
      <c r="C1692" t="s">
        <v>10</v>
      </c>
      <c r="D1692" t="s">
        <v>602</v>
      </c>
      <c r="E1692" t="s">
        <v>2987</v>
      </c>
      <c r="F1692" t="str">
        <f>LEFT(E1692,5)</f>
        <v>서울특별시</v>
      </c>
      <c r="G1692" t="str">
        <f t="shared" si="64"/>
        <v xml:space="preserve">종로구 </v>
      </c>
      <c r="H1692" t="str">
        <f t="shared" si="65"/>
        <v>낙원동</v>
      </c>
      <c r="I1692" t="s">
        <v>2988</v>
      </c>
      <c r="J1692" t="s">
        <v>1857</v>
      </c>
      <c r="K1692" t="s">
        <v>2989</v>
      </c>
    </row>
    <row r="1693" spans="1:11" x14ac:dyDescent="0.4">
      <c r="A1693" t="s">
        <v>2361</v>
      </c>
      <c r="B1693" t="s">
        <v>9</v>
      </c>
      <c r="C1693" t="s">
        <v>10</v>
      </c>
      <c r="D1693" t="s">
        <v>602</v>
      </c>
      <c r="E1693" t="s">
        <v>2362</v>
      </c>
      <c r="F1693" t="str">
        <f>LEFT(E1693,5)</f>
        <v>서울특별시</v>
      </c>
      <c r="G1693" t="str">
        <f t="shared" si="64"/>
        <v xml:space="preserve">종로구 </v>
      </c>
      <c r="H1693" t="str">
        <f t="shared" si="65"/>
        <v>낙원동</v>
      </c>
      <c r="I1693" t="s">
        <v>2363</v>
      </c>
      <c r="J1693" t="s">
        <v>2023</v>
      </c>
      <c r="K1693" t="s">
        <v>2364</v>
      </c>
    </row>
    <row r="1694" spans="1:11" x14ac:dyDescent="0.4">
      <c r="A1694" t="s">
        <v>8843</v>
      </c>
      <c r="B1694" t="s">
        <v>9</v>
      </c>
      <c r="C1694" t="s">
        <v>10</v>
      </c>
      <c r="D1694" t="s">
        <v>602</v>
      </c>
      <c r="E1694" t="s">
        <v>8844</v>
      </c>
      <c r="F1694" t="str">
        <f>LEFT(E1694,5)</f>
        <v>서울특별시</v>
      </c>
      <c r="G1694" t="str">
        <f t="shared" si="64"/>
        <v xml:space="preserve">종로구 </v>
      </c>
      <c r="H1694" t="str">
        <f t="shared" si="65"/>
        <v>낙원동</v>
      </c>
      <c r="I1694" t="s">
        <v>8845</v>
      </c>
      <c r="J1694" t="s">
        <v>562</v>
      </c>
      <c r="K1694" t="s">
        <v>8846</v>
      </c>
    </row>
    <row r="1695" spans="1:11" x14ac:dyDescent="0.4">
      <c r="A1695" t="s">
        <v>7511</v>
      </c>
      <c r="B1695" t="s">
        <v>9</v>
      </c>
      <c r="C1695" t="s">
        <v>10</v>
      </c>
      <c r="D1695" t="s">
        <v>602</v>
      </c>
      <c r="E1695" t="s">
        <v>7512</v>
      </c>
      <c r="F1695" t="str">
        <f>LEFT(E1695,5)</f>
        <v>서울특별시</v>
      </c>
      <c r="G1695" t="str">
        <f t="shared" si="64"/>
        <v xml:space="preserve">종로구 </v>
      </c>
      <c r="H1695" t="str">
        <f t="shared" si="65"/>
        <v>낙원동</v>
      </c>
      <c r="I1695" t="s">
        <v>7513</v>
      </c>
      <c r="J1695" t="s">
        <v>562</v>
      </c>
      <c r="K1695" t="s">
        <v>7514</v>
      </c>
    </row>
    <row r="1696" spans="1:11" x14ac:dyDescent="0.4">
      <c r="A1696" t="s">
        <v>8086</v>
      </c>
      <c r="B1696" t="s">
        <v>9</v>
      </c>
      <c r="C1696" t="s">
        <v>10</v>
      </c>
      <c r="D1696" t="s">
        <v>602</v>
      </c>
      <c r="E1696" t="s">
        <v>8087</v>
      </c>
      <c r="F1696" t="str">
        <f>LEFT(E1696,5)</f>
        <v>서울특별시</v>
      </c>
      <c r="G1696" t="str">
        <f t="shared" si="64"/>
        <v xml:space="preserve">종로구 </v>
      </c>
      <c r="H1696" t="str">
        <f t="shared" si="65"/>
        <v>낙원동</v>
      </c>
      <c r="I1696" t="s">
        <v>3022</v>
      </c>
      <c r="J1696" t="s">
        <v>562</v>
      </c>
      <c r="K1696" t="s">
        <v>8088</v>
      </c>
    </row>
    <row r="1697" spans="1:11" x14ac:dyDescent="0.4">
      <c r="A1697" t="s">
        <v>3020</v>
      </c>
      <c r="B1697" t="s">
        <v>9</v>
      </c>
      <c r="C1697" t="s">
        <v>10</v>
      </c>
      <c r="D1697" t="s">
        <v>602</v>
      </c>
      <c r="E1697" t="s">
        <v>3021</v>
      </c>
      <c r="F1697" t="str">
        <f>LEFT(E1697,5)</f>
        <v>서울특별시</v>
      </c>
      <c r="G1697" t="str">
        <f t="shared" si="64"/>
        <v xml:space="preserve">종로구 </v>
      </c>
      <c r="H1697" t="str">
        <f t="shared" si="65"/>
        <v>낙원동</v>
      </c>
      <c r="I1697" t="s">
        <v>3022</v>
      </c>
      <c r="J1697" t="s">
        <v>562</v>
      </c>
      <c r="K1697" t="s">
        <v>3023</v>
      </c>
    </row>
    <row r="1698" spans="1:11" x14ac:dyDescent="0.4">
      <c r="A1698" t="s">
        <v>4101</v>
      </c>
      <c r="B1698" t="s">
        <v>9</v>
      </c>
      <c r="C1698" t="s">
        <v>10</v>
      </c>
      <c r="D1698" t="s">
        <v>602</v>
      </c>
      <c r="E1698" t="s">
        <v>4102</v>
      </c>
      <c r="F1698" t="str">
        <f>LEFT(E1698,5)</f>
        <v>서울특별시</v>
      </c>
      <c r="G1698" t="str">
        <f t="shared" si="64"/>
        <v xml:space="preserve">종로구 </v>
      </c>
      <c r="H1698" t="str">
        <f t="shared" si="65"/>
        <v>낙원동</v>
      </c>
      <c r="I1698" t="s">
        <v>4103</v>
      </c>
      <c r="J1698" t="s">
        <v>562</v>
      </c>
      <c r="K1698" t="s">
        <v>3306</v>
      </c>
    </row>
    <row r="1699" spans="1:11" x14ac:dyDescent="0.4">
      <c r="A1699" t="s">
        <v>6303</v>
      </c>
      <c r="B1699" t="s">
        <v>9</v>
      </c>
      <c r="C1699" t="s">
        <v>10</v>
      </c>
      <c r="D1699" t="s">
        <v>602</v>
      </c>
      <c r="E1699" t="s">
        <v>6304</v>
      </c>
      <c r="F1699" t="str">
        <f>LEFT(E1699,5)</f>
        <v>서울특별시</v>
      </c>
      <c r="G1699" t="str">
        <f t="shared" si="64"/>
        <v xml:space="preserve">종로구 </v>
      </c>
      <c r="H1699" t="str">
        <f t="shared" si="65"/>
        <v>낙원동</v>
      </c>
      <c r="I1699" t="s">
        <v>6305</v>
      </c>
      <c r="J1699" t="s">
        <v>562</v>
      </c>
      <c r="K1699" t="s">
        <v>6306</v>
      </c>
    </row>
    <row r="1700" spans="1:11" x14ac:dyDescent="0.4">
      <c r="A1700" t="s">
        <v>2748</v>
      </c>
      <c r="B1700" t="s">
        <v>9</v>
      </c>
      <c r="C1700" t="s">
        <v>10</v>
      </c>
      <c r="D1700" t="s">
        <v>602</v>
      </c>
      <c r="E1700" t="s">
        <v>2749</v>
      </c>
      <c r="F1700" t="str">
        <f>LEFT(E1700,5)</f>
        <v>서울특별시</v>
      </c>
      <c r="G1700" t="str">
        <f t="shared" si="64"/>
        <v xml:space="preserve">종로구 </v>
      </c>
      <c r="H1700" t="str">
        <f t="shared" si="65"/>
        <v>낙원동</v>
      </c>
      <c r="I1700" t="s">
        <v>2750</v>
      </c>
      <c r="J1700" t="s">
        <v>562</v>
      </c>
      <c r="K1700" t="s">
        <v>2751</v>
      </c>
    </row>
    <row r="1701" spans="1:11" x14ac:dyDescent="0.4">
      <c r="A1701" t="s">
        <v>5119</v>
      </c>
      <c r="B1701" t="s">
        <v>9</v>
      </c>
      <c r="C1701" t="s">
        <v>10</v>
      </c>
      <c r="D1701" t="s">
        <v>602</v>
      </c>
      <c r="E1701" t="s">
        <v>2749</v>
      </c>
      <c r="F1701" t="str">
        <f>LEFT(E1701,5)</f>
        <v>서울특별시</v>
      </c>
      <c r="G1701" t="str">
        <f t="shared" si="64"/>
        <v xml:space="preserve">종로구 </v>
      </c>
      <c r="H1701" t="str">
        <f t="shared" si="65"/>
        <v>낙원동</v>
      </c>
      <c r="I1701" t="s">
        <v>2750</v>
      </c>
      <c r="J1701" t="s">
        <v>562</v>
      </c>
      <c r="K1701" t="s">
        <v>5120</v>
      </c>
    </row>
    <row r="1702" spans="1:11" x14ac:dyDescent="0.4">
      <c r="A1702" t="s">
        <v>2145</v>
      </c>
      <c r="B1702" t="s">
        <v>9</v>
      </c>
      <c r="C1702" t="s">
        <v>10</v>
      </c>
      <c r="D1702" t="s">
        <v>2146</v>
      </c>
      <c r="E1702" t="s">
        <v>2147</v>
      </c>
      <c r="F1702" t="str">
        <f>LEFT(E1702,5)</f>
        <v>서울특별시</v>
      </c>
      <c r="G1702" t="str">
        <f t="shared" si="64"/>
        <v xml:space="preserve">종로구 </v>
      </c>
      <c r="H1702" t="str">
        <f t="shared" si="65"/>
        <v>당주동</v>
      </c>
      <c r="I1702" t="s">
        <v>2148</v>
      </c>
      <c r="J1702" t="s">
        <v>2149</v>
      </c>
      <c r="K1702" t="s">
        <v>2150</v>
      </c>
    </row>
    <row r="1703" spans="1:11" x14ac:dyDescent="0.4">
      <c r="A1703" t="s">
        <v>2598</v>
      </c>
      <c r="B1703" t="s">
        <v>9</v>
      </c>
      <c r="C1703" t="s">
        <v>10</v>
      </c>
      <c r="D1703" t="s">
        <v>2146</v>
      </c>
      <c r="E1703" t="s">
        <v>2599</v>
      </c>
      <c r="F1703" t="str">
        <f>LEFT(E1703,5)</f>
        <v>서울특별시</v>
      </c>
      <c r="G1703" t="str">
        <f t="shared" si="64"/>
        <v xml:space="preserve">종로구 </v>
      </c>
      <c r="H1703" t="str">
        <f t="shared" si="65"/>
        <v>당주동</v>
      </c>
      <c r="I1703" t="s">
        <v>11</v>
      </c>
      <c r="J1703" t="s">
        <v>11</v>
      </c>
      <c r="K1703" t="s">
        <v>2600</v>
      </c>
    </row>
    <row r="1704" spans="1:11" x14ac:dyDescent="0.4">
      <c r="A1704" t="s">
        <v>8982</v>
      </c>
      <c r="B1704" t="s">
        <v>9</v>
      </c>
      <c r="C1704" t="s">
        <v>10</v>
      </c>
      <c r="D1704" t="s">
        <v>2146</v>
      </c>
      <c r="E1704" t="s">
        <v>8983</v>
      </c>
      <c r="F1704" t="str">
        <f>LEFT(E1704,5)</f>
        <v>서울특별시</v>
      </c>
      <c r="G1704" t="str">
        <f t="shared" si="64"/>
        <v xml:space="preserve">종로구 </v>
      </c>
      <c r="H1704" t="str">
        <f t="shared" si="65"/>
        <v>당주동</v>
      </c>
      <c r="I1704" t="s">
        <v>8984</v>
      </c>
      <c r="J1704" t="s">
        <v>7472</v>
      </c>
      <c r="K1704" t="s">
        <v>8766</v>
      </c>
    </row>
    <row r="1705" spans="1:11" x14ac:dyDescent="0.4">
      <c r="A1705" t="s">
        <v>2202</v>
      </c>
      <c r="B1705" t="s">
        <v>9</v>
      </c>
      <c r="C1705" t="s">
        <v>10</v>
      </c>
      <c r="D1705" t="s">
        <v>2203</v>
      </c>
      <c r="E1705" t="s">
        <v>2204</v>
      </c>
      <c r="F1705" t="str">
        <f>LEFT(E1705,5)</f>
        <v>서울특별시</v>
      </c>
      <c r="G1705" t="str">
        <f t="shared" si="64"/>
        <v xml:space="preserve">종로구 </v>
      </c>
      <c r="H1705" t="str">
        <f t="shared" si="65"/>
        <v>돈의동</v>
      </c>
      <c r="I1705" t="s">
        <v>2205</v>
      </c>
      <c r="J1705" t="s">
        <v>914</v>
      </c>
      <c r="K1705" t="s">
        <v>2206</v>
      </c>
    </row>
    <row r="1706" spans="1:11" x14ac:dyDescent="0.4">
      <c r="A1706" t="s">
        <v>5437</v>
      </c>
      <c r="B1706" t="s">
        <v>9</v>
      </c>
      <c r="C1706" t="s">
        <v>10</v>
      </c>
      <c r="D1706" t="s">
        <v>559</v>
      </c>
      <c r="E1706" t="s">
        <v>5438</v>
      </c>
      <c r="F1706" t="str">
        <f>LEFT(E1706,5)</f>
        <v>서울특별시</v>
      </c>
      <c r="G1706" t="str">
        <f t="shared" si="64"/>
        <v xml:space="preserve">종로구 </v>
      </c>
      <c r="H1706" t="str">
        <f t="shared" si="65"/>
        <v>돈의동</v>
      </c>
      <c r="I1706" t="s">
        <v>5439</v>
      </c>
      <c r="J1706" t="s">
        <v>562</v>
      </c>
      <c r="K1706" t="s">
        <v>4994</v>
      </c>
    </row>
    <row r="1707" spans="1:11" x14ac:dyDescent="0.4">
      <c r="A1707" t="s">
        <v>2485</v>
      </c>
      <c r="B1707" t="s">
        <v>9</v>
      </c>
      <c r="C1707" t="s">
        <v>10</v>
      </c>
      <c r="D1707" t="s">
        <v>559</v>
      </c>
      <c r="E1707" t="s">
        <v>2486</v>
      </c>
      <c r="F1707" t="str">
        <f>LEFT(E1707,5)</f>
        <v>서울특별시</v>
      </c>
      <c r="G1707" t="str">
        <f t="shared" si="64"/>
        <v xml:space="preserve">종로구 </v>
      </c>
      <c r="H1707" t="str">
        <f t="shared" si="65"/>
        <v>돈의동</v>
      </c>
      <c r="I1707" t="s">
        <v>2487</v>
      </c>
      <c r="J1707" t="s">
        <v>562</v>
      </c>
      <c r="K1707" t="s">
        <v>2488</v>
      </c>
    </row>
    <row r="1708" spans="1:11" x14ac:dyDescent="0.4">
      <c r="A1708" t="s">
        <v>3996</v>
      </c>
      <c r="B1708" t="s">
        <v>9</v>
      </c>
      <c r="C1708" t="s">
        <v>10</v>
      </c>
      <c r="D1708" t="s">
        <v>559</v>
      </c>
      <c r="E1708" t="s">
        <v>3997</v>
      </c>
      <c r="F1708" t="str">
        <f>LEFT(E1708,5)</f>
        <v>서울특별시</v>
      </c>
      <c r="G1708" t="str">
        <f t="shared" si="64"/>
        <v xml:space="preserve">종로구 </v>
      </c>
      <c r="H1708" t="str">
        <f t="shared" si="65"/>
        <v>돈의동</v>
      </c>
      <c r="I1708" t="s">
        <v>3998</v>
      </c>
      <c r="J1708" t="s">
        <v>914</v>
      </c>
      <c r="K1708" t="s">
        <v>3999</v>
      </c>
    </row>
    <row r="1709" spans="1:11" x14ac:dyDescent="0.4">
      <c r="A1709" t="s">
        <v>3024</v>
      </c>
      <c r="B1709" t="s">
        <v>9</v>
      </c>
      <c r="C1709" t="s">
        <v>10</v>
      </c>
      <c r="D1709" t="s">
        <v>559</v>
      </c>
      <c r="E1709" t="s">
        <v>3025</v>
      </c>
      <c r="F1709" t="str">
        <f>LEFT(E1709,5)</f>
        <v>서울특별시</v>
      </c>
      <c r="G1709" t="str">
        <f t="shared" si="64"/>
        <v xml:space="preserve">종로구 </v>
      </c>
      <c r="H1709" t="str">
        <f t="shared" si="65"/>
        <v>돈의동</v>
      </c>
      <c r="I1709" t="s">
        <v>3026</v>
      </c>
      <c r="J1709" t="s">
        <v>562</v>
      </c>
      <c r="K1709" t="s">
        <v>3027</v>
      </c>
    </row>
    <row r="1710" spans="1:11" x14ac:dyDescent="0.4">
      <c r="A1710" t="s">
        <v>558</v>
      </c>
      <c r="B1710" t="s">
        <v>9</v>
      </c>
      <c r="C1710" t="s">
        <v>10</v>
      </c>
      <c r="D1710" t="s">
        <v>559</v>
      </c>
      <c r="E1710" t="s">
        <v>560</v>
      </c>
      <c r="F1710" t="str">
        <f>LEFT(E1710,5)</f>
        <v>서울특별시</v>
      </c>
      <c r="G1710" t="str">
        <f t="shared" si="64"/>
        <v xml:space="preserve">종로구 </v>
      </c>
      <c r="H1710" t="str">
        <f t="shared" si="65"/>
        <v>돈의동</v>
      </c>
      <c r="I1710" t="s">
        <v>561</v>
      </c>
      <c r="J1710" t="s">
        <v>562</v>
      </c>
      <c r="K1710" t="s">
        <v>563</v>
      </c>
    </row>
    <row r="1711" spans="1:11" x14ac:dyDescent="0.4">
      <c r="A1711" t="s">
        <v>2267</v>
      </c>
      <c r="B1711" t="s">
        <v>9</v>
      </c>
      <c r="C1711" t="s">
        <v>10</v>
      </c>
      <c r="D1711" t="s">
        <v>2203</v>
      </c>
      <c r="E1711" t="s">
        <v>2268</v>
      </c>
      <c r="F1711" t="str">
        <f>LEFT(E1711,5)</f>
        <v>서울특별시</v>
      </c>
      <c r="G1711" t="str">
        <f t="shared" si="64"/>
        <v xml:space="preserve">종로구 </v>
      </c>
      <c r="H1711" t="str">
        <f t="shared" si="65"/>
        <v>돈의동</v>
      </c>
      <c r="I1711" t="s">
        <v>2269</v>
      </c>
      <c r="J1711" t="s">
        <v>914</v>
      </c>
      <c r="K1711" t="s">
        <v>2270</v>
      </c>
    </row>
    <row r="1712" spans="1:11" x14ac:dyDescent="0.4">
      <c r="A1712" t="s">
        <v>6978</v>
      </c>
      <c r="B1712" t="s">
        <v>9</v>
      </c>
      <c r="C1712" t="s">
        <v>10</v>
      </c>
      <c r="D1712" t="s">
        <v>2839</v>
      </c>
      <c r="E1712" t="s">
        <v>6979</v>
      </c>
      <c r="F1712" t="str">
        <f>LEFT(E1712,5)</f>
        <v>서울특별시</v>
      </c>
      <c r="G1712" t="str">
        <f t="shared" si="64"/>
        <v xml:space="preserve">종로구 </v>
      </c>
      <c r="H1712" t="str">
        <f t="shared" si="65"/>
        <v>묘동1</v>
      </c>
      <c r="I1712" t="s">
        <v>6980</v>
      </c>
      <c r="J1712" t="s">
        <v>562</v>
      </c>
      <c r="K1712" t="s">
        <v>6981</v>
      </c>
    </row>
    <row r="1713" spans="1:11" x14ac:dyDescent="0.4">
      <c r="A1713" t="s">
        <v>2838</v>
      </c>
      <c r="B1713" t="s">
        <v>9</v>
      </c>
      <c r="C1713" t="s">
        <v>10</v>
      </c>
      <c r="D1713" t="s">
        <v>2839</v>
      </c>
      <c r="E1713" t="s">
        <v>2840</v>
      </c>
      <c r="F1713" t="str">
        <f>LEFT(E1713,5)</f>
        <v>서울특별시</v>
      </c>
      <c r="G1713" t="str">
        <f t="shared" si="64"/>
        <v xml:space="preserve">종로구 </v>
      </c>
      <c r="H1713" t="str">
        <f t="shared" si="65"/>
        <v>묘동1</v>
      </c>
      <c r="I1713" t="s">
        <v>2841</v>
      </c>
      <c r="J1713" t="s">
        <v>562</v>
      </c>
      <c r="K1713" t="s">
        <v>2842</v>
      </c>
    </row>
    <row r="1714" spans="1:11" x14ac:dyDescent="0.4">
      <c r="A1714" t="s">
        <v>3010</v>
      </c>
      <c r="B1714" t="s">
        <v>9</v>
      </c>
      <c r="C1714" t="s">
        <v>10</v>
      </c>
      <c r="D1714" t="s">
        <v>2839</v>
      </c>
      <c r="E1714" t="s">
        <v>3011</v>
      </c>
      <c r="F1714" t="str">
        <f>LEFT(E1714,5)</f>
        <v>서울특별시</v>
      </c>
      <c r="G1714" t="str">
        <f t="shared" si="64"/>
        <v xml:space="preserve">종로구 </v>
      </c>
      <c r="H1714" t="str">
        <f t="shared" si="65"/>
        <v>묘동1</v>
      </c>
      <c r="I1714" t="s">
        <v>3012</v>
      </c>
      <c r="J1714" t="s">
        <v>914</v>
      </c>
      <c r="K1714" t="s">
        <v>3013</v>
      </c>
    </row>
    <row r="1715" spans="1:11" x14ac:dyDescent="0.4">
      <c r="A1715" t="s">
        <v>6702</v>
      </c>
      <c r="B1715" t="s">
        <v>9</v>
      </c>
      <c r="C1715" t="s">
        <v>10</v>
      </c>
      <c r="D1715" t="s">
        <v>2839</v>
      </c>
      <c r="E1715" t="s">
        <v>6703</v>
      </c>
      <c r="F1715" t="str">
        <f>LEFT(E1715,5)</f>
        <v>서울특별시</v>
      </c>
      <c r="G1715" t="str">
        <f t="shared" si="64"/>
        <v xml:space="preserve">종로구 </v>
      </c>
      <c r="H1715" t="str">
        <f t="shared" si="65"/>
        <v>묘동2</v>
      </c>
      <c r="I1715" t="s">
        <v>6704</v>
      </c>
      <c r="J1715" t="s">
        <v>6705</v>
      </c>
      <c r="K1715" t="s">
        <v>6706</v>
      </c>
    </row>
    <row r="1716" spans="1:11" x14ac:dyDescent="0.4">
      <c r="A1716" t="s">
        <v>1974</v>
      </c>
      <c r="B1716" t="s">
        <v>9</v>
      </c>
      <c r="C1716" t="s">
        <v>10</v>
      </c>
      <c r="D1716" t="s">
        <v>783</v>
      </c>
      <c r="E1716" t="s">
        <v>1975</v>
      </c>
      <c r="F1716" t="str">
        <f>LEFT(E1716,5)</f>
        <v>서울특별시</v>
      </c>
      <c r="G1716" t="str">
        <f t="shared" si="64"/>
        <v xml:space="preserve">종로구 </v>
      </c>
      <c r="H1716" t="str">
        <f t="shared" si="65"/>
        <v>숭인동</v>
      </c>
      <c r="I1716" t="s">
        <v>1976</v>
      </c>
      <c r="J1716" t="s">
        <v>786</v>
      </c>
      <c r="K1716" t="s">
        <v>1977</v>
      </c>
    </row>
    <row r="1717" spans="1:11" x14ac:dyDescent="0.4">
      <c r="A1717" t="s">
        <v>782</v>
      </c>
      <c r="B1717" t="s">
        <v>9</v>
      </c>
      <c r="C1717" t="s">
        <v>10</v>
      </c>
      <c r="D1717" t="s">
        <v>783</v>
      </c>
      <c r="E1717" t="s">
        <v>784</v>
      </c>
      <c r="F1717" t="str">
        <f>LEFT(E1717,5)</f>
        <v>서울특별시</v>
      </c>
      <c r="G1717" t="str">
        <f t="shared" si="64"/>
        <v xml:space="preserve">종로구 </v>
      </c>
      <c r="H1717" t="str">
        <f t="shared" si="65"/>
        <v>숭인동</v>
      </c>
      <c r="I1717" t="s">
        <v>785</v>
      </c>
      <c r="J1717" t="s">
        <v>786</v>
      </c>
      <c r="K1717" t="s">
        <v>787</v>
      </c>
    </row>
    <row r="1718" spans="1:11" x14ac:dyDescent="0.4">
      <c r="A1718" t="s">
        <v>1719</v>
      </c>
      <c r="B1718" t="s">
        <v>9</v>
      </c>
      <c r="C1718" t="s">
        <v>10</v>
      </c>
      <c r="D1718" t="s">
        <v>1720</v>
      </c>
      <c r="E1718" t="s">
        <v>1721</v>
      </c>
      <c r="F1718" t="str">
        <f>LEFT(E1718,5)</f>
        <v>서울특별시</v>
      </c>
      <c r="G1718" t="str">
        <f t="shared" si="64"/>
        <v xml:space="preserve">종로구 </v>
      </c>
      <c r="H1718" t="str">
        <f t="shared" si="65"/>
        <v>숭인동</v>
      </c>
      <c r="I1718" t="s">
        <v>1722</v>
      </c>
      <c r="J1718" t="s">
        <v>1723</v>
      </c>
      <c r="K1718" t="s">
        <v>1724</v>
      </c>
    </row>
    <row r="1719" spans="1:11" x14ac:dyDescent="0.4">
      <c r="A1719" t="s">
        <v>8292</v>
      </c>
      <c r="B1719" t="s">
        <v>9</v>
      </c>
      <c r="C1719" t="s">
        <v>10</v>
      </c>
      <c r="D1719" t="s">
        <v>1720</v>
      </c>
      <c r="E1719" t="s">
        <v>8293</v>
      </c>
      <c r="F1719" t="str">
        <f>LEFT(E1719,5)</f>
        <v>서울특별시</v>
      </c>
      <c r="G1719" t="str">
        <f t="shared" si="64"/>
        <v xml:space="preserve">종로구 </v>
      </c>
      <c r="H1719" t="str">
        <f t="shared" si="65"/>
        <v>숭인동</v>
      </c>
      <c r="I1719" t="s">
        <v>8294</v>
      </c>
      <c r="J1719" t="s">
        <v>1723</v>
      </c>
      <c r="K1719" t="s">
        <v>8295</v>
      </c>
    </row>
    <row r="1720" spans="1:11" x14ac:dyDescent="0.4">
      <c r="A1720" t="s">
        <v>7468</v>
      </c>
      <c r="B1720" t="s">
        <v>9</v>
      </c>
      <c r="C1720" t="s">
        <v>10</v>
      </c>
      <c r="D1720" t="s">
        <v>7469</v>
      </c>
      <c r="E1720" t="s">
        <v>7470</v>
      </c>
      <c r="F1720" t="str">
        <f>LEFT(E1720,5)</f>
        <v>서울특별시</v>
      </c>
      <c r="G1720" t="str">
        <f t="shared" si="64"/>
        <v xml:space="preserve">종로구 </v>
      </c>
      <c r="H1720" t="str">
        <f t="shared" si="65"/>
        <v>신문로</v>
      </c>
      <c r="I1720" t="s">
        <v>7471</v>
      </c>
      <c r="J1720" t="s">
        <v>7472</v>
      </c>
      <c r="K1720" t="s">
        <v>7473</v>
      </c>
    </row>
    <row r="1721" spans="1:11" x14ac:dyDescent="0.4">
      <c r="A1721" t="s">
        <v>3423</v>
      </c>
      <c r="B1721" t="s">
        <v>9</v>
      </c>
      <c r="C1721" t="s">
        <v>10</v>
      </c>
      <c r="D1721" t="s">
        <v>3424</v>
      </c>
      <c r="E1721" t="s">
        <v>3425</v>
      </c>
      <c r="F1721" t="str">
        <f>LEFT(E1721,5)</f>
        <v>서울특별시</v>
      </c>
      <c r="G1721" t="str">
        <f t="shared" si="64"/>
        <v xml:space="preserve">종로구 </v>
      </c>
      <c r="H1721" t="str">
        <f t="shared" si="65"/>
        <v>신문로</v>
      </c>
      <c r="I1721" t="s">
        <v>11</v>
      </c>
      <c r="J1721" t="s">
        <v>11</v>
      </c>
      <c r="K1721" t="s">
        <v>3426</v>
      </c>
    </row>
    <row r="1722" spans="1:11" x14ac:dyDescent="0.4">
      <c r="A1722" t="s">
        <v>2422</v>
      </c>
      <c r="B1722" t="s">
        <v>9</v>
      </c>
      <c r="C1722" t="s">
        <v>10</v>
      </c>
      <c r="D1722" t="s">
        <v>2423</v>
      </c>
      <c r="E1722" t="s">
        <v>2424</v>
      </c>
      <c r="F1722" t="str">
        <f>LEFT(E1722,5)</f>
        <v>서울특별시</v>
      </c>
      <c r="G1722" t="str">
        <f t="shared" si="64"/>
        <v xml:space="preserve">종로구 </v>
      </c>
      <c r="H1722" t="str">
        <f t="shared" si="65"/>
        <v>연지동</v>
      </c>
      <c r="I1722" t="s">
        <v>2425</v>
      </c>
      <c r="J1722" t="s">
        <v>2426</v>
      </c>
      <c r="K1722" t="s">
        <v>2427</v>
      </c>
    </row>
    <row r="1723" spans="1:11" x14ac:dyDescent="0.4">
      <c r="A1723" t="s">
        <v>3121</v>
      </c>
      <c r="B1723" t="s">
        <v>9</v>
      </c>
      <c r="C1723" t="s">
        <v>10</v>
      </c>
      <c r="D1723" t="s">
        <v>3122</v>
      </c>
      <c r="E1723" t="s">
        <v>3123</v>
      </c>
      <c r="F1723" t="str">
        <f>LEFT(E1723,5)</f>
        <v>서울특별시</v>
      </c>
      <c r="G1723" t="str">
        <f t="shared" si="64"/>
        <v xml:space="preserve">종로구 </v>
      </c>
      <c r="H1723" t="str">
        <f t="shared" si="65"/>
        <v>예지동</v>
      </c>
      <c r="I1723" t="s">
        <v>3124</v>
      </c>
      <c r="J1723" t="s">
        <v>3125</v>
      </c>
      <c r="K1723" t="s">
        <v>2246</v>
      </c>
    </row>
    <row r="1724" spans="1:11" x14ac:dyDescent="0.4">
      <c r="A1724" t="s">
        <v>8905</v>
      </c>
      <c r="B1724" t="s">
        <v>9</v>
      </c>
      <c r="C1724" t="s">
        <v>10</v>
      </c>
      <c r="D1724" t="s">
        <v>7588</v>
      </c>
      <c r="E1724" t="s">
        <v>8906</v>
      </c>
      <c r="F1724" t="str">
        <f>LEFT(E1724,5)</f>
        <v>서울특별시</v>
      </c>
      <c r="G1724" t="str">
        <f t="shared" si="64"/>
        <v xml:space="preserve">종로구 </v>
      </c>
      <c r="H1724" t="str">
        <f t="shared" si="65"/>
        <v>와룡동</v>
      </c>
      <c r="I1724" t="s">
        <v>8907</v>
      </c>
      <c r="J1724" t="s">
        <v>7591</v>
      </c>
      <c r="K1724" t="s">
        <v>8908</v>
      </c>
    </row>
    <row r="1725" spans="1:11" x14ac:dyDescent="0.4">
      <c r="A1725" t="s">
        <v>7587</v>
      </c>
      <c r="B1725" t="s">
        <v>9</v>
      </c>
      <c r="C1725" t="s">
        <v>10</v>
      </c>
      <c r="D1725" t="s">
        <v>7588</v>
      </c>
      <c r="E1725" t="s">
        <v>7589</v>
      </c>
      <c r="F1725" t="str">
        <f>LEFT(E1725,5)</f>
        <v>서울특별시</v>
      </c>
      <c r="G1725" t="str">
        <f t="shared" si="64"/>
        <v xml:space="preserve">종로구 </v>
      </c>
      <c r="H1725" t="str">
        <f t="shared" si="65"/>
        <v>와룡동</v>
      </c>
      <c r="I1725" t="s">
        <v>7590</v>
      </c>
      <c r="J1725" t="s">
        <v>7591</v>
      </c>
      <c r="K1725" t="s">
        <v>7592</v>
      </c>
    </row>
    <row r="1726" spans="1:11" x14ac:dyDescent="0.4">
      <c r="A1726" t="s">
        <v>3031</v>
      </c>
      <c r="B1726" t="s">
        <v>9</v>
      </c>
      <c r="C1726" t="s">
        <v>10</v>
      </c>
      <c r="D1726" t="s">
        <v>2020</v>
      </c>
      <c r="E1726" t="s">
        <v>3032</v>
      </c>
      <c r="F1726" t="str">
        <f>LEFT(E1726,5)</f>
        <v>서울특별시</v>
      </c>
      <c r="G1726" t="str">
        <f t="shared" si="64"/>
        <v xml:space="preserve">종로구 </v>
      </c>
      <c r="H1726" t="str">
        <f t="shared" si="65"/>
        <v>익선동</v>
      </c>
      <c r="I1726" t="s">
        <v>3033</v>
      </c>
      <c r="J1726" t="s">
        <v>2023</v>
      </c>
      <c r="K1726" t="s">
        <v>3034</v>
      </c>
    </row>
    <row r="1727" spans="1:11" x14ac:dyDescent="0.4">
      <c r="A1727" t="s">
        <v>2622</v>
      </c>
      <c r="B1727" t="s">
        <v>9</v>
      </c>
      <c r="C1727" t="s">
        <v>10</v>
      </c>
      <c r="D1727" t="s">
        <v>2020</v>
      </c>
      <c r="E1727" t="s">
        <v>2623</v>
      </c>
      <c r="F1727" t="str">
        <f>LEFT(E1727,5)</f>
        <v>서울특별시</v>
      </c>
      <c r="G1727" t="str">
        <f t="shared" si="64"/>
        <v xml:space="preserve">종로구 </v>
      </c>
      <c r="H1727" t="str">
        <f t="shared" si="65"/>
        <v>익선동</v>
      </c>
      <c r="I1727" t="s">
        <v>2624</v>
      </c>
      <c r="J1727" t="s">
        <v>562</v>
      </c>
      <c r="K1727" t="s">
        <v>2625</v>
      </c>
    </row>
    <row r="1728" spans="1:11" x14ac:dyDescent="0.4">
      <c r="A1728" t="s">
        <v>2163</v>
      </c>
      <c r="B1728" t="s">
        <v>9</v>
      </c>
      <c r="C1728" t="s">
        <v>10</v>
      </c>
      <c r="D1728" t="s">
        <v>2020</v>
      </c>
      <c r="E1728" t="s">
        <v>2164</v>
      </c>
      <c r="F1728" t="str">
        <f>LEFT(E1728,5)</f>
        <v>서울특별시</v>
      </c>
      <c r="G1728" t="str">
        <f t="shared" si="64"/>
        <v xml:space="preserve">종로구 </v>
      </c>
      <c r="H1728" t="str">
        <f t="shared" si="65"/>
        <v>익선동</v>
      </c>
      <c r="I1728" t="s">
        <v>2165</v>
      </c>
      <c r="J1728" t="s">
        <v>562</v>
      </c>
      <c r="K1728" t="s">
        <v>2166</v>
      </c>
    </row>
    <row r="1729" spans="1:11" x14ac:dyDescent="0.4">
      <c r="A1729" t="s">
        <v>5762</v>
      </c>
      <c r="B1729" t="s">
        <v>9</v>
      </c>
      <c r="C1729" t="s">
        <v>10</v>
      </c>
      <c r="D1729" t="s">
        <v>2020</v>
      </c>
      <c r="E1729" t="s">
        <v>5763</v>
      </c>
      <c r="F1729" t="str">
        <f>LEFT(E1729,5)</f>
        <v>서울특별시</v>
      </c>
      <c r="G1729" t="str">
        <f t="shared" si="64"/>
        <v xml:space="preserve">종로구 </v>
      </c>
      <c r="H1729" t="str">
        <f t="shared" si="65"/>
        <v>익선동</v>
      </c>
      <c r="I1729" t="s">
        <v>11</v>
      </c>
      <c r="J1729" t="s">
        <v>11</v>
      </c>
      <c r="K1729" t="s">
        <v>5764</v>
      </c>
    </row>
    <row r="1730" spans="1:11" x14ac:dyDescent="0.4">
      <c r="A1730" t="s">
        <v>2123</v>
      </c>
      <c r="B1730" t="s">
        <v>9</v>
      </c>
      <c r="C1730" t="s">
        <v>10</v>
      </c>
      <c r="D1730" t="s">
        <v>2020</v>
      </c>
      <c r="E1730" t="s">
        <v>2124</v>
      </c>
      <c r="F1730" t="str">
        <f>LEFT(E1730,5)</f>
        <v>서울특별시</v>
      </c>
      <c r="G1730" t="str">
        <f t="shared" si="64"/>
        <v xml:space="preserve">종로구 </v>
      </c>
      <c r="H1730" t="str">
        <f t="shared" si="65"/>
        <v>익선동</v>
      </c>
      <c r="I1730" t="s">
        <v>2125</v>
      </c>
      <c r="J1730" t="s">
        <v>2023</v>
      </c>
      <c r="K1730" t="s">
        <v>2126</v>
      </c>
    </row>
    <row r="1731" spans="1:11" x14ac:dyDescent="0.4">
      <c r="A1731" t="s">
        <v>2019</v>
      </c>
      <c r="B1731" t="s">
        <v>9</v>
      </c>
      <c r="C1731" t="s">
        <v>10</v>
      </c>
      <c r="D1731" t="s">
        <v>2020</v>
      </c>
      <c r="E1731" t="s">
        <v>2021</v>
      </c>
      <c r="F1731" t="str">
        <f>LEFT(E1731,5)</f>
        <v>서울특별시</v>
      </c>
      <c r="G1731" t="str">
        <f t="shared" ref="G1731:G1794" si="66">MID(E1731,7,4)</f>
        <v xml:space="preserve">종로구 </v>
      </c>
      <c r="H1731" t="str">
        <f t="shared" ref="H1731:H1794" si="67">MID(SUBSTITUTE(E1731," ",""),9,3)</f>
        <v>익선동</v>
      </c>
      <c r="I1731" t="s">
        <v>2022</v>
      </c>
      <c r="J1731" t="s">
        <v>2023</v>
      </c>
      <c r="K1731" t="s">
        <v>2024</v>
      </c>
    </row>
    <row r="1732" spans="1:11" x14ac:dyDescent="0.4">
      <c r="A1732" t="s">
        <v>8909</v>
      </c>
      <c r="B1732" t="s">
        <v>9</v>
      </c>
      <c r="C1732" t="s">
        <v>10</v>
      </c>
      <c r="D1732" t="s">
        <v>2069</v>
      </c>
      <c r="E1732" t="s">
        <v>8910</v>
      </c>
      <c r="F1732" t="str">
        <f>LEFT(E1732,5)</f>
        <v>서울특별시</v>
      </c>
      <c r="G1732" t="str">
        <f t="shared" si="66"/>
        <v xml:space="preserve">종로구 </v>
      </c>
      <c r="H1732" t="str">
        <f t="shared" si="67"/>
        <v>인사동</v>
      </c>
      <c r="I1732" t="s">
        <v>8911</v>
      </c>
      <c r="J1732" t="s">
        <v>5457</v>
      </c>
      <c r="K1732" t="s">
        <v>8912</v>
      </c>
    </row>
    <row r="1733" spans="1:11" x14ac:dyDescent="0.4">
      <c r="A1733" t="s">
        <v>8568</v>
      </c>
      <c r="B1733" t="s">
        <v>9</v>
      </c>
      <c r="C1733" t="s">
        <v>10</v>
      </c>
      <c r="D1733" t="s">
        <v>2069</v>
      </c>
      <c r="E1733" t="s">
        <v>8569</v>
      </c>
      <c r="F1733" t="str">
        <f>LEFT(E1733,5)</f>
        <v>서울특별시</v>
      </c>
      <c r="G1733" t="str">
        <f t="shared" si="66"/>
        <v xml:space="preserve">종로구 </v>
      </c>
      <c r="H1733" t="str">
        <f t="shared" si="67"/>
        <v>인사동</v>
      </c>
      <c r="I1733" t="s">
        <v>8570</v>
      </c>
      <c r="J1733" t="s">
        <v>8571</v>
      </c>
      <c r="K1733" t="s">
        <v>8572</v>
      </c>
    </row>
    <row r="1734" spans="1:11" x14ac:dyDescent="0.4">
      <c r="A1734" t="s">
        <v>2068</v>
      </c>
      <c r="B1734" t="s">
        <v>9</v>
      </c>
      <c r="C1734" t="s">
        <v>10</v>
      </c>
      <c r="D1734" t="s">
        <v>2069</v>
      </c>
      <c r="E1734" t="s">
        <v>2070</v>
      </c>
      <c r="F1734" t="str">
        <f>LEFT(E1734,5)</f>
        <v>서울특별시</v>
      </c>
      <c r="G1734" t="str">
        <f t="shared" si="66"/>
        <v xml:space="preserve">종로구 </v>
      </c>
      <c r="H1734" t="str">
        <f t="shared" si="67"/>
        <v>인사동</v>
      </c>
      <c r="I1734" t="s">
        <v>2071</v>
      </c>
      <c r="J1734" t="s">
        <v>1349</v>
      </c>
      <c r="K1734" t="s">
        <v>2072</v>
      </c>
    </row>
    <row r="1735" spans="1:11" x14ac:dyDescent="0.4">
      <c r="A1735" t="s">
        <v>5454</v>
      </c>
      <c r="B1735" t="s">
        <v>9</v>
      </c>
      <c r="C1735" t="s">
        <v>10</v>
      </c>
      <c r="D1735" t="s">
        <v>2069</v>
      </c>
      <c r="E1735" t="s">
        <v>5455</v>
      </c>
      <c r="F1735" t="str">
        <f>LEFT(E1735,5)</f>
        <v>서울특별시</v>
      </c>
      <c r="G1735" t="str">
        <f t="shared" si="66"/>
        <v xml:space="preserve">종로구 </v>
      </c>
      <c r="H1735" t="str">
        <f t="shared" si="67"/>
        <v>인사동</v>
      </c>
      <c r="I1735" t="s">
        <v>5456</v>
      </c>
      <c r="J1735" t="s">
        <v>5457</v>
      </c>
      <c r="K1735" t="s">
        <v>5458</v>
      </c>
    </row>
    <row r="1736" spans="1:11" x14ac:dyDescent="0.4">
      <c r="A1736" t="s">
        <v>4460</v>
      </c>
      <c r="B1736" t="s">
        <v>9</v>
      </c>
      <c r="C1736" t="s">
        <v>10</v>
      </c>
      <c r="D1736" t="s">
        <v>4461</v>
      </c>
      <c r="E1736" t="s">
        <v>4462</v>
      </c>
      <c r="F1736" t="str">
        <f>LEFT(E1736,5)</f>
        <v>서울특별시</v>
      </c>
      <c r="G1736" t="str">
        <f t="shared" si="66"/>
        <v xml:space="preserve">종로구 </v>
      </c>
      <c r="H1736" t="str">
        <f t="shared" si="67"/>
        <v>인의동</v>
      </c>
      <c r="I1736" t="s">
        <v>4463</v>
      </c>
      <c r="J1736" t="s">
        <v>733</v>
      </c>
      <c r="K1736" t="s">
        <v>3001</v>
      </c>
    </row>
    <row r="1737" spans="1:11" x14ac:dyDescent="0.4">
      <c r="A1737" t="s">
        <v>666</v>
      </c>
      <c r="B1737" t="s">
        <v>9</v>
      </c>
      <c r="C1737" t="s">
        <v>10</v>
      </c>
      <c r="D1737" t="s">
        <v>1346</v>
      </c>
      <c r="E1737" t="s">
        <v>1347</v>
      </c>
      <c r="F1737" t="str">
        <f>LEFT(E1737,5)</f>
        <v>서울특별시</v>
      </c>
      <c r="G1737" t="str">
        <f t="shared" si="66"/>
        <v xml:space="preserve">종로구 </v>
      </c>
      <c r="H1737" t="str">
        <f>MID(SUBSTITUTE(E1737," ",""),9,2)</f>
        <v>종로</v>
      </c>
      <c r="I1737" t="s">
        <v>1348</v>
      </c>
      <c r="J1737" t="s">
        <v>1349</v>
      </c>
      <c r="K1737" t="s">
        <v>1350</v>
      </c>
    </row>
    <row r="1738" spans="1:11" x14ac:dyDescent="0.4">
      <c r="A1738" t="s">
        <v>729</v>
      </c>
      <c r="B1738" t="s">
        <v>9</v>
      </c>
      <c r="C1738" t="s">
        <v>10</v>
      </c>
      <c r="D1738" t="s">
        <v>730</v>
      </c>
      <c r="E1738" t="s">
        <v>731</v>
      </c>
      <c r="F1738" t="str">
        <f>LEFT(E1738,5)</f>
        <v>서울특별시</v>
      </c>
      <c r="G1738" t="str">
        <f t="shared" si="66"/>
        <v xml:space="preserve">종로구 </v>
      </c>
      <c r="H1738" t="str">
        <f t="shared" ref="H1738:H1744" si="68">MID(SUBSTITUTE(E1738," ",""),9,2)</f>
        <v>종로</v>
      </c>
      <c r="I1738" t="s">
        <v>732</v>
      </c>
      <c r="J1738" t="s">
        <v>733</v>
      </c>
      <c r="K1738" t="s">
        <v>734</v>
      </c>
    </row>
    <row r="1739" spans="1:11" x14ac:dyDescent="0.4">
      <c r="A1739" t="s">
        <v>677</v>
      </c>
      <c r="B1739" t="s">
        <v>9</v>
      </c>
      <c r="C1739" t="s">
        <v>10</v>
      </c>
      <c r="D1739" t="s">
        <v>678</v>
      </c>
      <c r="E1739" t="s">
        <v>679</v>
      </c>
      <c r="F1739" t="str">
        <f>LEFT(E1739,5)</f>
        <v>서울특별시</v>
      </c>
      <c r="G1739" t="str">
        <f t="shared" si="66"/>
        <v xml:space="preserve">종로구 </v>
      </c>
      <c r="H1739" t="str">
        <f t="shared" si="68"/>
        <v>종로</v>
      </c>
      <c r="I1739" t="s">
        <v>680</v>
      </c>
      <c r="J1739" t="s">
        <v>681</v>
      </c>
      <c r="K1739" t="s">
        <v>682</v>
      </c>
    </row>
    <row r="1740" spans="1:11" x14ac:dyDescent="0.4">
      <c r="A1740" t="s">
        <v>5175</v>
      </c>
      <c r="B1740" t="s">
        <v>9</v>
      </c>
      <c r="C1740" t="s">
        <v>10</v>
      </c>
      <c r="D1740" t="s">
        <v>2819</v>
      </c>
      <c r="E1740" t="s">
        <v>5176</v>
      </c>
      <c r="F1740" t="str">
        <f>LEFT(E1740,5)</f>
        <v>서울특별시</v>
      </c>
      <c r="G1740" t="str">
        <f t="shared" si="66"/>
        <v xml:space="preserve">종로구 </v>
      </c>
      <c r="H1740" t="str">
        <f t="shared" si="68"/>
        <v>종로</v>
      </c>
      <c r="I1740" t="s">
        <v>5177</v>
      </c>
      <c r="J1740" t="s">
        <v>5178</v>
      </c>
      <c r="K1740" t="s">
        <v>36</v>
      </c>
    </row>
    <row r="1741" spans="1:11" x14ac:dyDescent="0.4">
      <c r="A1741" t="s">
        <v>2818</v>
      </c>
      <c r="B1741" t="s">
        <v>9</v>
      </c>
      <c r="C1741" t="s">
        <v>10</v>
      </c>
      <c r="D1741" t="s">
        <v>2819</v>
      </c>
      <c r="E1741" t="s">
        <v>2820</v>
      </c>
      <c r="F1741" t="str">
        <f>LEFT(E1741,5)</f>
        <v>서울특별시</v>
      </c>
      <c r="G1741" t="str">
        <f t="shared" si="66"/>
        <v xml:space="preserve">종로구 </v>
      </c>
      <c r="H1741" t="str">
        <f t="shared" si="68"/>
        <v>종로</v>
      </c>
      <c r="I1741" t="s">
        <v>2821</v>
      </c>
      <c r="J1741" t="s">
        <v>2822</v>
      </c>
      <c r="K1741" t="s">
        <v>2802</v>
      </c>
    </row>
    <row r="1742" spans="1:11" x14ac:dyDescent="0.4">
      <c r="A1742" t="s">
        <v>2798</v>
      </c>
      <c r="B1742" t="s">
        <v>9</v>
      </c>
      <c r="C1742" t="s">
        <v>10</v>
      </c>
      <c r="D1742" t="s">
        <v>678</v>
      </c>
      <c r="E1742" t="s">
        <v>2799</v>
      </c>
      <c r="F1742" t="str">
        <f>LEFT(E1742,5)</f>
        <v>서울특별시</v>
      </c>
      <c r="G1742" t="str">
        <f t="shared" si="66"/>
        <v xml:space="preserve">종로구 </v>
      </c>
      <c r="H1742" t="str">
        <f t="shared" si="68"/>
        <v>종로</v>
      </c>
      <c r="I1742" t="s">
        <v>2800</v>
      </c>
      <c r="J1742" t="s">
        <v>2801</v>
      </c>
      <c r="K1742" t="s">
        <v>2802</v>
      </c>
    </row>
    <row r="1743" spans="1:11" x14ac:dyDescent="0.4">
      <c r="A1743" t="s">
        <v>4861</v>
      </c>
      <c r="B1743" t="s">
        <v>9</v>
      </c>
      <c r="C1743" t="s">
        <v>10</v>
      </c>
      <c r="D1743" t="s">
        <v>2819</v>
      </c>
      <c r="E1743" t="s">
        <v>4862</v>
      </c>
      <c r="F1743" t="str">
        <f>LEFT(E1743,5)</f>
        <v>서울특별시</v>
      </c>
      <c r="G1743" t="str">
        <f t="shared" si="66"/>
        <v xml:space="preserve">종로구 </v>
      </c>
      <c r="H1743" t="str">
        <f t="shared" si="68"/>
        <v>종로</v>
      </c>
      <c r="I1743" t="s">
        <v>4863</v>
      </c>
      <c r="J1743" t="s">
        <v>2822</v>
      </c>
      <c r="K1743" t="s">
        <v>4864</v>
      </c>
    </row>
    <row r="1744" spans="1:11" x14ac:dyDescent="0.4">
      <c r="A1744" t="s">
        <v>693</v>
      </c>
      <c r="B1744" t="s">
        <v>9</v>
      </c>
      <c r="C1744" t="s">
        <v>10</v>
      </c>
      <c r="D1744" t="s">
        <v>694</v>
      </c>
      <c r="E1744" t="s">
        <v>695</v>
      </c>
      <c r="F1744" t="str">
        <f>LEFT(E1744,5)</f>
        <v>서울특별시</v>
      </c>
      <c r="G1744" t="str">
        <f t="shared" si="66"/>
        <v xml:space="preserve">종로구 </v>
      </c>
      <c r="H1744" t="str">
        <f t="shared" si="68"/>
        <v>종로</v>
      </c>
      <c r="I1744" t="s">
        <v>696</v>
      </c>
      <c r="J1744" t="s">
        <v>697</v>
      </c>
      <c r="K1744" t="s">
        <v>698</v>
      </c>
    </row>
    <row r="1745" spans="1:11" x14ac:dyDescent="0.4">
      <c r="A1745" t="s">
        <v>308</v>
      </c>
      <c r="B1745" t="s">
        <v>9</v>
      </c>
      <c r="C1745" t="s">
        <v>10</v>
      </c>
      <c r="D1745" t="s">
        <v>309</v>
      </c>
      <c r="E1745" t="s">
        <v>310</v>
      </c>
      <c r="F1745" t="str">
        <f>LEFT(E1745,5)</f>
        <v>서울특별시</v>
      </c>
      <c r="G1745" t="str">
        <f t="shared" si="66"/>
        <v xml:space="preserve">종로구 </v>
      </c>
      <c r="H1745" t="str">
        <f t="shared" si="67"/>
        <v>창신동</v>
      </c>
      <c r="I1745" t="s">
        <v>311</v>
      </c>
      <c r="J1745" t="s">
        <v>312</v>
      </c>
      <c r="K1745" t="s">
        <v>313</v>
      </c>
    </row>
    <row r="1746" spans="1:11" x14ac:dyDescent="0.4">
      <c r="A1746" t="s">
        <v>511</v>
      </c>
      <c r="B1746" t="s">
        <v>9</v>
      </c>
      <c r="C1746" t="s">
        <v>10</v>
      </c>
      <c r="D1746" t="s">
        <v>309</v>
      </c>
      <c r="E1746" t="s">
        <v>512</v>
      </c>
      <c r="F1746" t="str">
        <f>LEFT(E1746,5)</f>
        <v>서울특별시</v>
      </c>
      <c r="G1746" t="str">
        <f t="shared" si="66"/>
        <v xml:space="preserve">종로구 </v>
      </c>
      <c r="H1746" t="str">
        <f t="shared" si="67"/>
        <v>창신동</v>
      </c>
      <c r="I1746" t="s">
        <v>513</v>
      </c>
      <c r="J1746" t="s">
        <v>514</v>
      </c>
      <c r="K1746" t="s">
        <v>515</v>
      </c>
    </row>
    <row r="1747" spans="1:11" x14ac:dyDescent="0.4">
      <c r="A1747" t="s">
        <v>1247</v>
      </c>
      <c r="B1747" t="s">
        <v>9</v>
      </c>
      <c r="C1747" t="s">
        <v>10</v>
      </c>
      <c r="D1747" t="s">
        <v>309</v>
      </c>
      <c r="E1747" t="s">
        <v>1248</v>
      </c>
      <c r="F1747" t="str">
        <f>LEFT(E1747,5)</f>
        <v>서울특별시</v>
      </c>
      <c r="G1747" t="str">
        <f t="shared" si="66"/>
        <v xml:space="preserve">종로구 </v>
      </c>
      <c r="H1747" t="str">
        <f t="shared" si="67"/>
        <v>창신동</v>
      </c>
      <c r="I1747" t="s">
        <v>1249</v>
      </c>
      <c r="J1747" t="s">
        <v>514</v>
      </c>
      <c r="K1747" t="s">
        <v>1250</v>
      </c>
    </row>
    <row r="1748" spans="1:11" x14ac:dyDescent="0.4">
      <c r="A1748" t="s">
        <v>1155</v>
      </c>
      <c r="B1748" t="s">
        <v>9</v>
      </c>
      <c r="C1748" t="s">
        <v>10</v>
      </c>
      <c r="D1748" t="s">
        <v>1156</v>
      </c>
      <c r="E1748" t="s">
        <v>1157</v>
      </c>
      <c r="F1748" t="str">
        <f>LEFT(E1748,5)</f>
        <v>서울특별시</v>
      </c>
      <c r="G1748" t="str">
        <f t="shared" si="66"/>
        <v xml:space="preserve">종로구 </v>
      </c>
      <c r="H1748" t="str">
        <f t="shared" si="67"/>
        <v>창신동</v>
      </c>
      <c r="I1748" t="s">
        <v>1158</v>
      </c>
      <c r="J1748" t="s">
        <v>1159</v>
      </c>
      <c r="K1748" t="s">
        <v>1160</v>
      </c>
    </row>
    <row r="1749" spans="1:11" x14ac:dyDescent="0.4">
      <c r="A1749" t="s">
        <v>650</v>
      </c>
      <c r="B1749" t="s">
        <v>9</v>
      </c>
      <c r="C1749" t="s">
        <v>10</v>
      </c>
      <c r="D1749" t="s">
        <v>571</v>
      </c>
      <c r="E1749" t="s">
        <v>651</v>
      </c>
      <c r="F1749" t="str">
        <f>LEFT(E1749,5)</f>
        <v>서울특별시</v>
      </c>
      <c r="G1749" t="str">
        <f t="shared" si="66"/>
        <v xml:space="preserve">종로구 </v>
      </c>
      <c r="H1749" t="str">
        <f t="shared" si="67"/>
        <v>창신동</v>
      </c>
      <c r="I1749" t="s">
        <v>652</v>
      </c>
      <c r="J1749" t="s">
        <v>574</v>
      </c>
      <c r="K1749" t="s">
        <v>653</v>
      </c>
    </row>
    <row r="1750" spans="1:11" x14ac:dyDescent="0.4">
      <c r="A1750" t="s">
        <v>570</v>
      </c>
      <c r="B1750" t="s">
        <v>9</v>
      </c>
      <c r="C1750" t="s">
        <v>10</v>
      </c>
      <c r="D1750" t="s">
        <v>571</v>
      </c>
      <c r="E1750" t="s">
        <v>572</v>
      </c>
      <c r="F1750" t="str">
        <f>LEFT(E1750,5)</f>
        <v>서울특별시</v>
      </c>
      <c r="G1750" t="str">
        <f t="shared" si="66"/>
        <v xml:space="preserve">종로구 </v>
      </c>
      <c r="H1750" t="str">
        <f t="shared" si="67"/>
        <v>창신동</v>
      </c>
      <c r="I1750" t="s">
        <v>573</v>
      </c>
      <c r="J1750" t="s">
        <v>574</v>
      </c>
      <c r="K1750" t="s">
        <v>575</v>
      </c>
    </row>
    <row r="1751" spans="1:11" x14ac:dyDescent="0.4">
      <c r="A1751" t="s">
        <v>683</v>
      </c>
      <c r="B1751" t="s">
        <v>9</v>
      </c>
      <c r="C1751" t="s">
        <v>10</v>
      </c>
      <c r="D1751" t="s">
        <v>571</v>
      </c>
      <c r="E1751" t="s">
        <v>684</v>
      </c>
      <c r="F1751" t="str">
        <f>LEFT(E1751,5)</f>
        <v>서울특별시</v>
      </c>
      <c r="G1751" t="str">
        <f t="shared" si="66"/>
        <v xml:space="preserve">종로구 </v>
      </c>
      <c r="H1751" t="str">
        <f t="shared" si="67"/>
        <v>창신동</v>
      </c>
      <c r="I1751" t="s">
        <v>685</v>
      </c>
      <c r="J1751" t="s">
        <v>574</v>
      </c>
      <c r="K1751" t="s">
        <v>686</v>
      </c>
    </row>
    <row r="1752" spans="1:11" x14ac:dyDescent="0.4">
      <c r="A1752" t="s">
        <v>2058</v>
      </c>
      <c r="B1752" t="s">
        <v>9</v>
      </c>
      <c r="C1752" t="s">
        <v>10</v>
      </c>
      <c r="D1752" t="s">
        <v>2059</v>
      </c>
      <c r="E1752" t="s">
        <v>2060</v>
      </c>
      <c r="F1752" t="str">
        <f>LEFT(E1752,5)</f>
        <v>서울특별시</v>
      </c>
      <c r="G1752" t="str">
        <f t="shared" si="66"/>
        <v xml:space="preserve">종로구 </v>
      </c>
      <c r="H1752" t="str">
        <f t="shared" si="67"/>
        <v>창신동</v>
      </c>
      <c r="I1752" t="s">
        <v>2061</v>
      </c>
      <c r="J1752" t="s">
        <v>2062</v>
      </c>
      <c r="K1752" t="s">
        <v>2063</v>
      </c>
    </row>
    <row r="1753" spans="1:11" x14ac:dyDescent="0.4">
      <c r="A1753" t="s">
        <v>5507</v>
      </c>
      <c r="B1753" t="s">
        <v>9</v>
      </c>
      <c r="C1753" t="s">
        <v>10</v>
      </c>
      <c r="D1753" t="s">
        <v>5508</v>
      </c>
      <c r="E1753" t="s">
        <v>5509</v>
      </c>
      <c r="F1753" t="str">
        <f>LEFT(E1753,5)</f>
        <v>서울특별시</v>
      </c>
      <c r="G1753" t="str">
        <f t="shared" si="66"/>
        <v xml:space="preserve">종로구 </v>
      </c>
      <c r="H1753" t="str">
        <f t="shared" si="67"/>
        <v>체부동</v>
      </c>
      <c r="I1753" t="s">
        <v>5510</v>
      </c>
      <c r="J1753" t="s">
        <v>5511</v>
      </c>
      <c r="K1753" t="s">
        <v>5512</v>
      </c>
    </row>
    <row r="1754" spans="1:11" x14ac:dyDescent="0.4">
      <c r="A1754" t="s">
        <v>5308</v>
      </c>
      <c r="B1754" t="s">
        <v>9</v>
      </c>
      <c r="C1754" t="s">
        <v>10</v>
      </c>
      <c r="D1754" t="s">
        <v>5309</v>
      </c>
      <c r="E1754" t="s">
        <v>5310</v>
      </c>
      <c r="F1754" t="str">
        <f>LEFT(E1754,5)</f>
        <v>서울특별시</v>
      </c>
      <c r="G1754" t="str">
        <f t="shared" si="66"/>
        <v xml:space="preserve">종로구 </v>
      </c>
      <c r="H1754" t="str">
        <f t="shared" si="67"/>
        <v>충신동</v>
      </c>
      <c r="I1754" t="s">
        <v>5311</v>
      </c>
      <c r="J1754" t="s">
        <v>5312</v>
      </c>
      <c r="K1754" t="s">
        <v>2246</v>
      </c>
    </row>
    <row r="1755" spans="1:11" x14ac:dyDescent="0.4">
      <c r="A1755" t="s">
        <v>3444</v>
      </c>
      <c r="B1755" t="s">
        <v>9</v>
      </c>
      <c r="C1755" t="s">
        <v>10</v>
      </c>
      <c r="D1755" t="s">
        <v>3445</v>
      </c>
      <c r="E1755" t="s">
        <v>3446</v>
      </c>
      <c r="F1755" t="str">
        <f>LEFT(E1755,5)</f>
        <v>서울특별시</v>
      </c>
      <c r="G1755" t="str">
        <f>MID(E1755,7,2)</f>
        <v>중구</v>
      </c>
      <c r="H1755" t="str">
        <f>MID(SUBSTITUTE(E1755," ",""),8,3)</f>
        <v>광희동</v>
      </c>
      <c r="I1755" t="s">
        <v>3447</v>
      </c>
      <c r="J1755" t="s">
        <v>947</v>
      </c>
      <c r="K1755" t="s">
        <v>3448</v>
      </c>
    </row>
    <row r="1756" spans="1:11" x14ac:dyDescent="0.4">
      <c r="A1756" t="s">
        <v>5667</v>
      </c>
      <c r="B1756" t="s">
        <v>9</v>
      </c>
      <c r="C1756" t="s">
        <v>10</v>
      </c>
      <c r="D1756" t="s">
        <v>5668</v>
      </c>
      <c r="E1756" t="s">
        <v>5669</v>
      </c>
      <c r="F1756" t="str">
        <f>LEFT(E1756,5)</f>
        <v>서울특별시</v>
      </c>
      <c r="G1756" t="str">
        <f t="shared" ref="G1756:G1812" si="69">MID(E1756,7,2)</f>
        <v>중구</v>
      </c>
      <c r="H1756" t="str">
        <f>MID(SUBSTITUTE(E1756," ",""),8,2)</f>
        <v>명동</v>
      </c>
      <c r="I1756" t="s">
        <v>5670</v>
      </c>
      <c r="J1756" t="s">
        <v>5671</v>
      </c>
      <c r="K1756" t="s">
        <v>5672</v>
      </c>
    </row>
    <row r="1757" spans="1:11" x14ac:dyDescent="0.4">
      <c r="A1757" t="s">
        <v>6087</v>
      </c>
      <c r="B1757" t="s">
        <v>9</v>
      </c>
      <c r="C1757" t="s">
        <v>10</v>
      </c>
      <c r="D1757" t="s">
        <v>5403</v>
      </c>
      <c r="E1757" t="s">
        <v>6088</v>
      </c>
      <c r="F1757" t="str">
        <f>LEFT(E1757,5)</f>
        <v>서울특별시</v>
      </c>
      <c r="G1757" t="str">
        <f t="shared" si="69"/>
        <v>중구</v>
      </c>
      <c r="H1757" t="str">
        <f t="shared" ref="H1756:H1765" si="70">MID(SUBSTITUTE(E1757," ",""),8,3)</f>
        <v>무학동</v>
      </c>
      <c r="I1757" t="s">
        <v>6089</v>
      </c>
      <c r="J1757" t="s">
        <v>4187</v>
      </c>
      <c r="K1757" t="s">
        <v>6090</v>
      </c>
    </row>
    <row r="1758" spans="1:11" x14ac:dyDescent="0.4">
      <c r="A1758" t="s">
        <v>5402</v>
      </c>
      <c r="B1758" t="s">
        <v>9</v>
      </c>
      <c r="C1758" t="s">
        <v>10</v>
      </c>
      <c r="D1758" t="s">
        <v>5403</v>
      </c>
      <c r="E1758" t="s">
        <v>5404</v>
      </c>
      <c r="F1758" t="str">
        <f>LEFT(E1758,5)</f>
        <v>서울특별시</v>
      </c>
      <c r="G1758" t="str">
        <f t="shared" si="69"/>
        <v>중구</v>
      </c>
      <c r="H1758" t="str">
        <f t="shared" si="70"/>
        <v>무학동</v>
      </c>
      <c r="I1758" t="s">
        <v>5405</v>
      </c>
      <c r="J1758" t="s">
        <v>4187</v>
      </c>
      <c r="K1758" t="s">
        <v>5406</v>
      </c>
    </row>
    <row r="1759" spans="1:11" x14ac:dyDescent="0.4">
      <c r="A1759" t="s">
        <v>5870</v>
      </c>
      <c r="B1759" t="s">
        <v>9</v>
      </c>
      <c r="C1759" t="s">
        <v>10</v>
      </c>
      <c r="D1759" t="s">
        <v>5403</v>
      </c>
      <c r="E1759" t="s">
        <v>5871</v>
      </c>
      <c r="F1759" t="str">
        <f>LEFT(E1759,5)</f>
        <v>서울특별시</v>
      </c>
      <c r="G1759" t="str">
        <f t="shared" si="69"/>
        <v>중구</v>
      </c>
      <c r="H1759" t="str">
        <f t="shared" si="70"/>
        <v>무학동</v>
      </c>
      <c r="I1759" t="s">
        <v>5872</v>
      </c>
      <c r="J1759" t="s">
        <v>4187</v>
      </c>
      <c r="K1759" t="s">
        <v>5873</v>
      </c>
    </row>
    <row r="1760" spans="1:11" x14ac:dyDescent="0.4">
      <c r="A1760" t="s">
        <v>5480</v>
      </c>
      <c r="B1760" t="s">
        <v>9</v>
      </c>
      <c r="C1760" t="s">
        <v>10</v>
      </c>
      <c r="D1760" t="s">
        <v>5403</v>
      </c>
      <c r="E1760" t="s">
        <v>5481</v>
      </c>
      <c r="F1760" t="str">
        <f>LEFT(E1760,5)</f>
        <v>서울특별시</v>
      </c>
      <c r="G1760" t="str">
        <f t="shared" si="69"/>
        <v>중구</v>
      </c>
      <c r="H1760" t="str">
        <f t="shared" si="70"/>
        <v>무학동</v>
      </c>
      <c r="I1760" t="s">
        <v>5482</v>
      </c>
      <c r="J1760" t="s">
        <v>4187</v>
      </c>
      <c r="K1760" t="s">
        <v>5483</v>
      </c>
    </row>
    <row r="1761" spans="1:11" x14ac:dyDescent="0.4">
      <c r="A1761" t="s">
        <v>5866</v>
      </c>
      <c r="B1761" t="s">
        <v>9</v>
      </c>
      <c r="C1761" t="s">
        <v>10</v>
      </c>
      <c r="D1761" t="s">
        <v>150</v>
      </c>
      <c r="E1761" t="s">
        <v>5867</v>
      </c>
      <c r="F1761" t="str">
        <f>LEFT(E1761,5)</f>
        <v>서울특별시</v>
      </c>
      <c r="G1761" t="str">
        <f t="shared" si="69"/>
        <v>중구</v>
      </c>
      <c r="H1761" t="str">
        <f t="shared" si="70"/>
        <v>북창동</v>
      </c>
      <c r="I1761" t="s">
        <v>5868</v>
      </c>
      <c r="J1761" t="s">
        <v>153</v>
      </c>
      <c r="K1761" t="s">
        <v>5869</v>
      </c>
    </row>
    <row r="1762" spans="1:11" x14ac:dyDescent="0.4">
      <c r="A1762" t="s">
        <v>3307</v>
      </c>
      <c r="B1762" t="s">
        <v>9</v>
      </c>
      <c r="C1762" t="s">
        <v>10</v>
      </c>
      <c r="D1762" t="s">
        <v>150</v>
      </c>
      <c r="E1762" t="s">
        <v>3308</v>
      </c>
      <c r="F1762" t="str">
        <f>LEFT(E1762,5)</f>
        <v>서울특별시</v>
      </c>
      <c r="G1762" t="str">
        <f t="shared" si="69"/>
        <v>중구</v>
      </c>
      <c r="H1762" t="str">
        <f t="shared" si="70"/>
        <v>북창동</v>
      </c>
      <c r="I1762" t="s">
        <v>3309</v>
      </c>
      <c r="J1762" t="s">
        <v>153</v>
      </c>
      <c r="K1762" t="s">
        <v>3310</v>
      </c>
    </row>
    <row r="1763" spans="1:11" x14ac:dyDescent="0.4">
      <c r="A1763" t="s">
        <v>149</v>
      </c>
      <c r="B1763" t="s">
        <v>9</v>
      </c>
      <c r="C1763" t="s">
        <v>10</v>
      </c>
      <c r="D1763" t="s">
        <v>150</v>
      </c>
      <c r="E1763" t="s">
        <v>151</v>
      </c>
      <c r="F1763" t="str">
        <f>LEFT(E1763,5)</f>
        <v>서울특별시</v>
      </c>
      <c r="G1763" t="str">
        <f t="shared" si="69"/>
        <v>중구</v>
      </c>
      <c r="H1763" t="str">
        <f t="shared" si="70"/>
        <v>북창동</v>
      </c>
      <c r="I1763" t="s">
        <v>152</v>
      </c>
      <c r="J1763" t="s">
        <v>153</v>
      </c>
      <c r="K1763" t="s">
        <v>154</v>
      </c>
    </row>
    <row r="1764" spans="1:11" x14ac:dyDescent="0.4">
      <c r="A1764" t="s">
        <v>2605</v>
      </c>
      <c r="B1764" t="s">
        <v>9</v>
      </c>
      <c r="C1764" t="s">
        <v>10</v>
      </c>
      <c r="D1764" t="s">
        <v>150</v>
      </c>
      <c r="E1764" t="s">
        <v>2606</v>
      </c>
      <c r="F1764" t="str">
        <f>LEFT(E1764,5)</f>
        <v>서울특별시</v>
      </c>
      <c r="G1764" t="str">
        <f t="shared" si="69"/>
        <v>중구</v>
      </c>
      <c r="H1764" t="str">
        <f t="shared" si="70"/>
        <v>북창동</v>
      </c>
      <c r="I1764" t="s">
        <v>11</v>
      </c>
      <c r="J1764" t="s">
        <v>11</v>
      </c>
      <c r="K1764" t="s">
        <v>2607</v>
      </c>
    </row>
    <row r="1765" spans="1:11" x14ac:dyDescent="0.4">
      <c r="A1765" t="s">
        <v>667</v>
      </c>
      <c r="B1765" t="s">
        <v>9</v>
      </c>
      <c r="C1765" t="s">
        <v>10</v>
      </c>
      <c r="D1765" t="s">
        <v>668</v>
      </c>
      <c r="E1765" t="s">
        <v>669</v>
      </c>
      <c r="F1765" t="str">
        <f>LEFT(E1765,5)</f>
        <v>서울특별시</v>
      </c>
      <c r="G1765" t="str">
        <f t="shared" si="69"/>
        <v>중구</v>
      </c>
      <c r="H1765" t="str">
        <f>MID(SUBSTITUTE(E1765," ",""),8,4)</f>
        <v>서소문동</v>
      </c>
      <c r="I1765" t="s">
        <v>670</v>
      </c>
      <c r="J1765" t="s">
        <v>671</v>
      </c>
      <c r="K1765" t="s">
        <v>672</v>
      </c>
    </row>
    <row r="1766" spans="1:11" x14ac:dyDescent="0.4">
      <c r="A1766" t="s">
        <v>638</v>
      </c>
      <c r="B1766" t="s">
        <v>9</v>
      </c>
      <c r="C1766" t="s">
        <v>10</v>
      </c>
      <c r="D1766" t="s">
        <v>639</v>
      </c>
      <c r="E1766" t="s">
        <v>640</v>
      </c>
      <c r="F1766" t="str">
        <f>LEFT(E1766,5)</f>
        <v>서울특별시</v>
      </c>
      <c r="G1766" t="str">
        <f t="shared" si="69"/>
        <v>중구</v>
      </c>
      <c r="H1766" t="str">
        <f>MID(SUBSTITUTE(E1766," ",""),8,3)</f>
        <v>신당동</v>
      </c>
      <c r="I1766" t="s">
        <v>641</v>
      </c>
      <c r="J1766" t="s">
        <v>642</v>
      </c>
      <c r="K1766" t="s">
        <v>643</v>
      </c>
    </row>
    <row r="1767" spans="1:11" x14ac:dyDescent="0.4">
      <c r="A1767" t="s">
        <v>8755</v>
      </c>
      <c r="B1767" t="s">
        <v>9</v>
      </c>
      <c r="C1767" t="s">
        <v>10</v>
      </c>
      <c r="D1767" t="s">
        <v>1207</v>
      </c>
      <c r="E1767" t="s">
        <v>8756</v>
      </c>
      <c r="F1767" t="str">
        <f>LEFT(E1767,5)</f>
        <v>서울특별시</v>
      </c>
      <c r="G1767" t="str">
        <f t="shared" si="69"/>
        <v>중구</v>
      </c>
      <c r="H1767" t="str">
        <f t="shared" ref="H1767:H1793" si="71">MID(SUBSTITUTE(E1767," ",""),8,3)</f>
        <v>신당동</v>
      </c>
      <c r="I1767" t="s">
        <v>8757</v>
      </c>
      <c r="J1767" t="s">
        <v>642</v>
      </c>
      <c r="K1767" t="s">
        <v>8758</v>
      </c>
    </row>
    <row r="1768" spans="1:11" x14ac:dyDescent="0.4">
      <c r="A1768" t="s">
        <v>6202</v>
      </c>
      <c r="B1768" t="s">
        <v>9</v>
      </c>
      <c r="C1768" t="s">
        <v>10</v>
      </c>
      <c r="D1768" t="s">
        <v>1207</v>
      </c>
      <c r="E1768" t="s">
        <v>6203</v>
      </c>
      <c r="F1768" t="str">
        <f>LEFT(E1768,5)</f>
        <v>서울특별시</v>
      </c>
      <c r="G1768" t="str">
        <f t="shared" si="69"/>
        <v>중구</v>
      </c>
      <c r="H1768" t="str">
        <f t="shared" si="71"/>
        <v>신당동</v>
      </c>
      <c r="I1768" t="s">
        <v>6204</v>
      </c>
      <c r="J1768" t="s">
        <v>642</v>
      </c>
      <c r="K1768" t="s">
        <v>6205</v>
      </c>
    </row>
    <row r="1769" spans="1:11" x14ac:dyDescent="0.4">
      <c r="A1769" t="s">
        <v>8159</v>
      </c>
      <c r="B1769" t="s">
        <v>9</v>
      </c>
      <c r="C1769" t="s">
        <v>10</v>
      </c>
      <c r="D1769" t="s">
        <v>1207</v>
      </c>
      <c r="E1769" t="s">
        <v>8160</v>
      </c>
      <c r="F1769" t="str">
        <f>LEFT(E1769,5)</f>
        <v>서울특별시</v>
      </c>
      <c r="G1769" t="str">
        <f t="shared" si="69"/>
        <v>중구</v>
      </c>
      <c r="H1769" t="str">
        <f t="shared" si="71"/>
        <v>신당동</v>
      </c>
      <c r="I1769" t="s">
        <v>8161</v>
      </c>
      <c r="J1769" t="s">
        <v>642</v>
      </c>
      <c r="K1769" t="s">
        <v>8162</v>
      </c>
    </row>
    <row r="1770" spans="1:11" x14ac:dyDescent="0.4">
      <c r="A1770" t="s">
        <v>1414</v>
      </c>
      <c r="B1770" t="s">
        <v>9</v>
      </c>
      <c r="C1770" t="s">
        <v>10</v>
      </c>
      <c r="D1770" t="s">
        <v>1207</v>
      </c>
      <c r="E1770" t="s">
        <v>1415</v>
      </c>
      <c r="F1770" t="str">
        <f>LEFT(E1770,5)</f>
        <v>서울특별시</v>
      </c>
      <c r="G1770" t="str">
        <f t="shared" si="69"/>
        <v>중구</v>
      </c>
      <c r="H1770" t="str">
        <f t="shared" si="71"/>
        <v>신당동</v>
      </c>
      <c r="I1770" t="s">
        <v>1416</v>
      </c>
      <c r="J1770" t="s">
        <v>642</v>
      </c>
      <c r="K1770" t="s">
        <v>1417</v>
      </c>
    </row>
    <row r="1771" spans="1:11" x14ac:dyDescent="0.4">
      <c r="A1771" t="s">
        <v>8372</v>
      </c>
      <c r="B1771" t="s">
        <v>9</v>
      </c>
      <c r="C1771" t="s">
        <v>10</v>
      </c>
      <c r="D1771" t="s">
        <v>1207</v>
      </c>
      <c r="E1771" t="s">
        <v>8373</v>
      </c>
      <c r="F1771" t="str">
        <f>LEFT(E1771,5)</f>
        <v>서울특별시</v>
      </c>
      <c r="G1771" t="str">
        <f t="shared" si="69"/>
        <v>중구</v>
      </c>
      <c r="H1771" t="str">
        <f t="shared" si="71"/>
        <v>신당동</v>
      </c>
      <c r="I1771" t="s">
        <v>8374</v>
      </c>
      <c r="J1771" t="s">
        <v>642</v>
      </c>
      <c r="K1771" t="s">
        <v>8375</v>
      </c>
    </row>
    <row r="1772" spans="1:11" x14ac:dyDescent="0.4">
      <c r="A1772" t="s">
        <v>1206</v>
      </c>
      <c r="B1772" t="s">
        <v>9</v>
      </c>
      <c r="C1772" t="s">
        <v>10</v>
      </c>
      <c r="D1772" t="s">
        <v>1207</v>
      </c>
      <c r="E1772" t="s">
        <v>1208</v>
      </c>
      <c r="F1772" t="str">
        <f>LEFT(E1772,5)</f>
        <v>서울특별시</v>
      </c>
      <c r="G1772" t="str">
        <f t="shared" si="69"/>
        <v>중구</v>
      </c>
      <c r="H1772" t="str">
        <f t="shared" si="71"/>
        <v>신당동</v>
      </c>
      <c r="I1772" t="s">
        <v>1209</v>
      </c>
      <c r="J1772" t="s">
        <v>1210</v>
      </c>
      <c r="K1772" t="s">
        <v>1211</v>
      </c>
    </row>
    <row r="1773" spans="1:11" x14ac:dyDescent="0.4">
      <c r="A1773" t="s">
        <v>8380</v>
      </c>
      <c r="B1773" t="s">
        <v>9</v>
      </c>
      <c r="C1773" t="s">
        <v>10</v>
      </c>
      <c r="D1773" t="s">
        <v>1207</v>
      </c>
      <c r="E1773" t="s">
        <v>8381</v>
      </c>
      <c r="F1773" t="str">
        <f>LEFT(E1773,5)</f>
        <v>서울특별시</v>
      </c>
      <c r="G1773" t="str">
        <f t="shared" si="69"/>
        <v>중구</v>
      </c>
      <c r="H1773" t="str">
        <f t="shared" si="71"/>
        <v>신당동</v>
      </c>
      <c r="I1773" t="s">
        <v>8382</v>
      </c>
      <c r="J1773" t="s">
        <v>1210</v>
      </c>
      <c r="K1773" t="s">
        <v>8383</v>
      </c>
    </row>
    <row r="1774" spans="1:11" x14ac:dyDescent="0.4">
      <c r="A1774" t="s">
        <v>4183</v>
      </c>
      <c r="B1774" t="s">
        <v>9</v>
      </c>
      <c r="C1774" t="s">
        <v>10</v>
      </c>
      <c r="D1774" t="s">
        <v>4184</v>
      </c>
      <c r="E1774" t="s">
        <v>4185</v>
      </c>
      <c r="F1774" t="str">
        <f>LEFT(E1774,5)</f>
        <v>서울특별시</v>
      </c>
      <c r="G1774" t="str">
        <f t="shared" si="69"/>
        <v>중구</v>
      </c>
      <c r="H1774" t="str">
        <f t="shared" si="71"/>
        <v>신당동</v>
      </c>
      <c r="I1774" t="s">
        <v>4186</v>
      </c>
      <c r="J1774" t="s">
        <v>4187</v>
      </c>
      <c r="K1774" t="s">
        <v>4188</v>
      </c>
    </row>
    <row r="1775" spans="1:11" x14ac:dyDescent="0.4">
      <c r="A1775" t="s">
        <v>5269</v>
      </c>
      <c r="B1775" t="s">
        <v>9</v>
      </c>
      <c r="C1775" t="s">
        <v>10</v>
      </c>
      <c r="D1775" t="s">
        <v>5270</v>
      </c>
      <c r="E1775" t="s">
        <v>5271</v>
      </c>
      <c r="F1775" t="str">
        <f>LEFT(E1775,5)</f>
        <v>서울특별시</v>
      </c>
      <c r="G1775" t="str">
        <f t="shared" si="69"/>
        <v>중구</v>
      </c>
      <c r="H1775" t="str">
        <f t="shared" si="71"/>
        <v>신당동</v>
      </c>
      <c r="I1775" t="s">
        <v>5272</v>
      </c>
      <c r="J1775" t="s">
        <v>5273</v>
      </c>
      <c r="K1775" t="s">
        <v>2597</v>
      </c>
    </row>
    <row r="1776" spans="1:11" x14ac:dyDescent="0.4">
      <c r="A1776" t="s">
        <v>5274</v>
      </c>
      <c r="B1776" t="s">
        <v>9</v>
      </c>
      <c r="C1776" t="s">
        <v>10</v>
      </c>
      <c r="D1776" t="s">
        <v>5270</v>
      </c>
      <c r="E1776" t="s">
        <v>5275</v>
      </c>
      <c r="F1776" t="str">
        <f>LEFT(E1776,5)</f>
        <v>서울특별시</v>
      </c>
      <c r="G1776" t="str">
        <f t="shared" si="69"/>
        <v>중구</v>
      </c>
      <c r="H1776" t="str">
        <f t="shared" si="71"/>
        <v>신당동</v>
      </c>
      <c r="I1776" t="s">
        <v>5276</v>
      </c>
      <c r="J1776" t="s">
        <v>5273</v>
      </c>
      <c r="K1776" t="s">
        <v>5277</v>
      </c>
    </row>
    <row r="1777" spans="1:11" x14ac:dyDescent="0.4">
      <c r="A1777" t="s">
        <v>4151</v>
      </c>
      <c r="B1777" t="s">
        <v>9</v>
      </c>
      <c r="C1777" t="s">
        <v>10</v>
      </c>
      <c r="D1777" t="s">
        <v>4152</v>
      </c>
      <c r="E1777" t="s">
        <v>4153</v>
      </c>
      <c r="F1777" t="str">
        <f>LEFT(E1777,5)</f>
        <v>서울특별시</v>
      </c>
      <c r="G1777" t="str">
        <f t="shared" si="69"/>
        <v>중구</v>
      </c>
      <c r="H1777" t="str">
        <f t="shared" si="71"/>
        <v>신당동</v>
      </c>
      <c r="I1777" t="s">
        <v>4154</v>
      </c>
      <c r="J1777" t="s">
        <v>4155</v>
      </c>
      <c r="K1777" t="s">
        <v>4156</v>
      </c>
    </row>
    <row r="1778" spans="1:11" x14ac:dyDescent="0.4">
      <c r="A1778" t="s">
        <v>7477</v>
      </c>
      <c r="B1778" t="s">
        <v>9</v>
      </c>
      <c r="C1778" t="s">
        <v>10</v>
      </c>
      <c r="D1778" t="s">
        <v>7478</v>
      </c>
      <c r="E1778" t="s">
        <v>7479</v>
      </c>
      <c r="F1778" t="str">
        <f>LEFT(E1778,5)</f>
        <v>서울특별시</v>
      </c>
      <c r="G1778" t="str">
        <f t="shared" si="69"/>
        <v>중구</v>
      </c>
      <c r="H1778" t="str">
        <f t="shared" si="71"/>
        <v>신당동</v>
      </c>
      <c r="I1778" t="s">
        <v>7480</v>
      </c>
      <c r="J1778" t="s">
        <v>7481</v>
      </c>
      <c r="K1778" t="s">
        <v>6609</v>
      </c>
    </row>
    <row r="1779" spans="1:11" x14ac:dyDescent="0.4">
      <c r="A1779" t="s">
        <v>8767</v>
      </c>
      <c r="B1779" t="s">
        <v>9</v>
      </c>
      <c r="C1779" t="s">
        <v>10</v>
      </c>
      <c r="D1779" t="s">
        <v>8768</v>
      </c>
      <c r="E1779" t="s">
        <v>8769</v>
      </c>
      <c r="F1779" t="str">
        <f>LEFT(E1779,5)</f>
        <v>서울특별시</v>
      </c>
      <c r="G1779" t="str">
        <f t="shared" si="69"/>
        <v>중구</v>
      </c>
      <c r="H1779" t="str">
        <f t="shared" si="71"/>
        <v>신당동</v>
      </c>
      <c r="I1779" t="s">
        <v>8770</v>
      </c>
      <c r="J1779" t="s">
        <v>7481</v>
      </c>
      <c r="K1779" t="s">
        <v>8771</v>
      </c>
    </row>
    <row r="1780" spans="1:11" x14ac:dyDescent="0.4">
      <c r="A1780" t="s">
        <v>5236</v>
      </c>
      <c r="B1780" t="s">
        <v>9</v>
      </c>
      <c r="C1780" t="s">
        <v>10</v>
      </c>
      <c r="D1780" t="s">
        <v>5237</v>
      </c>
      <c r="E1780" t="s">
        <v>5238</v>
      </c>
      <c r="F1780" t="str">
        <f>LEFT(E1780,5)</f>
        <v>서울특별시</v>
      </c>
      <c r="G1780" t="str">
        <f t="shared" si="69"/>
        <v>중구</v>
      </c>
      <c r="H1780" t="str">
        <f t="shared" si="71"/>
        <v>신당동</v>
      </c>
      <c r="I1780" t="s">
        <v>5239</v>
      </c>
      <c r="J1780" t="s">
        <v>5240</v>
      </c>
      <c r="K1780" t="s">
        <v>142</v>
      </c>
    </row>
    <row r="1781" spans="1:11" x14ac:dyDescent="0.4">
      <c r="A1781" t="s">
        <v>967</v>
      </c>
      <c r="B1781" t="s">
        <v>9</v>
      </c>
      <c r="C1781" t="s">
        <v>10</v>
      </c>
      <c r="D1781" t="s">
        <v>968</v>
      </c>
      <c r="E1781" t="s">
        <v>969</v>
      </c>
      <c r="F1781" t="str">
        <f>LEFT(E1781,5)</f>
        <v>서울특별시</v>
      </c>
      <c r="G1781" t="str">
        <f t="shared" si="69"/>
        <v>중구</v>
      </c>
      <c r="H1781" t="str">
        <f t="shared" si="71"/>
        <v>오장동</v>
      </c>
      <c r="I1781" t="s">
        <v>970</v>
      </c>
      <c r="J1781" t="s">
        <v>971</v>
      </c>
      <c r="K1781" t="s">
        <v>972</v>
      </c>
    </row>
    <row r="1782" spans="1:11" x14ac:dyDescent="0.4">
      <c r="A1782" t="s">
        <v>2654</v>
      </c>
      <c r="B1782" t="s">
        <v>9</v>
      </c>
      <c r="C1782" t="s">
        <v>10</v>
      </c>
      <c r="D1782" t="s">
        <v>2655</v>
      </c>
      <c r="E1782" t="s">
        <v>2656</v>
      </c>
      <c r="F1782" t="str">
        <f>LEFT(E1782,5)</f>
        <v>서울특별시</v>
      </c>
      <c r="G1782" t="str">
        <f t="shared" si="69"/>
        <v>중구</v>
      </c>
      <c r="H1782" t="str">
        <f t="shared" si="71"/>
        <v>을지로</v>
      </c>
      <c r="I1782" t="s">
        <v>2657</v>
      </c>
      <c r="J1782" t="s">
        <v>2658</v>
      </c>
      <c r="K1782" t="s">
        <v>2659</v>
      </c>
    </row>
    <row r="1783" spans="1:11" x14ac:dyDescent="0.4">
      <c r="A1783" t="s">
        <v>644</v>
      </c>
      <c r="B1783" t="s">
        <v>9</v>
      </c>
      <c r="C1783" t="s">
        <v>10</v>
      </c>
      <c r="D1783" t="s">
        <v>645</v>
      </c>
      <c r="E1783" t="s">
        <v>646</v>
      </c>
      <c r="F1783" t="str">
        <f>LEFT(E1783,5)</f>
        <v>서울특별시</v>
      </c>
      <c r="G1783" t="str">
        <f t="shared" si="69"/>
        <v>중구</v>
      </c>
      <c r="H1783" t="str">
        <f t="shared" si="71"/>
        <v>을지로</v>
      </c>
      <c r="I1783" t="s">
        <v>647</v>
      </c>
      <c r="J1783" t="s">
        <v>648</v>
      </c>
      <c r="K1783" t="s">
        <v>649</v>
      </c>
    </row>
    <row r="1784" spans="1:11" x14ac:dyDescent="0.4">
      <c r="A1784" t="s">
        <v>102</v>
      </c>
      <c r="B1784" t="s">
        <v>9</v>
      </c>
      <c r="C1784" t="s">
        <v>10</v>
      </c>
      <c r="D1784" t="s">
        <v>103</v>
      </c>
      <c r="E1784" t="s">
        <v>104</v>
      </c>
      <c r="F1784" t="str">
        <f>LEFT(E1784,5)</f>
        <v>서울특별시</v>
      </c>
      <c r="G1784" t="str">
        <f t="shared" si="69"/>
        <v>중구</v>
      </c>
      <c r="H1784" t="str">
        <f t="shared" si="71"/>
        <v>을지로</v>
      </c>
      <c r="I1784" t="s">
        <v>105</v>
      </c>
      <c r="J1784" t="s">
        <v>106</v>
      </c>
      <c r="K1784" t="s">
        <v>107</v>
      </c>
    </row>
    <row r="1785" spans="1:11" x14ac:dyDescent="0.4">
      <c r="A1785" t="s">
        <v>8089</v>
      </c>
      <c r="B1785" t="s">
        <v>9</v>
      </c>
      <c r="C1785" t="s">
        <v>10</v>
      </c>
      <c r="D1785" t="s">
        <v>944</v>
      </c>
      <c r="E1785" t="s">
        <v>8090</v>
      </c>
      <c r="F1785" t="str">
        <f>LEFT(E1785,5)</f>
        <v>서울특별시</v>
      </c>
      <c r="G1785" t="str">
        <f t="shared" si="69"/>
        <v>중구</v>
      </c>
      <c r="H1785" t="str">
        <f t="shared" si="71"/>
        <v>을지로</v>
      </c>
      <c r="I1785" t="s">
        <v>8091</v>
      </c>
      <c r="J1785" t="s">
        <v>971</v>
      </c>
      <c r="K1785" t="s">
        <v>8092</v>
      </c>
    </row>
    <row r="1786" spans="1:11" x14ac:dyDescent="0.4">
      <c r="A1786" t="s">
        <v>943</v>
      </c>
      <c r="B1786" t="s">
        <v>9</v>
      </c>
      <c r="C1786" t="s">
        <v>10</v>
      </c>
      <c r="D1786" t="s">
        <v>944</v>
      </c>
      <c r="E1786" t="s">
        <v>945</v>
      </c>
      <c r="F1786" t="str">
        <f>LEFT(E1786,5)</f>
        <v>서울특별시</v>
      </c>
      <c r="G1786" t="str">
        <f t="shared" si="69"/>
        <v>중구</v>
      </c>
      <c r="H1786" t="str">
        <f t="shared" si="71"/>
        <v>을지로</v>
      </c>
      <c r="I1786" t="s">
        <v>946</v>
      </c>
      <c r="J1786" t="s">
        <v>947</v>
      </c>
      <c r="K1786" t="s">
        <v>948</v>
      </c>
    </row>
    <row r="1787" spans="1:11" x14ac:dyDescent="0.4">
      <c r="A1787" t="s">
        <v>456</v>
      </c>
      <c r="B1787" t="s">
        <v>9</v>
      </c>
      <c r="C1787" t="s">
        <v>10</v>
      </c>
      <c r="D1787" t="s">
        <v>457</v>
      </c>
      <c r="E1787" t="s">
        <v>458</v>
      </c>
      <c r="F1787" t="str">
        <f>LEFT(E1787,5)</f>
        <v>서울특별시</v>
      </c>
      <c r="G1787" t="str">
        <f t="shared" si="69"/>
        <v>중구</v>
      </c>
      <c r="H1787" t="str">
        <f t="shared" si="71"/>
        <v>인현동</v>
      </c>
      <c r="I1787" t="s">
        <v>459</v>
      </c>
      <c r="J1787" t="s">
        <v>460</v>
      </c>
      <c r="K1787" t="s">
        <v>461</v>
      </c>
    </row>
    <row r="1788" spans="1:11" x14ac:dyDescent="0.4">
      <c r="A1788" t="s">
        <v>6123</v>
      </c>
      <c r="B1788" t="s">
        <v>9</v>
      </c>
      <c r="C1788" t="s">
        <v>10</v>
      </c>
      <c r="D1788" t="s">
        <v>5547</v>
      </c>
      <c r="E1788" t="s">
        <v>6124</v>
      </c>
      <c r="F1788" t="str">
        <f>LEFT(E1788,5)</f>
        <v>서울특별시</v>
      </c>
      <c r="G1788" t="str">
        <f t="shared" si="69"/>
        <v>중구</v>
      </c>
      <c r="H1788" t="str">
        <f t="shared" si="71"/>
        <v>장충동</v>
      </c>
      <c r="I1788" t="s">
        <v>6125</v>
      </c>
      <c r="J1788" t="s">
        <v>6126</v>
      </c>
      <c r="K1788" t="s">
        <v>6127</v>
      </c>
    </row>
    <row r="1789" spans="1:11" x14ac:dyDescent="0.4">
      <c r="A1789" t="s">
        <v>5546</v>
      </c>
      <c r="B1789" t="s">
        <v>9</v>
      </c>
      <c r="C1789" t="s">
        <v>10</v>
      </c>
      <c r="D1789" t="s">
        <v>5547</v>
      </c>
      <c r="E1789" t="s">
        <v>5548</v>
      </c>
      <c r="F1789" t="str">
        <f>LEFT(E1789,5)</f>
        <v>서울특별시</v>
      </c>
      <c r="G1789" t="str">
        <f t="shared" si="69"/>
        <v>중구</v>
      </c>
      <c r="H1789" t="str">
        <f t="shared" si="71"/>
        <v>장충동</v>
      </c>
      <c r="I1789" t="s">
        <v>5549</v>
      </c>
      <c r="J1789" t="s">
        <v>5550</v>
      </c>
      <c r="K1789" t="s">
        <v>5551</v>
      </c>
    </row>
    <row r="1790" spans="1:11" x14ac:dyDescent="0.4">
      <c r="A1790" t="s">
        <v>1237</v>
      </c>
      <c r="B1790" t="s">
        <v>9</v>
      </c>
      <c r="C1790" t="s">
        <v>10</v>
      </c>
      <c r="D1790" t="s">
        <v>1238</v>
      </c>
      <c r="E1790" t="s">
        <v>1239</v>
      </c>
      <c r="F1790" t="str">
        <f>LEFT(E1790,5)</f>
        <v>서울특별시</v>
      </c>
      <c r="G1790" t="str">
        <f t="shared" si="69"/>
        <v>중구</v>
      </c>
      <c r="H1790" t="str">
        <f>MID(SUBSTITUTE(E1790," ",""),8,2)</f>
        <v>저동</v>
      </c>
      <c r="I1790" t="s">
        <v>1240</v>
      </c>
      <c r="J1790" t="s">
        <v>1241</v>
      </c>
      <c r="K1790" t="s">
        <v>1242</v>
      </c>
    </row>
    <row r="1791" spans="1:11" x14ac:dyDescent="0.4">
      <c r="A1791" t="s">
        <v>6128</v>
      </c>
      <c r="B1791" t="s">
        <v>9</v>
      </c>
      <c r="C1791" t="s">
        <v>10</v>
      </c>
      <c r="D1791" t="s">
        <v>6129</v>
      </c>
      <c r="E1791" t="s">
        <v>6130</v>
      </c>
      <c r="F1791" t="str">
        <f>LEFT(E1791,5)</f>
        <v>서울특별시</v>
      </c>
      <c r="G1791" t="str">
        <f t="shared" si="69"/>
        <v>중구</v>
      </c>
      <c r="H1791" t="str">
        <f t="shared" si="71"/>
        <v>중림동</v>
      </c>
      <c r="I1791" t="s">
        <v>6131</v>
      </c>
      <c r="J1791" t="s">
        <v>6132</v>
      </c>
      <c r="K1791" t="s">
        <v>6133</v>
      </c>
    </row>
    <row r="1792" spans="1:11" x14ac:dyDescent="0.4">
      <c r="A1792" t="s">
        <v>6805</v>
      </c>
      <c r="B1792" t="s">
        <v>9</v>
      </c>
      <c r="C1792" t="s">
        <v>10</v>
      </c>
      <c r="D1792" t="s">
        <v>6806</v>
      </c>
      <c r="E1792" t="s">
        <v>6807</v>
      </c>
      <c r="F1792" t="str">
        <f>LEFT(E1792,5)</f>
        <v>서울특별시</v>
      </c>
      <c r="G1792" t="str">
        <f t="shared" si="69"/>
        <v>중구</v>
      </c>
      <c r="H1792" t="str">
        <f t="shared" si="71"/>
        <v>중림동</v>
      </c>
      <c r="I1792" t="s">
        <v>6808</v>
      </c>
      <c r="J1792" t="s">
        <v>6809</v>
      </c>
      <c r="K1792" t="s">
        <v>6810</v>
      </c>
    </row>
    <row r="1793" spans="1:11" x14ac:dyDescent="0.4">
      <c r="A1793" t="s">
        <v>8874</v>
      </c>
      <c r="B1793" t="s">
        <v>9</v>
      </c>
      <c r="C1793" t="s">
        <v>10</v>
      </c>
      <c r="D1793" t="s">
        <v>2042</v>
      </c>
      <c r="E1793" t="s">
        <v>8875</v>
      </c>
      <c r="F1793" t="str">
        <f>LEFT(E1793,5)</f>
        <v>서울특별시</v>
      </c>
      <c r="G1793" t="str">
        <f t="shared" si="69"/>
        <v>중구</v>
      </c>
      <c r="H1793" t="str">
        <f>MID(SUBSTITUTE(E1793," ",""),8,2)</f>
        <v>초동</v>
      </c>
      <c r="I1793" t="s">
        <v>8876</v>
      </c>
      <c r="J1793" t="s">
        <v>5690</v>
      </c>
      <c r="K1793" t="s">
        <v>8877</v>
      </c>
    </row>
    <row r="1794" spans="1:11" x14ac:dyDescent="0.4">
      <c r="A1794" t="s">
        <v>5687</v>
      </c>
      <c r="B1794" t="s">
        <v>9</v>
      </c>
      <c r="C1794" t="s">
        <v>10</v>
      </c>
      <c r="D1794" t="s">
        <v>2042</v>
      </c>
      <c r="E1794" t="s">
        <v>5688</v>
      </c>
      <c r="F1794" t="str">
        <f>LEFT(E1794,5)</f>
        <v>서울특별시</v>
      </c>
      <c r="G1794" t="str">
        <f t="shared" si="69"/>
        <v>중구</v>
      </c>
      <c r="H1794" t="str">
        <f t="shared" ref="H1794:H1796" si="72">MID(SUBSTITUTE(E1794," ",""),8,2)</f>
        <v>초동</v>
      </c>
      <c r="I1794" t="s">
        <v>5689</v>
      </c>
      <c r="J1794" t="s">
        <v>5690</v>
      </c>
      <c r="K1794" t="s">
        <v>5691</v>
      </c>
    </row>
    <row r="1795" spans="1:11" x14ac:dyDescent="0.4">
      <c r="A1795" t="s">
        <v>2041</v>
      </c>
      <c r="B1795" t="s">
        <v>9</v>
      </c>
      <c r="C1795" t="s">
        <v>10</v>
      </c>
      <c r="D1795" t="s">
        <v>2042</v>
      </c>
      <c r="E1795" t="s">
        <v>2043</v>
      </c>
      <c r="F1795" t="str">
        <f>LEFT(E1795,5)</f>
        <v>서울특별시</v>
      </c>
      <c r="G1795" t="str">
        <f t="shared" si="69"/>
        <v>중구</v>
      </c>
      <c r="H1795" t="str">
        <f t="shared" si="72"/>
        <v>초동</v>
      </c>
      <c r="I1795" t="s">
        <v>2044</v>
      </c>
      <c r="J1795" t="s">
        <v>460</v>
      </c>
      <c r="K1795" t="s">
        <v>2045</v>
      </c>
    </row>
    <row r="1796" spans="1:11" x14ac:dyDescent="0.4">
      <c r="A1796" t="s">
        <v>8311</v>
      </c>
      <c r="B1796" t="s">
        <v>9</v>
      </c>
      <c r="C1796" t="s">
        <v>10</v>
      </c>
      <c r="D1796" t="s">
        <v>8312</v>
      </c>
      <c r="E1796" t="s">
        <v>8313</v>
      </c>
      <c r="F1796" t="str">
        <f>LEFT(E1796,5)</f>
        <v>서울특별시</v>
      </c>
      <c r="G1796" t="str">
        <f t="shared" si="69"/>
        <v>중구</v>
      </c>
      <c r="H1796" t="str">
        <f>MID(SUBSTITUTE(E1796," ",""),8,3)</f>
        <v>충무로</v>
      </c>
      <c r="I1796" t="s">
        <v>8314</v>
      </c>
      <c r="J1796" t="s">
        <v>8315</v>
      </c>
      <c r="K1796" t="s">
        <v>8316</v>
      </c>
    </row>
    <row r="1797" spans="1:11" x14ac:dyDescent="0.4">
      <c r="A1797" t="s">
        <v>884</v>
      </c>
      <c r="B1797" t="s">
        <v>9</v>
      </c>
      <c r="C1797" t="s">
        <v>10</v>
      </c>
      <c r="D1797" t="s">
        <v>885</v>
      </c>
      <c r="E1797" t="s">
        <v>886</v>
      </c>
      <c r="F1797" t="str">
        <f>LEFT(E1797,5)</f>
        <v>서울특별시</v>
      </c>
      <c r="G1797" t="str">
        <f t="shared" si="69"/>
        <v>중구</v>
      </c>
      <c r="H1797" t="str">
        <f t="shared" ref="H1797:H1812" si="73">MID(SUBSTITUTE(E1797," ",""),8,3)</f>
        <v>충무로</v>
      </c>
      <c r="I1797" t="s">
        <v>887</v>
      </c>
      <c r="J1797" t="s">
        <v>888</v>
      </c>
      <c r="K1797" t="s">
        <v>889</v>
      </c>
    </row>
    <row r="1798" spans="1:11" x14ac:dyDescent="0.4">
      <c r="A1798" t="s">
        <v>1439</v>
      </c>
      <c r="B1798" t="s">
        <v>9</v>
      </c>
      <c r="C1798" t="s">
        <v>10</v>
      </c>
      <c r="D1798" t="s">
        <v>1440</v>
      </c>
      <c r="E1798" t="s">
        <v>1441</v>
      </c>
      <c r="F1798" t="str">
        <f>LEFT(E1798,5)</f>
        <v>서울특별시</v>
      </c>
      <c r="G1798" t="str">
        <f t="shared" si="69"/>
        <v>중구</v>
      </c>
      <c r="H1798" t="str">
        <f t="shared" si="73"/>
        <v>충무로</v>
      </c>
      <c r="I1798" t="s">
        <v>1442</v>
      </c>
      <c r="J1798" t="s">
        <v>1443</v>
      </c>
      <c r="K1798" t="s">
        <v>1444</v>
      </c>
    </row>
    <row r="1799" spans="1:11" x14ac:dyDescent="0.4">
      <c r="A1799" t="s">
        <v>5318</v>
      </c>
      <c r="B1799" t="s">
        <v>9</v>
      </c>
      <c r="C1799" t="s">
        <v>10</v>
      </c>
      <c r="D1799" t="s">
        <v>1440</v>
      </c>
      <c r="E1799" t="s">
        <v>5319</v>
      </c>
      <c r="F1799" t="str">
        <f>LEFT(E1799,5)</f>
        <v>서울특별시</v>
      </c>
      <c r="G1799" t="str">
        <f t="shared" si="69"/>
        <v>중구</v>
      </c>
      <c r="H1799" t="str">
        <f t="shared" si="73"/>
        <v>충무로</v>
      </c>
      <c r="I1799" t="s">
        <v>5320</v>
      </c>
      <c r="J1799" t="s">
        <v>1443</v>
      </c>
      <c r="K1799" t="s">
        <v>2500</v>
      </c>
    </row>
    <row r="1800" spans="1:11" x14ac:dyDescent="0.4">
      <c r="A1800" t="s">
        <v>7681</v>
      </c>
      <c r="B1800" t="s">
        <v>9</v>
      </c>
      <c r="C1800" t="s">
        <v>10</v>
      </c>
      <c r="D1800" t="s">
        <v>7682</v>
      </c>
      <c r="E1800" t="s">
        <v>7683</v>
      </c>
      <c r="F1800" t="str">
        <f>LEFT(E1800,5)</f>
        <v>서울특별시</v>
      </c>
      <c r="G1800" t="str">
        <f t="shared" si="69"/>
        <v>중구</v>
      </c>
      <c r="H1800" t="str">
        <f t="shared" si="73"/>
        <v>태평로</v>
      </c>
      <c r="I1800" t="s">
        <v>7684</v>
      </c>
      <c r="J1800" t="s">
        <v>7685</v>
      </c>
      <c r="K1800" t="s">
        <v>7686</v>
      </c>
    </row>
    <row r="1801" spans="1:11" x14ac:dyDescent="0.4">
      <c r="A1801" t="s">
        <v>3044</v>
      </c>
      <c r="B1801" t="s">
        <v>9</v>
      </c>
      <c r="C1801" t="s">
        <v>10</v>
      </c>
      <c r="D1801" t="s">
        <v>3045</v>
      </c>
      <c r="E1801" t="s">
        <v>3046</v>
      </c>
      <c r="F1801" t="str">
        <f>LEFT(E1801,5)</f>
        <v>서울특별시</v>
      </c>
      <c r="G1801" t="str">
        <f t="shared" si="69"/>
        <v>중구</v>
      </c>
      <c r="H1801" t="str">
        <f t="shared" si="73"/>
        <v>황학동</v>
      </c>
      <c r="I1801" t="s">
        <v>3047</v>
      </c>
      <c r="J1801" t="s">
        <v>3048</v>
      </c>
      <c r="K1801" t="s">
        <v>3049</v>
      </c>
    </row>
    <row r="1802" spans="1:11" x14ac:dyDescent="0.4">
      <c r="A1802" t="s">
        <v>2009</v>
      </c>
      <c r="B1802" t="s">
        <v>9</v>
      </c>
      <c r="C1802" t="s">
        <v>10</v>
      </c>
      <c r="D1802" t="s">
        <v>1943</v>
      </c>
      <c r="E1802" t="s">
        <v>2010</v>
      </c>
      <c r="F1802" t="str">
        <f>LEFT(E1802,5)</f>
        <v>서울특별시</v>
      </c>
      <c r="G1802" t="str">
        <f t="shared" si="69"/>
        <v>중구</v>
      </c>
      <c r="H1802" t="str">
        <f t="shared" si="73"/>
        <v>황학동</v>
      </c>
      <c r="I1802" t="s">
        <v>2011</v>
      </c>
      <c r="J1802" t="s">
        <v>1946</v>
      </c>
      <c r="K1802" t="s">
        <v>2012</v>
      </c>
    </row>
    <row r="1803" spans="1:11" x14ac:dyDescent="0.4">
      <c r="A1803" t="s">
        <v>3485</v>
      </c>
      <c r="B1803" t="s">
        <v>9</v>
      </c>
      <c r="C1803" t="s">
        <v>10</v>
      </c>
      <c r="D1803" t="s">
        <v>1943</v>
      </c>
      <c r="E1803" t="s">
        <v>3486</v>
      </c>
      <c r="F1803" t="str">
        <f>LEFT(E1803,5)</f>
        <v>서울특별시</v>
      </c>
      <c r="G1803" t="str">
        <f t="shared" si="69"/>
        <v>중구</v>
      </c>
      <c r="H1803" t="str">
        <f t="shared" si="73"/>
        <v>황학동</v>
      </c>
      <c r="I1803" t="s">
        <v>3487</v>
      </c>
      <c r="J1803" t="s">
        <v>1946</v>
      </c>
      <c r="K1803" t="s">
        <v>3488</v>
      </c>
    </row>
    <row r="1804" spans="1:11" x14ac:dyDescent="0.4">
      <c r="A1804" t="s">
        <v>2247</v>
      </c>
      <c r="B1804" t="s">
        <v>9</v>
      </c>
      <c r="C1804" t="s">
        <v>10</v>
      </c>
      <c r="D1804" t="s">
        <v>1943</v>
      </c>
      <c r="E1804" t="s">
        <v>2248</v>
      </c>
      <c r="F1804" t="str">
        <f>LEFT(E1804,5)</f>
        <v>서울특별시</v>
      </c>
      <c r="G1804" t="str">
        <f t="shared" si="69"/>
        <v>중구</v>
      </c>
      <c r="H1804" t="str">
        <f t="shared" si="73"/>
        <v>황학동</v>
      </c>
      <c r="I1804" t="s">
        <v>2249</v>
      </c>
      <c r="J1804" t="s">
        <v>1946</v>
      </c>
      <c r="K1804" t="s">
        <v>2250</v>
      </c>
    </row>
    <row r="1805" spans="1:11" x14ac:dyDescent="0.4">
      <c r="A1805" t="s">
        <v>1942</v>
      </c>
      <c r="B1805" t="s">
        <v>9</v>
      </c>
      <c r="C1805" t="s">
        <v>10</v>
      </c>
      <c r="D1805" t="s">
        <v>1943</v>
      </c>
      <c r="E1805" t="s">
        <v>1944</v>
      </c>
      <c r="F1805" t="str">
        <f>LEFT(E1805,5)</f>
        <v>서울특별시</v>
      </c>
      <c r="G1805" t="str">
        <f t="shared" si="69"/>
        <v>중구</v>
      </c>
      <c r="H1805" t="str">
        <f t="shared" si="73"/>
        <v>황학동</v>
      </c>
      <c r="I1805" t="s">
        <v>1945</v>
      </c>
      <c r="J1805" t="s">
        <v>1946</v>
      </c>
      <c r="K1805" t="s">
        <v>1947</v>
      </c>
    </row>
    <row r="1806" spans="1:11" x14ac:dyDescent="0.4">
      <c r="A1806" t="s">
        <v>9001</v>
      </c>
      <c r="B1806" t="s">
        <v>9</v>
      </c>
      <c r="C1806" t="s">
        <v>10</v>
      </c>
      <c r="D1806" t="s">
        <v>3045</v>
      </c>
      <c r="E1806" t="s">
        <v>9002</v>
      </c>
      <c r="F1806" t="str">
        <f>LEFT(E1806,5)</f>
        <v>서울특별시</v>
      </c>
      <c r="G1806" t="str">
        <f t="shared" si="69"/>
        <v>중구</v>
      </c>
      <c r="H1806" t="str">
        <f t="shared" si="73"/>
        <v>황학동</v>
      </c>
      <c r="I1806" t="s">
        <v>11</v>
      </c>
      <c r="J1806" t="s">
        <v>11</v>
      </c>
      <c r="K1806" t="s">
        <v>9003</v>
      </c>
    </row>
    <row r="1807" spans="1:11" x14ac:dyDescent="0.4">
      <c r="A1807" t="s">
        <v>8961</v>
      </c>
      <c r="B1807" t="s">
        <v>9</v>
      </c>
      <c r="C1807" t="s">
        <v>10</v>
      </c>
      <c r="D1807" t="s">
        <v>491</v>
      </c>
      <c r="E1807" t="s">
        <v>8962</v>
      </c>
      <c r="F1807" t="str">
        <f>LEFT(E1807,5)</f>
        <v>서울특별시</v>
      </c>
      <c r="G1807" t="str">
        <f t="shared" si="69"/>
        <v>중구</v>
      </c>
      <c r="H1807" t="str">
        <f t="shared" si="73"/>
        <v>황학동</v>
      </c>
      <c r="I1807" t="s">
        <v>8963</v>
      </c>
      <c r="J1807" t="s">
        <v>1946</v>
      </c>
      <c r="K1807" t="s">
        <v>8964</v>
      </c>
    </row>
    <row r="1808" spans="1:11" x14ac:dyDescent="0.4">
      <c r="A1808" t="s">
        <v>1987</v>
      </c>
      <c r="B1808" t="s">
        <v>9</v>
      </c>
      <c r="C1808" t="s">
        <v>10</v>
      </c>
      <c r="D1808" t="s">
        <v>491</v>
      </c>
      <c r="E1808" t="s">
        <v>1988</v>
      </c>
      <c r="F1808" t="str">
        <f>LEFT(E1808,5)</f>
        <v>서울특별시</v>
      </c>
      <c r="G1808" t="str">
        <f t="shared" si="69"/>
        <v>중구</v>
      </c>
      <c r="H1808" t="str">
        <f t="shared" si="73"/>
        <v>황학동</v>
      </c>
      <c r="I1808" t="s">
        <v>1989</v>
      </c>
      <c r="J1808" t="s">
        <v>1946</v>
      </c>
      <c r="K1808" t="s">
        <v>1990</v>
      </c>
    </row>
    <row r="1809" spans="1:11" x14ac:dyDescent="0.4">
      <c r="A1809" t="s">
        <v>490</v>
      </c>
      <c r="B1809" t="s">
        <v>9</v>
      </c>
      <c r="C1809" t="s">
        <v>10</v>
      </c>
      <c r="D1809" t="s">
        <v>491</v>
      </c>
      <c r="E1809" t="s">
        <v>492</v>
      </c>
      <c r="F1809" t="str">
        <f>LEFT(E1809,5)</f>
        <v>서울특별시</v>
      </c>
      <c r="G1809" t="str">
        <f t="shared" si="69"/>
        <v>중구</v>
      </c>
      <c r="H1809" t="str">
        <f t="shared" si="73"/>
        <v>황학동</v>
      </c>
      <c r="I1809" t="s">
        <v>493</v>
      </c>
      <c r="J1809" t="s">
        <v>494</v>
      </c>
      <c r="K1809" t="s">
        <v>495</v>
      </c>
    </row>
    <row r="1810" spans="1:11" x14ac:dyDescent="0.4">
      <c r="A1810" t="s">
        <v>1613</v>
      </c>
      <c r="B1810" t="s">
        <v>9</v>
      </c>
      <c r="C1810" t="s">
        <v>10</v>
      </c>
      <c r="D1810" t="s">
        <v>1614</v>
      </c>
      <c r="E1810" t="s">
        <v>1615</v>
      </c>
      <c r="F1810" t="str">
        <f>LEFT(E1810,5)</f>
        <v>서울특별시</v>
      </c>
      <c r="G1810" t="str">
        <f t="shared" si="69"/>
        <v>중구</v>
      </c>
      <c r="H1810" t="str">
        <f t="shared" si="73"/>
        <v>회현동</v>
      </c>
      <c r="I1810" t="s">
        <v>1616</v>
      </c>
      <c r="J1810" t="s">
        <v>1617</v>
      </c>
      <c r="K1810" t="s">
        <v>1618</v>
      </c>
    </row>
    <row r="1811" spans="1:11" x14ac:dyDescent="0.4">
      <c r="A1811" t="s">
        <v>7378</v>
      </c>
      <c r="B1811" t="s">
        <v>9</v>
      </c>
      <c r="C1811" t="s">
        <v>10</v>
      </c>
      <c r="D1811" t="s">
        <v>7379</v>
      </c>
      <c r="E1811" t="s">
        <v>7380</v>
      </c>
      <c r="F1811" t="str">
        <f>LEFT(E1811,5)</f>
        <v>서울특별시</v>
      </c>
      <c r="G1811" t="str">
        <f t="shared" si="69"/>
        <v>중구</v>
      </c>
      <c r="H1811" t="str">
        <f t="shared" si="73"/>
        <v>회현동</v>
      </c>
      <c r="I1811" t="s">
        <v>11</v>
      </c>
      <c r="J1811" t="s">
        <v>11</v>
      </c>
      <c r="K1811" t="s">
        <v>7381</v>
      </c>
    </row>
    <row r="1812" spans="1:11" x14ac:dyDescent="0.4">
      <c r="A1812" t="s">
        <v>472</v>
      </c>
      <c r="B1812" t="s">
        <v>9</v>
      </c>
      <c r="C1812" t="s">
        <v>10</v>
      </c>
      <c r="D1812" t="s">
        <v>473</v>
      </c>
      <c r="E1812" t="s">
        <v>474</v>
      </c>
      <c r="F1812" t="str">
        <f>LEFT(E1812,5)</f>
        <v>서울특별시</v>
      </c>
      <c r="G1812" t="str">
        <f t="shared" si="69"/>
        <v>중구</v>
      </c>
      <c r="H1812" t="str">
        <f t="shared" si="73"/>
        <v>흥인동</v>
      </c>
      <c r="I1812" t="s">
        <v>475</v>
      </c>
      <c r="J1812" t="s">
        <v>476</v>
      </c>
      <c r="K1812" t="s">
        <v>477</v>
      </c>
    </row>
    <row r="1813" spans="1:11" x14ac:dyDescent="0.4">
      <c r="A1813" t="s">
        <v>7900</v>
      </c>
      <c r="B1813" t="s">
        <v>9</v>
      </c>
      <c r="C1813" t="s">
        <v>10</v>
      </c>
      <c r="D1813" t="s">
        <v>7901</v>
      </c>
      <c r="E1813" t="s">
        <v>7902</v>
      </c>
      <c r="F1813" t="str">
        <f>LEFT(E1813,5)</f>
        <v>서울특별시</v>
      </c>
      <c r="G1813" t="str">
        <f t="shared" ref="G1795:G1858" si="74">MID(E1813,7,4)</f>
        <v xml:space="preserve">중랑구 </v>
      </c>
      <c r="H1813" t="str">
        <f t="shared" ref="H1795:H1858" si="75">MID(SUBSTITUTE(E1813," ",""),9,3)</f>
        <v>망우동</v>
      </c>
      <c r="I1813" t="s">
        <v>7903</v>
      </c>
      <c r="J1813" t="s">
        <v>7904</v>
      </c>
      <c r="K1813" t="s">
        <v>7905</v>
      </c>
    </row>
    <row r="1814" spans="1:11" x14ac:dyDescent="0.4">
      <c r="A1814" t="s">
        <v>7613</v>
      </c>
      <c r="B1814" t="s">
        <v>9</v>
      </c>
      <c r="C1814" t="s">
        <v>10</v>
      </c>
      <c r="D1814" t="s">
        <v>7614</v>
      </c>
      <c r="E1814" t="s">
        <v>7615</v>
      </c>
      <c r="F1814" t="str">
        <f>LEFT(E1814,5)</f>
        <v>서울특별시</v>
      </c>
      <c r="G1814" t="str">
        <f t="shared" si="74"/>
        <v xml:space="preserve">중랑구 </v>
      </c>
      <c r="H1814" t="str">
        <f t="shared" si="75"/>
        <v>망우동</v>
      </c>
      <c r="I1814" t="s">
        <v>7616</v>
      </c>
      <c r="J1814" t="s">
        <v>7617</v>
      </c>
      <c r="K1814" t="s">
        <v>2739</v>
      </c>
    </row>
    <row r="1815" spans="1:11" x14ac:dyDescent="0.4">
      <c r="A1815" t="s">
        <v>8690</v>
      </c>
      <c r="B1815" t="s">
        <v>9</v>
      </c>
      <c r="C1815" t="s">
        <v>10</v>
      </c>
      <c r="D1815" t="s">
        <v>8691</v>
      </c>
      <c r="E1815" t="s">
        <v>8692</v>
      </c>
      <c r="F1815" t="str">
        <f>LEFT(E1815,5)</f>
        <v>서울특별시</v>
      </c>
      <c r="G1815" t="str">
        <f t="shared" si="74"/>
        <v xml:space="preserve">중랑구 </v>
      </c>
      <c r="H1815" t="str">
        <f t="shared" si="75"/>
        <v>망우동</v>
      </c>
      <c r="I1815" t="s">
        <v>8693</v>
      </c>
      <c r="J1815" t="s">
        <v>8694</v>
      </c>
      <c r="K1815" t="s">
        <v>8695</v>
      </c>
    </row>
    <row r="1816" spans="1:11" x14ac:dyDescent="0.4">
      <c r="A1816" t="s">
        <v>3479</v>
      </c>
      <c r="B1816" t="s">
        <v>9</v>
      </c>
      <c r="C1816" t="s">
        <v>10</v>
      </c>
      <c r="D1816" t="s">
        <v>3480</v>
      </c>
      <c r="E1816" t="s">
        <v>3481</v>
      </c>
      <c r="F1816" t="str">
        <f>LEFT(E1816,5)</f>
        <v>서울특별시</v>
      </c>
      <c r="G1816" t="str">
        <f t="shared" si="74"/>
        <v xml:space="preserve">중랑구 </v>
      </c>
      <c r="H1816" t="str">
        <f t="shared" si="75"/>
        <v>망우동</v>
      </c>
      <c r="I1816" t="s">
        <v>3482</v>
      </c>
      <c r="J1816" t="s">
        <v>3483</v>
      </c>
      <c r="K1816" t="s">
        <v>3484</v>
      </c>
    </row>
    <row r="1817" spans="1:11" x14ac:dyDescent="0.4">
      <c r="A1817" t="s">
        <v>4763</v>
      </c>
      <c r="B1817" t="s">
        <v>9</v>
      </c>
      <c r="C1817" t="s">
        <v>10</v>
      </c>
      <c r="D1817" t="s">
        <v>43</v>
      </c>
      <c r="E1817" t="s">
        <v>4764</v>
      </c>
      <c r="F1817" t="str">
        <f>LEFT(E1817,5)</f>
        <v>서울특별시</v>
      </c>
      <c r="G1817" t="str">
        <f t="shared" si="74"/>
        <v xml:space="preserve">중랑구 </v>
      </c>
      <c r="H1817" t="str">
        <f t="shared" si="75"/>
        <v>망우동</v>
      </c>
      <c r="I1817" t="s">
        <v>4765</v>
      </c>
      <c r="J1817" t="s">
        <v>4766</v>
      </c>
      <c r="K1817" t="s">
        <v>4767</v>
      </c>
    </row>
    <row r="1818" spans="1:11" x14ac:dyDescent="0.4">
      <c r="A1818" t="s">
        <v>4553</v>
      </c>
      <c r="B1818" t="s">
        <v>9</v>
      </c>
      <c r="C1818" t="s">
        <v>10</v>
      </c>
      <c r="D1818" t="s">
        <v>43</v>
      </c>
      <c r="E1818" t="s">
        <v>4554</v>
      </c>
      <c r="F1818" t="str">
        <f>LEFT(E1818,5)</f>
        <v>서울특별시</v>
      </c>
      <c r="G1818" t="str">
        <f t="shared" si="74"/>
        <v xml:space="preserve">중랑구 </v>
      </c>
      <c r="H1818" t="str">
        <f t="shared" si="75"/>
        <v>망우동</v>
      </c>
      <c r="I1818" t="s">
        <v>4555</v>
      </c>
      <c r="J1818" t="s">
        <v>4556</v>
      </c>
      <c r="K1818" t="s">
        <v>4557</v>
      </c>
    </row>
    <row r="1819" spans="1:11" x14ac:dyDescent="0.4">
      <c r="A1819" t="s">
        <v>5357</v>
      </c>
      <c r="B1819" t="s">
        <v>9</v>
      </c>
      <c r="C1819" t="s">
        <v>10</v>
      </c>
      <c r="D1819" t="s">
        <v>43</v>
      </c>
      <c r="E1819" t="s">
        <v>5358</v>
      </c>
      <c r="F1819" t="str">
        <f>LEFT(E1819,5)</f>
        <v>서울특별시</v>
      </c>
      <c r="G1819" t="str">
        <f t="shared" si="74"/>
        <v xml:space="preserve">중랑구 </v>
      </c>
      <c r="H1819" t="str">
        <f t="shared" si="75"/>
        <v>망우동</v>
      </c>
      <c r="I1819" t="s">
        <v>5359</v>
      </c>
      <c r="J1819" t="s">
        <v>4556</v>
      </c>
      <c r="K1819" t="s">
        <v>5360</v>
      </c>
    </row>
    <row r="1820" spans="1:11" x14ac:dyDescent="0.4">
      <c r="A1820" t="s">
        <v>8364</v>
      </c>
      <c r="B1820" t="s">
        <v>9</v>
      </c>
      <c r="C1820" t="s">
        <v>10</v>
      </c>
      <c r="D1820" t="s">
        <v>43</v>
      </c>
      <c r="E1820" t="s">
        <v>8365</v>
      </c>
      <c r="F1820" t="str">
        <f>LEFT(E1820,5)</f>
        <v>서울특별시</v>
      </c>
      <c r="G1820" t="str">
        <f t="shared" si="74"/>
        <v xml:space="preserve">중랑구 </v>
      </c>
      <c r="H1820" t="str">
        <f t="shared" si="75"/>
        <v>망우동</v>
      </c>
      <c r="I1820" t="s">
        <v>8366</v>
      </c>
      <c r="J1820" t="s">
        <v>4556</v>
      </c>
      <c r="K1820" t="s">
        <v>8367</v>
      </c>
    </row>
    <row r="1821" spans="1:11" x14ac:dyDescent="0.4">
      <c r="A1821" t="s">
        <v>6153</v>
      </c>
      <c r="B1821" t="s">
        <v>9</v>
      </c>
      <c r="C1821" t="s">
        <v>10</v>
      </c>
      <c r="D1821" t="s">
        <v>43</v>
      </c>
      <c r="E1821" t="s">
        <v>6154</v>
      </c>
      <c r="F1821" t="str">
        <f>LEFT(E1821,5)</f>
        <v>서울특별시</v>
      </c>
      <c r="G1821" t="str">
        <f t="shared" si="74"/>
        <v xml:space="preserve">중랑구 </v>
      </c>
      <c r="H1821" t="str">
        <f t="shared" si="75"/>
        <v>망우동</v>
      </c>
      <c r="I1821" t="s">
        <v>6155</v>
      </c>
      <c r="J1821" t="s">
        <v>4556</v>
      </c>
      <c r="K1821" t="s">
        <v>6156</v>
      </c>
    </row>
    <row r="1822" spans="1:11" x14ac:dyDescent="0.4">
      <c r="A1822" t="s">
        <v>6143</v>
      </c>
      <c r="B1822" t="s">
        <v>9</v>
      </c>
      <c r="C1822" t="s">
        <v>10</v>
      </c>
      <c r="D1822" t="s">
        <v>43</v>
      </c>
      <c r="E1822" t="s">
        <v>6144</v>
      </c>
      <c r="F1822" t="str">
        <f>LEFT(E1822,5)</f>
        <v>서울특별시</v>
      </c>
      <c r="G1822" t="str">
        <f t="shared" si="74"/>
        <v xml:space="preserve">중랑구 </v>
      </c>
      <c r="H1822" t="str">
        <f t="shared" si="75"/>
        <v>망우동</v>
      </c>
      <c r="I1822" t="s">
        <v>6145</v>
      </c>
      <c r="J1822" t="s">
        <v>6146</v>
      </c>
      <c r="K1822" t="s">
        <v>6147</v>
      </c>
    </row>
    <row r="1823" spans="1:11" x14ac:dyDescent="0.4">
      <c r="A1823" t="s">
        <v>1398</v>
      </c>
      <c r="B1823" t="s">
        <v>9</v>
      </c>
      <c r="C1823" t="s">
        <v>10</v>
      </c>
      <c r="D1823" t="s">
        <v>43</v>
      </c>
      <c r="E1823" t="s">
        <v>1399</v>
      </c>
      <c r="F1823" t="str">
        <f>LEFT(E1823,5)</f>
        <v>서울특별시</v>
      </c>
      <c r="G1823" t="str">
        <f t="shared" si="74"/>
        <v xml:space="preserve">중랑구 </v>
      </c>
      <c r="H1823" t="str">
        <f t="shared" si="75"/>
        <v>망우동</v>
      </c>
      <c r="I1823" t="s">
        <v>1400</v>
      </c>
      <c r="J1823" t="s">
        <v>46</v>
      </c>
      <c r="K1823" t="s">
        <v>1401</v>
      </c>
    </row>
    <row r="1824" spans="1:11" x14ac:dyDescent="0.4">
      <c r="A1824" t="s">
        <v>2316</v>
      </c>
      <c r="B1824" t="s">
        <v>9</v>
      </c>
      <c r="C1824" t="s">
        <v>10</v>
      </c>
      <c r="D1824" t="s">
        <v>43</v>
      </c>
      <c r="E1824" t="s">
        <v>2317</v>
      </c>
      <c r="F1824" t="str">
        <f>LEFT(E1824,5)</f>
        <v>서울특별시</v>
      </c>
      <c r="G1824" t="str">
        <f t="shared" si="74"/>
        <v xml:space="preserve">중랑구 </v>
      </c>
      <c r="H1824" t="str">
        <f t="shared" si="75"/>
        <v>망우동</v>
      </c>
      <c r="I1824" t="s">
        <v>2318</v>
      </c>
      <c r="J1824" t="s">
        <v>46</v>
      </c>
      <c r="K1824" t="s">
        <v>2319</v>
      </c>
    </row>
    <row r="1825" spans="1:11" x14ac:dyDescent="0.4">
      <c r="A1825" t="s">
        <v>6294</v>
      </c>
      <c r="B1825" t="s">
        <v>9</v>
      </c>
      <c r="C1825" t="s">
        <v>10</v>
      </c>
      <c r="D1825" t="s">
        <v>43</v>
      </c>
      <c r="E1825" t="s">
        <v>6295</v>
      </c>
      <c r="F1825" t="str">
        <f>LEFT(E1825,5)</f>
        <v>서울특별시</v>
      </c>
      <c r="G1825" t="str">
        <f t="shared" si="74"/>
        <v xml:space="preserve">중랑구 </v>
      </c>
      <c r="H1825" t="str">
        <f t="shared" si="75"/>
        <v>망우동</v>
      </c>
      <c r="I1825" t="s">
        <v>6296</v>
      </c>
      <c r="J1825" t="s">
        <v>6297</v>
      </c>
      <c r="K1825" t="s">
        <v>6298</v>
      </c>
    </row>
    <row r="1826" spans="1:11" x14ac:dyDescent="0.4">
      <c r="A1826" t="s">
        <v>7941</v>
      </c>
      <c r="B1826" t="s">
        <v>9</v>
      </c>
      <c r="C1826" t="s">
        <v>10</v>
      </c>
      <c r="D1826" t="s">
        <v>7942</v>
      </c>
      <c r="E1826" t="s">
        <v>7943</v>
      </c>
      <c r="F1826" t="str">
        <f>LEFT(E1826,5)</f>
        <v>서울특별시</v>
      </c>
      <c r="G1826" t="str">
        <f t="shared" si="74"/>
        <v xml:space="preserve">중랑구 </v>
      </c>
      <c r="H1826" t="str">
        <f t="shared" si="75"/>
        <v>망우동</v>
      </c>
      <c r="I1826" t="s">
        <v>7944</v>
      </c>
      <c r="J1826" t="s">
        <v>7945</v>
      </c>
      <c r="K1826" t="s">
        <v>7946</v>
      </c>
    </row>
    <row r="1827" spans="1:11" x14ac:dyDescent="0.4">
      <c r="A1827" t="s">
        <v>1469</v>
      </c>
      <c r="B1827" t="s">
        <v>9</v>
      </c>
      <c r="C1827" t="s">
        <v>10</v>
      </c>
      <c r="D1827" t="s">
        <v>43</v>
      </c>
      <c r="E1827" t="s">
        <v>1470</v>
      </c>
      <c r="F1827" t="str">
        <f>LEFT(E1827,5)</f>
        <v>서울특별시</v>
      </c>
      <c r="G1827" t="str">
        <f t="shared" si="74"/>
        <v xml:space="preserve">중랑구 </v>
      </c>
      <c r="H1827" t="str">
        <f t="shared" si="75"/>
        <v>망우동</v>
      </c>
      <c r="I1827" t="s">
        <v>1471</v>
      </c>
      <c r="J1827" t="s">
        <v>46</v>
      </c>
      <c r="K1827" t="s">
        <v>1472</v>
      </c>
    </row>
    <row r="1828" spans="1:11" x14ac:dyDescent="0.4">
      <c r="A1828" t="s">
        <v>606</v>
      </c>
      <c r="B1828" t="s">
        <v>9</v>
      </c>
      <c r="C1828" t="s">
        <v>10</v>
      </c>
      <c r="D1828" t="s">
        <v>43</v>
      </c>
      <c r="E1828" t="s">
        <v>766</v>
      </c>
      <c r="F1828" t="str">
        <f>LEFT(E1828,5)</f>
        <v>서울특별시</v>
      </c>
      <c r="G1828" t="str">
        <f t="shared" si="74"/>
        <v xml:space="preserve">중랑구 </v>
      </c>
      <c r="H1828" t="str">
        <f t="shared" si="75"/>
        <v>망우동</v>
      </c>
      <c r="I1828" t="s">
        <v>767</v>
      </c>
      <c r="J1828" t="s">
        <v>46</v>
      </c>
      <c r="K1828" t="s">
        <v>768</v>
      </c>
    </row>
    <row r="1829" spans="1:11" x14ac:dyDescent="0.4">
      <c r="A1829" t="s">
        <v>42</v>
      </c>
      <c r="B1829" t="s">
        <v>9</v>
      </c>
      <c r="C1829" t="s">
        <v>10</v>
      </c>
      <c r="D1829" t="s">
        <v>43</v>
      </c>
      <c r="E1829" t="s">
        <v>44</v>
      </c>
      <c r="F1829" t="str">
        <f>LEFT(E1829,5)</f>
        <v>서울특별시</v>
      </c>
      <c r="G1829" t="str">
        <f t="shared" si="74"/>
        <v xml:space="preserve">중랑구 </v>
      </c>
      <c r="H1829" t="str">
        <f t="shared" si="75"/>
        <v>망우동</v>
      </c>
      <c r="I1829" t="s">
        <v>45</v>
      </c>
      <c r="J1829" t="s">
        <v>46</v>
      </c>
      <c r="K1829" t="s">
        <v>47</v>
      </c>
    </row>
    <row r="1830" spans="1:11" x14ac:dyDescent="0.4">
      <c r="A1830" t="s">
        <v>1030</v>
      </c>
      <c r="B1830" t="s">
        <v>9</v>
      </c>
      <c r="C1830" t="s">
        <v>10</v>
      </c>
      <c r="D1830" t="s">
        <v>43</v>
      </c>
      <c r="E1830" t="s">
        <v>1031</v>
      </c>
      <c r="F1830" t="str">
        <f>LEFT(E1830,5)</f>
        <v>서울특별시</v>
      </c>
      <c r="G1830" t="str">
        <f t="shared" si="74"/>
        <v xml:space="preserve">중랑구 </v>
      </c>
      <c r="H1830" t="str">
        <f t="shared" si="75"/>
        <v>망우동</v>
      </c>
      <c r="I1830" t="s">
        <v>1032</v>
      </c>
      <c r="J1830" t="s">
        <v>46</v>
      </c>
      <c r="K1830" t="s">
        <v>1033</v>
      </c>
    </row>
    <row r="1831" spans="1:11" x14ac:dyDescent="0.4">
      <c r="A1831" t="s">
        <v>8575</v>
      </c>
      <c r="B1831" t="s">
        <v>9</v>
      </c>
      <c r="C1831" t="s">
        <v>10</v>
      </c>
      <c r="D1831" t="s">
        <v>3283</v>
      </c>
      <c r="E1831" t="s">
        <v>8576</v>
      </c>
      <c r="F1831" t="str">
        <f>LEFT(E1831,5)</f>
        <v>서울특별시</v>
      </c>
      <c r="G1831" t="str">
        <f t="shared" si="74"/>
        <v xml:space="preserve">중랑구 </v>
      </c>
      <c r="H1831" t="str">
        <f t="shared" si="75"/>
        <v>면목동</v>
      </c>
      <c r="I1831" t="s">
        <v>8577</v>
      </c>
      <c r="J1831" t="s">
        <v>8578</v>
      </c>
      <c r="K1831" t="s">
        <v>8579</v>
      </c>
    </row>
    <row r="1832" spans="1:11" x14ac:dyDescent="0.4">
      <c r="A1832" t="s">
        <v>6884</v>
      </c>
      <c r="B1832" t="s">
        <v>9</v>
      </c>
      <c r="C1832" t="s">
        <v>10</v>
      </c>
      <c r="D1832" t="s">
        <v>6885</v>
      </c>
      <c r="E1832" t="s">
        <v>6886</v>
      </c>
      <c r="F1832" t="str">
        <f>LEFT(E1832,5)</f>
        <v>서울특별시</v>
      </c>
      <c r="G1832" t="str">
        <f t="shared" si="74"/>
        <v xml:space="preserve">중랑구 </v>
      </c>
      <c r="H1832" t="str">
        <f t="shared" si="75"/>
        <v>면목동</v>
      </c>
      <c r="I1832" t="s">
        <v>6887</v>
      </c>
      <c r="J1832" t="s">
        <v>6888</v>
      </c>
      <c r="K1832" t="s">
        <v>6889</v>
      </c>
    </row>
    <row r="1833" spans="1:11" x14ac:dyDescent="0.4">
      <c r="A1833" t="s">
        <v>5621</v>
      </c>
      <c r="B1833" t="s">
        <v>9</v>
      </c>
      <c r="C1833" t="s">
        <v>10</v>
      </c>
      <c r="D1833" t="s">
        <v>5622</v>
      </c>
      <c r="E1833" t="s">
        <v>5623</v>
      </c>
      <c r="F1833" t="str">
        <f>LEFT(E1833,5)</f>
        <v>서울특별시</v>
      </c>
      <c r="G1833" t="str">
        <f t="shared" si="74"/>
        <v xml:space="preserve">중랑구 </v>
      </c>
      <c r="H1833" t="str">
        <f t="shared" si="75"/>
        <v>면목동</v>
      </c>
      <c r="I1833" t="s">
        <v>5624</v>
      </c>
      <c r="J1833" t="s">
        <v>5625</v>
      </c>
      <c r="K1833" t="s">
        <v>5626</v>
      </c>
    </row>
    <row r="1834" spans="1:11" x14ac:dyDescent="0.4">
      <c r="A1834" t="s">
        <v>6752</v>
      </c>
      <c r="B1834" t="s">
        <v>9</v>
      </c>
      <c r="C1834" t="s">
        <v>10</v>
      </c>
      <c r="D1834" t="s">
        <v>4721</v>
      </c>
      <c r="E1834" t="s">
        <v>6753</v>
      </c>
      <c r="F1834" t="str">
        <f>LEFT(E1834,5)</f>
        <v>서울특별시</v>
      </c>
      <c r="G1834" t="str">
        <f t="shared" si="74"/>
        <v xml:space="preserve">중랑구 </v>
      </c>
      <c r="H1834" t="str">
        <f t="shared" si="75"/>
        <v>면목동</v>
      </c>
      <c r="I1834" t="s">
        <v>6754</v>
      </c>
      <c r="J1834" t="s">
        <v>6755</v>
      </c>
      <c r="K1834" t="s">
        <v>6756</v>
      </c>
    </row>
    <row r="1835" spans="1:11" x14ac:dyDescent="0.4">
      <c r="A1835" t="s">
        <v>4720</v>
      </c>
      <c r="B1835" t="s">
        <v>9</v>
      </c>
      <c r="C1835" t="s">
        <v>10</v>
      </c>
      <c r="D1835" t="s">
        <v>4721</v>
      </c>
      <c r="E1835" t="s">
        <v>4722</v>
      </c>
      <c r="F1835" t="str">
        <f>LEFT(E1835,5)</f>
        <v>서울특별시</v>
      </c>
      <c r="G1835" t="str">
        <f t="shared" si="74"/>
        <v xml:space="preserve">중랑구 </v>
      </c>
      <c r="H1835" t="str">
        <f t="shared" si="75"/>
        <v>면목동</v>
      </c>
      <c r="I1835" t="s">
        <v>4723</v>
      </c>
      <c r="J1835" t="s">
        <v>4724</v>
      </c>
      <c r="K1835" t="s">
        <v>4725</v>
      </c>
    </row>
    <row r="1836" spans="1:11" x14ac:dyDescent="0.4">
      <c r="A1836" t="s">
        <v>6866</v>
      </c>
      <c r="B1836" t="s">
        <v>9</v>
      </c>
      <c r="C1836" t="s">
        <v>10</v>
      </c>
      <c r="D1836" t="s">
        <v>4017</v>
      </c>
      <c r="E1836" t="s">
        <v>6867</v>
      </c>
      <c r="F1836" t="str">
        <f>LEFT(E1836,5)</f>
        <v>서울특별시</v>
      </c>
      <c r="G1836" t="str">
        <f t="shared" si="74"/>
        <v xml:space="preserve">중랑구 </v>
      </c>
      <c r="H1836" t="str">
        <f t="shared" si="75"/>
        <v>면목동</v>
      </c>
      <c r="I1836" t="s">
        <v>6868</v>
      </c>
      <c r="J1836" t="s">
        <v>4020</v>
      </c>
      <c r="K1836" t="s">
        <v>6869</v>
      </c>
    </row>
    <row r="1837" spans="1:11" x14ac:dyDescent="0.4">
      <c r="A1837" t="s">
        <v>4016</v>
      </c>
      <c r="B1837" t="s">
        <v>9</v>
      </c>
      <c r="C1837" t="s">
        <v>10</v>
      </c>
      <c r="D1837" t="s">
        <v>4017</v>
      </c>
      <c r="E1837" t="s">
        <v>4018</v>
      </c>
      <c r="F1837" t="str">
        <f>LEFT(E1837,5)</f>
        <v>서울특별시</v>
      </c>
      <c r="G1837" t="str">
        <f t="shared" si="74"/>
        <v xml:space="preserve">중랑구 </v>
      </c>
      <c r="H1837" t="str">
        <f t="shared" si="75"/>
        <v>면목동</v>
      </c>
      <c r="I1837" t="s">
        <v>4019</v>
      </c>
      <c r="J1837" t="s">
        <v>4020</v>
      </c>
      <c r="K1837" t="s">
        <v>4021</v>
      </c>
    </row>
    <row r="1838" spans="1:11" x14ac:dyDescent="0.4">
      <c r="A1838" t="s">
        <v>3282</v>
      </c>
      <c r="B1838" t="s">
        <v>9</v>
      </c>
      <c r="C1838" t="s">
        <v>10</v>
      </c>
      <c r="D1838" t="s">
        <v>3283</v>
      </c>
      <c r="E1838" t="s">
        <v>3284</v>
      </c>
      <c r="F1838" t="str">
        <f>LEFT(E1838,5)</f>
        <v>서울특별시</v>
      </c>
      <c r="G1838" t="str">
        <f t="shared" si="74"/>
        <v xml:space="preserve">중랑구 </v>
      </c>
      <c r="H1838" t="str">
        <f t="shared" si="75"/>
        <v>면목동</v>
      </c>
      <c r="I1838" t="s">
        <v>3285</v>
      </c>
      <c r="J1838" t="s">
        <v>3286</v>
      </c>
      <c r="K1838" t="s">
        <v>3287</v>
      </c>
    </row>
    <row r="1839" spans="1:11" x14ac:dyDescent="0.4">
      <c r="A1839" t="s">
        <v>8722</v>
      </c>
      <c r="B1839" t="s">
        <v>9</v>
      </c>
      <c r="C1839" t="s">
        <v>10</v>
      </c>
      <c r="D1839" t="s">
        <v>8723</v>
      </c>
      <c r="E1839" t="s">
        <v>8724</v>
      </c>
      <c r="F1839" t="str">
        <f>LEFT(E1839,5)</f>
        <v>서울특별시</v>
      </c>
      <c r="G1839" t="str">
        <f t="shared" si="74"/>
        <v xml:space="preserve">중랑구 </v>
      </c>
      <c r="H1839" t="str">
        <f t="shared" si="75"/>
        <v>면목동</v>
      </c>
      <c r="I1839" t="s">
        <v>8725</v>
      </c>
      <c r="J1839" t="s">
        <v>8726</v>
      </c>
      <c r="K1839" t="s">
        <v>8727</v>
      </c>
    </row>
    <row r="1840" spans="1:11" x14ac:dyDescent="0.4">
      <c r="A1840" t="s">
        <v>5103</v>
      </c>
      <c r="B1840" t="s">
        <v>9</v>
      </c>
      <c r="C1840" t="s">
        <v>10</v>
      </c>
      <c r="D1840" t="s">
        <v>5104</v>
      </c>
      <c r="E1840" t="s">
        <v>5105</v>
      </c>
      <c r="F1840" t="str">
        <f>LEFT(E1840,5)</f>
        <v>서울특별시</v>
      </c>
      <c r="G1840" t="str">
        <f t="shared" si="74"/>
        <v xml:space="preserve">중랑구 </v>
      </c>
      <c r="H1840" t="str">
        <f t="shared" si="75"/>
        <v>면목동</v>
      </c>
      <c r="I1840" t="s">
        <v>5106</v>
      </c>
      <c r="J1840" t="s">
        <v>5107</v>
      </c>
      <c r="K1840" t="s">
        <v>5108</v>
      </c>
    </row>
    <row r="1841" spans="1:11" x14ac:dyDescent="0.4">
      <c r="A1841" t="s">
        <v>6934</v>
      </c>
      <c r="B1841" t="s">
        <v>9</v>
      </c>
      <c r="C1841" t="s">
        <v>10</v>
      </c>
      <c r="D1841" t="s">
        <v>4017</v>
      </c>
      <c r="E1841" t="s">
        <v>6935</v>
      </c>
      <c r="F1841" t="str">
        <f>LEFT(E1841,5)</f>
        <v>서울특별시</v>
      </c>
      <c r="G1841" t="str">
        <f t="shared" si="74"/>
        <v xml:space="preserve">중랑구 </v>
      </c>
      <c r="H1841" t="str">
        <f t="shared" si="75"/>
        <v>면목동</v>
      </c>
      <c r="I1841" t="s">
        <v>6936</v>
      </c>
      <c r="J1841" t="s">
        <v>6937</v>
      </c>
      <c r="K1841" t="s">
        <v>6938</v>
      </c>
    </row>
    <row r="1842" spans="1:11" x14ac:dyDescent="0.4">
      <c r="A1842" t="s">
        <v>1477</v>
      </c>
      <c r="B1842" t="s">
        <v>9</v>
      </c>
      <c r="C1842" t="s">
        <v>10</v>
      </c>
      <c r="D1842" t="s">
        <v>1478</v>
      </c>
      <c r="E1842" t="s">
        <v>1479</v>
      </c>
      <c r="F1842" t="str">
        <f>LEFT(E1842,5)</f>
        <v>서울특별시</v>
      </c>
      <c r="G1842" t="str">
        <f t="shared" si="74"/>
        <v xml:space="preserve">중랑구 </v>
      </c>
      <c r="H1842" t="str">
        <f t="shared" si="75"/>
        <v>면목동</v>
      </c>
      <c r="I1842" t="s">
        <v>1480</v>
      </c>
      <c r="J1842" t="s">
        <v>1481</v>
      </c>
      <c r="K1842" t="s">
        <v>1482</v>
      </c>
    </row>
    <row r="1843" spans="1:11" x14ac:dyDescent="0.4">
      <c r="A1843" t="s">
        <v>6229</v>
      </c>
      <c r="B1843" t="s">
        <v>9</v>
      </c>
      <c r="C1843" t="s">
        <v>10</v>
      </c>
      <c r="D1843" t="s">
        <v>1478</v>
      </c>
      <c r="E1843" t="s">
        <v>6230</v>
      </c>
      <c r="F1843" t="str">
        <f>LEFT(E1843,5)</f>
        <v>서울특별시</v>
      </c>
      <c r="G1843" t="str">
        <f t="shared" si="74"/>
        <v xml:space="preserve">중랑구 </v>
      </c>
      <c r="H1843" t="str">
        <f t="shared" si="75"/>
        <v>면목동</v>
      </c>
      <c r="I1843" t="s">
        <v>6231</v>
      </c>
      <c r="J1843" t="s">
        <v>3756</v>
      </c>
      <c r="K1843" t="s">
        <v>6232</v>
      </c>
    </row>
    <row r="1844" spans="1:11" x14ac:dyDescent="0.4">
      <c r="A1844" t="s">
        <v>3753</v>
      </c>
      <c r="B1844" t="s">
        <v>9</v>
      </c>
      <c r="C1844" t="s">
        <v>10</v>
      </c>
      <c r="D1844" t="s">
        <v>1478</v>
      </c>
      <c r="E1844" t="s">
        <v>3754</v>
      </c>
      <c r="F1844" t="str">
        <f>LEFT(E1844,5)</f>
        <v>서울특별시</v>
      </c>
      <c r="G1844" t="str">
        <f t="shared" si="74"/>
        <v xml:space="preserve">중랑구 </v>
      </c>
      <c r="H1844" t="str">
        <f t="shared" si="75"/>
        <v>면목동</v>
      </c>
      <c r="I1844" t="s">
        <v>3755</v>
      </c>
      <c r="J1844" t="s">
        <v>3756</v>
      </c>
      <c r="K1844" t="s">
        <v>711</v>
      </c>
    </row>
    <row r="1845" spans="1:11" x14ac:dyDescent="0.4">
      <c r="A1845" t="s">
        <v>3315</v>
      </c>
      <c r="B1845" t="s">
        <v>9</v>
      </c>
      <c r="C1845" t="s">
        <v>10</v>
      </c>
      <c r="D1845" t="s">
        <v>974</v>
      </c>
      <c r="E1845" t="s">
        <v>3316</v>
      </c>
      <c r="F1845" t="str">
        <f>LEFT(E1845,5)</f>
        <v>서울특별시</v>
      </c>
      <c r="G1845" t="str">
        <f t="shared" si="74"/>
        <v xml:space="preserve">중랑구 </v>
      </c>
      <c r="H1845" t="str">
        <f t="shared" si="75"/>
        <v>면목동</v>
      </c>
      <c r="I1845" t="s">
        <v>3317</v>
      </c>
      <c r="J1845" t="s">
        <v>3318</v>
      </c>
      <c r="K1845" t="s">
        <v>3319</v>
      </c>
    </row>
    <row r="1846" spans="1:11" x14ac:dyDescent="0.4">
      <c r="A1846" t="s">
        <v>8343</v>
      </c>
      <c r="B1846" t="s">
        <v>9</v>
      </c>
      <c r="C1846" t="s">
        <v>10</v>
      </c>
      <c r="D1846" t="s">
        <v>974</v>
      </c>
      <c r="E1846" t="s">
        <v>8344</v>
      </c>
      <c r="F1846" t="str">
        <f>LEFT(E1846,5)</f>
        <v>서울특별시</v>
      </c>
      <c r="G1846" t="str">
        <f t="shared" si="74"/>
        <v xml:space="preserve">중랑구 </v>
      </c>
      <c r="H1846" t="str">
        <f t="shared" si="75"/>
        <v>면목동</v>
      </c>
      <c r="I1846" t="s">
        <v>8345</v>
      </c>
      <c r="J1846" t="s">
        <v>8346</v>
      </c>
      <c r="K1846" t="s">
        <v>8347</v>
      </c>
    </row>
    <row r="1847" spans="1:11" x14ac:dyDescent="0.4">
      <c r="A1847" t="s">
        <v>973</v>
      </c>
      <c r="B1847" t="s">
        <v>9</v>
      </c>
      <c r="C1847" t="s">
        <v>10</v>
      </c>
      <c r="D1847" t="s">
        <v>974</v>
      </c>
      <c r="E1847" t="s">
        <v>975</v>
      </c>
      <c r="F1847" t="str">
        <f>LEFT(E1847,5)</f>
        <v>서울특별시</v>
      </c>
      <c r="G1847" t="str">
        <f t="shared" si="74"/>
        <v xml:space="preserve">중랑구 </v>
      </c>
      <c r="H1847" t="str">
        <f t="shared" si="75"/>
        <v>면목동</v>
      </c>
      <c r="I1847" t="s">
        <v>976</v>
      </c>
      <c r="J1847" t="s">
        <v>977</v>
      </c>
      <c r="K1847" t="s">
        <v>978</v>
      </c>
    </row>
    <row r="1848" spans="1:11" x14ac:dyDescent="0.4">
      <c r="A1848" t="s">
        <v>5080</v>
      </c>
      <c r="B1848" t="s">
        <v>9</v>
      </c>
      <c r="C1848" t="s">
        <v>10</v>
      </c>
      <c r="D1848" t="s">
        <v>3283</v>
      </c>
      <c r="E1848" t="s">
        <v>5081</v>
      </c>
      <c r="F1848" t="str">
        <f>LEFT(E1848,5)</f>
        <v>서울특별시</v>
      </c>
      <c r="G1848" t="str">
        <f t="shared" si="74"/>
        <v xml:space="preserve">중랑구 </v>
      </c>
      <c r="H1848" t="str">
        <f t="shared" si="75"/>
        <v>면목동</v>
      </c>
      <c r="I1848" t="s">
        <v>5082</v>
      </c>
      <c r="J1848" t="s">
        <v>5083</v>
      </c>
      <c r="K1848" t="s">
        <v>5084</v>
      </c>
    </row>
    <row r="1849" spans="1:11" x14ac:dyDescent="0.4">
      <c r="A1849" t="s">
        <v>7515</v>
      </c>
      <c r="B1849" t="s">
        <v>9</v>
      </c>
      <c r="C1849" t="s">
        <v>10</v>
      </c>
      <c r="D1849" t="s">
        <v>7516</v>
      </c>
      <c r="E1849" t="s">
        <v>7517</v>
      </c>
      <c r="F1849" t="str">
        <f>LEFT(E1849,5)</f>
        <v>서울특별시</v>
      </c>
      <c r="G1849" t="str">
        <f t="shared" si="74"/>
        <v xml:space="preserve">중랑구 </v>
      </c>
      <c r="H1849" t="str">
        <f t="shared" si="75"/>
        <v>면목동</v>
      </c>
      <c r="I1849" t="s">
        <v>7518</v>
      </c>
      <c r="J1849" t="s">
        <v>7519</v>
      </c>
      <c r="K1849" t="s">
        <v>7520</v>
      </c>
    </row>
    <row r="1850" spans="1:11" x14ac:dyDescent="0.4">
      <c r="A1850" t="s">
        <v>5423</v>
      </c>
      <c r="B1850" t="s">
        <v>9</v>
      </c>
      <c r="C1850" t="s">
        <v>10</v>
      </c>
      <c r="D1850" t="s">
        <v>4633</v>
      </c>
      <c r="E1850" t="s">
        <v>5424</v>
      </c>
      <c r="F1850" t="str">
        <f>LEFT(E1850,5)</f>
        <v>서울특별시</v>
      </c>
      <c r="G1850" t="str">
        <f t="shared" si="74"/>
        <v xml:space="preserve">중랑구 </v>
      </c>
      <c r="H1850" t="str">
        <f t="shared" si="75"/>
        <v>면목동</v>
      </c>
      <c r="I1850" t="s">
        <v>5425</v>
      </c>
      <c r="J1850" t="s">
        <v>5426</v>
      </c>
      <c r="K1850" t="s">
        <v>1558</v>
      </c>
    </row>
    <row r="1851" spans="1:11" x14ac:dyDescent="0.4">
      <c r="A1851" t="s">
        <v>4632</v>
      </c>
      <c r="B1851" t="s">
        <v>9</v>
      </c>
      <c r="C1851" t="s">
        <v>10</v>
      </c>
      <c r="D1851" t="s">
        <v>4633</v>
      </c>
      <c r="E1851" t="s">
        <v>4634</v>
      </c>
      <c r="F1851" t="str">
        <f>LEFT(E1851,5)</f>
        <v>서울특별시</v>
      </c>
      <c r="G1851" t="str">
        <f t="shared" si="74"/>
        <v xml:space="preserve">중랑구 </v>
      </c>
      <c r="H1851" t="str">
        <f t="shared" si="75"/>
        <v>면목동</v>
      </c>
      <c r="I1851" t="s">
        <v>4635</v>
      </c>
      <c r="J1851" t="s">
        <v>4636</v>
      </c>
      <c r="K1851" t="s">
        <v>4637</v>
      </c>
    </row>
    <row r="1852" spans="1:11" x14ac:dyDescent="0.4">
      <c r="A1852" t="s">
        <v>5010</v>
      </c>
      <c r="B1852" t="s">
        <v>9</v>
      </c>
      <c r="C1852" t="s">
        <v>10</v>
      </c>
      <c r="D1852" t="s">
        <v>4633</v>
      </c>
      <c r="E1852" t="s">
        <v>5011</v>
      </c>
      <c r="F1852" t="str">
        <f>LEFT(E1852,5)</f>
        <v>서울특별시</v>
      </c>
      <c r="G1852" t="str">
        <f t="shared" si="74"/>
        <v xml:space="preserve">중랑구 </v>
      </c>
      <c r="H1852" t="str">
        <f t="shared" si="75"/>
        <v>면목동</v>
      </c>
      <c r="I1852" t="s">
        <v>5012</v>
      </c>
      <c r="J1852" t="s">
        <v>4636</v>
      </c>
      <c r="K1852" t="s">
        <v>5013</v>
      </c>
    </row>
    <row r="1853" spans="1:11" x14ac:dyDescent="0.4">
      <c r="A1853" t="s">
        <v>6455</v>
      </c>
      <c r="B1853" t="s">
        <v>9</v>
      </c>
      <c r="C1853" t="s">
        <v>10</v>
      </c>
      <c r="D1853" t="s">
        <v>4633</v>
      </c>
      <c r="E1853" t="s">
        <v>6456</v>
      </c>
      <c r="F1853" t="str">
        <f>LEFT(E1853,5)</f>
        <v>서울특별시</v>
      </c>
      <c r="G1853" t="str">
        <f t="shared" si="74"/>
        <v xml:space="preserve">중랑구 </v>
      </c>
      <c r="H1853" t="str">
        <f t="shared" si="75"/>
        <v>면목동</v>
      </c>
      <c r="I1853" t="s">
        <v>6457</v>
      </c>
      <c r="J1853" t="s">
        <v>6458</v>
      </c>
      <c r="K1853" t="s">
        <v>6459</v>
      </c>
    </row>
    <row r="1854" spans="1:11" x14ac:dyDescent="0.4">
      <c r="A1854" t="s">
        <v>8787</v>
      </c>
      <c r="B1854" t="s">
        <v>9</v>
      </c>
      <c r="C1854" t="s">
        <v>10</v>
      </c>
      <c r="D1854" t="s">
        <v>591</v>
      </c>
      <c r="E1854" t="s">
        <v>8788</v>
      </c>
      <c r="F1854" t="str">
        <f>LEFT(E1854,5)</f>
        <v>서울특별시</v>
      </c>
      <c r="G1854" t="str">
        <f t="shared" si="74"/>
        <v xml:space="preserve">중랑구 </v>
      </c>
      <c r="H1854" t="str">
        <f>MID(SUBSTITUTE(E1854," ",""),9,2)</f>
        <v>묵동</v>
      </c>
      <c r="I1854" t="s">
        <v>8789</v>
      </c>
      <c r="J1854" t="s">
        <v>803</v>
      </c>
      <c r="K1854" t="s">
        <v>8790</v>
      </c>
    </row>
    <row r="1855" spans="1:11" x14ac:dyDescent="0.4">
      <c r="A1855" t="s">
        <v>1218</v>
      </c>
      <c r="B1855" t="s">
        <v>9</v>
      </c>
      <c r="C1855" t="s">
        <v>10</v>
      </c>
      <c r="D1855" t="s">
        <v>591</v>
      </c>
      <c r="E1855" t="s">
        <v>1219</v>
      </c>
      <c r="F1855" t="str">
        <f>LEFT(E1855,5)</f>
        <v>서울특별시</v>
      </c>
      <c r="G1855" t="str">
        <f t="shared" si="74"/>
        <v xml:space="preserve">중랑구 </v>
      </c>
      <c r="H1855" t="str">
        <f t="shared" ref="H1855:H1876" si="76">MID(SUBSTITUTE(E1855," ",""),9,2)</f>
        <v>묵동</v>
      </c>
      <c r="I1855" t="s">
        <v>1220</v>
      </c>
      <c r="J1855" t="s">
        <v>803</v>
      </c>
      <c r="K1855" t="s">
        <v>1221</v>
      </c>
    </row>
    <row r="1856" spans="1:11" x14ac:dyDescent="0.4">
      <c r="A1856" t="s">
        <v>800</v>
      </c>
      <c r="B1856" t="s">
        <v>9</v>
      </c>
      <c r="C1856" t="s">
        <v>10</v>
      </c>
      <c r="D1856" t="s">
        <v>591</v>
      </c>
      <c r="E1856" t="s">
        <v>801</v>
      </c>
      <c r="F1856" t="str">
        <f>LEFT(E1856,5)</f>
        <v>서울특별시</v>
      </c>
      <c r="G1856" t="str">
        <f t="shared" si="74"/>
        <v xml:space="preserve">중랑구 </v>
      </c>
      <c r="H1856" t="str">
        <f t="shared" si="76"/>
        <v>묵동</v>
      </c>
      <c r="I1856" t="s">
        <v>802</v>
      </c>
      <c r="J1856" t="s">
        <v>803</v>
      </c>
      <c r="K1856" t="s">
        <v>804</v>
      </c>
    </row>
    <row r="1857" spans="1:11" x14ac:dyDescent="0.4">
      <c r="A1857" t="s">
        <v>1810</v>
      </c>
      <c r="B1857" t="s">
        <v>9</v>
      </c>
      <c r="C1857" t="s">
        <v>10</v>
      </c>
      <c r="D1857" t="s">
        <v>591</v>
      </c>
      <c r="E1857" t="s">
        <v>1811</v>
      </c>
      <c r="F1857" t="str">
        <f>LEFT(E1857,5)</f>
        <v>서울특별시</v>
      </c>
      <c r="G1857" t="str">
        <f t="shared" si="74"/>
        <v xml:space="preserve">중랑구 </v>
      </c>
      <c r="H1857" t="str">
        <f t="shared" si="76"/>
        <v>묵동</v>
      </c>
      <c r="I1857" t="s">
        <v>1812</v>
      </c>
      <c r="J1857" t="s">
        <v>803</v>
      </c>
      <c r="K1857" t="s">
        <v>1813</v>
      </c>
    </row>
    <row r="1858" spans="1:11" x14ac:dyDescent="0.4">
      <c r="A1858" t="s">
        <v>8732</v>
      </c>
      <c r="B1858" t="s">
        <v>9</v>
      </c>
      <c r="C1858" t="s">
        <v>10</v>
      </c>
      <c r="D1858" t="s">
        <v>591</v>
      </c>
      <c r="E1858" t="s">
        <v>8733</v>
      </c>
      <c r="F1858" t="str">
        <f>LEFT(E1858,5)</f>
        <v>서울특별시</v>
      </c>
      <c r="G1858" t="str">
        <f t="shared" si="74"/>
        <v xml:space="preserve">중랑구 </v>
      </c>
      <c r="H1858" t="str">
        <f t="shared" si="76"/>
        <v>묵동</v>
      </c>
      <c r="I1858" t="s">
        <v>8734</v>
      </c>
      <c r="J1858" t="s">
        <v>4685</v>
      </c>
      <c r="K1858" t="s">
        <v>8735</v>
      </c>
    </row>
    <row r="1859" spans="1:11" x14ac:dyDescent="0.4">
      <c r="A1859" t="s">
        <v>4682</v>
      </c>
      <c r="B1859" t="s">
        <v>9</v>
      </c>
      <c r="C1859" t="s">
        <v>10</v>
      </c>
      <c r="D1859" t="s">
        <v>591</v>
      </c>
      <c r="E1859" t="s">
        <v>4683</v>
      </c>
      <c r="F1859" t="str">
        <f>LEFT(E1859,5)</f>
        <v>서울특별시</v>
      </c>
      <c r="G1859" t="str">
        <f t="shared" ref="G1859:G1896" si="77">MID(E1859,7,4)</f>
        <v xml:space="preserve">중랑구 </v>
      </c>
      <c r="H1859" t="str">
        <f t="shared" si="76"/>
        <v>묵동</v>
      </c>
      <c r="I1859" t="s">
        <v>4684</v>
      </c>
      <c r="J1859" t="s">
        <v>4685</v>
      </c>
      <c r="K1859" t="s">
        <v>4686</v>
      </c>
    </row>
    <row r="1860" spans="1:11" x14ac:dyDescent="0.4">
      <c r="A1860" t="s">
        <v>6496</v>
      </c>
      <c r="B1860" t="s">
        <v>9</v>
      </c>
      <c r="C1860" t="s">
        <v>10</v>
      </c>
      <c r="D1860" t="s">
        <v>591</v>
      </c>
      <c r="E1860" t="s">
        <v>6497</v>
      </c>
      <c r="F1860" t="str">
        <f>LEFT(E1860,5)</f>
        <v>서울특별시</v>
      </c>
      <c r="G1860" t="str">
        <f t="shared" si="77"/>
        <v xml:space="preserve">중랑구 </v>
      </c>
      <c r="H1860" t="str">
        <f t="shared" si="76"/>
        <v>묵동</v>
      </c>
      <c r="I1860" t="s">
        <v>6498</v>
      </c>
      <c r="J1860" t="s">
        <v>4685</v>
      </c>
      <c r="K1860" t="s">
        <v>6499</v>
      </c>
    </row>
    <row r="1861" spans="1:11" x14ac:dyDescent="0.4">
      <c r="A1861" t="s">
        <v>8650</v>
      </c>
      <c r="B1861" t="s">
        <v>9</v>
      </c>
      <c r="C1861" t="s">
        <v>10</v>
      </c>
      <c r="D1861" t="s">
        <v>591</v>
      </c>
      <c r="E1861" t="s">
        <v>8651</v>
      </c>
      <c r="F1861" t="str">
        <f>LEFT(E1861,5)</f>
        <v>서울특별시</v>
      </c>
      <c r="G1861" t="str">
        <f t="shared" si="77"/>
        <v xml:space="preserve">중랑구 </v>
      </c>
      <c r="H1861" t="str">
        <f t="shared" si="76"/>
        <v>묵동</v>
      </c>
      <c r="I1861" t="s">
        <v>8652</v>
      </c>
      <c r="J1861" t="s">
        <v>594</v>
      </c>
      <c r="K1861" t="s">
        <v>8653</v>
      </c>
    </row>
    <row r="1862" spans="1:11" x14ac:dyDescent="0.4">
      <c r="A1862" t="s">
        <v>590</v>
      </c>
      <c r="B1862" t="s">
        <v>9</v>
      </c>
      <c r="C1862" t="s">
        <v>10</v>
      </c>
      <c r="D1862" t="s">
        <v>591</v>
      </c>
      <c r="E1862" t="s">
        <v>592</v>
      </c>
      <c r="F1862" t="str">
        <f>LEFT(E1862,5)</f>
        <v>서울특별시</v>
      </c>
      <c r="G1862" t="str">
        <f t="shared" si="77"/>
        <v xml:space="preserve">중랑구 </v>
      </c>
      <c r="H1862" t="str">
        <f t="shared" si="76"/>
        <v>묵동</v>
      </c>
      <c r="I1862" t="s">
        <v>593</v>
      </c>
      <c r="J1862" t="s">
        <v>594</v>
      </c>
      <c r="K1862" t="s">
        <v>595</v>
      </c>
    </row>
    <row r="1863" spans="1:11" x14ac:dyDescent="0.4">
      <c r="A1863" t="s">
        <v>8110</v>
      </c>
      <c r="B1863" t="s">
        <v>9</v>
      </c>
      <c r="C1863" t="s">
        <v>10</v>
      </c>
      <c r="D1863" t="s">
        <v>8111</v>
      </c>
      <c r="E1863" t="s">
        <v>8112</v>
      </c>
      <c r="F1863" t="str">
        <f>LEFT(E1863,5)</f>
        <v>서울특별시</v>
      </c>
      <c r="G1863" t="str">
        <f t="shared" si="77"/>
        <v xml:space="preserve">중랑구 </v>
      </c>
      <c r="H1863" t="str">
        <f t="shared" si="76"/>
        <v>묵동</v>
      </c>
      <c r="I1863" t="s">
        <v>8113</v>
      </c>
      <c r="J1863" t="s">
        <v>8114</v>
      </c>
      <c r="K1863" t="s">
        <v>8115</v>
      </c>
    </row>
    <row r="1864" spans="1:11" x14ac:dyDescent="0.4">
      <c r="A1864" t="s">
        <v>7738</v>
      </c>
      <c r="B1864" t="s">
        <v>9</v>
      </c>
      <c r="C1864" t="s">
        <v>10</v>
      </c>
      <c r="D1864" t="s">
        <v>3464</v>
      </c>
      <c r="E1864" t="s">
        <v>7739</v>
      </c>
      <c r="F1864" t="str">
        <f>LEFT(E1864,5)</f>
        <v>서울특별시</v>
      </c>
      <c r="G1864" t="str">
        <f t="shared" si="77"/>
        <v xml:space="preserve">중랑구 </v>
      </c>
      <c r="H1864" t="str">
        <f t="shared" si="76"/>
        <v>묵동</v>
      </c>
      <c r="I1864" t="s">
        <v>7740</v>
      </c>
      <c r="J1864" t="s">
        <v>7741</v>
      </c>
      <c r="K1864" t="s">
        <v>4212</v>
      </c>
    </row>
    <row r="1865" spans="1:11" x14ac:dyDescent="0.4">
      <c r="A1865" t="s">
        <v>3953</v>
      </c>
      <c r="B1865" t="s">
        <v>9</v>
      </c>
      <c r="C1865" t="s">
        <v>10</v>
      </c>
      <c r="D1865" t="s">
        <v>3464</v>
      </c>
      <c r="E1865" t="s">
        <v>3954</v>
      </c>
      <c r="F1865" t="str">
        <f>LEFT(E1865,5)</f>
        <v>서울특별시</v>
      </c>
      <c r="G1865" t="str">
        <f t="shared" si="77"/>
        <v xml:space="preserve">중랑구 </v>
      </c>
      <c r="H1865" t="str">
        <f t="shared" si="76"/>
        <v>묵동</v>
      </c>
      <c r="I1865" t="s">
        <v>3955</v>
      </c>
      <c r="J1865" t="s">
        <v>3467</v>
      </c>
      <c r="K1865" t="s">
        <v>3956</v>
      </c>
    </row>
    <row r="1866" spans="1:11" x14ac:dyDescent="0.4">
      <c r="A1866" t="s">
        <v>3463</v>
      </c>
      <c r="B1866" t="s">
        <v>9</v>
      </c>
      <c r="C1866" t="s">
        <v>10</v>
      </c>
      <c r="D1866" t="s">
        <v>3464</v>
      </c>
      <c r="E1866" t="s">
        <v>3465</v>
      </c>
      <c r="F1866" t="str">
        <f>LEFT(E1866,5)</f>
        <v>서울특별시</v>
      </c>
      <c r="G1866" t="str">
        <f t="shared" si="77"/>
        <v xml:space="preserve">중랑구 </v>
      </c>
      <c r="H1866" t="str">
        <f t="shared" si="76"/>
        <v>묵동</v>
      </c>
      <c r="I1866" t="s">
        <v>3466</v>
      </c>
      <c r="J1866" t="s">
        <v>3467</v>
      </c>
      <c r="K1866" t="s">
        <v>3468</v>
      </c>
    </row>
    <row r="1867" spans="1:11" x14ac:dyDescent="0.4">
      <c r="A1867" t="s">
        <v>5250</v>
      </c>
      <c r="B1867" t="s">
        <v>9</v>
      </c>
      <c r="C1867" t="s">
        <v>10</v>
      </c>
      <c r="D1867" t="s">
        <v>3464</v>
      </c>
      <c r="E1867" t="s">
        <v>5251</v>
      </c>
      <c r="F1867" t="str">
        <f>LEFT(E1867,5)</f>
        <v>서울특별시</v>
      </c>
      <c r="G1867" t="str">
        <f t="shared" si="77"/>
        <v xml:space="preserve">중랑구 </v>
      </c>
      <c r="H1867" t="str">
        <f t="shared" si="76"/>
        <v>묵동</v>
      </c>
      <c r="I1867" t="s">
        <v>5252</v>
      </c>
      <c r="J1867" t="s">
        <v>3467</v>
      </c>
      <c r="K1867" t="s">
        <v>5253</v>
      </c>
    </row>
    <row r="1868" spans="1:11" x14ac:dyDescent="0.4">
      <c r="A1868" t="s">
        <v>5109</v>
      </c>
      <c r="B1868" t="s">
        <v>9</v>
      </c>
      <c r="C1868" t="s">
        <v>10</v>
      </c>
      <c r="D1868" t="s">
        <v>3464</v>
      </c>
      <c r="E1868" t="s">
        <v>5110</v>
      </c>
      <c r="F1868" t="str">
        <f>LEFT(E1868,5)</f>
        <v>서울특별시</v>
      </c>
      <c r="G1868" t="str">
        <f t="shared" si="77"/>
        <v xml:space="preserve">중랑구 </v>
      </c>
      <c r="H1868" t="str">
        <f t="shared" si="76"/>
        <v>묵동</v>
      </c>
      <c r="I1868" t="s">
        <v>5111</v>
      </c>
      <c r="J1868" t="s">
        <v>5112</v>
      </c>
      <c r="K1868" t="s">
        <v>5113</v>
      </c>
    </row>
    <row r="1869" spans="1:11" x14ac:dyDescent="0.4">
      <c r="A1869" t="s">
        <v>6930</v>
      </c>
      <c r="B1869" t="s">
        <v>9</v>
      </c>
      <c r="C1869" t="s">
        <v>10</v>
      </c>
      <c r="D1869" t="s">
        <v>3464</v>
      </c>
      <c r="E1869" t="s">
        <v>6931</v>
      </c>
      <c r="F1869" t="str">
        <f>LEFT(E1869,5)</f>
        <v>서울특별시</v>
      </c>
      <c r="G1869" t="str">
        <f t="shared" si="77"/>
        <v xml:space="preserve">중랑구 </v>
      </c>
      <c r="H1869" t="str">
        <f t="shared" si="76"/>
        <v>묵동</v>
      </c>
      <c r="I1869" t="s">
        <v>6932</v>
      </c>
      <c r="J1869" t="s">
        <v>5112</v>
      </c>
      <c r="K1869" t="s">
        <v>6933</v>
      </c>
    </row>
    <row r="1870" spans="1:11" x14ac:dyDescent="0.4">
      <c r="A1870" t="s">
        <v>4285</v>
      </c>
      <c r="B1870" t="s">
        <v>9</v>
      </c>
      <c r="C1870" t="s">
        <v>10</v>
      </c>
      <c r="D1870" t="s">
        <v>4286</v>
      </c>
      <c r="E1870" t="s">
        <v>4287</v>
      </c>
      <c r="F1870" t="str">
        <f>LEFT(E1870,5)</f>
        <v>서울특별시</v>
      </c>
      <c r="G1870" t="str">
        <f t="shared" si="77"/>
        <v xml:space="preserve">중랑구 </v>
      </c>
      <c r="H1870" t="str">
        <f t="shared" si="76"/>
        <v>묵동</v>
      </c>
      <c r="I1870" t="s">
        <v>4288</v>
      </c>
      <c r="J1870" t="s">
        <v>4289</v>
      </c>
      <c r="K1870" t="s">
        <v>4290</v>
      </c>
    </row>
    <row r="1871" spans="1:11" x14ac:dyDescent="0.4">
      <c r="A1871" t="s">
        <v>5576</v>
      </c>
      <c r="B1871" t="s">
        <v>9</v>
      </c>
      <c r="C1871" t="s">
        <v>10</v>
      </c>
      <c r="D1871" t="s">
        <v>4286</v>
      </c>
      <c r="E1871" t="s">
        <v>5577</v>
      </c>
      <c r="F1871" t="str">
        <f>LEFT(E1871,5)</f>
        <v>서울특별시</v>
      </c>
      <c r="G1871" t="str">
        <f t="shared" si="77"/>
        <v xml:space="preserve">중랑구 </v>
      </c>
      <c r="H1871" t="str">
        <f t="shared" si="76"/>
        <v>묵동</v>
      </c>
      <c r="I1871" t="s">
        <v>5578</v>
      </c>
      <c r="J1871" t="s">
        <v>4289</v>
      </c>
      <c r="K1871" t="s">
        <v>4519</v>
      </c>
    </row>
    <row r="1872" spans="1:11" x14ac:dyDescent="0.4">
      <c r="A1872" t="s">
        <v>6570</v>
      </c>
      <c r="B1872" t="s">
        <v>9</v>
      </c>
      <c r="C1872" t="s">
        <v>10</v>
      </c>
      <c r="D1872" t="s">
        <v>4286</v>
      </c>
      <c r="E1872" t="s">
        <v>6571</v>
      </c>
      <c r="F1872" t="str">
        <f>LEFT(E1872,5)</f>
        <v>서울특별시</v>
      </c>
      <c r="G1872" t="str">
        <f t="shared" si="77"/>
        <v xml:space="preserve">중랑구 </v>
      </c>
      <c r="H1872" t="str">
        <f t="shared" si="76"/>
        <v>묵동</v>
      </c>
      <c r="I1872" t="s">
        <v>6572</v>
      </c>
      <c r="J1872" t="s">
        <v>4289</v>
      </c>
      <c r="K1872" t="s">
        <v>6573</v>
      </c>
    </row>
    <row r="1873" spans="1:11" x14ac:dyDescent="0.4">
      <c r="A1873" t="s">
        <v>4744</v>
      </c>
      <c r="B1873" t="s">
        <v>9</v>
      </c>
      <c r="C1873" t="s">
        <v>10</v>
      </c>
      <c r="D1873" t="s">
        <v>4286</v>
      </c>
      <c r="E1873" t="s">
        <v>4745</v>
      </c>
      <c r="F1873" t="str">
        <f>LEFT(E1873,5)</f>
        <v>서울특별시</v>
      </c>
      <c r="G1873" t="str">
        <f t="shared" si="77"/>
        <v xml:space="preserve">중랑구 </v>
      </c>
      <c r="H1873" t="str">
        <f t="shared" si="76"/>
        <v>묵동</v>
      </c>
      <c r="I1873" t="s">
        <v>4746</v>
      </c>
      <c r="J1873" t="s">
        <v>4289</v>
      </c>
      <c r="K1873" t="s">
        <v>3624</v>
      </c>
    </row>
    <row r="1874" spans="1:11" x14ac:dyDescent="0.4">
      <c r="A1874" t="s">
        <v>4378</v>
      </c>
      <c r="B1874" t="s">
        <v>9</v>
      </c>
      <c r="C1874" t="s">
        <v>10</v>
      </c>
      <c r="D1874" t="s">
        <v>4286</v>
      </c>
      <c r="E1874" t="s">
        <v>4379</v>
      </c>
      <c r="F1874" t="str">
        <f>LEFT(E1874,5)</f>
        <v>서울특별시</v>
      </c>
      <c r="G1874" t="str">
        <f t="shared" si="77"/>
        <v xml:space="preserve">중랑구 </v>
      </c>
      <c r="H1874" t="str">
        <f t="shared" si="76"/>
        <v>묵동</v>
      </c>
      <c r="I1874" t="s">
        <v>4380</v>
      </c>
      <c r="J1874" t="s">
        <v>4289</v>
      </c>
      <c r="K1874" t="s">
        <v>4381</v>
      </c>
    </row>
    <row r="1875" spans="1:11" x14ac:dyDescent="0.4">
      <c r="A1875" t="s">
        <v>5920</v>
      </c>
      <c r="B1875" t="s">
        <v>9</v>
      </c>
      <c r="C1875" t="s">
        <v>10</v>
      </c>
      <c r="D1875" t="s">
        <v>4132</v>
      </c>
      <c r="E1875" t="s">
        <v>5921</v>
      </c>
      <c r="F1875" t="str">
        <f>LEFT(E1875,5)</f>
        <v>서울특별시</v>
      </c>
      <c r="G1875" t="str">
        <f t="shared" si="77"/>
        <v xml:space="preserve">중랑구 </v>
      </c>
      <c r="H1875" t="str">
        <f t="shared" si="76"/>
        <v>묵동</v>
      </c>
      <c r="I1875" t="s">
        <v>5922</v>
      </c>
      <c r="J1875" t="s">
        <v>4135</v>
      </c>
      <c r="K1875" t="s">
        <v>4966</v>
      </c>
    </row>
    <row r="1876" spans="1:11" x14ac:dyDescent="0.4">
      <c r="A1876" t="s">
        <v>4131</v>
      </c>
      <c r="B1876" t="s">
        <v>9</v>
      </c>
      <c r="C1876" t="s">
        <v>10</v>
      </c>
      <c r="D1876" t="s">
        <v>4132</v>
      </c>
      <c r="E1876" t="s">
        <v>4133</v>
      </c>
      <c r="F1876" t="str">
        <f>LEFT(E1876,5)</f>
        <v>서울특별시</v>
      </c>
      <c r="G1876" t="str">
        <f t="shared" si="77"/>
        <v xml:space="preserve">중랑구 </v>
      </c>
      <c r="H1876" t="str">
        <f t="shared" si="76"/>
        <v>묵동</v>
      </c>
      <c r="I1876" t="s">
        <v>4134</v>
      </c>
      <c r="J1876" t="s">
        <v>4135</v>
      </c>
      <c r="K1876" t="s">
        <v>4136</v>
      </c>
    </row>
    <row r="1877" spans="1:11" x14ac:dyDescent="0.4">
      <c r="A1877" t="s">
        <v>8662</v>
      </c>
      <c r="B1877" t="s">
        <v>9</v>
      </c>
      <c r="C1877" t="s">
        <v>10</v>
      </c>
      <c r="D1877" t="s">
        <v>175</v>
      </c>
      <c r="E1877" t="s">
        <v>8663</v>
      </c>
      <c r="F1877" t="str">
        <f>LEFT(E1877,5)</f>
        <v>서울특별시</v>
      </c>
      <c r="G1877" t="str">
        <f t="shared" si="77"/>
        <v xml:space="preserve">중랑구 </v>
      </c>
      <c r="H1877" t="str">
        <f t="shared" ref="H1859:H1896" si="78">MID(SUBSTITUTE(E1877," ",""),9,3)</f>
        <v>상봉동</v>
      </c>
      <c r="I1877" t="s">
        <v>8664</v>
      </c>
      <c r="J1877" t="s">
        <v>5478</v>
      </c>
      <c r="K1877" t="s">
        <v>8665</v>
      </c>
    </row>
    <row r="1878" spans="1:11" x14ac:dyDescent="0.4">
      <c r="A1878" t="s">
        <v>5445</v>
      </c>
      <c r="B1878" t="s">
        <v>9</v>
      </c>
      <c r="C1878" t="s">
        <v>10</v>
      </c>
      <c r="D1878" t="s">
        <v>175</v>
      </c>
      <c r="E1878" t="s">
        <v>5446</v>
      </c>
      <c r="F1878" t="str">
        <f>LEFT(E1878,5)</f>
        <v>서울특별시</v>
      </c>
      <c r="G1878" t="str">
        <f t="shared" si="77"/>
        <v xml:space="preserve">중랑구 </v>
      </c>
      <c r="H1878" t="str">
        <f t="shared" si="78"/>
        <v>상봉동</v>
      </c>
      <c r="I1878" t="s">
        <v>5447</v>
      </c>
      <c r="J1878" t="s">
        <v>5448</v>
      </c>
      <c r="K1878" t="s">
        <v>5449</v>
      </c>
    </row>
    <row r="1879" spans="1:11" x14ac:dyDescent="0.4">
      <c r="A1879" t="s">
        <v>5475</v>
      </c>
      <c r="B1879" t="s">
        <v>9</v>
      </c>
      <c r="C1879" t="s">
        <v>10</v>
      </c>
      <c r="D1879" t="s">
        <v>175</v>
      </c>
      <c r="E1879" t="s">
        <v>5476</v>
      </c>
      <c r="F1879" t="str">
        <f>LEFT(E1879,5)</f>
        <v>서울특별시</v>
      </c>
      <c r="G1879" t="str">
        <f t="shared" si="77"/>
        <v xml:space="preserve">중랑구 </v>
      </c>
      <c r="H1879" t="str">
        <f t="shared" si="78"/>
        <v>상봉동</v>
      </c>
      <c r="I1879" t="s">
        <v>5477</v>
      </c>
      <c r="J1879" t="s">
        <v>5478</v>
      </c>
      <c r="K1879" t="s">
        <v>5479</v>
      </c>
    </row>
    <row r="1880" spans="1:11" x14ac:dyDescent="0.4">
      <c r="A1880" t="s">
        <v>1222</v>
      </c>
      <c r="B1880" t="s">
        <v>9</v>
      </c>
      <c r="C1880" t="s">
        <v>10</v>
      </c>
      <c r="D1880" t="s">
        <v>1223</v>
      </c>
      <c r="E1880" t="s">
        <v>1224</v>
      </c>
      <c r="F1880" t="str">
        <f>LEFT(E1880,5)</f>
        <v>서울특별시</v>
      </c>
      <c r="G1880" t="str">
        <f t="shared" si="77"/>
        <v xml:space="preserve">중랑구 </v>
      </c>
      <c r="H1880" t="str">
        <f t="shared" si="78"/>
        <v>상봉동</v>
      </c>
      <c r="I1880" t="s">
        <v>1225</v>
      </c>
      <c r="J1880" t="s">
        <v>1226</v>
      </c>
      <c r="K1880" t="s">
        <v>1149</v>
      </c>
    </row>
    <row r="1881" spans="1:11" x14ac:dyDescent="0.4">
      <c r="A1881" t="s">
        <v>8736</v>
      </c>
      <c r="B1881" t="s">
        <v>9</v>
      </c>
      <c r="C1881" t="s">
        <v>10</v>
      </c>
      <c r="D1881" t="s">
        <v>1223</v>
      </c>
      <c r="E1881" t="s">
        <v>8737</v>
      </c>
      <c r="F1881" t="str">
        <f>LEFT(E1881,5)</f>
        <v>서울특별시</v>
      </c>
      <c r="G1881" t="str">
        <f t="shared" si="77"/>
        <v xml:space="preserve">중랑구 </v>
      </c>
      <c r="H1881" t="str">
        <f t="shared" si="78"/>
        <v>상봉동</v>
      </c>
      <c r="I1881" t="s">
        <v>8738</v>
      </c>
      <c r="J1881" t="s">
        <v>8739</v>
      </c>
      <c r="K1881" t="s">
        <v>8740</v>
      </c>
    </row>
    <row r="1882" spans="1:11" x14ac:dyDescent="0.4">
      <c r="A1882" t="s">
        <v>4995</v>
      </c>
      <c r="B1882" t="s">
        <v>9</v>
      </c>
      <c r="C1882" t="s">
        <v>10</v>
      </c>
      <c r="D1882" t="s">
        <v>4190</v>
      </c>
      <c r="E1882" t="s">
        <v>4996</v>
      </c>
      <c r="F1882" t="str">
        <f>LEFT(E1882,5)</f>
        <v>서울특별시</v>
      </c>
      <c r="G1882" t="str">
        <f t="shared" si="77"/>
        <v xml:space="preserve">중랑구 </v>
      </c>
      <c r="H1882" t="str">
        <f t="shared" si="78"/>
        <v>상봉동</v>
      </c>
      <c r="I1882" t="s">
        <v>4997</v>
      </c>
      <c r="J1882" t="s">
        <v>4193</v>
      </c>
      <c r="K1882" t="s">
        <v>1236</v>
      </c>
    </row>
    <row r="1883" spans="1:11" x14ac:dyDescent="0.4">
      <c r="A1883" t="s">
        <v>4189</v>
      </c>
      <c r="B1883" t="s">
        <v>9</v>
      </c>
      <c r="C1883" t="s">
        <v>10</v>
      </c>
      <c r="D1883" t="s">
        <v>4190</v>
      </c>
      <c r="E1883" t="s">
        <v>4191</v>
      </c>
      <c r="F1883" t="str">
        <f>LEFT(E1883,5)</f>
        <v>서울특별시</v>
      </c>
      <c r="G1883" t="str">
        <f t="shared" si="77"/>
        <v xml:space="preserve">중랑구 </v>
      </c>
      <c r="H1883" t="str">
        <f t="shared" si="78"/>
        <v>상봉동</v>
      </c>
      <c r="I1883" t="s">
        <v>4192</v>
      </c>
      <c r="J1883" t="s">
        <v>4193</v>
      </c>
      <c r="K1883" t="s">
        <v>4194</v>
      </c>
    </row>
    <row r="1884" spans="1:11" x14ac:dyDescent="0.4">
      <c r="A1884" t="s">
        <v>4874</v>
      </c>
      <c r="B1884" t="s">
        <v>9</v>
      </c>
      <c r="C1884" t="s">
        <v>10</v>
      </c>
      <c r="D1884" t="s">
        <v>4190</v>
      </c>
      <c r="E1884" t="s">
        <v>4875</v>
      </c>
      <c r="F1884" t="str">
        <f>LEFT(E1884,5)</f>
        <v>서울특별시</v>
      </c>
      <c r="G1884" t="str">
        <f t="shared" si="77"/>
        <v xml:space="preserve">중랑구 </v>
      </c>
      <c r="H1884" t="str">
        <f t="shared" si="78"/>
        <v>상봉동</v>
      </c>
      <c r="I1884" t="s">
        <v>4876</v>
      </c>
      <c r="J1884" t="s">
        <v>4193</v>
      </c>
      <c r="K1884" t="s">
        <v>4877</v>
      </c>
    </row>
    <row r="1885" spans="1:11" x14ac:dyDescent="0.4">
      <c r="A1885" t="s">
        <v>7733</v>
      </c>
      <c r="B1885" t="s">
        <v>9</v>
      </c>
      <c r="C1885" t="s">
        <v>10</v>
      </c>
      <c r="D1885" t="s">
        <v>4190</v>
      </c>
      <c r="E1885" t="s">
        <v>7734</v>
      </c>
      <c r="F1885" t="str">
        <f>LEFT(E1885,5)</f>
        <v>서울특별시</v>
      </c>
      <c r="G1885" t="str">
        <f t="shared" si="77"/>
        <v xml:space="preserve">중랑구 </v>
      </c>
      <c r="H1885" t="str">
        <f t="shared" si="78"/>
        <v>상봉동</v>
      </c>
      <c r="I1885" t="s">
        <v>7735</v>
      </c>
      <c r="J1885" t="s">
        <v>7736</v>
      </c>
      <c r="K1885" t="s">
        <v>7737</v>
      </c>
    </row>
    <row r="1886" spans="1:11" x14ac:dyDescent="0.4">
      <c r="A1886" t="s">
        <v>4709</v>
      </c>
      <c r="B1886" t="s">
        <v>9</v>
      </c>
      <c r="C1886" t="s">
        <v>10</v>
      </c>
      <c r="D1886" t="s">
        <v>4710</v>
      </c>
      <c r="E1886" t="s">
        <v>4711</v>
      </c>
      <c r="F1886" t="str">
        <f>LEFT(E1886,5)</f>
        <v>서울특별시</v>
      </c>
      <c r="G1886" t="str">
        <f t="shared" si="77"/>
        <v xml:space="preserve">중랑구 </v>
      </c>
      <c r="H1886" t="str">
        <f t="shared" si="78"/>
        <v>상봉동</v>
      </c>
      <c r="I1886" t="s">
        <v>4712</v>
      </c>
      <c r="J1886" t="s">
        <v>4713</v>
      </c>
      <c r="K1886" t="s">
        <v>4714</v>
      </c>
    </row>
    <row r="1887" spans="1:11" x14ac:dyDescent="0.4">
      <c r="A1887" t="s">
        <v>7896</v>
      </c>
      <c r="B1887" t="s">
        <v>9</v>
      </c>
      <c r="C1887" t="s">
        <v>10</v>
      </c>
      <c r="D1887" t="s">
        <v>175</v>
      </c>
      <c r="E1887" t="s">
        <v>7897</v>
      </c>
      <c r="F1887" t="str">
        <f>LEFT(E1887,5)</f>
        <v>서울특별시</v>
      </c>
      <c r="G1887" t="str">
        <f t="shared" si="77"/>
        <v xml:space="preserve">중랑구 </v>
      </c>
      <c r="H1887" t="str">
        <f t="shared" si="78"/>
        <v>상봉동</v>
      </c>
      <c r="I1887" t="s">
        <v>7898</v>
      </c>
      <c r="J1887" t="s">
        <v>6622</v>
      </c>
      <c r="K1887" t="s">
        <v>7899</v>
      </c>
    </row>
    <row r="1888" spans="1:11" x14ac:dyDescent="0.4">
      <c r="A1888" t="s">
        <v>6619</v>
      </c>
      <c r="B1888" t="s">
        <v>9</v>
      </c>
      <c r="C1888" t="s">
        <v>10</v>
      </c>
      <c r="D1888" t="s">
        <v>175</v>
      </c>
      <c r="E1888" t="s">
        <v>6620</v>
      </c>
      <c r="F1888" t="str">
        <f>LEFT(E1888,5)</f>
        <v>서울특별시</v>
      </c>
      <c r="G1888" t="str">
        <f t="shared" si="77"/>
        <v xml:space="preserve">중랑구 </v>
      </c>
      <c r="H1888" t="str">
        <f t="shared" si="78"/>
        <v>상봉동</v>
      </c>
      <c r="I1888" t="s">
        <v>6621</v>
      </c>
      <c r="J1888" t="s">
        <v>6622</v>
      </c>
      <c r="K1888" t="s">
        <v>1558</v>
      </c>
    </row>
    <row r="1889" spans="1:11" x14ac:dyDescent="0.4">
      <c r="A1889" t="s">
        <v>1181</v>
      </c>
      <c r="B1889" t="s">
        <v>9</v>
      </c>
      <c r="C1889" t="s">
        <v>10</v>
      </c>
      <c r="D1889" t="s">
        <v>175</v>
      </c>
      <c r="E1889" t="s">
        <v>1182</v>
      </c>
      <c r="F1889" t="str">
        <f>LEFT(E1889,5)</f>
        <v>서울특별시</v>
      </c>
      <c r="G1889" t="str">
        <f t="shared" si="77"/>
        <v xml:space="preserve">중랑구 </v>
      </c>
      <c r="H1889" t="str">
        <f t="shared" si="78"/>
        <v>상봉동</v>
      </c>
      <c r="I1889" t="s">
        <v>1183</v>
      </c>
      <c r="J1889" t="s">
        <v>1184</v>
      </c>
      <c r="K1889" t="s">
        <v>1185</v>
      </c>
    </row>
    <row r="1890" spans="1:11" x14ac:dyDescent="0.4">
      <c r="A1890" t="s">
        <v>174</v>
      </c>
      <c r="B1890" t="s">
        <v>9</v>
      </c>
      <c r="C1890" t="s">
        <v>10</v>
      </c>
      <c r="D1890" t="s">
        <v>175</v>
      </c>
      <c r="E1890" t="s">
        <v>176</v>
      </c>
      <c r="F1890" t="str">
        <f>LEFT(E1890,5)</f>
        <v>서울특별시</v>
      </c>
      <c r="G1890" t="str">
        <f t="shared" si="77"/>
        <v xml:space="preserve">중랑구 </v>
      </c>
      <c r="H1890" t="str">
        <f t="shared" si="78"/>
        <v>상봉동</v>
      </c>
      <c r="I1890" t="s">
        <v>177</v>
      </c>
      <c r="J1890" t="s">
        <v>178</v>
      </c>
      <c r="K1890" t="s">
        <v>179</v>
      </c>
    </row>
    <row r="1891" spans="1:11" x14ac:dyDescent="0.4">
      <c r="A1891" t="s">
        <v>6451</v>
      </c>
      <c r="B1891" t="s">
        <v>9</v>
      </c>
      <c r="C1891" t="s">
        <v>10</v>
      </c>
      <c r="D1891" t="s">
        <v>175</v>
      </c>
      <c r="E1891" t="s">
        <v>6452</v>
      </c>
      <c r="F1891" t="str">
        <f>LEFT(E1891,5)</f>
        <v>서울특별시</v>
      </c>
      <c r="G1891" t="str">
        <f t="shared" si="77"/>
        <v xml:space="preserve">중랑구 </v>
      </c>
      <c r="H1891" t="str">
        <f t="shared" si="78"/>
        <v>상봉동</v>
      </c>
      <c r="I1891" t="s">
        <v>6453</v>
      </c>
      <c r="J1891" t="s">
        <v>178</v>
      </c>
      <c r="K1891" t="s">
        <v>6454</v>
      </c>
    </row>
    <row r="1892" spans="1:11" x14ac:dyDescent="0.4">
      <c r="A1892" t="s">
        <v>983</v>
      </c>
      <c r="B1892" t="s">
        <v>9</v>
      </c>
      <c r="C1892" t="s">
        <v>10</v>
      </c>
      <c r="D1892" t="s">
        <v>175</v>
      </c>
      <c r="E1892" t="s">
        <v>984</v>
      </c>
      <c r="F1892" t="str">
        <f>LEFT(E1892,5)</f>
        <v>서울특별시</v>
      </c>
      <c r="G1892" t="str">
        <f t="shared" si="77"/>
        <v xml:space="preserve">중랑구 </v>
      </c>
      <c r="H1892" t="str">
        <f t="shared" si="78"/>
        <v>상봉동</v>
      </c>
      <c r="I1892" t="s">
        <v>985</v>
      </c>
      <c r="J1892" t="s">
        <v>178</v>
      </c>
      <c r="K1892" t="s">
        <v>986</v>
      </c>
    </row>
    <row r="1893" spans="1:11" x14ac:dyDescent="0.4">
      <c r="A1893" t="s">
        <v>8604</v>
      </c>
      <c r="B1893" t="s">
        <v>9</v>
      </c>
      <c r="C1893" t="s">
        <v>10</v>
      </c>
      <c r="D1893" t="s">
        <v>8605</v>
      </c>
      <c r="E1893" t="s">
        <v>8606</v>
      </c>
      <c r="F1893" t="str">
        <f>LEFT(E1893,5)</f>
        <v>서울특별시</v>
      </c>
      <c r="G1893" t="str">
        <f t="shared" si="77"/>
        <v xml:space="preserve">중랑구 </v>
      </c>
      <c r="H1893" t="str">
        <f t="shared" si="78"/>
        <v>중화동</v>
      </c>
      <c r="I1893" t="s">
        <v>8607</v>
      </c>
      <c r="J1893" t="s">
        <v>8608</v>
      </c>
      <c r="K1893" t="s">
        <v>8609</v>
      </c>
    </row>
    <row r="1894" spans="1:11" x14ac:dyDescent="0.4">
      <c r="A1894" t="s">
        <v>6773</v>
      </c>
      <c r="B1894" t="s">
        <v>9</v>
      </c>
      <c r="C1894" t="s">
        <v>10</v>
      </c>
      <c r="D1894" t="s">
        <v>3210</v>
      </c>
      <c r="E1894" t="s">
        <v>6774</v>
      </c>
      <c r="F1894" t="str">
        <f>LEFT(E1894,5)</f>
        <v>서울특별시</v>
      </c>
      <c r="G1894" t="str">
        <f t="shared" si="77"/>
        <v xml:space="preserve">중랑구 </v>
      </c>
      <c r="H1894" t="str">
        <f t="shared" si="78"/>
        <v>중화동</v>
      </c>
      <c r="I1894" t="s">
        <v>6775</v>
      </c>
      <c r="J1894" t="s">
        <v>6776</v>
      </c>
      <c r="K1894" t="s">
        <v>6777</v>
      </c>
    </row>
    <row r="1895" spans="1:11" x14ac:dyDescent="0.4">
      <c r="A1895" t="s">
        <v>5385</v>
      </c>
      <c r="B1895" t="s">
        <v>9</v>
      </c>
      <c r="C1895" t="s">
        <v>10</v>
      </c>
      <c r="D1895" t="s">
        <v>5386</v>
      </c>
      <c r="E1895" t="s">
        <v>5387</v>
      </c>
      <c r="F1895" t="str">
        <f>LEFT(E1895,5)</f>
        <v>서울특별시</v>
      </c>
      <c r="G1895" t="str">
        <f t="shared" si="77"/>
        <v xml:space="preserve">중랑구 </v>
      </c>
      <c r="H1895" t="str">
        <f t="shared" si="78"/>
        <v>중화동</v>
      </c>
      <c r="I1895" t="s">
        <v>5388</v>
      </c>
      <c r="J1895" t="s">
        <v>5389</v>
      </c>
      <c r="K1895" t="s">
        <v>5390</v>
      </c>
    </row>
    <row r="1896" spans="1:11" x14ac:dyDescent="0.4">
      <c r="A1896" t="s">
        <v>3209</v>
      </c>
      <c r="B1896" t="s">
        <v>9</v>
      </c>
      <c r="C1896" t="s">
        <v>10</v>
      </c>
      <c r="D1896" t="s">
        <v>3210</v>
      </c>
      <c r="E1896" t="s">
        <v>3211</v>
      </c>
      <c r="F1896" t="str">
        <f>LEFT(E1896,5)</f>
        <v>서울특별시</v>
      </c>
      <c r="G1896" t="str">
        <f t="shared" si="77"/>
        <v xml:space="preserve">중랑구 </v>
      </c>
      <c r="H1896" t="str">
        <f t="shared" si="78"/>
        <v>중화동</v>
      </c>
      <c r="I1896" t="s">
        <v>3212</v>
      </c>
      <c r="J1896" t="s">
        <v>3213</v>
      </c>
      <c r="K1896" t="s">
        <v>3214</v>
      </c>
    </row>
  </sheetData>
  <autoFilter ref="A1:K1" xr:uid="{00000000-0001-0000-0000-000000000000}">
    <sortState xmlns:xlrd2="http://schemas.microsoft.com/office/spreadsheetml/2017/richdata2" ref="A2:K1899">
      <sortCondition ref="E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수정 김</cp:lastModifiedBy>
  <dcterms:created xsi:type="dcterms:W3CDTF">2025-12-12T02:54:00Z</dcterms:created>
  <dcterms:modified xsi:type="dcterms:W3CDTF">2025-12-12T05:36:24Z</dcterms:modified>
</cp:coreProperties>
</file>