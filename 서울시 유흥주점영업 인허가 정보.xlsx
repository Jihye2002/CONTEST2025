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카카오톡 받은 파일\범죄현황및발생장소데이터\"/>
    </mc:Choice>
  </mc:AlternateContent>
  <xr:revisionPtr revIDLastSave="0" documentId="13_ncr:1_{D44CED93-B97B-4A9E-9A64-14FE9C111551}" xr6:coauthVersionLast="47" xr6:coauthVersionMax="47" xr10:uidLastSave="{00000000-0000-0000-0000-000000000000}"/>
  <bookViews>
    <workbookView xWindow="-108" yWindow="-108" windowWidth="23256" windowHeight="12456" xr2:uid="{E90D2ADA-BA21-49E6-8F34-30BB20A17B3D}"/>
  </bookViews>
  <sheets>
    <sheet name="서울시 유흥주점영업 인허가 정보" sheetId="1" r:id="rId1"/>
  </sheets>
  <definedNames>
    <definedName name="_xlnm._FilterDatabase" localSheetId="0" hidden="1">'서울시 유흥주점영업 인허가 정보'!$A$1:$I$4976</definedName>
  </definedNames>
  <calcPr calcId="191029"/>
</workbook>
</file>

<file path=xl/calcChain.xml><?xml version="1.0" encoding="utf-8"?>
<calcChain xmlns="http://schemas.openxmlformats.org/spreadsheetml/2006/main">
  <c r="G2" i="1" l="1"/>
  <c r="F2" i="1"/>
  <c r="G4942" i="1"/>
  <c r="G4943" i="1"/>
  <c r="G4944" i="1"/>
  <c r="G4945" i="1"/>
  <c r="G4946" i="1"/>
  <c r="G4947" i="1"/>
  <c r="G4948" i="1"/>
  <c r="G4949" i="1"/>
  <c r="G4950" i="1"/>
  <c r="G4941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19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39" i="1"/>
  <c r="G4533" i="1"/>
  <c r="G4534" i="1"/>
  <c r="G4535" i="1"/>
  <c r="G4536" i="1"/>
  <c r="G4537" i="1"/>
  <c r="G4538" i="1"/>
  <c r="G4532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417" i="1"/>
  <c r="G4408" i="1"/>
  <c r="G4409" i="1"/>
  <c r="G4410" i="1"/>
  <c r="G4411" i="1"/>
  <c r="G4412" i="1"/>
  <c r="G4413" i="1"/>
  <c r="G4414" i="1"/>
  <c r="G4415" i="1"/>
  <c r="G4416" i="1"/>
  <c r="G4407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391" i="1"/>
  <c r="G4385" i="1"/>
  <c r="G4386" i="1"/>
  <c r="G4387" i="1"/>
  <c r="G4388" i="1"/>
  <c r="G4389" i="1"/>
  <c r="G4390" i="1"/>
  <c r="G4384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50" i="1"/>
  <c r="G4341" i="1"/>
  <c r="G4342" i="1"/>
  <c r="G4343" i="1"/>
  <c r="G4344" i="1"/>
  <c r="G4345" i="1"/>
  <c r="G4346" i="1"/>
  <c r="G4347" i="1"/>
  <c r="G4348" i="1"/>
  <c r="G4349" i="1"/>
  <c r="G4340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09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2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071" i="1"/>
  <c r="G4069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51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229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183" i="1"/>
  <c r="G3180" i="1"/>
  <c r="G3172" i="1"/>
  <c r="G3173" i="1"/>
  <c r="G3174" i="1"/>
  <c r="G3175" i="1"/>
  <c r="G3176" i="1"/>
  <c r="G3177" i="1"/>
  <c r="G3178" i="1"/>
  <c r="G3179" i="1"/>
  <c r="G3171" i="1"/>
  <c r="G2960" i="1"/>
  <c r="G2959" i="1"/>
  <c r="G2927" i="1"/>
  <c r="G2926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520" i="1"/>
  <c r="G2510" i="1"/>
  <c r="G2511" i="1"/>
  <c r="G2512" i="1"/>
  <c r="G2513" i="1"/>
  <c r="G2514" i="1"/>
  <c r="G2515" i="1"/>
  <c r="G2516" i="1"/>
  <c r="G2517" i="1"/>
  <c r="G2518" i="1"/>
  <c r="G2519" i="1"/>
  <c r="G2509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371" i="1"/>
  <c r="G2247" i="1"/>
  <c r="G2248" i="1"/>
  <c r="G2249" i="1"/>
  <c r="G2250" i="1"/>
  <c r="G2251" i="1"/>
  <c r="G2252" i="1"/>
  <c r="G2246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53" i="1"/>
  <c r="G2254" i="1"/>
  <c r="G2255" i="1"/>
  <c r="G2256" i="1"/>
  <c r="G2257" i="1"/>
  <c r="G2258" i="1"/>
  <c r="G2259" i="1"/>
  <c r="G2260" i="1"/>
  <c r="G2085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42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10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998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66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81" i="1"/>
  <c r="G3182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70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930" i="1"/>
  <c r="G4931" i="1"/>
  <c r="G4932" i="1"/>
  <c r="G4933" i="1"/>
  <c r="G4934" i="1"/>
  <c r="G4935" i="1"/>
  <c r="G4936" i="1"/>
  <c r="G4937" i="1"/>
  <c r="G4938" i="1"/>
  <c r="G4939" i="1"/>
  <c r="G494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27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2" i="1"/>
</calcChain>
</file>

<file path=xl/sharedStrings.xml><?xml version="1.0" encoding="utf-8"?>
<sst xmlns="http://schemas.openxmlformats.org/spreadsheetml/2006/main" count="12835" uniqueCount="12185">
  <si>
    <t>개방자치단체코드</t>
  </si>
  <si>
    <t>관리번호</t>
  </si>
  <si>
    <t>인허가일자</t>
  </si>
  <si>
    <t>지번주소</t>
  </si>
  <si>
    <t>도로명주소</t>
  </si>
  <si>
    <t>도로명우편번호</t>
  </si>
  <si>
    <t>3220000-102-2000-21430</t>
  </si>
  <si>
    <t>서울특별시 강남구 역삼동 688-6 지하1층</t>
  </si>
  <si>
    <t>서울특별시 강남구 언주로 548, 지하1층 (역삼동)</t>
  </si>
  <si>
    <t>3230000-102-2015-00001</t>
  </si>
  <si>
    <t>서울특별시 송파구 가락동 79-4 세화빌딩</t>
  </si>
  <si>
    <t>서울특별시 송파구 송파대로28길 20, 2층 201호 (가락동)</t>
  </si>
  <si>
    <t>3220000-102-2001-23481</t>
  </si>
  <si>
    <t>서울특별시 강남구 대치동 890-38 지하1층</t>
  </si>
  <si>
    <t>서울특별시 강남구 테헤란로70길 16 (대치동,지하1층)</t>
  </si>
  <si>
    <t>3230000-102-2014-00005</t>
  </si>
  <si>
    <t>서울특별시 송파구 가락동 99-1 지하1층</t>
  </si>
  <si>
    <t>서울특별시 송파구 송파대로28길 12, 지하1층 (가락동)</t>
  </si>
  <si>
    <t>3150000-102-2025-00001</t>
  </si>
  <si>
    <t>서울특별시 강서구 마곡동 795-6 뉴골든타워 8층 801호</t>
  </si>
  <si>
    <t>서울특별시 강서구 마곡중앙6로 89, 뉴골든타워 8층 801호 (마곡동)</t>
  </si>
  <si>
    <t>3150000-102-2015-00004</t>
  </si>
  <si>
    <t>서울특별시 강서구 화곡동 903-10 3층</t>
  </si>
  <si>
    <t>서울특별시 강서구 곰달래로24길 27, 3층 (화곡동)</t>
  </si>
  <si>
    <t>3150000-102-2009-00002</t>
  </si>
  <si>
    <t>서울특별시 강서구 화곡동 898-1 화곡 심포니 타워 2층 203호</t>
  </si>
  <si>
    <t>서울특별시 강서구 강서로 27, 화곡 심포니 타워 2층 203호 (화곡동)</t>
  </si>
  <si>
    <t>3010000-102-2004-00016</t>
  </si>
  <si>
    <t>서울특별시 중구 초동 70-4 (지상3층)</t>
  </si>
  <si>
    <t>서울특별시 중구 마른내로 42 (초동,(지상3층))</t>
  </si>
  <si>
    <t>3210000-102-1990-06487</t>
  </si>
  <si>
    <t>서울특별시 서초구 서초동 1308-4 실버타운오피스텔 지하중1층, 지하1</t>
  </si>
  <si>
    <t>서울특별시 서초구 서초대로77길 45, 지하중1층, 지하1층 (서초동)</t>
  </si>
  <si>
    <t>3220000-102-2009-00004</t>
  </si>
  <si>
    <t>서울특별시 강남구 역삼동 735-32 지하1층</t>
  </si>
  <si>
    <t>서울특별시 강남구 테헤란로20길 10 (역삼동,지하1층)</t>
  </si>
  <si>
    <t>3150000-102-2019-00004</t>
  </si>
  <si>
    <t>서울특별시 강서구 화곡동 915-10 지하 1층</t>
  </si>
  <si>
    <t>서울특별시 강서구 강서로7길 67, 지하 1층 (화곡동)</t>
  </si>
  <si>
    <t>3220000-102-2009-00002</t>
  </si>
  <si>
    <t>서울특별시 강남구 역삼동 824-7 지하1층, 지상2층</t>
  </si>
  <si>
    <t>서울특별시 강남구 테헤란로6길 10 (역삼동,지하1층, 지상2층)</t>
  </si>
  <si>
    <t>3200000-102-2001-10867</t>
  </si>
  <si>
    <t>서울특별시 관악구 신림동 1433-109</t>
  </si>
  <si>
    <t>서울특별시 관악구 신림로65길 47 (신림동)</t>
  </si>
  <si>
    <t>3200000-102-2016-00005</t>
  </si>
  <si>
    <t>서울특별시 관악구 신림동 1641-11 지하1층</t>
  </si>
  <si>
    <t>서울특별시 관악구 신림로 322-3 (신림동)</t>
  </si>
  <si>
    <t>3150000-102-2015-00002</t>
  </si>
  <si>
    <t>서울특별시 강서구 화곡동 936-4 지하 1층</t>
  </si>
  <si>
    <t>서울특별시 강서구 강서로7길 136, 지하 1층 (화곡동)</t>
  </si>
  <si>
    <t>3230000-102-2012-00002</t>
  </si>
  <si>
    <t>서울특별시 송파구 가락동 98-7 (지하1층)</t>
  </si>
  <si>
    <t>서울특별시 송파구 송파대로28길 13 (가락동,(지하1층))</t>
  </si>
  <si>
    <t>3150000-102-2023-00005</t>
  </si>
  <si>
    <t>서울특별시 강서구 화곡동 936-3 골든빌딩 4층</t>
  </si>
  <si>
    <t>서울특별시 강서구 곰달래로16길 26, 골든빌딩 4층 (화곡동)</t>
  </si>
  <si>
    <t>3050000-102-1971-08462</t>
  </si>
  <si>
    <t>서울특별시 동대문구 전농동 295-307</t>
  </si>
  <si>
    <t>서울특별시 동대문구 전농로16길 12 (전농동)</t>
  </si>
  <si>
    <t>3210000-102-1992-06376</t>
  </si>
  <si>
    <t>서울특별시 서초구 서초동 1330-15</t>
  </si>
  <si>
    <t>서울특별시 서초구 서초대로78길 46 (서초동)</t>
  </si>
  <si>
    <t>3180000-102-2001-14141</t>
  </si>
  <si>
    <t>서울특별시 영등포구 영등포동3가 13-13</t>
  </si>
  <si>
    <t>서울특별시 영등포구 영등포로50길 7-1, 지하1층 (영등포동3가)</t>
  </si>
  <si>
    <t>3150000-102-2015-00003</t>
  </si>
  <si>
    <t>서울특별시 강서구 화곡동 903-10 2층</t>
  </si>
  <si>
    <t>서울특별시 강서구 곰달래로24길 27, 2층 (화곡동)</t>
  </si>
  <si>
    <t>3180000-102-2025-00001</t>
  </si>
  <si>
    <t>서울특별시 영등포구 영등포동4가 432-18 시온빌딩 지하1층</t>
  </si>
  <si>
    <t>서울특별시 영등포구 영중로3길 3, 시온빌딩 지하1층 (영등포동4가)</t>
  </si>
  <si>
    <t>3220000-102-2016-00006</t>
  </si>
  <si>
    <t xml:space="preserve">서울특별시 강남구 역삼동 701-1 역삼 아르누보씨티 </t>
  </si>
  <si>
    <t>서울특별시 강남구 언주로 506, 역삼 아르누보씨티 지하1층 101호 (역삼동)</t>
  </si>
  <si>
    <t>3190000-102-2017-00001</t>
  </si>
  <si>
    <t>서울특별시 동작구 사당동 147-48</t>
  </si>
  <si>
    <t>서울특별시 동작구 사당로 308, 지하1층 (사당동)</t>
  </si>
  <si>
    <t>3200000-102-2002-00015</t>
  </si>
  <si>
    <t>서울특별시 관악구 봉천동 62-3 지하 1층</t>
  </si>
  <si>
    <t>서울특별시 관악구 관악로 206 (봉천동,지하 1층)</t>
  </si>
  <si>
    <t>3200000-102-2001-11339</t>
  </si>
  <si>
    <t>서울특별시 관악구 신림동 1431-10 화산빌딩</t>
  </si>
  <si>
    <t>서울특별시 관악구 신림로 363-1, 화산빌딩 지하1층 (신림동)</t>
  </si>
  <si>
    <t>3240000-102-1999-10594</t>
  </si>
  <si>
    <t>서울특별시 강동구 길동 412-12 부에노빌딩</t>
  </si>
  <si>
    <t>서울특별시 강동구 양재대로 1457, 부에노빌딩 2층 (길동)</t>
  </si>
  <si>
    <t>3240000-102-1990-05556</t>
  </si>
  <si>
    <t>서울특별시 강동구 성내동 417-5</t>
  </si>
  <si>
    <t>서울특별시 강동구 풍성로 210 (성내동)</t>
  </si>
  <si>
    <t>3120000-102-2011-00001</t>
  </si>
  <si>
    <t>서울특별시 서대문구 창천동 29-30 용성빌딩 4층 전체 외 1필지(29-111)</t>
  </si>
  <si>
    <t>서울특별시 서대문구 연세로4길 12, 용성빌딩 4층 (창천동)</t>
  </si>
  <si>
    <t>3150000-102-2023-00001</t>
  </si>
  <si>
    <t>서울특별시 강서구 화곡동 902-10 2층</t>
  </si>
  <si>
    <t>서울특별시 강서구 강서로7길 19, 2층 (화곡동)</t>
  </si>
  <si>
    <t>3110000-102-2018-00002</t>
  </si>
  <si>
    <t>서울특별시 은평구 갈현동 395-15 지하1층</t>
  </si>
  <si>
    <t>서울특별시 은평구 통일로 863-20, 지하1층 (갈현동)</t>
  </si>
  <si>
    <t>3200000-102-2001-07838</t>
  </si>
  <si>
    <t>서울특별시 관악구 봉천동 971-14</t>
  </si>
  <si>
    <t>서울특별시 관악구 봉천로 239, 지하1층 (봉천동)</t>
  </si>
  <si>
    <t>3100000-102-1999-05994</t>
  </si>
  <si>
    <t>서울특별시 노원구 상계동 728-1 지하1층</t>
  </si>
  <si>
    <t>서울특별시 노원구 동일로 1396 (상계동,지하1층)</t>
  </si>
  <si>
    <t>3210000-102-2003-00003</t>
  </si>
  <si>
    <t>서울특별시 서초구 서초동 1600-3 (지하1층)</t>
  </si>
  <si>
    <t>서울특별시 서초구 서초중앙로 53 (서초동,(지하1층))</t>
  </si>
  <si>
    <t>3150000-102-1987-00774</t>
  </si>
  <si>
    <t>서울특별시 강서구 염창동 259-2 나이아가라호텔 지하 3층</t>
  </si>
  <si>
    <t>서울특별시 강서구 양천로 743, 지하 3층 (염창동, 나이아가라호텔)</t>
  </si>
  <si>
    <t>3130000-102-2025-00001</t>
  </si>
  <si>
    <t>서울특별시 마포구 서교동 354-19 지하1층</t>
  </si>
  <si>
    <t>서울특별시 마포구 양화로 124, 지하1층 (서교동)</t>
  </si>
  <si>
    <t>3140000-102-1999-06935</t>
  </si>
  <si>
    <t>서울특별시 양천구 목동 923 세신비젼프라자 3층 306~309호</t>
  </si>
  <si>
    <t>서울특별시 양천구 목동서로 213, 세신비젼프라자 3층 306~309호 (목동)</t>
  </si>
  <si>
    <t>3220000-102-2019-00010</t>
  </si>
  <si>
    <t>서울특별시 강남구 역삼동 702-24</t>
  </si>
  <si>
    <t>서울특별시 강남구 선릉로93길 31, 지상1층 (역삼동)</t>
  </si>
  <si>
    <t>3200000-102-2025-00001</t>
  </si>
  <si>
    <t>서울특별시 관악구 신림동 1421-29 에스케이허브그린</t>
  </si>
  <si>
    <t>서울특별시 관악구 신림로 344, 에스케이허브그린 지하1층 2호 (신림동)</t>
  </si>
  <si>
    <t>3220000-102-2017-00001</t>
  </si>
  <si>
    <t>서울특별시 강남구 역삼동 677-20 4,5층</t>
  </si>
  <si>
    <t>서울특별시 강남구 테헤란로33길 6-7, 4,5층 (역삼동)</t>
  </si>
  <si>
    <t>3210000-102-2004-00002</t>
  </si>
  <si>
    <t>서울특별시 서초구 서초동 1588-1 지하1층</t>
  </si>
  <si>
    <t>서울특별시 서초구 반포대로14길 54, 지하1층 (서초동)</t>
  </si>
  <si>
    <t>3220000-102-2006-00005</t>
  </si>
  <si>
    <t>서울특별시 강남구 대치동 890-61 지하1,2층</t>
  </si>
  <si>
    <t>서울특별시 강남구 테헤란로68길 13 (대치동,지하1,2층)</t>
  </si>
  <si>
    <t>3090000-102-2025-00001</t>
  </si>
  <si>
    <t>서울특별시 도봉구 창동 12-1</t>
  </si>
  <si>
    <t>서울특별시 도봉구 노해로69길 21-11, 201호, 202호, 203호, 204호 (창동)</t>
  </si>
  <si>
    <t>3240000-102-2006-00005</t>
  </si>
  <si>
    <t>서울특별시 강동구 천호동 550-7</t>
  </si>
  <si>
    <t>서울특별시 강동구 진황도로 3 (천호동)</t>
  </si>
  <si>
    <t>3020000-102-2016-00001</t>
  </si>
  <si>
    <t>서울특별시 용산구 한남동 737-25 지하1층</t>
  </si>
  <si>
    <t>서울특별시 용산구 이태원로 221, 지하1층 (한남동, 임피리얼팰리스 부티크호텔)</t>
  </si>
  <si>
    <t>3200000-102-2012-00001</t>
  </si>
  <si>
    <t>서울특별시 관악구 신림동 1431-7 2층호</t>
  </si>
  <si>
    <t>서울특별시 관악구 신림로 365, 2층호 (신림동)</t>
  </si>
  <si>
    <t>3200000-102-2000-10195</t>
  </si>
  <si>
    <t>서울특별시 관악구 남현동 1061-22</t>
  </si>
  <si>
    <t>서울특별시 관악구 과천대로 945, 지하1층 (남현동)</t>
  </si>
  <si>
    <t>3080000-102-2008-00007</t>
  </si>
  <si>
    <t>서울특별시 강북구 수유동 230-13 지하1층</t>
  </si>
  <si>
    <t>서울특별시 강북구 도봉로 317 (수유동,지하1층)</t>
  </si>
  <si>
    <t>3220000-102-2002-00013</t>
  </si>
  <si>
    <t>서울특별시 강남구 청담동 125-16 2층</t>
  </si>
  <si>
    <t>서울특별시 강남구 도산대로 535, 2층 (청담동)</t>
  </si>
  <si>
    <t>3200000-102-2025-00002</t>
  </si>
  <si>
    <t>서울특별시 관악구 신림동 1638-24</t>
  </si>
  <si>
    <t>서울특별시 관악구 신림로59길 7, 지하1층 가호 (신림동)</t>
  </si>
  <si>
    <t>3000000-102-2006-00004</t>
  </si>
  <si>
    <t>서울특별시 종로구 창신동 438-14 외1필지 지하1층</t>
  </si>
  <si>
    <t>서울특별시 종로구 종로46길 33 (창신동,외1필지 지하1층)</t>
  </si>
  <si>
    <t>3240000-102-2011-00005</t>
  </si>
  <si>
    <t>서울특별시 강동구 길동 413-13</t>
  </si>
  <si>
    <t>서울특별시 강동구 진황도로 103 (길동)</t>
  </si>
  <si>
    <t>3010000-102-1987-02498</t>
  </si>
  <si>
    <t>서울특별시 중구 을지로5가 133-1</t>
  </si>
  <si>
    <t>서울특별시 중구 을지로38길 20 (을지로5가)</t>
  </si>
  <si>
    <t>3000000-102-2011-00008</t>
  </si>
  <si>
    <t>서울특별시 종로구 효제동 185 (지상1층)</t>
  </si>
  <si>
    <t>서울특별시 종로구 대학로2길 41 (효제동,(지상1층))</t>
  </si>
  <si>
    <t>3220000-102-2015-00003</t>
  </si>
  <si>
    <t xml:space="preserve">서울특별시 강남구 역삼동 819-9 </t>
  </si>
  <si>
    <t>서울특별시 강남구 강남대로92길 13, 지하1.2층 (역삼동)</t>
  </si>
  <si>
    <t>3200000-102-2000-10106</t>
  </si>
  <si>
    <t>서울특별시 관악구 신림동 1432-77</t>
  </si>
  <si>
    <t>서울특별시 관악구 신림로 355 (신림동)</t>
  </si>
  <si>
    <t>3200000-102-2010-00007</t>
  </si>
  <si>
    <t>서울특별시 관악구 신림동 1424-11</t>
  </si>
  <si>
    <t>서울특별시 관악구 신림로 356, 3층 2호 (신림동)</t>
  </si>
  <si>
    <t>3090000-102-2007-00004</t>
  </si>
  <si>
    <t>서울특별시 도봉구 창동 13</t>
  </si>
  <si>
    <t>서울특별시 도봉구 마들로11길 65, 지하1층 1호 (창동, 유진빌딩)</t>
  </si>
  <si>
    <t>3230000-102-2016-00001</t>
  </si>
  <si>
    <t>서울특별시 송파구 가락동 98-7 지하1층 106-1</t>
  </si>
  <si>
    <t>서울특별시 송파구 송파대로28길 13 (가락동, 지하1층 106-1호)</t>
  </si>
  <si>
    <t>3190000-102-2001-08243</t>
  </si>
  <si>
    <t>서울특별시 동작구 노량진동 29-6</t>
  </si>
  <si>
    <t>서울특별시 동작구 노량진로 86-1, 지하층 (노량진동)</t>
  </si>
  <si>
    <t>3180000-102-2024-00001</t>
  </si>
  <si>
    <t>서울특별시 영등포구 여의도동 44-24</t>
  </si>
  <si>
    <t>서울특별시 영등포구 여의대방로65길 20, 호성빌딩 지하2층 202호 (여의도동)</t>
  </si>
  <si>
    <t>3240000-102-2009-00001</t>
  </si>
  <si>
    <t>서울특별시 강동구 길동 459-2 중부빌딩 3층 301호</t>
  </si>
  <si>
    <t>서울특별시 강동구 천호대로 1135 (길동,중부빌딩 3층 301호)</t>
  </si>
  <si>
    <t>3220000-102-2015-00004</t>
  </si>
  <si>
    <t xml:space="preserve">서울특별시 강남구 논현동 115-12번지 지하1층 </t>
  </si>
  <si>
    <t>서울특별시 강남구 언주로 706, 지하1층 (논현동)</t>
  </si>
  <si>
    <t>3080000-102-2024-00004</t>
  </si>
  <si>
    <t>서울특별시 강북구 번동 446-24 홍승빌딩</t>
  </si>
  <si>
    <t>서울특별시 강북구 도봉로 332, 홍승빌딩 지하1층 (번동)</t>
  </si>
  <si>
    <t>3220000-102-2008-00013</t>
  </si>
  <si>
    <t>서울특별시 강남구 역삼동 831-24</t>
  </si>
  <si>
    <t>서울특별시 강남구 강남대로78길 12 (역삼동)</t>
  </si>
  <si>
    <t>3200000-102-1987-07740</t>
  </si>
  <si>
    <t>서울특별시 관악구 신림동 1640-31</t>
  </si>
  <si>
    <t>서울특별시 관악구 신림로59길 14 (신림동)</t>
  </si>
  <si>
    <t>3210000-102-1982-06402</t>
  </si>
  <si>
    <t>서울특별시 서초구 반포동 722-37 지층</t>
  </si>
  <si>
    <t>서울특별시 서초구 강남대로 521, 지층 (반포동)</t>
  </si>
  <si>
    <t>3230000-102-2016-00006</t>
  </si>
  <si>
    <t>서울특별시 송파구 가락동 79-4</t>
  </si>
  <si>
    <t>서울특별시 송파구 송파대로28길 20, 지하1층 114-1,2호 (가락동)</t>
  </si>
  <si>
    <t>3200000-102-1979-07811</t>
  </si>
  <si>
    <t>서울특별시 관악구 신림동 1429-16</t>
  </si>
  <si>
    <t>서울특별시 관악구 신림로 387 (신림동)</t>
  </si>
  <si>
    <t>3180000-102-2001-14146</t>
  </si>
  <si>
    <t>서울특별시 영등포구 영등포동3가 21-13</t>
  </si>
  <si>
    <t>서울특별시 영등포구 영중로4길 15-5 (영등포동3가)</t>
  </si>
  <si>
    <t>3230000-102-2024-00001</t>
  </si>
  <si>
    <t>서울특별시 송파구 가락동 98-2 훼밀리오피스텔</t>
  </si>
  <si>
    <t>서울특별시 송파구 송파대로30길 8, 훼밀리오피스텔 지하1층 (가락동)</t>
  </si>
  <si>
    <t>3010000-102-2025-00003</t>
  </si>
  <si>
    <t>서울특별시 중구 충무로3가 24-5</t>
  </si>
  <si>
    <t>서울특별시 중구 수표로6길 11, 2층 (충무로3가)</t>
  </si>
  <si>
    <t>3220000-102-2015-00006</t>
  </si>
  <si>
    <t>서울특별시 강남구 신사동 652-14 지하1층</t>
  </si>
  <si>
    <t>서울특별시 강남구 도산대로 331, 지하1층 (신사동)</t>
  </si>
  <si>
    <t>3220000-102-2009-00003</t>
  </si>
  <si>
    <t>서울특별시 강남구 역삼동 824-7 지상3층</t>
  </si>
  <si>
    <t>서울특별시 강남구 테헤란로6길 10 (역삼동,지상3층)</t>
  </si>
  <si>
    <t>3150000-102-2017-00007</t>
  </si>
  <si>
    <t>서울특별시 강서구 마곡동 795-6 뉴골든타워 6층 601호</t>
  </si>
  <si>
    <t>서울특별시 강서구 마곡중앙6로 89, 6층 601호 (마곡동, 가양 1동 뉴골든타워)</t>
  </si>
  <si>
    <t>3240000-102-1980-05528</t>
  </si>
  <si>
    <t>서울특별시 강동구 암사동 496-17</t>
  </si>
  <si>
    <t>서울특별시 강동구 상암로11길 4, 1층 (암사동)</t>
  </si>
  <si>
    <t>3010000-102-2025-00001</t>
  </si>
  <si>
    <t>서울특별시 중구 을지로3가 95-4</t>
  </si>
  <si>
    <t>서울특별시 중구 충무로9길 12, 지하1층 (을지로3가)</t>
  </si>
  <si>
    <t>3220000-102-2025-00002</t>
  </si>
  <si>
    <t>서울특별시 강남구 역삼동 832-7 황화빌딩</t>
  </si>
  <si>
    <t>서울특별시 강남구 강남대로 320, 황화빌딩 지하2층 (역삼동)</t>
  </si>
  <si>
    <t>3180000-102-2005-00002</t>
  </si>
  <si>
    <t>서울특별시 영등포구 영등포동3가 10-34</t>
  </si>
  <si>
    <t>서울특별시 영등포구 영중로4길 10-1, 지하1층 (영등포동3가)</t>
  </si>
  <si>
    <t>3030000-102-1982-01099</t>
  </si>
  <si>
    <t>서울특별시 성동구 행당동 227-1</t>
  </si>
  <si>
    <t>서울특별시 성동구 왕십리로 284 (행당동)</t>
  </si>
  <si>
    <t>3010000-102-2025-00002</t>
  </si>
  <si>
    <t>서울특별시 중구 충무로4가 125-3</t>
  </si>
  <si>
    <t>서울특별시 중구 퇴계로 213, 지하층 (충무로4가)</t>
  </si>
  <si>
    <t>3150000-102-2017-00006</t>
  </si>
  <si>
    <t>서울특별시 강서구 마곡동 795-6 뉴골든타워 6층 601-1호</t>
  </si>
  <si>
    <t>서울특별시 강서구 마곡중앙6로 89, 6층 601-1호 (마곡동, 가양 1동 뉴골든타워)</t>
  </si>
  <si>
    <t>3180000-102-2020-00002</t>
  </si>
  <si>
    <t>서울특별시 영등포구 여의도동 44-12 고려빌딩</t>
  </si>
  <si>
    <t>서울특별시 영등포구 여의대방로67길 8, 고려빌딩 지하1층 6호 (여의도동)</t>
  </si>
  <si>
    <t>3230000-102-2014-00006</t>
  </si>
  <si>
    <t>서울특별시 송파구 가락동 79-4 2층 202-A호</t>
  </si>
  <si>
    <t>서울특별시 송파구 송파대로28길 20, 2층 202-A호 (가락동)</t>
  </si>
  <si>
    <t>3060000-102-2025-00001</t>
  </si>
  <si>
    <t>서울특별시 중랑구 상봉동 90</t>
  </si>
  <si>
    <t>서울특별시 중랑구 망우로50길 16, 2층 (상봉동)</t>
  </si>
  <si>
    <t>3230000-102-2004-00003</t>
  </si>
  <si>
    <t>서울특별시 송파구 방이동 24-0 지상2층</t>
  </si>
  <si>
    <t>서울특별시 송파구 올림픽로30길 6-5 (방이동,지상2층)</t>
  </si>
  <si>
    <t>3180000-102-2022-00001</t>
  </si>
  <si>
    <t>서울특별시 영등포구 여의대방로65길 20, 지하1층 101호 (여의도동)</t>
  </si>
  <si>
    <t>3180000-102-2025-00002</t>
  </si>
  <si>
    <t>서울특별시 영등포구 영등포동3가 7-25 델리타운 2층 203호</t>
  </si>
  <si>
    <t>서울특별시 영등포구 영중로10길 6, 델리타운 2층 203호 (영등포동3가)</t>
  </si>
  <si>
    <t>3180000-102-2001-02660</t>
  </si>
  <si>
    <t>서울특별시 영등포구 여의도동 36-4 오륜빌딩 지하1층 101~104호</t>
  </si>
  <si>
    <t>서울특별시 영등포구 국제금융로8길 34, 지하1층 101~104호 (여의도동, 오륜빌딩)</t>
  </si>
  <si>
    <t>3000000-102-1984-11439</t>
  </si>
  <si>
    <t xml:space="preserve">서울특별시 종로구 낙원동 179 (지하1층) </t>
  </si>
  <si>
    <t>서울특별시 종로구 수표로22길 2 (낙원동,(지하1층))</t>
  </si>
  <si>
    <t>3000000-102-1985-08261</t>
  </si>
  <si>
    <t xml:space="preserve">서울특별시 종로구 낙원동 93번지 </t>
  </si>
  <si>
    <t>서울특별시 종로구 수표로 134 (낙원동)</t>
  </si>
  <si>
    <t>3000000-102-1999-10266</t>
  </si>
  <si>
    <t xml:space="preserve">서울특별시 종로구 종로5가 231-16번지 </t>
  </si>
  <si>
    <t>서울특별시 종로구 종로36가길 6 (종로5가)</t>
  </si>
  <si>
    <t>3000000-102-1999-10220</t>
  </si>
  <si>
    <t xml:space="preserve">서울특별시 종로구 숭인동 201-25번지 (지하1층) </t>
  </si>
  <si>
    <t>서울특별시 종로구 난계로29길 43 (숭인동,(지하1층))</t>
  </si>
  <si>
    <t>3000000-102-1975-08233</t>
  </si>
  <si>
    <t xml:space="preserve">서울특별시 종로구 관철동 43-12번지 </t>
  </si>
  <si>
    <t>서울특별시 종로구 종로8길 21 (관철동)</t>
  </si>
  <si>
    <t>3000000-102-1975-08329</t>
  </si>
  <si>
    <t xml:space="preserve">서울특별시 종로구 인사동 35-0번지 </t>
  </si>
  <si>
    <t>3240000-102-1999-11037</t>
  </si>
  <si>
    <t xml:space="preserve">서울특별시 강동구 길동 415-16번지 </t>
  </si>
  <si>
    <t>3000000-102-2013-00005</t>
  </si>
  <si>
    <t xml:space="preserve">서울특별시 종로구 숭인동 207-30번지 지하1층 </t>
  </si>
  <si>
    <t>서울특별시 종로구 난계로29길 61, 지하1층 (숭인동)</t>
  </si>
  <si>
    <t>3000000-102-2013-00006</t>
  </si>
  <si>
    <t xml:space="preserve">서울특별시 종로구 연지동 275-1번지 </t>
  </si>
  <si>
    <t>서울특별시 종로구 대학로1길 10, 지하1층 (연지동)</t>
  </si>
  <si>
    <t>3000000-102-2014-00001</t>
  </si>
  <si>
    <t>서울특별시 종로구 효제동 245-21 지상1층</t>
  </si>
  <si>
    <t>서울특별시 종로구 대학로2길 19, 지상1층 (효제동)</t>
  </si>
  <si>
    <t>3000000-102-1985-08282</t>
  </si>
  <si>
    <t xml:space="preserve">서울특별시 종로구 견지동 110-13번지 </t>
  </si>
  <si>
    <t>3000000-102-1989-08279</t>
  </si>
  <si>
    <t xml:space="preserve">서울특별시 종로구 관철동 44-3 </t>
  </si>
  <si>
    <t>서울특별시 종로구 종로8길 16 (관철동)</t>
  </si>
  <si>
    <t>3000000-102-2014-00002</t>
  </si>
  <si>
    <t xml:space="preserve">서울특별시 종로구 효제동 155번지 지하1층 </t>
  </si>
  <si>
    <t>서울특별시 종로구 종로35길 34, 지하1층 (효제동)</t>
  </si>
  <si>
    <t>3000000-102-2014-00003</t>
  </si>
  <si>
    <t xml:space="preserve">서울특별시 종로구 창신동 174-1번지 지상2층 </t>
  </si>
  <si>
    <t>서울특별시 종로구 종로 321-2, 지상2층 (창신동)</t>
  </si>
  <si>
    <t>3000000-102-2014-00004</t>
  </si>
  <si>
    <t xml:space="preserve">서울특별시 종로구 돈의동 50 지하1층 </t>
  </si>
  <si>
    <t>서울특별시 종로구 돈화문로11길 10, 지하1층 (돈의동)</t>
  </si>
  <si>
    <t>3000000-102-2014-00005</t>
  </si>
  <si>
    <t xml:space="preserve">서울특별시 종로구 연지동 255번지 지하1층 </t>
  </si>
  <si>
    <t>서울특별시 종로구 대학로1길 42, 지하1층 (연지동)</t>
  </si>
  <si>
    <t>3000000-102-2014-00006</t>
  </si>
  <si>
    <t xml:space="preserve">서울특별시 종로구 인의동 73 지하1층 </t>
  </si>
  <si>
    <t>서울특별시 종로구 창경궁로 125, 지하1층 (인의동)</t>
  </si>
  <si>
    <t>3000000-102-2015-00001</t>
  </si>
  <si>
    <t xml:space="preserve">서울특별시 종로구 종로5가 4-1 지상2층 </t>
  </si>
  <si>
    <t>서울특별시 종로구 종로 253-1, 지상2층 (종로5가)</t>
  </si>
  <si>
    <t>3000000-102-2015-00003</t>
  </si>
  <si>
    <t xml:space="preserve">서울특별시 종로구 연지동 254-1 지하1층 </t>
  </si>
  <si>
    <t>서울특별시 종로구 종로31길 22, 지하1층 (연지동)</t>
  </si>
  <si>
    <t>3000000-102-2016-00001</t>
  </si>
  <si>
    <t xml:space="preserve">서울특별시 종로구 종로4가 8 2층 </t>
  </si>
  <si>
    <t>서울특별시 종로구 종로 195, 2층 (종로4가)</t>
  </si>
  <si>
    <t>3000000-102-2016-00002</t>
  </si>
  <si>
    <t xml:space="preserve">서울특별시 종로구 종로4가 8번지 2층 </t>
  </si>
  <si>
    <t>3000000-102-2017-00001</t>
  </si>
  <si>
    <t xml:space="preserve">서울특별시 종로구 돈의동 50번지 1층 </t>
  </si>
  <si>
    <t>서울특별시 종로구 돈화문로11길 10, 1층 (돈의동)</t>
  </si>
  <si>
    <t>3000000-102-2017-00002</t>
  </si>
  <si>
    <t xml:space="preserve">서울특별시 종로구 창신동 446-5번지 2층 </t>
  </si>
  <si>
    <t>서울특별시 종로구 종로44길 8, 2층 (창신동)</t>
  </si>
  <si>
    <t>3000000-102-2017-00003</t>
  </si>
  <si>
    <t xml:space="preserve">서울특별시 종로구 종로3가 157 </t>
  </si>
  <si>
    <t>서울특별시 종로구 종로 144-3, 지하1층 101호 (종로3가)</t>
  </si>
  <si>
    <t>3000000-102-2005-00009</t>
  </si>
  <si>
    <t xml:space="preserve">서울특별시 종로구 종로5가 244 지상2층 </t>
  </si>
  <si>
    <t>서울특별시 종로구 종로 248 (종로5가,지상2층)</t>
  </si>
  <si>
    <t>3000000-102-2005-00012</t>
  </si>
  <si>
    <t xml:space="preserve">서울특별시 종로구 원남동 177-1번지 지하층 </t>
  </si>
  <si>
    <t>서울특별시 종로구 율곡로 164 (원남동,지하층)</t>
  </si>
  <si>
    <t>3000000-102-1967-10359</t>
  </si>
  <si>
    <t xml:space="preserve">서울특별시 종로구 관철동 32-4번지 지하 1층(관철동 32-4,7) </t>
  </si>
  <si>
    <t>서울특별시 종로구 삼일대로17길 39, 지하 1층 (관철동)</t>
  </si>
  <si>
    <t>3000000-102-1972-08325</t>
  </si>
  <si>
    <t xml:space="preserve">서울특별시 종로구 창신동 293-5번지 </t>
  </si>
  <si>
    <t>서울특별시 종로구 종로 337 (창신동)</t>
  </si>
  <si>
    <t>3000000-102-2010-00006</t>
  </si>
  <si>
    <t xml:space="preserve">서울특별시 종로구 연지동 246 지하 1층 </t>
  </si>
  <si>
    <t>서울특별시 종로구 종로31길 28 (연지동,지하 1층)</t>
  </si>
  <si>
    <t>3000000-102-2010-00007</t>
  </si>
  <si>
    <t xml:space="preserve">서울특별시 종로구 종로5가 38-1 지상1층 </t>
  </si>
  <si>
    <t>서울특별시 종로구 종로35길 5, 지상1층 (종로5가)</t>
  </si>
  <si>
    <t>3000000-102-2006-00011</t>
  </si>
  <si>
    <t xml:space="preserve">서울특별시 종로구 종로5가 20-1번지 지하1층 </t>
  </si>
  <si>
    <t>서울특별시 종로구 대학로2길 52 (종로5가)</t>
  </si>
  <si>
    <t>3000000-102-2006-00007</t>
  </si>
  <si>
    <t xml:space="preserve">서울특별시 종로구 숭인동 200-33 지하1층 </t>
  </si>
  <si>
    <t>서울특별시 종로구 종로 382, 지하1층 (숭인동)</t>
  </si>
  <si>
    <t>3000000-102-2018-00001</t>
  </si>
  <si>
    <t>서울특별시 종로구 낙원동 121-1</t>
  </si>
  <si>
    <t>서울특별시 종로구 돈화문로11길 30, 2층 201호 (낙원동)</t>
  </si>
  <si>
    <t>3000000-102-2007-00001</t>
  </si>
  <si>
    <t xml:space="preserve">서울특별시 종로구 당주동 18번지 지상3층 </t>
  </si>
  <si>
    <t>서울특별시 종로구 새문안로9길 29-2 (당주동,지상3층)</t>
  </si>
  <si>
    <t>3000000-102-2007-00002</t>
  </si>
  <si>
    <t xml:space="preserve">서울특별시 종로구 청진동 183-1번지 지하1층 </t>
  </si>
  <si>
    <t>서울특별시 종로구 종로3길 32 (청진동,지하1층)</t>
  </si>
  <si>
    <t>3000000-102-2007-00003</t>
  </si>
  <si>
    <t xml:space="preserve">서울특별시 종로구 평창동 66-50번지 동화킴스관광호텔 지하1층 </t>
  </si>
  <si>
    <t>서울특별시 종로구 세검정로 418 (평창동,동화킴스관광호텔 지하1층)</t>
  </si>
  <si>
    <t>3000000-102-2010-00010</t>
  </si>
  <si>
    <t xml:space="preserve">서울특별시 종로구 창신동 378번지 2층 </t>
  </si>
  <si>
    <t>서울특별시 종로구 종로 318 (창신동,2층)</t>
  </si>
  <si>
    <t>3000000-102-2010-00013</t>
  </si>
  <si>
    <t xml:space="preserve">서울특별시 종로구 종로5가 231-20번지 (3층) </t>
  </si>
  <si>
    <t>서울특별시 종로구 종로36가길 8-1 (종로5가,(3층))</t>
  </si>
  <si>
    <t>3000000-102-2010-00016</t>
  </si>
  <si>
    <t xml:space="preserve">서울특별시 종로구 창신동 436-73번지 (지하1층) </t>
  </si>
  <si>
    <t>서울특별시 종로구 청계천로 341 (창신동,(지하1층))</t>
  </si>
  <si>
    <t>3000000-102-2011-00003</t>
  </si>
  <si>
    <t xml:space="preserve">서울특별시 종로구 종로5가 54번지 (지상1층) </t>
  </si>
  <si>
    <t>서울특별시 종로구 종로 227-6 (종로5가,(지상1층))</t>
  </si>
  <si>
    <t>3000000-102-2011-00004</t>
  </si>
  <si>
    <t xml:space="preserve">서울특별시 종로구 종로6가 124-1번지 (지상2층) </t>
  </si>
  <si>
    <t>서울특별시 종로구 종로 263 (종로6가,(지상2층))</t>
  </si>
  <si>
    <t>3000000-102-2007-00004</t>
  </si>
  <si>
    <t xml:space="preserve">서울특별시 종로구 종로5가 332-7번지 지상2층 </t>
  </si>
  <si>
    <t>서울특별시 종로구 동호로 402 (종로5가,지상2층)</t>
  </si>
  <si>
    <t>3000000-102-2007-00005</t>
  </si>
  <si>
    <t xml:space="preserve">서울특별시 종로구 장사동 2번지 </t>
  </si>
  <si>
    <t>서울특별시 종로구 돈화문로 16 (장사동)</t>
  </si>
  <si>
    <t>3000000-102-2008-00001</t>
  </si>
  <si>
    <t xml:space="preserve">서울특별시 종로구 원남동 282 지하1층 </t>
  </si>
  <si>
    <t>서울특별시 종로구 창경궁로 133 (원남동,지하1층)</t>
  </si>
  <si>
    <t>3000000-102-2008-00002</t>
  </si>
  <si>
    <t xml:space="preserve">서울특별시 종로구 종로6가 244-15번지 (지상3층) </t>
  </si>
  <si>
    <t>서울특별시 종로구 종로39길 10-1 (종로6가,(지상3층))</t>
  </si>
  <si>
    <t>3000000-102-2001-12242</t>
  </si>
  <si>
    <t xml:space="preserve">서울특별시 종로구 효제동 186번지 </t>
  </si>
  <si>
    <t>서울특별시 종로구 대학로2길 39 (효제동)</t>
  </si>
  <si>
    <t>3000000-102-2001-12243</t>
  </si>
  <si>
    <t xml:space="preserve">서울특별시 종로구 종로6가 123-1번지 </t>
  </si>
  <si>
    <t>서울특별시 종로구 종로 263-1 (종로6가)</t>
  </si>
  <si>
    <t>3000000-102-2001-12244</t>
  </si>
  <si>
    <t xml:space="preserve">서울특별시 종로구 낙원동 148  (지하1층) </t>
  </si>
  <si>
    <t>서울특별시 종로구 돈화문로9길 40 (낙원동, (지하1층))</t>
  </si>
  <si>
    <t>3000000-102-2001-12246</t>
  </si>
  <si>
    <t xml:space="preserve">서울특별시 종로구 공평동 60번지 </t>
  </si>
  <si>
    <t>서울특별시 종로구 우정국로 30-6 (공평동)</t>
  </si>
  <si>
    <t>3000000-102-2003-00013</t>
  </si>
  <si>
    <t>서울특별시 종로구 종로5가 38-1 지상2층</t>
  </si>
  <si>
    <t>서울특별시 종로구 대학로2길 32, 지상2층 (종로5가)</t>
  </si>
  <si>
    <t>3000000-102-2002-00007</t>
  </si>
  <si>
    <t xml:space="preserve">서울특별시 종로구 종로5가 113번지 </t>
  </si>
  <si>
    <t>서울특별시 종로구 대학로1길 41 (종로5가)</t>
  </si>
  <si>
    <t>3000000-102-2002-00009</t>
  </si>
  <si>
    <t xml:space="preserve">서울특별시 종로구 낙원동 25번지  (지하1층) </t>
  </si>
  <si>
    <t>서울특별시 종로구 삼일대로30길 9 (낙원동, (지하1층))</t>
  </si>
  <si>
    <t>3000000-102-2002-00010</t>
  </si>
  <si>
    <t xml:space="preserve">서울특별시 종로구 관철동 19-19 </t>
  </si>
  <si>
    <t>서울특별시 종로구 삼일대로17길 50 (관철동)</t>
  </si>
  <si>
    <t>3000000-102-2011-00009</t>
  </si>
  <si>
    <t xml:space="preserve">서울특별시 종로구 돈의동 45-1번지 지하(1층) </t>
  </si>
  <si>
    <t>서울특별시 종로구 돈화문로11길 16 (돈의동,지하(1층))</t>
  </si>
  <si>
    <t>3000000-102-2002-00004</t>
  </si>
  <si>
    <t>서울특별시 종로구 관수동 12-0</t>
  </si>
  <si>
    <t>서울특별시 종로구 수표로 93 (관수동)</t>
  </si>
  <si>
    <t>3000000-102-2012-00004</t>
  </si>
  <si>
    <t xml:space="preserve">서울특별시 종로구 종로5가 231-1번지 (지상1층) </t>
  </si>
  <si>
    <t>서울특별시 종로구 종로 244-1, 1층 (종로5가)</t>
  </si>
  <si>
    <t>3000000-102-2008-00003</t>
  </si>
  <si>
    <t xml:space="preserve">서울특별시 종로구 효제동 233-3번지 ,236번지 (지하1층) </t>
  </si>
  <si>
    <t>서울특별시 종로구 대학로2길 25-2 (효제동,,236번지 (지하1층))</t>
  </si>
  <si>
    <t>3000000-102-2008-00004</t>
  </si>
  <si>
    <t xml:space="preserve">서울특별시 종로구 종로5가 231-20번지 (지상1~2층) </t>
  </si>
  <si>
    <t>서울특별시 종로구 종로36가길 8-1 (종로5가,(지상1~2층))</t>
  </si>
  <si>
    <t>3000000-102-2008-00005</t>
  </si>
  <si>
    <t xml:space="preserve">서울특별시 종로구 종로5가 104-9번지 </t>
  </si>
  <si>
    <t>서울특별시 종로구 대학로1길 23, 지하1층 (종로5가)</t>
  </si>
  <si>
    <t>3000000-102-2009-00001</t>
  </si>
  <si>
    <t xml:space="preserve">서울특별시 종로구 도렴동 117-1번지 (지상 3층) </t>
  </si>
  <si>
    <t>서울특별시 종로구 새문안로5길 25 (도렴동,(지상 3층))</t>
  </si>
  <si>
    <t>3000000-102-2009-00002</t>
  </si>
  <si>
    <t xml:space="preserve">서울특별시 종로구 종로6가 137-2 지하1층 </t>
  </si>
  <si>
    <t>서울특별시 종로구 종로41길 9 (종로6가,지하1층)</t>
  </si>
  <si>
    <t>3000000-102-2009-00005</t>
  </si>
  <si>
    <t xml:space="preserve">서울특별시 종로구 연지동 273 1층 </t>
  </si>
  <si>
    <t>서울특별시 종로구 대학로1길 16 (연지동,1층)</t>
  </si>
  <si>
    <t>3000000-102-1999-10561</t>
  </si>
  <si>
    <t xml:space="preserve">서울특별시 종로구 관철동 22-0번지 </t>
  </si>
  <si>
    <t>서울특별시 종로구 삼일대로 390-10 (관철동)</t>
  </si>
  <si>
    <t>3000000-102-1999-10570</t>
  </si>
  <si>
    <t xml:space="preserve">서울특별시 종로구 관수동 154-1 1층 </t>
  </si>
  <si>
    <t>서울특별시 종로구 수표로 83, 1층 (관수동)</t>
  </si>
  <si>
    <t>3000000-102-1999-10620</t>
  </si>
  <si>
    <t xml:space="preserve">서울특별시 종로구 종로6가 157-0번지 </t>
  </si>
  <si>
    <t>서울특별시 종로구 종로41길 20 (종로6가)</t>
  </si>
  <si>
    <t>3000000-102-2009-00004</t>
  </si>
  <si>
    <t>서울특별시 종로구 효제동 202 지상1층</t>
  </si>
  <si>
    <t>서울특별시 종로구 종로35길 20 (효제동,지상1층)</t>
  </si>
  <si>
    <t>3000000-102-1999-10624</t>
  </si>
  <si>
    <t xml:space="preserve">서울특별시 종로구 교남동 46-0번지 지하1층 </t>
  </si>
  <si>
    <t>서울특별시 종로구 통일로 156-1 (교남동,지하1층)</t>
  </si>
  <si>
    <t>3000000-102-2013-00001</t>
  </si>
  <si>
    <t xml:space="preserve">서울특별시 종로구 창신동 442-3 7층 </t>
  </si>
  <si>
    <t>서울특별시 종로구 종로 286, 7층 (창신동)</t>
  </si>
  <si>
    <t>3000000-102-2012-00005</t>
  </si>
  <si>
    <t>서울특별시 종로구 종로5가 40 1층</t>
  </si>
  <si>
    <t>서울특별시 종로구 대학로2길 30, 1층 (종로5가)</t>
  </si>
  <si>
    <t>3000000-102-2013-00002</t>
  </si>
  <si>
    <t>서울특별시 종로구 수송동 58번지 두산위브파빌리온 지하 112호</t>
  </si>
  <si>
    <t>서울특별시 종로구 삼봉로 81, B112층 (수송동, 두산위브파빌리온)</t>
  </si>
  <si>
    <t>3000000-102-2013-00004</t>
  </si>
  <si>
    <t xml:space="preserve">서울특별시 종로구 종로1가 24번지 르메이에르종로타운 지하2층 B203-1,B203-2 </t>
  </si>
  <si>
    <t>서울특별시 종로구 종로 19, 지하2층 B203-1,B203-2호 (종로1가, 르메이에르종로타운)</t>
  </si>
  <si>
    <t>3000000-102-2009-00007</t>
  </si>
  <si>
    <t xml:space="preserve">서울특별시 종로구 종로6가 244-15 </t>
  </si>
  <si>
    <t>서울특별시 종로구 종로39길 10-1 (종로6가)</t>
  </si>
  <si>
    <t>3000000-102-2009-00008</t>
  </si>
  <si>
    <t xml:space="preserve">서울특별시 종로구 숭인동 201-20번지 지하1층 </t>
  </si>
  <si>
    <t>서울특별시 종로구 종로66가길 2 (숭인동,지하1층)</t>
  </si>
  <si>
    <t>3000000-102-2009-00010</t>
  </si>
  <si>
    <t xml:space="preserve">서울특별시 종로구 숭인동 201-28 지하 1층 </t>
  </si>
  <si>
    <t>서울특별시 종로구 종로66길 20 (숭인동,지하 1층)</t>
  </si>
  <si>
    <t>3000000-102-1999-10678</t>
  </si>
  <si>
    <t xml:space="preserve">서울특별시 종로구 종로5가 246-5번지 </t>
  </si>
  <si>
    <t>서울특별시 종로구 종로40가길 28 (종로5가)</t>
  </si>
  <si>
    <t>3000000-102-1999-10689</t>
  </si>
  <si>
    <t xml:space="preserve">서울특별시 종로구 숭인동 1413번지 지하1층 </t>
  </si>
  <si>
    <t>서울특별시 종로구 종로66길 15 (숭인동,지하1층)</t>
  </si>
  <si>
    <t>3000000-102-2002-00020</t>
  </si>
  <si>
    <t>3000000-102-2002-00021</t>
  </si>
  <si>
    <t xml:space="preserve">서울특별시 종로구 청진동 26번지 </t>
  </si>
  <si>
    <t>서울특별시 종로구 종로5길 32-12 (청진동)</t>
  </si>
  <si>
    <t>3000000-102-2002-00022</t>
  </si>
  <si>
    <t xml:space="preserve">서울특별시 종로구 묘동 200번지 </t>
  </si>
  <si>
    <t>서울특별시 종로구 돈화문로 29-1 (묘동)</t>
  </si>
  <si>
    <t>3000000-102-2002-00023</t>
  </si>
  <si>
    <t xml:space="preserve">서울특별시 종로구 돈의동 19 (지하1층) </t>
  </si>
  <si>
    <t>서울특별시 종로구 돈화문로11다길 9 (돈의동,(지하1층))</t>
  </si>
  <si>
    <t>3000000-102-2002-00024</t>
  </si>
  <si>
    <t xml:space="preserve">서울특별시 종로구 창신동 465번지 </t>
  </si>
  <si>
    <t>서울특별시 종로구 종로 298 (창신동)</t>
  </si>
  <si>
    <t>3000000-102-2009-00006</t>
  </si>
  <si>
    <t>서울특별시 종로구 인사동 262 (지상1층)</t>
  </si>
  <si>
    <t>서울특별시 종로구 종로 63-8 (인사동,(지상1층))</t>
  </si>
  <si>
    <t>3000000-102-2010-00003</t>
  </si>
  <si>
    <t xml:space="preserve">서울특별시 종로구 종로5가 94 지상1층 </t>
  </si>
  <si>
    <t>서울특별시 종로구 종로 211 (종로5가,지상1층)</t>
  </si>
  <si>
    <t>3000000-102-2010-00004</t>
  </si>
  <si>
    <t xml:space="preserve">서울특별시 종로구 내수동 75번지 용비어천가 지하102호 </t>
  </si>
  <si>
    <t>서울특별시 종로구 새문안로3길 36 (내수동,용비어천가 지하102호)</t>
  </si>
  <si>
    <t>3000000-102-1974-08275</t>
  </si>
  <si>
    <t>서울특별시 종로구 숭인동 298-2</t>
  </si>
  <si>
    <t>서울특별시 종로구 종로 346 (숭인동)</t>
  </si>
  <si>
    <t>3000000-102-2010-00005</t>
  </si>
  <si>
    <t xml:space="preserve">서울특별시 종로구 효제동 227 </t>
  </si>
  <si>
    <t>서울특별시 종로구 종로35길 21 (효제동)</t>
  </si>
  <si>
    <t>3000000-102-1973-08257</t>
  </si>
  <si>
    <t xml:space="preserve">서울특별시 종로구 숭인동 313-7번지 </t>
  </si>
  <si>
    <t>서울특별시 종로구 지봉로 28, 지하1층 (숭인동)</t>
  </si>
  <si>
    <t>3000000-102-2004-00010</t>
  </si>
  <si>
    <t xml:space="preserve">서울특별시 종로구 낙원동 173-1 지상2층 </t>
  </si>
  <si>
    <t>서울특별시 종로구 수표로 116 (낙원동,지상2층)</t>
  </si>
  <si>
    <t>3000000-102-2004-00015</t>
  </si>
  <si>
    <t xml:space="preserve">서울특별시 종로구 장사동 9-3번지 </t>
  </si>
  <si>
    <t>서울특별시 종로구 돈화문로 12 (장사동)</t>
  </si>
  <si>
    <t>3000000-102-2005-00001</t>
  </si>
  <si>
    <t xml:space="preserve">서울특별시 종로구 효제동 247-2번지 </t>
  </si>
  <si>
    <t>서울특별시 종로구 대학로2길 5 (효제동)</t>
  </si>
  <si>
    <t>3000000-102-2005-00006</t>
  </si>
  <si>
    <t xml:space="preserve">서울특별시 종로구 청진동 88번지 지상2층 </t>
  </si>
  <si>
    <t>3000000-102-1999-10690</t>
  </si>
  <si>
    <t xml:space="preserve">서울특별시 종로구 돈의동 125-1번지 지하1층 </t>
  </si>
  <si>
    <t>서울특별시 종로구 돈화문로5가길 19 (돈의동,지하1층)</t>
  </si>
  <si>
    <t>3000000-102-2005-00004</t>
  </si>
  <si>
    <t>서울특별시 종로구 종로5가 214-6 지상2층</t>
  </si>
  <si>
    <t>서울특별시 종로구 종로36길 8 (종로5가,지상2층)</t>
  </si>
  <si>
    <t>3000000-102-1999-08303</t>
  </si>
  <si>
    <t xml:space="preserve">서울특별시 종로구 관철동 10-23번지 </t>
  </si>
  <si>
    <t>서울특별시 종로구 삼일대로15길 3 (관철동)</t>
  </si>
  <si>
    <t>3000000-102-1999-10757</t>
  </si>
  <si>
    <t xml:space="preserve">서울특별시 종로구 충신동 57-4번지 </t>
  </si>
  <si>
    <t>서울특별시 종로구 율곡로 232 (충신동)</t>
  </si>
  <si>
    <t>3000000-102-2002-00031</t>
  </si>
  <si>
    <t xml:space="preserve">서울특별시 종로구 숭인동 317-20번지 지하1층 </t>
  </si>
  <si>
    <t>서울특별시 종로구 지봉로 16 (숭인동,지하1층)</t>
  </si>
  <si>
    <t>3000000-102-2002-00030</t>
  </si>
  <si>
    <t xml:space="preserve">서울특별시 종로구 낙원동 193번지 </t>
  </si>
  <si>
    <t>서울특별시 종로구 돈화문로5길 32 (낙원동)</t>
  </si>
  <si>
    <t>3000000-102-2004-00007</t>
  </si>
  <si>
    <t>서울특별시 종로구 종로5가 55</t>
  </si>
  <si>
    <t>서울특별시 종로구 종로 227-5 (종로5가)</t>
  </si>
  <si>
    <t>3000000-102-2002-00025</t>
  </si>
  <si>
    <t>서울특별시 종로구 종로5가 245</t>
  </si>
  <si>
    <t>서울특별시 종로구 종로38길 3 (종로5가)</t>
  </si>
  <si>
    <t>3000000-102-2003-00001</t>
  </si>
  <si>
    <t xml:space="preserve">서울특별시 종로구 낙원동 198 </t>
  </si>
  <si>
    <t>서울특별시 종로구 수표로 108 (낙원동)</t>
  </si>
  <si>
    <t>3000000-102-1999-08339</t>
  </si>
  <si>
    <t>서울특별시 종로구 관철동 18-13 (지상3층)</t>
  </si>
  <si>
    <t>서울특별시 종로구 우정국로2길 43 (관철동,(지상3층))</t>
  </si>
  <si>
    <t>3000000-102-2003-00002</t>
  </si>
  <si>
    <t xml:space="preserve">서울특별시 종로구 장사동 130-1번지 </t>
  </si>
  <si>
    <t>서울특별시 종로구 종로26길 18 (장사동)</t>
  </si>
  <si>
    <t>3000000-102-2003-00003</t>
  </si>
  <si>
    <t xml:space="preserve">서울특별시 종로구 종로5가 42-1 메디칼라움빌딩 </t>
  </si>
  <si>
    <t>서울특별시 종로구 종로 233-1, 메디칼라움빌딩 (종로5가)</t>
  </si>
  <si>
    <t>3000000-102-2003-00009</t>
  </si>
  <si>
    <t xml:space="preserve">서울특별시 종로구 창신동 444-9 임진빌딩 </t>
  </si>
  <si>
    <t>서울특별시 종로구 종로46길 22, 임진빌딩 지하1층 (창신동)</t>
  </si>
  <si>
    <t>3000000-102-2000-11355</t>
  </si>
  <si>
    <t xml:space="preserve">서울특별시 종로구 당주동 2-2번지 지하1,2층 </t>
  </si>
  <si>
    <t>서울특별시 종로구 새문안로5가길 3-1 (당주동,지하1,2층)</t>
  </si>
  <si>
    <t>3000000-102-2000-11380</t>
  </si>
  <si>
    <t xml:space="preserve">서울특별시 종로구 종로5가 231-22번지 </t>
  </si>
  <si>
    <t>서울특별시 종로구 종로36가길 10 (종로5가)</t>
  </si>
  <si>
    <t>3000000-102-2000-11387</t>
  </si>
  <si>
    <t xml:space="preserve">서울특별시 종로구 종로5가 231-22번지 (지상1~2층) </t>
  </si>
  <si>
    <t>서울특별시 종로구 종로36가길 10 (종로5가,(지상1~2층))</t>
  </si>
  <si>
    <t>3000000-102-1999-10338</t>
  </si>
  <si>
    <t xml:space="preserve">서울특별시 종로구 종로5가 231-25 지상2층 </t>
  </si>
  <si>
    <t>서울특별시 종로구 종로38길 6 (종로5가,지상2층)</t>
  </si>
  <si>
    <t>3000000-102-1999-10838</t>
  </si>
  <si>
    <t xml:space="preserve">서울특별시 종로구 당주동 23-6번지 </t>
  </si>
  <si>
    <t>3000000-102-1999-10841</t>
  </si>
  <si>
    <t xml:space="preserve">서울특별시 종로구 재동 92-0번지 </t>
  </si>
  <si>
    <t>서울특별시 종로구 북촌로 2 (재동)</t>
  </si>
  <si>
    <t>3000000-102-2011-00005</t>
  </si>
  <si>
    <t xml:space="preserve">서울특별시 종로구 종로5가 54번지 (지하1층) </t>
  </si>
  <si>
    <t>서울특별시 종로구 종로 227-6 (종로5가,(지하1층))</t>
  </si>
  <si>
    <t>3000000-102-2019-00001</t>
  </si>
  <si>
    <t xml:space="preserve">서울특별시 종로구 종로5가 115 </t>
  </si>
  <si>
    <t>서울특별시 종로구 종로31길 18, 2층 (종로5가)</t>
  </si>
  <si>
    <t>3000000-102-2023-00001</t>
  </si>
  <si>
    <t xml:space="preserve">서울특별시 종로구 종로3가 6 4층 </t>
  </si>
  <si>
    <t>서울특별시 종로구 종로 111-1, 4층 (종로3가)</t>
  </si>
  <si>
    <t>3000000-102-1985-08263</t>
  </si>
  <si>
    <t xml:space="preserve">서울특별시 종로구 종로5가 77-0번지 </t>
  </si>
  <si>
    <t>서울특별시 종로구 대학로2길 4 (종로5가)</t>
  </si>
  <si>
    <t>3000000-102-1985-08250</t>
  </si>
  <si>
    <t xml:space="preserve">서울특별시 종로구 숭인동 316-2번지 </t>
  </si>
  <si>
    <t>서울특별시 종로구 지봉로 18 (숭인동)</t>
  </si>
  <si>
    <t>3000000-102-1999-08267</t>
  </si>
  <si>
    <t xml:space="preserve">서울특별시 종로구 교북동 12-19번지 </t>
  </si>
  <si>
    <t>서울특별시 종로구 통일로 202 (교북동)</t>
  </si>
  <si>
    <t>3000000-102-1984-08262</t>
  </si>
  <si>
    <t xml:space="preserve">서울특별시 종로구 종로5가 503-15번지 16,27,28 </t>
  </si>
  <si>
    <t>서울특별시 종로구 청계천로 237 (종로5가,16,27,28)</t>
  </si>
  <si>
    <t>3000000-102-1984-08343</t>
  </si>
  <si>
    <t xml:space="preserve">서울특별시 종로구 낙원동 225-0번지 지하1층 </t>
  </si>
  <si>
    <t>서울특별시 종로구 수표로 121-1 (낙원동,지하1층)</t>
  </si>
  <si>
    <t>3000000-102-1984-08324</t>
  </si>
  <si>
    <t xml:space="preserve">서울특별시 종로구 종로2가 8-4번지 </t>
  </si>
  <si>
    <t>서울특별시 종로구 종로 65 (종로2가)</t>
  </si>
  <si>
    <t>3000000-102-1999-10879</t>
  </si>
  <si>
    <t xml:space="preserve">서울특별시 종로구 종로5가 231-25 </t>
  </si>
  <si>
    <t>서울특별시 종로구 종로38길 6 (종로5가)</t>
  </si>
  <si>
    <t>3000000-102-1999-10907</t>
  </si>
  <si>
    <t xml:space="preserve">서울특별시 종로구 청진동 80번지 지하1층 </t>
  </si>
  <si>
    <t>3000000-102-1999-08295</t>
  </si>
  <si>
    <t xml:space="preserve">서울특별시 종로구 관훈동 198-30번지 지하1층 </t>
  </si>
  <si>
    <t>3000000-102-1999-08317</t>
  </si>
  <si>
    <t xml:space="preserve">서울특별시 종로구 관철동 11-3 지하1층 </t>
  </si>
  <si>
    <t>서울특별시 종로구 종로14길 32 (관철동,지하1층)</t>
  </si>
  <si>
    <t>3000000-102-1999-10933</t>
  </si>
  <si>
    <t xml:space="preserve">서울특별시 종로구 종로5가 231-16번지 지상1층 </t>
  </si>
  <si>
    <t>서울특별시 종로구 종로36가길 6 (종로5가,지상1층)</t>
  </si>
  <si>
    <t>3000000-102-1999-08266</t>
  </si>
  <si>
    <t xml:space="preserve">서울특별시 종로구 관철동 11-24 </t>
  </si>
  <si>
    <t>서울특별시 종로구 삼일대로15길 17 (관철동)</t>
  </si>
  <si>
    <t>3000000-102-1999-10987</t>
  </si>
  <si>
    <t xml:space="preserve">서울특별시 종로구 청진동 11-6번지 </t>
  </si>
  <si>
    <t>서울특별시 종로구 종로5길 32-5 (청진동)</t>
  </si>
  <si>
    <t>3000000-102-2003-00017</t>
  </si>
  <si>
    <t xml:space="preserve">서울특별시 종로구 낙원동 173-1 지하1층 </t>
  </si>
  <si>
    <t>서울특별시 종로구 수표로 116 (낙원동,지하1층)</t>
  </si>
  <si>
    <t>3000000-102-2003-00018</t>
  </si>
  <si>
    <t xml:space="preserve">서울특별시 종로구 효제동 318-1번지 </t>
  </si>
  <si>
    <t>서울특별시 종로구 종로33길 14, 지하1층 (효제동)</t>
  </si>
  <si>
    <t>3000000-102-2000-11304</t>
  </si>
  <si>
    <t xml:space="preserve">서울특별시 종로구 종로5가 231-22번지 지상1~2층 </t>
  </si>
  <si>
    <t>서울특별시 종로구 종로36가길 10 (종로5가,지상1~2층)</t>
  </si>
  <si>
    <t>3000000-102-2000-11319</t>
  </si>
  <si>
    <t xml:space="preserve">서울특별시 종로구 숭인동 252번지 </t>
  </si>
  <si>
    <t>서울특별시 종로구 종로58길 6-3 (숭인동)</t>
  </si>
  <si>
    <t>3000000-102-2000-11042</t>
  </si>
  <si>
    <t xml:space="preserve">서울특별시 종로구 돈의동 128-2 </t>
  </si>
  <si>
    <t>서울특별시 종로구 돈화문로5가길 13-1 (돈의동)</t>
  </si>
  <si>
    <t>3000000-102-2003-00019</t>
  </si>
  <si>
    <t>서울특별시 종로구 관철동 43-14 지하1층</t>
  </si>
  <si>
    <t>서울특별시 종로구 종로8길 15-1 (관철동,지하1층)</t>
  </si>
  <si>
    <t>3220000-102-2016-00008</t>
  </si>
  <si>
    <t>서울특별시 강남구 삼성동 142-35</t>
  </si>
  <si>
    <t>서울특별시 강남구 테헤란로 411 (삼성동)</t>
  </si>
  <si>
    <t>3000000-102-1999-10985</t>
  </si>
  <si>
    <t>서울특별시 종로구 창신동 464-4  (지상2층)</t>
  </si>
  <si>
    <t>서울특별시 종로구 종로46길 1 (창신동, (지상2층))</t>
  </si>
  <si>
    <t>3000000-102-2000-11074</t>
  </si>
  <si>
    <t xml:space="preserve">서울특별시 종로구 운니동 20 지하1층 </t>
  </si>
  <si>
    <t>서울특별시 종로구 돈화문로11가길 93 (운니동,지하1층)</t>
  </si>
  <si>
    <t>3000000-102-2000-11084</t>
  </si>
  <si>
    <t xml:space="preserve">서울특별시 종로구 교남동 34번지 지하1층 </t>
  </si>
  <si>
    <t>서울특별시 종로구 통일로 150-5 (교남동,지하1층)</t>
  </si>
  <si>
    <t>3000000-102-2000-11130</t>
  </si>
  <si>
    <t xml:space="preserve">서울특별시 종로구 청진동 6번지 지하1층 </t>
  </si>
  <si>
    <t>서울특별시 종로구 삼봉로 68 (청진동,지하1층)</t>
  </si>
  <si>
    <t>3000000-102-2000-11216</t>
  </si>
  <si>
    <t xml:space="preserve">서울특별시 종로구 관수동 3-5번지 </t>
  </si>
  <si>
    <t>서울특별시 종로구 삼일대로20길 13 (관수동)</t>
  </si>
  <si>
    <t>3000000-102-1974-08330</t>
  </si>
  <si>
    <t xml:space="preserve">서울특별시 종로구 당주동 2-3번지 외 2필지(지하1층) </t>
  </si>
  <si>
    <t>서울특별시 종로구 새문안로5가길 3 (당주동,외 2필지(지하1층))</t>
  </si>
  <si>
    <t>3000000-102-1974-08230</t>
  </si>
  <si>
    <t xml:space="preserve">서울특별시 종로구 장사동 227-1 </t>
  </si>
  <si>
    <t>서울특별시 종로구 청계천로 137 (장사동)</t>
  </si>
  <si>
    <t>3000000-102-1974-08225</t>
  </si>
  <si>
    <t xml:space="preserve">서울특별시 종로구 낙원동 207번지 </t>
  </si>
  <si>
    <t>서울특별시 종로구 수표로 111 (낙원동)</t>
  </si>
  <si>
    <t>3000000-102-2000-11693</t>
  </si>
  <si>
    <t xml:space="preserve">서울특별시 종로구 관수동 20-0번지 </t>
  </si>
  <si>
    <t>서울특별시 종로구 수표로 96 (관수동)</t>
  </si>
  <si>
    <t>3000000-102-2000-11721</t>
  </si>
  <si>
    <t xml:space="preserve">서울특별시 종로구 당주동 160-0 </t>
  </si>
  <si>
    <t>서울특별시 종로구 새문안로5길 13 (당주동)</t>
  </si>
  <si>
    <t>3000000-102-2000-11728</t>
  </si>
  <si>
    <t xml:space="preserve">서울특별시 종로구 창신동 459-25번지 </t>
  </si>
  <si>
    <t>서울특별시 종로구 종로48길 15-4 (창신동)</t>
  </si>
  <si>
    <t>3000000-102-2003-00020</t>
  </si>
  <si>
    <t xml:space="preserve">서울특별시 종로구 종로6가 246-1 </t>
  </si>
  <si>
    <t>서울특별시 종로구 종로39길 6 (종로6가)</t>
  </si>
  <si>
    <t>3000000-102-2003-00021</t>
  </si>
  <si>
    <t xml:space="preserve">서울특별시 종로구 종로6가 128-1 </t>
  </si>
  <si>
    <t>서울특별시 종로구 종로41길 8 (종로6가)</t>
  </si>
  <si>
    <t>3000000-102-2003-00023</t>
  </si>
  <si>
    <t xml:space="preserve">서울특별시 종로구 창신동 438-16 덕일빌딩 </t>
  </si>
  <si>
    <t>서울특별시 종로구 종로46길 27, 덕일빌딩 지하1층 (창신동)</t>
  </si>
  <si>
    <t>3000000-102-2003-00024</t>
  </si>
  <si>
    <t xml:space="preserve">서울특별시 종로구 관철동 19-16 </t>
  </si>
  <si>
    <t>서울특별시 종로구 삼일대로17길 46, 3층 (관철동)</t>
  </si>
  <si>
    <t>3000000-102-2003-00026</t>
  </si>
  <si>
    <t xml:space="preserve">서울특별시 종로구 효제동 175-1번지 지하1층 </t>
  </si>
  <si>
    <t>서울특별시 종로구 종로39길 11 (효제동,지하1층)</t>
  </si>
  <si>
    <t>3000000-102-2004-00002</t>
  </si>
  <si>
    <t xml:space="preserve">서울특별시 종로구 숭인동 313-8 지하1층 </t>
  </si>
  <si>
    <t>서울특별시 종로구 지봉로 26-1, 지하1층 (숭인동)</t>
  </si>
  <si>
    <t>3000000-102-2004-00003</t>
  </si>
  <si>
    <t xml:space="preserve">서울특별시 종로구 당주동 42-2번지 </t>
  </si>
  <si>
    <t>서울특별시 종로구 새문안로5길 10-1 (당주동)</t>
  </si>
  <si>
    <t>3000000-102-2004-00016</t>
  </si>
  <si>
    <t xml:space="preserve">서울특별시 종로구 연지동 206번지 지하1층 </t>
  </si>
  <si>
    <t>서울특별시 종로구 종로31길 34 (연지동,지하1층)</t>
  </si>
  <si>
    <t>3000000-102-2000-11403</t>
  </si>
  <si>
    <t xml:space="preserve">서울특별시 종로구 종로5가 231-19번지 </t>
  </si>
  <si>
    <t>서울특별시 종로구 종로36가길 8 (종로5가)</t>
  </si>
  <si>
    <t>3000000-102-2000-11537</t>
  </si>
  <si>
    <t xml:space="preserve">서울특별시 종로구 낙원동 243-1 지하 1층 </t>
  </si>
  <si>
    <t>서울특별시 종로구 수표로 133 (낙원동,지하 1층)</t>
  </si>
  <si>
    <t>3000000-102-2001-11985</t>
  </si>
  <si>
    <t xml:space="preserve">서울특별시 종로구 당주동 100번지 </t>
  </si>
  <si>
    <t>서울특별시 종로구 세종대로23길 54, 지하1층 134호 (당주동, 세종빌딩)</t>
  </si>
  <si>
    <t>3000000-102-2002-00015</t>
  </si>
  <si>
    <t xml:space="preserve">서울특별시 종로구 종로5가 193-1 </t>
  </si>
  <si>
    <t>서울특별시 종로구 종로 230-2, 지하 1층 (종로5가)</t>
  </si>
  <si>
    <t>3000000-102-2002-00016</t>
  </si>
  <si>
    <t xml:space="preserve">서울특별시 종로구 종로5가 38-2 지상2층 </t>
  </si>
  <si>
    <t>서울특별시 종로구 종로35길 3 (종로5가,지상2층)</t>
  </si>
  <si>
    <t>3000000-102-2001-12092</t>
  </si>
  <si>
    <t xml:space="preserve">서울특별시 종로구 당주동 171-0번지 지하1층 </t>
  </si>
  <si>
    <t>서울특별시 종로구 새문안로5길 5 (당주동,지하1층)</t>
  </si>
  <si>
    <t>3000000-102-2001-12095</t>
  </si>
  <si>
    <t xml:space="preserve">서울특별시 종로구 청진동 140-0번지 </t>
  </si>
  <si>
    <t>서울특별시 종로구 종로3길 24-20 (청진동)</t>
  </si>
  <si>
    <t>3000000-102-1984-08314</t>
  </si>
  <si>
    <t xml:space="preserve">서울특별시 종로구 관철동 13-3번지 </t>
  </si>
  <si>
    <t>3000000-102-2001-12216</t>
  </si>
  <si>
    <t xml:space="preserve">서울특별시 종로구 돈의동 123-0 </t>
  </si>
  <si>
    <t>서울특별시 종로구 돈화문로5가길 15 (돈의동)</t>
  </si>
  <si>
    <t>3000000-102-2001-12225</t>
  </si>
  <si>
    <t xml:space="preserve">서울특별시 종로구 효제동 227-1 혜원한의원 </t>
  </si>
  <si>
    <t>서울특별시 종로구 종로35길 19, 혜원한의원 2층 (효제동)</t>
  </si>
  <si>
    <t>3000000-102-2001-12237</t>
  </si>
  <si>
    <t xml:space="preserve">서울특별시 종로구 청진동 296-1번지 지하1층 </t>
  </si>
  <si>
    <t>3000000-102-2001-12157</t>
  </si>
  <si>
    <t>서울특별시 종로구 종로5가 321-18번지  동  호</t>
  </si>
  <si>
    <t>서울특별시 종로구 청계천로 231-8, 동  호 (종로5가)</t>
  </si>
  <si>
    <t>3000000-102-2001-11926</t>
  </si>
  <si>
    <t xml:space="preserve">서울특별시 종로구 종로5가 231-15번지 </t>
  </si>
  <si>
    <t>서울특별시 종로구 종로36가길 4, 1층 (종로5가)</t>
  </si>
  <si>
    <t>3000000-102-2001-11972</t>
  </si>
  <si>
    <t xml:space="preserve">서울특별시 종로구 효제동 233-1번지 </t>
  </si>
  <si>
    <t>서울특별시 종로구 대학로2길 29 (효제동)</t>
  </si>
  <si>
    <t>3000000-102-2024-00001</t>
  </si>
  <si>
    <t xml:space="preserve">서울특별시 종로구 종로6가 244-16 윤빌딩 2층 </t>
  </si>
  <si>
    <t>서울특별시 종로구 종로39길 10, 윤빌딩 2층 (종로6가)</t>
  </si>
  <si>
    <t>3000000-102-2001-12247</t>
  </si>
  <si>
    <t xml:space="preserve">서울특별시 종로구 와룡동 97-1번지 지하1층 </t>
  </si>
  <si>
    <t>서울특별시 종로구 돈화문로 84 (와룡동,지하1층)</t>
  </si>
  <si>
    <t>3000000-102-2003-00007</t>
  </si>
  <si>
    <t xml:space="preserve">서울특별시 종로구 당주동 18번지 </t>
  </si>
  <si>
    <t>서울특별시 종로구 새문안로9길 29-2 (당주동)</t>
  </si>
  <si>
    <t>3000000-102-2004-00006</t>
  </si>
  <si>
    <t xml:space="preserve">서울특별시 종로구 종로3가 6번지 지상3층 </t>
  </si>
  <si>
    <t>서울특별시 종로구 종로 111-1 (종로3가,지상3층)</t>
  </si>
  <si>
    <t>3000000-102-2022-00001</t>
  </si>
  <si>
    <t xml:space="preserve">서울특별시 종로구 종로4가 145 안성빌딩 지하1층 </t>
  </si>
  <si>
    <t>서울특별시 종로구 종로 190-5, 안성빌딩 지하1층 (종로4가)</t>
  </si>
  <si>
    <t>3000000-102-2021-00001</t>
  </si>
  <si>
    <t xml:space="preserve">서울특별시 종로구 효제동 173-1 동광빌딩 </t>
  </si>
  <si>
    <t>서울특별시 종로구 종로39길 31, 동광빌딩 1층 (효제동)</t>
  </si>
  <si>
    <t>3000000-102-2021-00002</t>
  </si>
  <si>
    <t>서울특별시 종로구 종로39길 31, 동광빌딩 지하1층 (효제동)</t>
  </si>
  <si>
    <t>3000000-102-2024-00002</t>
  </si>
  <si>
    <t xml:space="preserve">서울특별시 종로구 효제동 202 2층 </t>
  </si>
  <si>
    <t>서울특별시 종로구 종로35길 20, 2층 (효제동)</t>
  </si>
  <si>
    <t>3000000-102-2011-00010</t>
  </si>
  <si>
    <t xml:space="preserve">서울특별시 종로구 인의동 36번지 지하1층 </t>
  </si>
  <si>
    <t>서울특별시 종로구 종로31길 21 (인의동,지하1층)</t>
  </si>
  <si>
    <t>3000000-102-2011-00017</t>
  </si>
  <si>
    <t>서울특별시 종로구 수송동 58 두산위브 (지하1층 B137~B140호)</t>
  </si>
  <si>
    <t>서울특별시 종로구 삼봉로 81 (수송동,두산위브 (지하1층 B137~B140호))</t>
  </si>
  <si>
    <t>3000000-102-2011-00011</t>
  </si>
  <si>
    <t xml:space="preserve">서울특별시 종로구 종로5가 231-9 지상2층 </t>
  </si>
  <si>
    <t>서울특별시 종로구 종로 236-1 (종로5가,지상2층)</t>
  </si>
  <si>
    <t>3000000-102-2011-00014</t>
  </si>
  <si>
    <t xml:space="preserve">서울특별시 종로구 종로6가 244-16 지하1층 </t>
  </si>
  <si>
    <t>서울특별시 종로구 종로39길 10 (종로6가,지하1층)</t>
  </si>
  <si>
    <t>3000000-102-2011-00015</t>
  </si>
  <si>
    <t xml:space="preserve">서울특별시 종로구 낙원동 121-1번지 지하1층 </t>
  </si>
  <si>
    <t>서울특별시 종로구 돈화문로11길 30 (낙원동,지하1층)</t>
  </si>
  <si>
    <t>3000000-102-2011-00016</t>
  </si>
  <si>
    <t xml:space="preserve">서울특별시 종로구 종로5가 58번지 </t>
  </si>
  <si>
    <t>서울특별시 종로구 종로 225-1 (종로5가)</t>
  </si>
  <si>
    <t>3000000-102-2012-00001</t>
  </si>
  <si>
    <t xml:space="preserve">서울특별시 종로구 종로5가 231-1번지 (지상2층) </t>
  </si>
  <si>
    <t>서울특별시 종로구 종로 244-1, 지상2층 (종로5가)</t>
  </si>
  <si>
    <t>3000000-102-2012-00003</t>
  </si>
  <si>
    <t>서울특별시 종로구 종로5가 182-19 (지상1층)</t>
  </si>
  <si>
    <t>서울특별시 종로구 동호로 406, 1층 (종로5가)</t>
  </si>
  <si>
    <t>3000000-102-1975-08333</t>
  </si>
  <si>
    <t xml:space="preserve">서울특별시 종로구 익선동 137-6번지 </t>
  </si>
  <si>
    <t>3000000-102-1986-08242</t>
  </si>
  <si>
    <t xml:space="preserve">서울특별시 종로구 당주동 171-0번지 </t>
  </si>
  <si>
    <t>3000000-102-2011-00013</t>
  </si>
  <si>
    <t>서울특별시 종로구 대학로2길 19 (효제동,지상1층)</t>
  </si>
  <si>
    <t>3000000-102-1986-08251</t>
  </si>
  <si>
    <t xml:space="preserve">서울특별시 종로구 관수동 154-1번지 </t>
  </si>
  <si>
    <t>3000000-102-1990-08272</t>
  </si>
  <si>
    <t xml:space="preserve">서울특별시 종로구 당주동 100-0번지 지1층35호 </t>
  </si>
  <si>
    <t>3000000-102-1990-08289</t>
  </si>
  <si>
    <t xml:space="preserve">서울특별시 종로구 평창동 73-2번지 </t>
  </si>
  <si>
    <t>3000000-102-1990-08274</t>
  </si>
  <si>
    <t xml:space="preserve">서울특별시 종로구 낙원동 197-1번지 지하1층 </t>
  </si>
  <si>
    <t>3000000-102-1991-08249</t>
  </si>
  <si>
    <t xml:space="preserve">서울특별시 종로구 청진동 296-1번지 </t>
  </si>
  <si>
    <t>3000000-102-1991-08337</t>
  </si>
  <si>
    <t xml:space="preserve">서울특별시 종로구 와룡동 40-2번지 </t>
  </si>
  <si>
    <t>3000000-102-1992-08304</t>
  </si>
  <si>
    <t xml:space="preserve">서울특별시 종로구 평창동 108-2번지 </t>
  </si>
  <si>
    <t>3000000-102-1992-08286</t>
  </si>
  <si>
    <t xml:space="preserve">서울특별시 종로구 장사동 227-1번지 </t>
  </si>
  <si>
    <t>3000000-102-1974-08229</t>
  </si>
  <si>
    <t xml:space="preserve">서울특별시 종로구 견지동 87-1번지 </t>
  </si>
  <si>
    <t>3000000-102-1974-08223</t>
  </si>
  <si>
    <t>3000000-102-1974-08258</t>
  </si>
  <si>
    <t xml:space="preserve">서울특별시 종로구 인사동 262번지 (지상1층) </t>
  </si>
  <si>
    <t>3000000-102-1974-08321</t>
  </si>
  <si>
    <t xml:space="preserve">서울특별시 종로구 교북동 10-10 </t>
  </si>
  <si>
    <t>서울특별시 종로구 통일로 206 (교북동)</t>
  </si>
  <si>
    <t>3000000-102-2005-00007</t>
  </si>
  <si>
    <t xml:space="preserve">서울특별시 종로구 청진동 3-3번지 지상3층 </t>
  </si>
  <si>
    <t>서울특별시 종로구 종로5길 40 (청진동,지상3층)</t>
  </si>
  <si>
    <t>3000000-102-2005-00008</t>
  </si>
  <si>
    <t xml:space="preserve">서울특별시 종로구 청진동 297번지 지상1층 </t>
  </si>
  <si>
    <t>3000000-102-2005-00010</t>
  </si>
  <si>
    <t xml:space="preserve">서울특별시 종로구 효제동 247-1 </t>
  </si>
  <si>
    <t>서울특별시 종로구 대학로2길 7 (효제동)</t>
  </si>
  <si>
    <t>3000000-102-2005-00011</t>
  </si>
  <si>
    <t xml:space="preserve">서울특별시 종로구 청진동 132번지 지상1,2층 </t>
  </si>
  <si>
    <t>3000000-102-2006-00001</t>
  </si>
  <si>
    <t xml:space="preserve">서울특별시 종로구 낙원동 196번지 지하1층 </t>
  </si>
  <si>
    <t>3000000-102-1967-08342</t>
  </si>
  <si>
    <t xml:space="preserve">서울특별시 종로구 관훈동 192-17번지 지하1층 </t>
  </si>
  <si>
    <t>3000000-102-1968-08240</t>
  </si>
  <si>
    <t xml:space="preserve">서울특별시 종로구 예지동 6-1번지 </t>
  </si>
  <si>
    <t>3000000-102-1970-08301</t>
  </si>
  <si>
    <t xml:space="preserve">서울특별시 종로구 효제동 253-1번지 지상2층 </t>
  </si>
  <si>
    <t>3240000-102-1999-05510</t>
  </si>
  <si>
    <t xml:space="preserve">서울특별시 강동구 길동 389-2번지 </t>
  </si>
  <si>
    <t>3000000-102-1971-08247</t>
  </si>
  <si>
    <t xml:space="preserve">서울특별시 종로구 관수동 20번지 </t>
  </si>
  <si>
    <t>3000000-102-1971-08248</t>
  </si>
  <si>
    <t xml:space="preserve">서울특별시 종로구 당주동 168-0 지상2층 </t>
  </si>
  <si>
    <t>서울특별시 종로구 새문안로5길 5-27 (당주동,지상2층)</t>
  </si>
  <si>
    <t>3000000-102-1971-08241</t>
  </si>
  <si>
    <t xml:space="preserve">서울특별시 종로구 낙원동 284-6번지 </t>
  </si>
  <si>
    <t>3000000-102-1971-08227</t>
  </si>
  <si>
    <t xml:space="preserve">서울특별시 종로구 관수동 155-1 </t>
  </si>
  <si>
    <t>서울특별시 종로구 수표로 87 (관수동)</t>
  </si>
  <si>
    <t>3000000-102-2010-00008</t>
  </si>
  <si>
    <t xml:space="preserve">서울특별시 종로구 종로1가 24번지 르메이에르 B108-1, 2, 3호 </t>
  </si>
  <si>
    <t>서울특별시 종로구 종로 19 (종로1가,르메이에르 B108-1, 2, 3호)</t>
  </si>
  <si>
    <t>3000000-102-2006-00008</t>
  </si>
  <si>
    <t xml:space="preserve">서울특별시 종로구 청진동 100번지 지상1층 </t>
  </si>
  <si>
    <t>3000000-102-2006-00010</t>
  </si>
  <si>
    <t>3000000-102-2006-00012</t>
  </si>
  <si>
    <t xml:space="preserve">서울특별시 종로구 효제동 245-11 </t>
  </si>
  <si>
    <t>서울특별시 종로구 대학로2길 13 (효제동)</t>
  </si>
  <si>
    <t>3000000-102-2006-00013</t>
  </si>
  <si>
    <t xml:space="preserve">서울특별시 종로구 청진동 11-3번지 2층 </t>
  </si>
  <si>
    <t>서울특별시 종로구 종로5길 32-3 (청진동,2층)</t>
  </si>
  <si>
    <t>3000000-102-2006-00014</t>
  </si>
  <si>
    <t xml:space="preserve">서울특별시 종로구 종로5가 54번지 지하1층 </t>
  </si>
  <si>
    <t>3000000-102-2006-00015</t>
  </si>
  <si>
    <t xml:space="preserve">서울특별시 종로구 종로5가 65 </t>
  </si>
  <si>
    <t>서울특별시 종로구 종로 225 (종로5가)</t>
  </si>
  <si>
    <t>3000000-102-2006-00016</t>
  </si>
  <si>
    <t xml:space="preserve">서울특별시 종로구 종로6가 137-2번지 지하1층 </t>
  </si>
  <si>
    <t>3000000-102-1985-08302</t>
  </si>
  <si>
    <t xml:space="preserve">서울특별시 종로구 관철동 7-11번지 </t>
  </si>
  <si>
    <t>3000000-102-1985-08290</t>
  </si>
  <si>
    <t xml:space="preserve">서울특별시 종로구 관철동 12-6번지 </t>
  </si>
  <si>
    <t>3000000-102-1985-08284</t>
  </si>
  <si>
    <t xml:space="preserve">서울특별시 종로구 종로5가 54-0번지 </t>
  </si>
  <si>
    <t>3000000-102-1985-08281</t>
  </si>
  <si>
    <t xml:space="preserve">서울특별시 종로구 낙원동 33-0번지 </t>
  </si>
  <si>
    <t>3000000-102-1985-08256</t>
  </si>
  <si>
    <t xml:space="preserve">서울특별시 종로구 숭인동 1395-0번지 </t>
  </si>
  <si>
    <t>3000000-102-1985-08293</t>
  </si>
  <si>
    <t>3000000-102-1999-08306</t>
  </si>
  <si>
    <t xml:space="preserve">서울특별시 종로구 종로2가 71-2번지 </t>
  </si>
  <si>
    <t>3000000-102-1976-08334</t>
  </si>
  <si>
    <t xml:space="preserve">서울특별시 종로구 익선동 34-0번지 </t>
  </si>
  <si>
    <t>3000000-102-1976-08260</t>
  </si>
  <si>
    <t xml:space="preserve">서울특별시 종로구 낙원동 56-0번지 </t>
  </si>
  <si>
    <t>3000000-102-1976-08287</t>
  </si>
  <si>
    <t xml:space="preserve">서울특별시 종로구 숭인동 419-2번지 </t>
  </si>
  <si>
    <t>3000000-102-1978-08237</t>
  </si>
  <si>
    <t xml:space="preserve">서울특별시 종로구 평창동 108-2번지 지하동 </t>
  </si>
  <si>
    <t>3000000-102-1979-08277</t>
  </si>
  <si>
    <t xml:space="preserve">서울특별시 종로구 서린동 149-0번지 </t>
  </si>
  <si>
    <t>3000000-102-1981-08224</t>
  </si>
  <si>
    <t xml:space="preserve">서울특별시 종로구 창신동 438-1번지 </t>
  </si>
  <si>
    <t>3000000-102-1981-08246</t>
  </si>
  <si>
    <t>3000000-102-1981-08335</t>
  </si>
  <si>
    <t xml:space="preserve">서울특별시 종로구 익선동 56-0번지 </t>
  </si>
  <si>
    <t>3000000-102-1982-08252</t>
  </si>
  <si>
    <t xml:space="preserve">서울특별시 종로구 청진동 92번지 지상1층 </t>
  </si>
  <si>
    <t>3000000-102-1983-08264</t>
  </si>
  <si>
    <t xml:space="preserve">서울특별시 종로구 낙원동 138-1번지 </t>
  </si>
  <si>
    <t>3000000-102-1999-10265</t>
  </si>
  <si>
    <t xml:space="preserve">서울특별시 종로구 창신동 436-79번지 </t>
  </si>
  <si>
    <t>3000000-102-1984-08245</t>
  </si>
  <si>
    <t xml:space="preserve">서울특별시 종로구 종로3가 157번지 지하1층 </t>
  </si>
  <si>
    <t>서울특별시 종로구 종로 144-3 (종로3가,지하1층)</t>
  </si>
  <si>
    <t>3000000-102-1984-11440</t>
  </si>
  <si>
    <t xml:space="preserve">서울특별시 종로구 종로6가 185-3번지 </t>
  </si>
  <si>
    <t>3000000-102-1984-08268</t>
  </si>
  <si>
    <t xml:space="preserve">서울특별시 종로구 종로6가 155-1번지 </t>
  </si>
  <si>
    <t>3000000-102-1984-08309</t>
  </si>
  <si>
    <t xml:space="preserve">서울특별시 종로구 낙원동 149-0번지 </t>
  </si>
  <si>
    <t>3000000-102-1984-08344</t>
  </si>
  <si>
    <t xml:space="preserve">서울특별시 종로구 견지동 92-1번지 지하1층 </t>
  </si>
  <si>
    <t>서울특별시 종로구 인사동9길 31, 지하1층 (견지동)</t>
  </si>
  <si>
    <t>3000000-102-1984-08318</t>
  </si>
  <si>
    <t xml:space="preserve">서울특별시 종로구 낙원동 169-1번지 </t>
  </si>
  <si>
    <t>3000000-102-1984-08255</t>
  </si>
  <si>
    <t xml:space="preserve">서울특별시 종로구 숭인동 1252-0번지 </t>
  </si>
  <si>
    <t>3000000-102-2011-00006</t>
  </si>
  <si>
    <t xml:space="preserve">서울특별시 종로구 종로5가 42-1번지 신화빌딩 </t>
  </si>
  <si>
    <t>서울특별시 종로구 종로 233-1, 신화빌딩 (종로5가)</t>
  </si>
  <si>
    <t>3000000-102-1999-10610</t>
  </si>
  <si>
    <t xml:space="preserve">서울특별시 종로구 신문로1가 31-0 지하1층 </t>
  </si>
  <si>
    <t>서울특별시 종로구 새문안로 87 (신문로1가,지하1층)</t>
  </si>
  <si>
    <t>3000000-102-1999-08239</t>
  </si>
  <si>
    <t xml:space="preserve">서울특별시 종로구 원남동 118-0번지 </t>
  </si>
  <si>
    <t>3000000-102-2013-00003</t>
  </si>
  <si>
    <t xml:space="preserve">서울특별시 종로구 종로5가 51-1번지 </t>
  </si>
  <si>
    <t>서울특별시 종로구 종로 227-1, 2층 (종로5가)</t>
  </si>
  <si>
    <t>3000000-102-2009-00009</t>
  </si>
  <si>
    <t xml:space="preserve">서울특별시 종로구 창신동 442-3번지 7층 </t>
  </si>
  <si>
    <t>서울특별시 종로구 종로 286 (창신동,7층)</t>
  </si>
  <si>
    <t>3000000-102-2010-00001</t>
  </si>
  <si>
    <t xml:space="preserve">서울특별시 종로구 내수동 75번지 용비어천가 지하B108호 </t>
  </si>
  <si>
    <t>서울특별시 종로구 새문안로3길 36 (내수동,용비어천가 지하B108호)</t>
  </si>
  <si>
    <t>3000000-102-1999-10656</t>
  </si>
  <si>
    <t xml:space="preserve">서울특별시 종로구 와룡동 116-1번지 지상1층 </t>
  </si>
  <si>
    <t>서울특별시 종로구 돈화문로 92 (와룡동,지상1층)</t>
  </si>
  <si>
    <t>3000000-102-1999-10661</t>
  </si>
  <si>
    <t xml:space="preserve">서울특별시 종로구 신문로1가 8-1번지 </t>
  </si>
  <si>
    <t>3000000-102-1999-10693</t>
  </si>
  <si>
    <t xml:space="preserve">서울특별시 종로구 관훈동 198-42번지 지하1층 </t>
  </si>
  <si>
    <t>3000000-102-2002-00026</t>
  </si>
  <si>
    <t xml:space="preserve">서울특별시 종로구 종로6가 242-1번지 지하1층 </t>
  </si>
  <si>
    <t>3000000-102-2002-00027</t>
  </si>
  <si>
    <t xml:space="preserve">서울특별시 종로구 당주동 170-2번지 </t>
  </si>
  <si>
    <t>3000000-102-2002-00028</t>
  </si>
  <si>
    <t xml:space="preserve">서울특별시 종로구 당주동 2-3번지 </t>
  </si>
  <si>
    <t>3000000-102-2002-00029</t>
  </si>
  <si>
    <t>3000000-102-2010-00002</t>
  </si>
  <si>
    <t xml:space="preserve">서울특별시 종로구 종로1가 24 르메이에르 종로타운 비223호 </t>
  </si>
  <si>
    <t>서울특별시 종로구 종로 19 (종로1가,르메이에르 종로타운 비223호)</t>
  </si>
  <si>
    <t>3000000-102-1972-08308</t>
  </si>
  <si>
    <t xml:space="preserve">서울특별시 종로구 창신동 436-67번지 </t>
  </si>
  <si>
    <t>3000000-102-1973-08332</t>
  </si>
  <si>
    <t xml:space="preserve">서울특별시 종로구 청진동 182-2번지 </t>
  </si>
  <si>
    <t>3000000-102-1973-08270</t>
  </si>
  <si>
    <t xml:space="preserve">서울특별시 종로구 관철동 13-13번지 </t>
  </si>
  <si>
    <t>3000000-102-1973-08328</t>
  </si>
  <si>
    <t>서울특별시 종로구 견지동 85-18번지  동  호</t>
  </si>
  <si>
    <t>서울특별시 종로구 인사동11길 19, 동  호 (견지동)</t>
  </si>
  <si>
    <t>3000000-102-1973-08273</t>
  </si>
  <si>
    <t xml:space="preserve">서울특별시 종로구 연건동 195-11번지 </t>
  </si>
  <si>
    <t>3000000-102-1973-08307</t>
  </si>
  <si>
    <t xml:space="preserve">서울특별시 종로구 견지동 110-53번지 </t>
  </si>
  <si>
    <t>3000000-102-1973-08319</t>
  </si>
  <si>
    <t xml:space="preserve">서울특별시 종로구 원남동 189-1번지 </t>
  </si>
  <si>
    <t>3000000-102-1973-08280</t>
  </si>
  <si>
    <t xml:space="preserve">서울특별시 종로구 관철동 12-1번지 (지상4층) </t>
  </si>
  <si>
    <t>서울특별시 종로구 종로14길 20 (관철동,(지상4층))</t>
  </si>
  <si>
    <t>3000000-102-1973-08340</t>
  </si>
  <si>
    <t xml:space="preserve">서울특별시 종로구 익선동 99-0번지 </t>
  </si>
  <si>
    <t>서울특별시 종로구 삼일대로30길 47 (익선동)</t>
  </si>
  <si>
    <t>3000000-102-1973-08259</t>
  </si>
  <si>
    <t>3000000-102-1974-08299</t>
  </si>
  <si>
    <t xml:space="preserve">서울특별시 종로구 관수동 145-1번지 </t>
  </si>
  <si>
    <t>3000000-102-1974-08331</t>
  </si>
  <si>
    <t xml:space="preserve">서울특별시 종로구 무악동 66-3번지 </t>
  </si>
  <si>
    <t>3000000-102-1974-08294</t>
  </si>
  <si>
    <t xml:space="preserve">서울특별시 종로구 관수동 13-2번지 </t>
  </si>
  <si>
    <t>3000000-102-1974-08254</t>
  </si>
  <si>
    <t xml:space="preserve">서울특별시 종로구 종로5가 42-1번지 (지상1,2층) </t>
  </si>
  <si>
    <t>3000000-102-1974-08312</t>
  </si>
  <si>
    <t xml:space="preserve">서울특별시 종로구 관수동 147-2번지 </t>
  </si>
  <si>
    <t>3000000-102-2004-00009</t>
  </si>
  <si>
    <t xml:space="preserve">서울특별시 종로구 청진동 206-5번지 </t>
  </si>
  <si>
    <t>3000000-102-2004-00008</t>
  </si>
  <si>
    <t xml:space="preserve">서울특별시 종로구 내수동 4번지 지상1층 </t>
  </si>
  <si>
    <t>서울특별시 종로구 새문안로5가길 11 (내수동,지상1층)</t>
  </si>
  <si>
    <t>3000000-102-2004-00011</t>
  </si>
  <si>
    <t xml:space="preserve">서울특별시 종로구 낙원동 132-2번지 지상2층 </t>
  </si>
  <si>
    <t>서울특별시 종로구 돈화문로11길 33 (낙원동,지상2층)</t>
  </si>
  <si>
    <t>3000000-102-2004-00012</t>
  </si>
  <si>
    <t xml:space="preserve">서울특별시 종로구 신문로1가 29번지 </t>
  </si>
  <si>
    <t>3000000-102-2004-00013</t>
  </si>
  <si>
    <t xml:space="preserve">서울특별시 종로구 종로5가 231-9번지 지상2층 </t>
  </si>
  <si>
    <t>3000000-102-2004-00014</t>
  </si>
  <si>
    <t xml:space="preserve">서울특별시 종로구 효제동 246-1 </t>
  </si>
  <si>
    <t>서울특별시 종로구 대학로2길 7-1 (효제동)</t>
  </si>
  <si>
    <t>3000000-102-2005-00002</t>
  </si>
  <si>
    <t xml:space="preserve">서울특별시 종로구 신문로1가 25번지 지하1층 </t>
  </si>
  <si>
    <t>3000000-102-1974-08243</t>
  </si>
  <si>
    <t xml:space="preserve">서울특별시 종로구 교남동 71-1번지 </t>
  </si>
  <si>
    <t>서울특별시 종로구 통일로 172 (교남동)</t>
  </si>
  <si>
    <t>3000000-102-1984-08265</t>
  </si>
  <si>
    <t xml:space="preserve">서울특별시 종로구 낙원동 148-0번지 </t>
  </si>
  <si>
    <t>3000000-102-1984-08322</t>
  </si>
  <si>
    <t xml:space="preserve">서울특별시 종로구 관수동 143-0 </t>
  </si>
  <si>
    <t>서울특별시 종로구 수표로18길 6-8 (관수동)</t>
  </si>
  <si>
    <t>3000000-102-1984-08276</t>
  </si>
  <si>
    <t xml:space="preserve">서울특별시 종로구 돈의동 45-1번지 </t>
  </si>
  <si>
    <t>3000000-102-1999-10964</t>
  </si>
  <si>
    <t xml:space="preserve">서울특별시 종로구 교북동 90-1번지 지하1층 </t>
  </si>
  <si>
    <t>서울특별시 종로구 통일로 184 (교북동,지하1층)</t>
  </si>
  <si>
    <t>3000000-102-1999-11779</t>
  </si>
  <si>
    <t xml:space="preserve">서울특별시 종로구 종로5가 478-0번지 </t>
  </si>
  <si>
    <t>3000000-102-1974-08292</t>
  </si>
  <si>
    <t xml:space="preserve">서울특별시 종로구 관훈동 198-8 지하1층 </t>
  </si>
  <si>
    <t>서울특별시 종로구 인사동5길 42 (관훈동,지하1층)</t>
  </si>
  <si>
    <t>3000000-102-1974-08231</t>
  </si>
  <si>
    <t>3000000-102-1974-08323</t>
  </si>
  <si>
    <t xml:space="preserve">서울특별시 종로구 운니동 37-2번지 </t>
  </si>
  <si>
    <t>3000000-102-1974-08313</t>
  </si>
  <si>
    <t xml:space="preserve">서울특별시 종로구 숭인동 200-25번지 (지상2층) </t>
  </si>
  <si>
    <t>3000000-102-1974-08338</t>
  </si>
  <si>
    <t xml:space="preserve">서울특별시 종로구 청진동 175-0번지 </t>
  </si>
  <si>
    <t>3000000-102-1974-08278</t>
  </si>
  <si>
    <t xml:space="preserve">서울특별시 종로구 평창동 113-1번지 </t>
  </si>
  <si>
    <t>3000000-102-1974-08297</t>
  </si>
  <si>
    <t xml:space="preserve">서울특별시 종로구 관철동 12-16번지 </t>
  </si>
  <si>
    <t>3000000-102-1974-08296</t>
  </si>
  <si>
    <t xml:space="preserve">서울특별시 종로구 관수동 130-1번지 </t>
  </si>
  <si>
    <t>3000000-102-1994-08271</t>
  </si>
  <si>
    <t xml:space="preserve">서울특별시 종로구 종로6가 242-1번지 </t>
  </si>
  <si>
    <t>3000000-102-1999-10334</t>
  </si>
  <si>
    <t xml:space="preserve">서울특별시 종로구 와룡동 122-0번지 </t>
  </si>
  <si>
    <t>3000000-102-1999-10228</t>
  </si>
  <si>
    <t xml:space="preserve">서울특별시 종로구 숭인동 201-25번지 </t>
  </si>
  <si>
    <t>서울특별시 종로구 난계로29길 43 (숭인동)</t>
  </si>
  <si>
    <t>3000000-102-1999-10141</t>
  </si>
  <si>
    <t xml:space="preserve">서울특별시 종로구 종로1가 24-0번지 </t>
  </si>
  <si>
    <t>3000000-102-1999-10538</t>
  </si>
  <si>
    <t>3000000-102-1975-08226</t>
  </si>
  <si>
    <t>3000000-102-1975-08285</t>
  </si>
  <si>
    <t xml:space="preserve">서울특별시 종로구 견지동 68-15 </t>
  </si>
  <si>
    <t>서울특별시 종로구 우정국로 50-2 (견지동)</t>
  </si>
  <si>
    <t>3000000-102-1975-08234</t>
  </si>
  <si>
    <t xml:space="preserve">서울특별시 종로구 창신동 436-65번지 지하동 </t>
  </si>
  <si>
    <t>3000000-102-1975-08300</t>
  </si>
  <si>
    <t xml:space="preserve">서울특별시 종로구 장사동 182-9번지 </t>
  </si>
  <si>
    <t>3000000-102-1975-08310</t>
  </si>
  <si>
    <t xml:space="preserve">서울특별시 종로구 종로6가 155-1 </t>
  </si>
  <si>
    <t>서울특별시 종로구 율곡로30길 18 (종로6가)</t>
  </si>
  <si>
    <t>3000000-102-1975-08235</t>
  </si>
  <si>
    <t xml:space="preserve">서울특별시 종로구 창신동 444-14번지 </t>
  </si>
  <si>
    <t>3000000-102-1975-08283</t>
  </si>
  <si>
    <t>3000000-102-1975-08327</t>
  </si>
  <si>
    <t xml:space="preserve">서울특별시 종로구 송월동 32-43번지 </t>
  </si>
  <si>
    <t>3000000-102-1975-08236</t>
  </si>
  <si>
    <t>3000000-102-1975-08228</t>
  </si>
  <si>
    <t xml:space="preserve">서울특별시 종로구 관수동 145-1 </t>
  </si>
  <si>
    <t>3000000-102-1975-08288</t>
  </si>
  <si>
    <t xml:space="preserve">서울특별시 종로구 돈의동 144번지 </t>
  </si>
  <si>
    <t>3000000-102-1975-08311</t>
  </si>
  <si>
    <t xml:space="preserve">서울특별시 종로구 예지동 179-2번지 </t>
  </si>
  <si>
    <t>3000000-102-2000-11108</t>
  </si>
  <si>
    <t xml:space="preserve">서울특별시 종로구 내수동 167-0번지 (지하1) </t>
  </si>
  <si>
    <t>3000000-102-2000-11127</t>
  </si>
  <si>
    <t xml:space="preserve">서울특별시 종로구 당주동 23-15번지 지상2층 </t>
  </si>
  <si>
    <t>3000000-102-2000-11157</t>
  </si>
  <si>
    <t xml:space="preserve">서울특별시 종로구 청진동 88-0번지 </t>
  </si>
  <si>
    <t>3000000-102-2000-11179</t>
  </si>
  <si>
    <t xml:space="preserve">서울특별시 종로구 종로5가 38-1번지 </t>
  </si>
  <si>
    <t>3000000-102-2000-11232</t>
  </si>
  <si>
    <t xml:space="preserve">서울특별시 종로구 종로5가 193-5번지 </t>
  </si>
  <si>
    <t>3000000-102-2000-11266</t>
  </si>
  <si>
    <t>3000000-102-2000-11271</t>
  </si>
  <si>
    <t xml:space="preserve">서울특별시 종로구 숭인동 1421-0번지 </t>
  </si>
  <si>
    <t>3000000-102-2000-11274</t>
  </si>
  <si>
    <t>3000000-102-2000-11279</t>
  </si>
  <si>
    <t xml:space="preserve">서울특별시 종로구 숭인동 201-26번지 </t>
  </si>
  <si>
    <t>3000000-102-2000-11289</t>
  </si>
  <si>
    <t xml:space="preserve">서울특별시 종로구 낙원동 161-0번지 </t>
  </si>
  <si>
    <t>3000000-102-2000-11308</t>
  </si>
  <si>
    <t>3000000-102-1974-08315</t>
  </si>
  <si>
    <t>3000000-102-1974-08336</t>
  </si>
  <si>
    <t xml:space="preserve">서울특별시 종로구 관훈동 2-2번지 </t>
  </si>
  <si>
    <t>3000000-102-2000-11691</t>
  </si>
  <si>
    <t xml:space="preserve">서울특별시 종로구 종로5가 471-0번지 </t>
  </si>
  <si>
    <t>서울특별시 종로구 종로40가길 21-1 (종로5가)</t>
  </si>
  <si>
    <t>3000000-102-2000-11700</t>
  </si>
  <si>
    <t xml:space="preserve">서울특별시 종로구 관수동 20-0 </t>
  </si>
  <si>
    <t>3000000-102-2000-11751</t>
  </si>
  <si>
    <t>3000000-102-2001-11771</t>
  </si>
  <si>
    <t>3000000-102-2001-11772</t>
  </si>
  <si>
    <t xml:space="preserve">서울특별시 종로구 종로5가 231-15 </t>
  </si>
  <si>
    <t>3000000-102-2003-00022</t>
  </si>
  <si>
    <t xml:space="preserve">서울특별시 종로구 관철동 42-3번지 </t>
  </si>
  <si>
    <t>서울특별시 종로구 종로10길 19, 2층 (관철동)</t>
  </si>
  <si>
    <t>3000000-102-2003-00025</t>
  </si>
  <si>
    <t xml:space="preserve">서울특별시 종로구 종로5가 225-18 </t>
  </si>
  <si>
    <t>서울특별시 종로구 종로36길 11 (종로5가)</t>
  </si>
  <si>
    <t>3000000-102-2004-00001</t>
  </si>
  <si>
    <t xml:space="preserve">서울특별시 종로구 평창동 66-50번지 외 2필지(지하1층) </t>
  </si>
  <si>
    <t>3000000-102-2004-00004</t>
  </si>
  <si>
    <t xml:space="preserve">서울특별시 종로구 종로5가 182-6번지 지상2층 </t>
  </si>
  <si>
    <t>3000000-102-2004-00005</t>
  </si>
  <si>
    <t xml:space="preserve">서울특별시 종로구 인의동 28-26번지 </t>
  </si>
  <si>
    <t>3000000-102-2000-11408</t>
  </si>
  <si>
    <t xml:space="preserve">서울특별시 종로구 숭인동 280-0번지 </t>
  </si>
  <si>
    <t>3000000-102-2000-11411</t>
  </si>
  <si>
    <t xml:space="preserve">서울특별시 종로구 도렴동 113-1번지 </t>
  </si>
  <si>
    <t>3000000-102-2000-11445</t>
  </si>
  <si>
    <t xml:space="preserve">서울특별시 종로구 숭인동 201-6번지 </t>
  </si>
  <si>
    <t>3000000-102-2000-11460</t>
  </si>
  <si>
    <t xml:space="preserve">서울특별시 종로구 창신동 402-9번지 </t>
  </si>
  <si>
    <t>3000000-102-2000-11471</t>
  </si>
  <si>
    <t xml:space="preserve">서울특별시 종로구 창신동 464-8번지 지상2층 </t>
  </si>
  <si>
    <t>3000000-102-2000-11482</t>
  </si>
  <si>
    <t xml:space="preserve">서울특별시 종로구 효제동 236-0번지 </t>
  </si>
  <si>
    <t>3000000-102-2000-11559</t>
  </si>
  <si>
    <t xml:space="preserve">서울특별시 종로구 숭인동 201-13번지 </t>
  </si>
  <si>
    <t>3000000-102-2000-11612</t>
  </si>
  <si>
    <t xml:space="preserve">서울특별시 종로구 당주동 19-0번지 </t>
  </si>
  <si>
    <t>3000000-102-2000-11613</t>
  </si>
  <si>
    <t xml:space="preserve">서울특별시 종로구 효제동 145번지 지상1층 </t>
  </si>
  <si>
    <t>서울특별시 종로구 종로35길 40 (효제동,지상1층)</t>
  </si>
  <si>
    <t>3000000-102-2000-11650</t>
  </si>
  <si>
    <t xml:space="preserve">서울특별시 종로구 창신동 328-18번지 </t>
  </si>
  <si>
    <t>3000000-102-2003-00011</t>
  </si>
  <si>
    <t xml:space="preserve">서울특별시 종로구 청진동 82번지 지상1층 </t>
  </si>
  <si>
    <t>3000000-102-2010-00011</t>
  </si>
  <si>
    <t xml:space="preserve">서울특별시 종로구 수송동 58번지 두산위브파빌리온 지하1층 (B112) </t>
  </si>
  <si>
    <t>서울특별시 종로구 삼봉로 81 (수송동,두산위브파빌리온 지하1층 (B112))</t>
  </si>
  <si>
    <t>3000000-102-2010-00012</t>
  </si>
  <si>
    <t xml:space="preserve">서울특별시 종로구 종로5가 50-3 (2층) </t>
  </si>
  <si>
    <t>서울특별시 종로구 종로 229 (종로5가,(2층))</t>
  </si>
  <si>
    <t>3000000-102-2010-00014</t>
  </si>
  <si>
    <t xml:space="preserve">서울특별시 종로구 종로5가 214-3 (2층) </t>
  </si>
  <si>
    <t>서울특별시 종로구 종로 232 (종로5가,(2층))</t>
  </si>
  <si>
    <t>3000000-102-2010-00015</t>
  </si>
  <si>
    <t xml:space="preserve">서울특별시 종로구 수송동 58번지 두산위브파빌리온 지하1층 122호 </t>
  </si>
  <si>
    <t>서울특별시 종로구 삼봉로 81 (수송동,두산위브파빌리온 지하1층 122호)</t>
  </si>
  <si>
    <t>3000000-102-2011-00001</t>
  </si>
  <si>
    <t xml:space="preserve">서울특별시 종로구 연지동 200번지 (지하1층) </t>
  </si>
  <si>
    <t>서울특별시 종로구 종로31길 40 (연지동,(지하1층))</t>
  </si>
  <si>
    <t>3000000-102-2011-00002</t>
  </si>
  <si>
    <t xml:space="preserve">서울특별시 종로구 종로5가 182-6번지 (지상2층) </t>
  </si>
  <si>
    <t>3000000-102-2010-00009</t>
  </si>
  <si>
    <t xml:space="preserve">서울특별시 종로구 효제동 245-5번지 (지상1층) </t>
  </si>
  <si>
    <t>서울특별시 종로구 대학로2길 9 (효제동,(지상1층))</t>
  </si>
  <si>
    <t>3000000-102-2007-00006</t>
  </si>
  <si>
    <t xml:space="preserve">서울특별시 종로구 창신동 442-3번지 (지상7층) </t>
  </si>
  <si>
    <t>3000000-102-2003-00014</t>
  </si>
  <si>
    <t xml:space="preserve">서울특별시 종로구 종로6가 150-3번지 (지하1층) </t>
  </si>
  <si>
    <t>서울특별시 종로구 종로41길 17 (종로6가,(지하1층))</t>
  </si>
  <si>
    <t>3000000-102-2003-00016</t>
  </si>
  <si>
    <t xml:space="preserve">서울특별시 종로구 청진동 11-3번지 </t>
  </si>
  <si>
    <t>서울특별시 종로구 종로5길 32-3 (청진동)</t>
  </si>
  <si>
    <t>3000000-102-2001-12245</t>
  </si>
  <si>
    <t xml:space="preserve">서울특별시 종로구 종로3가 160, 161번지 </t>
  </si>
  <si>
    <t>3000000-102-2002-00001</t>
  </si>
  <si>
    <t xml:space="preserve">서울특별시 종로구 서린동 127번지 </t>
  </si>
  <si>
    <t>서울특별시 종로구 청계천로 17 (서린동)</t>
  </si>
  <si>
    <t>3000000-102-2002-00002</t>
  </si>
  <si>
    <t xml:space="preserve">서울특별시 종로구 청진동 164번지 지하1층 </t>
  </si>
  <si>
    <t>3000000-102-2002-00003</t>
  </si>
  <si>
    <t xml:space="preserve">서울특별시 종로구 공평동 39-3번지 </t>
  </si>
  <si>
    <t>3000000-102-2002-00006</t>
  </si>
  <si>
    <t xml:space="preserve">서울특별시 종로구 종로5가 182-6번지 </t>
  </si>
  <si>
    <t>3000000-102-2002-00008</t>
  </si>
  <si>
    <t xml:space="preserve">서울특별시 종로구 연지동 170번지 </t>
  </si>
  <si>
    <t>서울특별시 종로구 종로31길 54 (연지동)</t>
  </si>
  <si>
    <t>3000000-102-2011-00012</t>
  </si>
  <si>
    <t xml:space="preserve">서울특별시 종로구 종로5가 51-1번지 지상2층 </t>
  </si>
  <si>
    <t>서울특별시 종로구 종로 227-1 (종로5가,지상2층)</t>
  </si>
  <si>
    <t>3000000-102-2011-00018</t>
  </si>
  <si>
    <t xml:space="preserve">서울특별시 종로구 내수동 74번지 (광화문시대) B108호 </t>
  </si>
  <si>
    <t>서울특별시 종로구 사직로8길 42 (내수동,(광화문시대) B108호)</t>
  </si>
  <si>
    <t>3000000-102-2012-00002</t>
  </si>
  <si>
    <t xml:space="preserve">서울특별시 종로구 원남동 189-2 (지하1층) </t>
  </si>
  <si>
    <t>서울특별시 종로구 창경궁로 145-5, 지하1층 (원남동)</t>
  </si>
  <si>
    <t>3000000-102-1999-10975</t>
  </si>
  <si>
    <t xml:space="preserve">서울특별시 종로구 관철동 43-5번지 </t>
  </si>
  <si>
    <t>3000000-102-2008-00006</t>
  </si>
  <si>
    <t xml:space="preserve">서울특별시 종로구 종로1가 24번지 르메이에르빌딩 지하1층 B106-2, B106-3 </t>
  </si>
  <si>
    <t>서울특별시 종로구 종로 19 (종로1가,르메이에르빌딩 지하1층 B106-2, B106-3)</t>
  </si>
  <si>
    <t>3000000-102-2009-00003</t>
  </si>
  <si>
    <t xml:space="preserve">서울특별시 종로구 종로6가 242-1 지하1층 </t>
  </si>
  <si>
    <t>서울특별시 종로구 종로41길 25 (종로6가,지하1층)</t>
  </si>
  <si>
    <t>3000000-102-1999-10553</t>
  </si>
  <si>
    <t xml:space="preserve">서울특별시 종로구 교북동 93-1번지 </t>
  </si>
  <si>
    <t>3000000-102-1999-10556</t>
  </si>
  <si>
    <t>3000000-102-1999-10559</t>
  </si>
  <si>
    <t>3000000-102-1999-10573</t>
  </si>
  <si>
    <t xml:space="preserve">서울특별시 종로구 도렴동 113-1번지 지하1층 </t>
  </si>
  <si>
    <t>3000000-102-1999-10580</t>
  </si>
  <si>
    <t xml:space="preserve">서울특별시 종로구 도렴동 116-1번지 </t>
  </si>
  <si>
    <t>서울특별시 종로구 새문안로5가길 4 (도렴동)</t>
  </si>
  <si>
    <t>3000000-102-1999-10592</t>
  </si>
  <si>
    <t xml:space="preserve">서울특별시 종로구 당주동 3-2번지 </t>
  </si>
  <si>
    <t>3000000-102-1999-10614</t>
  </si>
  <si>
    <t xml:space="preserve">서울특별시 종로구 견지동 110-7번지 </t>
  </si>
  <si>
    <t>3000000-102-1999-10644</t>
  </si>
  <si>
    <t xml:space="preserve">서울특별시 종로구 도렴동 117-3번지 </t>
  </si>
  <si>
    <t>서울특별시 종로구 새문안로5길 23 (도렴동)</t>
  </si>
  <si>
    <t>3000000-102-2003-00012</t>
  </si>
  <si>
    <t xml:space="preserve">서울특별시 종로구 원남동 189-12번지 외5필지 지하1층 </t>
  </si>
  <si>
    <t>서울특별시 종로구 창경궁로 145-5 (원남동,외5필지 지하1층)</t>
  </si>
  <si>
    <t>3000000-102-2002-00012</t>
  </si>
  <si>
    <t xml:space="preserve">서울특별시 종로구 종로5가 113 </t>
  </si>
  <si>
    <t>3000000-102-2002-00011</t>
  </si>
  <si>
    <t xml:space="preserve">서울특별시 종로구 청진동 73번지 </t>
  </si>
  <si>
    <t>3000000-102-2002-00013</t>
  </si>
  <si>
    <t xml:space="preserve">서울특별시 종로구 신문로1가 2번지 </t>
  </si>
  <si>
    <t>3000000-102-2002-00014</t>
  </si>
  <si>
    <t xml:space="preserve">서울특별시 종로구 종로1가 28번지 </t>
  </si>
  <si>
    <t>3000000-102-2002-00018</t>
  </si>
  <si>
    <t xml:space="preserve">서울특별시 종로구 연지동 273번지 </t>
  </si>
  <si>
    <t>3000000-102-2002-00019</t>
  </si>
  <si>
    <t xml:space="preserve">서울특별시 종로구 종로5가 49-1번지 </t>
  </si>
  <si>
    <t>서울특별시 종로구 종로 229-1 (종로5가)</t>
  </si>
  <si>
    <t>3000000-102-2001-12016</t>
  </si>
  <si>
    <t xml:space="preserve">서울특별시 종로구 낙원동 132-2번지 (지하1층) </t>
  </si>
  <si>
    <t>서울특별시 종로구 돈화문로11길 33 (낙원동,(지하1층))</t>
  </si>
  <si>
    <t>3000000-102-2001-12141</t>
  </si>
  <si>
    <t xml:space="preserve">서울특별시 종로구 창신동 378-0번지 </t>
  </si>
  <si>
    <t>3000000-102-2001-12142</t>
  </si>
  <si>
    <t xml:space="preserve">서울특별시 종로구 청진동 256-1번지 </t>
  </si>
  <si>
    <t>3000000-102-2001-12174</t>
  </si>
  <si>
    <t xml:space="preserve">서울특별시 종로구 청진동 295-0번지 지하 </t>
  </si>
  <si>
    <t>3000000-102-2001-12194</t>
  </si>
  <si>
    <t xml:space="preserve">서울특별시 종로구 청진동 152번지 지하1층 </t>
  </si>
  <si>
    <t>3000000-102-2001-12217</t>
  </si>
  <si>
    <t xml:space="preserve">서울특별시 종로구 낙원동 175-0번지 </t>
  </si>
  <si>
    <t>3000000-102-2001-12232</t>
  </si>
  <si>
    <t xml:space="preserve">서울특별시 종로구 연지동 254-1번지 </t>
  </si>
  <si>
    <t>3000000-102-2001-12238</t>
  </si>
  <si>
    <t xml:space="preserve">서울특별시 종로구 교북동 12-14번지 </t>
  </si>
  <si>
    <t>서울특별시 종로구 통일로 198-1 (교북동)</t>
  </si>
  <si>
    <t>3000000-102-2001-12239</t>
  </si>
  <si>
    <t xml:space="preserve">서울특별시 종로구 예지동 32-1 </t>
  </si>
  <si>
    <t>서울특별시 종로구 창경궁로 83 (예지동)</t>
  </si>
  <si>
    <t>3000000-102-2001-12240</t>
  </si>
  <si>
    <t xml:space="preserve">서울특별시 종로구 창신동 197-36번지 </t>
  </si>
  <si>
    <t>3000000-102-2001-12241</t>
  </si>
  <si>
    <t xml:space="preserve">서울특별시 종로구 창신동 460-1번지 </t>
  </si>
  <si>
    <t>3000000-102-2001-11788</t>
  </si>
  <si>
    <t xml:space="preserve">서울특별시 종로구 적선동 122-1번지 </t>
  </si>
  <si>
    <t>3000000-102-2001-11842</t>
  </si>
  <si>
    <t>서울특별시 종로구 당주동 19-0번지 삼한빌딩 2층  동  호</t>
  </si>
  <si>
    <t>3000000-102-2001-12042</t>
  </si>
  <si>
    <t>서울특별시 종로구 당주동 19-0번지 삼한빌딩 지하1층  동  호</t>
  </si>
  <si>
    <t>3000000-102-2001-11870</t>
  </si>
  <si>
    <t xml:space="preserve">서울특별시 종로구 당주동 168-0번지 </t>
  </si>
  <si>
    <t>3000000-102-2001-11883</t>
  </si>
  <si>
    <t>서울특별시 종로구 운니동 65-1번지  동  호</t>
  </si>
  <si>
    <t>3000000-102-2006-00002</t>
  </si>
  <si>
    <t>3000000-102-2006-00003</t>
  </si>
  <si>
    <t xml:space="preserve">서울특별시 종로구 숭인동 201-13 지하1층 </t>
  </si>
  <si>
    <t>서울특별시 종로구 종로66가길 10 (숭인동,지하1층)</t>
  </si>
  <si>
    <t>3000000-102-2006-00005</t>
  </si>
  <si>
    <t xml:space="preserve">서울특별시 종로구 종로6가 244-15번지 지상3층 </t>
  </si>
  <si>
    <t>3000000-102-2003-00015</t>
  </si>
  <si>
    <t xml:space="preserve">서울특별시 종로구 공평동 64번지 지하1층 </t>
  </si>
  <si>
    <t>서울특별시 종로구 우정국로 26-5 (공평동,지하1층)</t>
  </si>
  <si>
    <t>3000000-102-1974-08232</t>
  </si>
  <si>
    <t>3000000-102-1975-08320</t>
  </si>
  <si>
    <t xml:space="preserve">서울특별시 종로구 교북동 11-2번지 </t>
  </si>
  <si>
    <t>서울특별시 종로구 송월길 153 (교북동)</t>
  </si>
  <si>
    <t>3000000-102-1976-08316</t>
  </si>
  <si>
    <t xml:space="preserve">서울특별시 종로구 운니동 24-1번지 </t>
  </si>
  <si>
    <t>서울특별시 종로구 돈화문로11가길 89 (운니동)</t>
  </si>
  <si>
    <t>3000000-102-2000-11330</t>
  </si>
  <si>
    <t xml:space="preserve">서울특별시 종로구 공평동 59번지 지하1층 </t>
  </si>
  <si>
    <t>서울특별시 종로구 우정국로 30-8 (공평동,지하1층)</t>
  </si>
  <si>
    <t>3000000-102-1985-08244</t>
  </si>
  <si>
    <t xml:space="preserve">서울특별시 종로구 연지동 1-24번지 </t>
  </si>
  <si>
    <t>3000000-102-2000-11402</t>
  </si>
  <si>
    <t xml:space="preserve">서울특별시 종로구 숭인동 1385-0번지 </t>
  </si>
  <si>
    <t>서울특별시 종로구 난계로 255 (숭인동)</t>
  </si>
  <si>
    <t>3000000-102-2018-00002</t>
  </si>
  <si>
    <t xml:space="preserve">서울특별시 종로구 인사동 75-4 세인빌딩 </t>
  </si>
  <si>
    <t>서울특별시 종로구 삼일대로 403-1, 세인빌딩 지하1층 (인사동)</t>
  </si>
  <si>
    <t>3000000-102-1974-08291</t>
  </si>
  <si>
    <t>3000000-102-1974-08326</t>
  </si>
  <si>
    <t xml:space="preserve">서울특별시 종로구 관훈동 28-0번지 </t>
  </si>
  <si>
    <t>3000000-102-1974-08238</t>
  </si>
  <si>
    <t xml:space="preserve">서울특별시 종로구 종로6가 289-0번지 </t>
  </si>
  <si>
    <t>3000000-102-2005-00003</t>
  </si>
  <si>
    <t xml:space="preserve">서울특별시 종로구 종로3가 6번지 지상4층 </t>
  </si>
  <si>
    <t>서울특별시 종로구 종로 111-1 (종로3가,지상4층)</t>
  </si>
  <si>
    <t>3000000-102-2005-00005</t>
  </si>
  <si>
    <t xml:space="preserve">서울특별시 종로구 종로6가 252-1번지 외2필지 지상4층 </t>
  </si>
  <si>
    <t>서울특별시 종로구 종로39길 2 (종로6가,외2필지 지상4층)</t>
  </si>
  <si>
    <t>3000000-102-1999-10726</t>
  </si>
  <si>
    <t xml:space="preserve">서울특별시 종로구 청진동 92번지 지상10층 </t>
  </si>
  <si>
    <t>3000000-102-1999-10732</t>
  </si>
  <si>
    <t xml:space="preserve">서울특별시 종로구 관철동 42-4번지 </t>
  </si>
  <si>
    <t>3000000-102-2003-00004</t>
  </si>
  <si>
    <t>3000000-102-2003-00005</t>
  </si>
  <si>
    <t xml:space="preserve">서울특별시 종로구 돈의동 45-1번지 지1층 </t>
  </si>
  <si>
    <t>3000000-102-2003-00006</t>
  </si>
  <si>
    <t>3000000-102-2003-00008</t>
  </si>
  <si>
    <t xml:space="preserve">서울특별시 종로구 청진동 125-1번지 지상2층 </t>
  </si>
  <si>
    <t>3000000-102-2003-00010</t>
  </si>
  <si>
    <t xml:space="preserve">서울특별시 종로구 교북동 60-1번지 지1층 </t>
  </si>
  <si>
    <t>서울특별시 종로구 통일로 192 (교북동,지1층)</t>
  </si>
  <si>
    <t>3000000-102-1999-08341</t>
  </si>
  <si>
    <t xml:space="preserve">서울특별시 종로구 익선동 34-6번지 </t>
  </si>
  <si>
    <t>3000000-102-1999-10816</t>
  </si>
  <si>
    <t xml:space="preserve">서울특별시 종로구 원남동 177-1번지 </t>
  </si>
  <si>
    <t>3000000-102-1999-10832</t>
  </si>
  <si>
    <t xml:space="preserve">서울특별시 종로구 낙원동 141번지 (지하1층) </t>
  </si>
  <si>
    <t>3000000-102-1999-08305</t>
  </si>
  <si>
    <t>서울특별시 종로구 관수동 18-1번지  동  호</t>
  </si>
  <si>
    <t>3000000-102-2000-11366</t>
  </si>
  <si>
    <t xml:space="preserve">서울특별시 종로구 낙원동 197-2번지 지하1층 </t>
  </si>
  <si>
    <t>3000000-102-1999-10833</t>
  </si>
  <si>
    <t xml:space="preserve">서울특별시 종로구 당주동 100-0번지 세종빌딩지1층134호 </t>
  </si>
  <si>
    <t>3000000-102-1999-10835</t>
  </si>
  <si>
    <t xml:space="preserve">서울특별시 종로구 종로5가 54번지 지상1층 </t>
  </si>
  <si>
    <t>3000000-102-2011-00007</t>
  </si>
  <si>
    <t xml:space="preserve">서울특별시 종로구 종로5가 42-1번지 지상2층 </t>
  </si>
  <si>
    <t>3000000-102-1999-08269</t>
  </si>
  <si>
    <t xml:space="preserve">서울특별시 종로구 종로5가 314-7번지 </t>
  </si>
  <si>
    <t>3000000-102-1999-10619</t>
  </si>
  <si>
    <t>3000000-102-1999-10903</t>
  </si>
  <si>
    <t xml:space="preserve">서울특별시 종로구 관철동 12-15번지 </t>
  </si>
  <si>
    <t>3000000-102-1999-10910</t>
  </si>
  <si>
    <t xml:space="preserve">서울특별시 종로구 종로2가 84-3번지 </t>
  </si>
  <si>
    <t>3000000-102-1999-08253</t>
  </si>
  <si>
    <t xml:space="preserve">서울특별시 종로구 종로2가 84-8번지 </t>
  </si>
  <si>
    <t>3000000-102-1999-10935</t>
  </si>
  <si>
    <t xml:space="preserve">서울특별시 종로구 당주동 20-1번지 ,4 </t>
  </si>
  <si>
    <t>3000000-102-1999-08298</t>
  </si>
  <si>
    <t xml:space="preserve">서울특별시 종로구 창신동 303-0번지 </t>
  </si>
  <si>
    <t>3000000-102-2000-10997</t>
  </si>
  <si>
    <t xml:space="preserve">서울특별시 종로구 창신동 438-14번지 </t>
  </si>
  <si>
    <t>3000000-102-2000-11037</t>
  </si>
  <si>
    <t xml:space="preserve">서울특별시 종로구 청진동 182-4번지 (지하1층) </t>
  </si>
  <si>
    <t>서울특별시 종로구 종로3길 30 (청진동,(지하1층))</t>
  </si>
  <si>
    <t>3000000-102-2000-11096</t>
  </si>
  <si>
    <t xml:space="preserve">서울특별시 종로구 연지동 246-0번지 </t>
  </si>
  <si>
    <t>3010000-102-1976-02669</t>
  </si>
  <si>
    <t xml:space="preserve">서울특별시 중구 태평로1가 29-1번지 </t>
  </si>
  <si>
    <t>3010000-102-1985-02445</t>
  </si>
  <si>
    <t xml:space="preserve">서울특별시 중구 중림동 69-9번지 </t>
  </si>
  <si>
    <t>3010000-102-1985-02452</t>
  </si>
  <si>
    <t xml:space="preserve">서울특별시 중구 북창동 13-3번지 </t>
  </si>
  <si>
    <t>3010000-102-1985-02555</t>
  </si>
  <si>
    <t xml:space="preserve">서울특별시 중구 북창동 12-1번지 </t>
  </si>
  <si>
    <t>3010000-102-1985-02453</t>
  </si>
  <si>
    <t xml:space="preserve">서울특별시 중구 황학동 371-39번지 </t>
  </si>
  <si>
    <t>3010000-102-1985-02458</t>
  </si>
  <si>
    <t xml:space="preserve">서울특별시 중구 북창동 63-0번지 </t>
  </si>
  <si>
    <t>3010000-102-1986-02586</t>
  </si>
  <si>
    <t xml:space="preserve">서울특별시 중구 태평로1가 25-3 외1(지하1층) </t>
  </si>
  <si>
    <t>서울특별시 중구 세종대로22길 12 (태평로1가,외1(지하1층))</t>
  </si>
  <si>
    <t>3010000-102-2006-00007</t>
  </si>
  <si>
    <t xml:space="preserve">서울특별시 중구 을지로2가 199-7번지 (3층) </t>
  </si>
  <si>
    <t>서울특별시 중구 명동9길 45 (을지로2가,(3층))</t>
  </si>
  <si>
    <t>3010000-102-2006-00008</t>
  </si>
  <si>
    <t xml:space="preserve">서울특별시 중구 을지로6가 18-71번지 (지하1층) </t>
  </si>
  <si>
    <t>3010000-102-1982-02515</t>
  </si>
  <si>
    <t xml:space="preserve">서울특별시 중구 북창동 75-0번지 </t>
  </si>
  <si>
    <t>3010000-102-2003-00020</t>
  </si>
  <si>
    <t xml:space="preserve">서울특별시 중구 수표동 35-16번지 (지상2층) </t>
  </si>
  <si>
    <t>서울특별시 중구 수표로 68 (수표동,(지상2층))</t>
  </si>
  <si>
    <t>3010000-102-2003-00021</t>
  </si>
  <si>
    <t xml:space="preserve">서울특별시 중구 을지로5가 273-4번지 (지하1층) </t>
  </si>
  <si>
    <t>서울특별시 중구 동호로 359 (을지로5가,(지하1층))</t>
  </si>
  <si>
    <t>3010000-102-2004-00001</t>
  </si>
  <si>
    <t xml:space="preserve">서울특별시 중구 을지로6가 23-26번지 (지상2층) </t>
  </si>
  <si>
    <t>3010000-102-2010-00007</t>
  </si>
  <si>
    <t xml:space="preserve">서울특별시 중구 광희동1가 188-5 (지상2층) </t>
  </si>
  <si>
    <t>서울특별시 중구 을지로44길 31 (광희동1가,(지상2층))</t>
  </si>
  <si>
    <t>3010000-102-2010-00011</t>
  </si>
  <si>
    <t xml:space="preserve">서울특별시 중구 인현동1가 102-5번지 지하1층 </t>
  </si>
  <si>
    <t>서울특별시 중구 마른내로 50-1 (인현동1가,지하1층)</t>
  </si>
  <si>
    <t>3010000-102-2011-00001</t>
  </si>
  <si>
    <t xml:space="preserve">서울특별시 중구 북창동 71-2번지 외3필지(지상3층) </t>
  </si>
  <si>
    <t>서울특별시 중구 남대문로1길 30 (북창동,외3필지(지상3층))</t>
  </si>
  <si>
    <t>3010000-102-1983-02635</t>
  </si>
  <si>
    <t xml:space="preserve">서울특별시 중구 장충동2가 201-3번지 </t>
  </si>
  <si>
    <t>3010000-102-1983-02642</t>
  </si>
  <si>
    <t xml:space="preserve">서울특별시 중구 북창동 136-0번지 </t>
  </si>
  <si>
    <t>3010000-102-1983-02579</t>
  </si>
  <si>
    <t xml:space="preserve">서울특별시 중구 충무로5가 2-4번지 </t>
  </si>
  <si>
    <t>3010000-102-1983-02566</t>
  </si>
  <si>
    <t xml:space="preserve">서울특별시 중구 다동 131-0번지 삼덕빌딩 지하 </t>
  </si>
  <si>
    <t>3010000-102-2003-00006</t>
  </si>
  <si>
    <t xml:space="preserve">서울특별시 중구 을지로1가 46-2번지 (1층) </t>
  </si>
  <si>
    <t>3010000-102-2003-00007</t>
  </si>
  <si>
    <t xml:space="preserve">서울특별시 중구 북창동 125-0번지 (1층) </t>
  </si>
  <si>
    <t>3010000-102-2003-00011</t>
  </si>
  <si>
    <t xml:space="preserve">서울특별시 중구 광희동1가 103-1번지 (2층) </t>
  </si>
  <si>
    <t>서울특별시 중구 마른내로 159 (광희동1가,(2층))</t>
  </si>
  <si>
    <t>3010000-102-2019-00001</t>
  </si>
  <si>
    <t xml:space="preserve">서울특별시 중구 태평로2가 69-3 청남빌딩 </t>
  </si>
  <si>
    <t>서울특별시 중구 세종대로 76, 청남빌딩 4층 (태평로2가)</t>
  </si>
  <si>
    <t>3010000-102-2020-00001</t>
  </si>
  <si>
    <t xml:space="preserve">서울특별시 중구 수표동 35-16 </t>
  </si>
  <si>
    <t>서울특별시 중구 수표로 68, 2층 (수표동)</t>
  </si>
  <si>
    <t>3010000-102-1999-11973</t>
  </si>
  <si>
    <t xml:space="preserve">서울특별시 중구 태평로2가 68-8번지 지상1층 </t>
  </si>
  <si>
    <t>3010000-102-2015-00003</t>
  </si>
  <si>
    <t xml:space="preserve">서울특별시 중구 북창동 103-2 2층 </t>
  </si>
  <si>
    <t>서울특별시 중구 세종대로12길 25 (북창동, 2층)</t>
  </si>
  <si>
    <t>3010000-102-1986-02461</t>
  </si>
  <si>
    <t xml:space="preserve">서울특별시 중구 산림동 207-1번지 </t>
  </si>
  <si>
    <t>3010000-102-2000-13370</t>
  </si>
  <si>
    <t xml:space="preserve">서울특별시 중구 북창동 94-10번지 2층 </t>
  </si>
  <si>
    <t>3010000-102-1979-02678</t>
  </si>
  <si>
    <t xml:space="preserve">서울특별시 중구 중림동 125-0번지 </t>
  </si>
  <si>
    <t>3010000-102-2000-12518</t>
  </si>
  <si>
    <t xml:space="preserve">서울특별시 중구 태평로2가 68-1번지 </t>
  </si>
  <si>
    <t>3010000-102-1999-12130</t>
  </si>
  <si>
    <t xml:space="preserve">서울특별시 중구 북창동 66-0번지 </t>
  </si>
  <si>
    <t>3010000-102-1999-11985</t>
  </si>
  <si>
    <t xml:space="preserve">서울특별시 중구 무교동 95-0 </t>
  </si>
  <si>
    <t>서울특별시 중구 무교로 20 (무교동)</t>
  </si>
  <si>
    <t>3010000-102-1999-12026</t>
  </si>
  <si>
    <t xml:space="preserve">서울특별시 중구 북창동 18-9번지 </t>
  </si>
  <si>
    <t>서울특별시 중구 남대문로1길 42 (북창동)</t>
  </si>
  <si>
    <t>3010000-102-1999-12056</t>
  </si>
  <si>
    <t xml:space="preserve">서울특별시 중구 방산동 79-1번지 </t>
  </si>
  <si>
    <t>서울특별시 중구 동호로 376 (방산동)</t>
  </si>
  <si>
    <t>3010000-102-1999-12061</t>
  </si>
  <si>
    <t xml:space="preserve">서울특별시 중구 충무로3가 49-0번지 지상1층 </t>
  </si>
  <si>
    <t>3010000-102-2011-00003</t>
  </si>
  <si>
    <t xml:space="preserve">서울특별시 중구 남대문로5가 63-9 지하1층 </t>
  </si>
  <si>
    <t>서울특별시 중구 세종대로 3-1 (남대문로5가,지하1층)</t>
  </si>
  <si>
    <t>3010000-102-2011-00004</t>
  </si>
  <si>
    <t xml:space="preserve">서울특별시 중구 충무로3가 57-24번지 2층 </t>
  </si>
  <si>
    <t>서울특별시 중구 수표로2길 23, 2층 (충무로3가)</t>
  </si>
  <si>
    <t>3010000-102-1985-02506</t>
  </si>
  <si>
    <t xml:space="preserve">서울특별시 중구 북창동 99-2번지 </t>
  </si>
  <si>
    <t>3010000-102-1985-02661</t>
  </si>
  <si>
    <t xml:space="preserve">서울특별시 중구 흥인동 62-8번지 </t>
  </si>
  <si>
    <t>3010000-102-1985-02609</t>
  </si>
  <si>
    <t>3010000-102-1985-02526</t>
  </si>
  <si>
    <t xml:space="preserve">서울특별시 중구 만리동1가 206-37번지 </t>
  </si>
  <si>
    <t>3010000-102-1986-02466</t>
  </si>
  <si>
    <t xml:space="preserve">서울특별시 중구 충무로2가 51-13번지 </t>
  </si>
  <si>
    <t>3010000-102-1986-02684</t>
  </si>
  <si>
    <t xml:space="preserve">서울특별시 중구 봉래동1가 132-6번지 </t>
  </si>
  <si>
    <t>3010000-102-1986-02594</t>
  </si>
  <si>
    <t xml:space="preserve">서울특별시 중구 명동2가 32-5번지 </t>
  </si>
  <si>
    <t>3010000-102-1993-02583</t>
  </si>
  <si>
    <t xml:space="preserve">서울특별시 중구 필동2가 10 (지상1층) </t>
  </si>
  <si>
    <t>서울특별시 중구 퇴계로 197 (필동2가,(지상1층))</t>
  </si>
  <si>
    <t>3010000-102-1986-02537</t>
  </si>
  <si>
    <t xml:space="preserve">서울특별시 중구 다동 51-11번지 </t>
  </si>
  <si>
    <t>3010000-102-1986-02525</t>
  </si>
  <si>
    <t xml:space="preserve">서울특별시 중구 흥인동 182-39번지 </t>
  </si>
  <si>
    <t>3010000-102-2009-00009</t>
  </si>
  <si>
    <t xml:space="preserve">서울특별시 중구 다동 92번지 지하2층 </t>
  </si>
  <si>
    <t>서울특별시 중구 다동길 46 (다동,지하2층)</t>
  </si>
  <si>
    <t>3010000-102-2009-00011</t>
  </si>
  <si>
    <t xml:space="preserve">서울특별시 중구 충무로4가 32-16번지 지하1층 </t>
  </si>
  <si>
    <t>3010000-102-2010-00001</t>
  </si>
  <si>
    <t xml:space="preserve">서울특별시 중구 충무로2가 62-9번지 지하2층 </t>
  </si>
  <si>
    <t>3010000-102-2010-00002</t>
  </si>
  <si>
    <t xml:space="preserve">서울특별시 중구 회현동3가 10번지 (지상1층) </t>
  </si>
  <si>
    <t>서울특별시 중구 퇴계로14길 1 (회현동3가,(지상1층))</t>
  </si>
  <si>
    <t>3010000-102-2010-00005</t>
  </si>
  <si>
    <t xml:space="preserve">서울특별시 중구 남대문로5가 84-20번지 (지상3층) </t>
  </si>
  <si>
    <t>서울특별시 중구 세종대로2길 6 (남대문로5가,(지상3층))</t>
  </si>
  <si>
    <t>3010000-102-2010-00006</t>
  </si>
  <si>
    <t xml:space="preserve">서울특별시 중구 태평로2가 69-20번지 (지상2층) </t>
  </si>
  <si>
    <t>3010000-102-1985-02465</t>
  </si>
  <si>
    <t xml:space="preserve">서울특별시 중구 수표동 56-14번지 </t>
  </si>
  <si>
    <t>3010000-102-1985-02473</t>
  </si>
  <si>
    <t xml:space="preserve">서울특별시 중구 북창동 122-0번지 </t>
  </si>
  <si>
    <t>3010000-102-1985-02667</t>
  </si>
  <si>
    <t xml:space="preserve">서울특별시 중구 중림동 71-0번지 </t>
  </si>
  <si>
    <t>3010000-102-1985-02666</t>
  </si>
  <si>
    <t xml:space="preserve">서울특별시 중구 중림동 53-1번지 </t>
  </si>
  <si>
    <t>3010000-102-1985-02462</t>
  </si>
  <si>
    <t>3010000-102-1985-02668</t>
  </si>
  <si>
    <t xml:space="preserve">서울특별시 중구 중림동 10-1번지 </t>
  </si>
  <si>
    <t>3010000-102-1985-02521</t>
  </si>
  <si>
    <t xml:space="preserve">서울특별시 중구 북창동 17-1번지 </t>
  </si>
  <si>
    <t>3010000-102-1985-02470</t>
  </si>
  <si>
    <t xml:space="preserve">서울특별시 중구 황학동 536-0번지 </t>
  </si>
  <si>
    <t>3010000-102-1985-02538</t>
  </si>
  <si>
    <t xml:space="preserve">서울특별시 중구 을지로6가 21-29번지 </t>
  </si>
  <si>
    <t>3010000-102-1985-02497</t>
  </si>
  <si>
    <t xml:space="preserve">서울특별시 중구 북창동 17-3번지 지상2~3층 </t>
  </si>
  <si>
    <t>3010000-102-1985-02450</t>
  </si>
  <si>
    <t xml:space="preserve">서울특별시 중구 의주로2가 21-29번지 </t>
  </si>
  <si>
    <t>3010000-102-1985-02451</t>
  </si>
  <si>
    <t>3010000-102-1985-02540</t>
  </si>
  <si>
    <t xml:space="preserve">서울특별시 중구 초동 21-1번지 </t>
  </si>
  <si>
    <t>3010000-102-1986-02574</t>
  </si>
  <si>
    <t xml:space="preserve">서울특별시 중구 을지로2가 148-37번지 </t>
  </si>
  <si>
    <t>3010000-102-1986-02608</t>
  </si>
  <si>
    <t>3010000-102-1986-02589</t>
  </si>
  <si>
    <t xml:space="preserve">서울특별시 중구 신당동 120-4번지 </t>
  </si>
  <si>
    <t>3010000-102-1986-02489</t>
  </si>
  <si>
    <t xml:space="preserve">서울특별시 중구 을지로6가 29-1번지 </t>
  </si>
  <si>
    <t>3010000-102-1986-02490</t>
  </si>
  <si>
    <t xml:space="preserve">서울특별시 중구 남대문로5가 63-13번지 ,14 </t>
  </si>
  <si>
    <t>3010000-102-1986-02494</t>
  </si>
  <si>
    <t xml:space="preserve">서울특별시 중구 을지로3가 291-45 </t>
  </si>
  <si>
    <t>서울특별시 중구 충무로 54-3 (을지로3가)</t>
  </si>
  <si>
    <t>3010000-102-1986-02575</t>
  </si>
  <si>
    <t xml:space="preserve">서울특별시 중구 남학동 13-2번지 </t>
  </si>
  <si>
    <t>3010000-102-1986-02502</t>
  </si>
  <si>
    <t>3010000-102-1985-02603</t>
  </si>
  <si>
    <t xml:space="preserve">서울특별시 중구 충무로2가 51-15번지 </t>
  </si>
  <si>
    <t>3010000-102-1985-02604</t>
  </si>
  <si>
    <t xml:space="preserve">서울특별시 중구 황학동 118-0번지 </t>
  </si>
  <si>
    <t>3010000-102-1985-02560</t>
  </si>
  <si>
    <t xml:space="preserve">서울특별시 중구 황학동 1205-0번지 </t>
  </si>
  <si>
    <t>서울특별시 중구 마장로 89 (황학동)</t>
  </si>
  <si>
    <t>3010000-102-1985-02508</t>
  </si>
  <si>
    <t xml:space="preserve">서울특별시 중구 북창동 111-2번지 </t>
  </si>
  <si>
    <t>3010000-102-1985-02605</t>
  </si>
  <si>
    <t xml:space="preserve">서울특별시 중구 충무로2가 65-5번지 </t>
  </si>
  <si>
    <t>3010000-102-1985-02541</t>
  </si>
  <si>
    <t xml:space="preserve">서울특별시 중구 만리동2가 22-2번지 </t>
  </si>
  <si>
    <t>3010000-102-1985-02469</t>
  </si>
  <si>
    <t xml:space="preserve">서울특별시 중구 북창동 5-2번지 </t>
  </si>
  <si>
    <t>3010000-102-1985-02653</t>
  </si>
  <si>
    <t xml:space="preserve">서울특별시 중구 소공동 1-0번지 </t>
  </si>
  <si>
    <t>3010000-102-1985-02423</t>
  </si>
  <si>
    <t xml:space="preserve">서울특별시 중구 의주로2가 4-0번지 </t>
  </si>
  <si>
    <t>3010000-102-1974-02672</t>
  </si>
  <si>
    <t xml:space="preserve">서울특별시 중구 을지로2가 101-1번지 </t>
  </si>
  <si>
    <t>3010000-102-1974-02615</t>
  </si>
  <si>
    <t xml:space="preserve">서울특별시 중구 북창동 20-1번지 </t>
  </si>
  <si>
    <t>3010000-102-1974-02542</t>
  </si>
  <si>
    <t xml:space="preserve">서울특별시 중구 초동 106-9번지 </t>
  </si>
  <si>
    <t>3010000-102-1975-02585</t>
  </si>
  <si>
    <t xml:space="preserve">서울특별시 중구 남창동 205-104번지 </t>
  </si>
  <si>
    <t>서울특별시 중구 퇴계로4길 2 (남창동)</t>
  </si>
  <si>
    <t>3010000-102-1975-02493</t>
  </si>
  <si>
    <t xml:space="preserve">서울특별시 중구 북창동 131-2번지 </t>
  </si>
  <si>
    <t>3010000-102-1975-02633</t>
  </si>
  <si>
    <t xml:space="preserve">서울특별시 중구 장충동2가 15-5번지 </t>
  </si>
  <si>
    <t>3010000-102-1975-02569</t>
  </si>
  <si>
    <t xml:space="preserve">서울특별시 중구 충무로2가 50-3 1~2층 </t>
  </si>
  <si>
    <t>서울특별시 중구 삼일대로4길 17 (충무로2가)</t>
  </si>
  <si>
    <t>3010000-102-1975-02679</t>
  </si>
  <si>
    <t xml:space="preserve">서울특별시 중구 황학동 945-0번지 </t>
  </si>
  <si>
    <t>3010000-102-1975-02649</t>
  </si>
  <si>
    <t xml:space="preserve">서울특별시 중구 인현동2가 73-1번지 </t>
  </si>
  <si>
    <t>3010000-102-1976-02654</t>
  </si>
  <si>
    <t xml:space="preserve">서울특별시 중구 장충동2가 186-9번지 </t>
  </si>
  <si>
    <t>3010000-102-1976-02516</t>
  </si>
  <si>
    <t xml:space="preserve">서울특별시 중구 회현동1가 65-0번지 </t>
  </si>
  <si>
    <t>3010000-102-1976-02680</t>
  </si>
  <si>
    <t xml:space="preserve">서울특별시 중구 을지로6가 18-133번지 </t>
  </si>
  <si>
    <t>3010000-102-2001-13745</t>
  </si>
  <si>
    <t xml:space="preserve">서울특별시 중구 을지로4가 162-8번지 지하1층 </t>
  </si>
  <si>
    <t>서울특별시 중구 을지로30길 8 (을지로4가,지하1층)</t>
  </si>
  <si>
    <t>3010000-102-2001-13814</t>
  </si>
  <si>
    <t xml:space="preserve">서울특별시 중구 만리동2가 226-1번지 </t>
  </si>
  <si>
    <t>서울특별시 중구 만리재로 143 (만리동2가)</t>
  </si>
  <si>
    <t>3010000-102-2001-13975</t>
  </si>
  <si>
    <t xml:space="preserve">서울특별시 중구 회현동1가 194-34번지 </t>
  </si>
  <si>
    <t>3010000-102-2001-13977</t>
  </si>
  <si>
    <t xml:space="preserve">서울특별시 중구 남대문로5가 12-8번지 </t>
  </si>
  <si>
    <t>서울특별시 중구 세종대로 12 (남대문로5가)</t>
  </si>
  <si>
    <t>3010000-102-2001-13978</t>
  </si>
  <si>
    <t xml:space="preserve">서울특별시 중구 충무로2가 61-1번지 지상 2층 </t>
  </si>
  <si>
    <t>3010000-102-2001-13981</t>
  </si>
  <si>
    <t xml:space="preserve">서울특별시 중구 신당동 247-16번지 지하1층 </t>
  </si>
  <si>
    <t>3010000-102-1999-02532</t>
  </si>
  <si>
    <t xml:space="preserve">서울특별시 중구 수하동 67번지 미래에셋 CENTER 1 </t>
  </si>
  <si>
    <t>서울특별시 중구 을지로5길 26, 미래에셋 CENTER 1 1층 (수하동)</t>
  </si>
  <si>
    <t>3010000-102-1978-02627</t>
  </si>
  <si>
    <t xml:space="preserve">서울특별시 중구 흥인동 261-2번지 </t>
  </si>
  <si>
    <t>3010000-102-1985-02437</t>
  </si>
  <si>
    <t xml:space="preserve">서울특별시 중구 황학동 371-3번지 </t>
  </si>
  <si>
    <t>3010000-102-1985-02438</t>
  </si>
  <si>
    <t xml:space="preserve">서울특별시 중구 황학동 366-0번지 </t>
  </si>
  <si>
    <t>3010000-102-1985-02439</t>
  </si>
  <si>
    <t>3010000-102-1985-02440</t>
  </si>
  <si>
    <t>3010000-102-2005-00004</t>
  </si>
  <si>
    <t xml:space="preserve">서울특별시 중구 광희동1가 188-5번지 (지상2층) </t>
  </si>
  <si>
    <t>3010000-102-2005-00005</t>
  </si>
  <si>
    <t xml:space="preserve">서울특별시 중구 을지로2가 199-33번지 (지상8층) </t>
  </si>
  <si>
    <t>3010000-102-2005-00006</t>
  </si>
  <si>
    <t xml:space="preserve">서울특별시 중구 만리동2가 24-2번지 (지하1층) </t>
  </si>
  <si>
    <t>서울특별시 중구 만리재로 175-1 (만리동2가,(지하1층))</t>
  </si>
  <si>
    <t>3010000-102-2002-00048</t>
  </si>
  <si>
    <t xml:space="preserve">서울특별시 중구 태평로2가 69-6번지 (1층) </t>
  </si>
  <si>
    <t>3010000-102-1984-02591</t>
  </si>
  <si>
    <t xml:space="preserve">서울특별시 중구 오장동 139-3번지 </t>
  </si>
  <si>
    <t>3010000-102-1984-02631</t>
  </si>
  <si>
    <t xml:space="preserve">서울특별시 중구 명동1가 34-1번지 </t>
  </si>
  <si>
    <t>3010000-102-1984-02529</t>
  </si>
  <si>
    <t xml:space="preserve">서울특별시 중구 무학동 34-1번지 </t>
  </si>
  <si>
    <t>3010000-102-1999-02634</t>
  </si>
  <si>
    <t xml:space="preserve">서울특별시 중구 오장동 145-1번지 </t>
  </si>
  <si>
    <t>3010000-102-2002-00049</t>
  </si>
  <si>
    <t xml:space="preserve">서울특별시 중구 신당동 120-5번지 (지하1층) </t>
  </si>
  <si>
    <t>서울특별시 중구 퇴계로 420 (신당동,(지하1층))</t>
  </si>
  <si>
    <t>3010000-102-2002-00051</t>
  </si>
  <si>
    <t xml:space="preserve">서울특별시 중구 을지로6가 18-84번지 (3층) </t>
  </si>
  <si>
    <t>서울특별시 중구 을지로43길 30 (을지로6가,(3층))</t>
  </si>
  <si>
    <t>3010000-102-2002-00052</t>
  </si>
  <si>
    <t xml:space="preserve">서울특별시 중구 산림동 207-1번지 (지하1층) </t>
  </si>
  <si>
    <t>3010000-102-2002-00054</t>
  </si>
  <si>
    <t xml:space="preserve">서울특별시 중구 충무로2가 50-5 (지하1층) </t>
  </si>
  <si>
    <t>3010000-102-2002-00055</t>
  </si>
  <si>
    <t xml:space="preserve">서울특별시 중구 북창동 18-1번지 (지하1층,지상1층) </t>
  </si>
  <si>
    <t>3010000-102-2002-00056</t>
  </si>
  <si>
    <t xml:space="preserve">서울특별시 중구 북창동 122-0번지 (1~2층) </t>
  </si>
  <si>
    <t>3010000-102-2002-00057</t>
  </si>
  <si>
    <t xml:space="preserve">서울특별시 중구 을지로3가 95-4번지 (2층) </t>
  </si>
  <si>
    <t>서울특별시 중구 충무로9길 12 (을지로3가,(2층))</t>
  </si>
  <si>
    <t>3010000-102-2003-00001</t>
  </si>
  <si>
    <t xml:space="preserve">서울특별시 중구 을지로2가 148-1번지 (2층) </t>
  </si>
  <si>
    <t>3010000-102-2003-00003</t>
  </si>
  <si>
    <t xml:space="preserve">서울특별시 중구 북창동 134-1번지 (지하1층) </t>
  </si>
  <si>
    <t>3010000-102-1985-02683</t>
  </si>
  <si>
    <t xml:space="preserve">서울특별시 중구 을지로5가 19-29번지 </t>
  </si>
  <si>
    <t>3010000-102-1985-02573</t>
  </si>
  <si>
    <t xml:space="preserve">서울특별시 중구 을지로2가 199-33번지 </t>
  </si>
  <si>
    <t>3010000-102-1985-02420</t>
  </si>
  <si>
    <t xml:space="preserve">서울특별시 중구 황학동 637-0번지 </t>
  </si>
  <si>
    <t>3010000-102-1985-02562</t>
  </si>
  <si>
    <t xml:space="preserve">서울특별시 중구 흥인동 122-0번지 </t>
  </si>
  <si>
    <t>3010000-102-2004-00003</t>
  </si>
  <si>
    <t xml:space="preserve">서울특별시 중구 을지로2가 88-1번지 (지상2층) </t>
  </si>
  <si>
    <t>3010000-102-2004-00004</t>
  </si>
  <si>
    <t xml:space="preserve">서울특별시 중구 을지로5가 275-6번지 (지상1층) </t>
  </si>
  <si>
    <t>서울특별시 중구 동호로 350 (을지로5가,(지상1층))</t>
  </si>
  <si>
    <t>3010000-102-2004-00009</t>
  </si>
  <si>
    <t xml:space="preserve">서울특별시 중구 남학동 13-2번지 (아스토리아호텔2층) </t>
  </si>
  <si>
    <t>서울특별시 중구 퇴계로 176 (남학동,(아스토리아호텔2층))</t>
  </si>
  <si>
    <t>3010000-102-2004-00008</t>
  </si>
  <si>
    <t xml:space="preserve">서울특별시 중구 을지로2가 199-7번지 지상2층 </t>
  </si>
  <si>
    <t>서울특별시 중구 명동9길 45 (을지로2가,지상2층)</t>
  </si>
  <si>
    <t>3010000-102-2004-00010</t>
  </si>
  <si>
    <t xml:space="preserve">서울특별시 중구 충무로4가 32-16번지 (지하1층) </t>
  </si>
  <si>
    <t>3010000-102-2004-00012</t>
  </si>
  <si>
    <t>3010000-102-1973-02632</t>
  </si>
  <si>
    <t>3010000-102-1974-02617</t>
  </si>
  <si>
    <t xml:space="preserve">서울특별시 중구 충무로2가 66-6번지 </t>
  </si>
  <si>
    <t>3010000-102-1974-02485</t>
  </si>
  <si>
    <t xml:space="preserve">서울특별시 중구 충무로4가 125-3 외4필지(일흥빌딩 지하1층) </t>
  </si>
  <si>
    <t>서울특별시 중구 퇴계로 213 (충무로4가,외4필지(일흥빌딩 지하1층))</t>
  </si>
  <si>
    <t>3010000-102-1974-02584</t>
  </si>
  <si>
    <t xml:space="preserve">서울특별시 중구 무학동 49-0번지 </t>
  </si>
  <si>
    <t>3010000-102-1974-02614</t>
  </si>
  <si>
    <t xml:space="preserve">서울특별시 중구 북창동 19-4번지 </t>
  </si>
  <si>
    <t>3010000-102-1974-02578</t>
  </si>
  <si>
    <t xml:space="preserve">서울특별시 중구 장충동1가 56-85번지 </t>
  </si>
  <si>
    <t>3010000-102-1974-02478</t>
  </si>
  <si>
    <t xml:space="preserve">서울특별시 중구 북창동 67-0번지 </t>
  </si>
  <si>
    <t>3010000-102-2002-00016</t>
  </si>
  <si>
    <t xml:space="preserve">서울특별시 중구 북창동 118번지 , 119번지 3층 </t>
  </si>
  <si>
    <t>서울특별시 중구 남대문로1길 16, 3층 (북창동)</t>
  </si>
  <si>
    <t>3010000-102-2011-00006</t>
  </si>
  <si>
    <t>서울특별시 중구 을지로6가 23 타임케슬 오피스텔 B102호</t>
  </si>
  <si>
    <t>서울특별시 중구 을지로 254 (을지로6가, 타임캐슬 오피스텔 B102호)</t>
  </si>
  <si>
    <t>3010000-102-2012-00006</t>
  </si>
  <si>
    <t xml:space="preserve">서울특별시 중구 태평로2가 69-3 외1필지(지상1,2,3층) </t>
  </si>
  <si>
    <t>서울특별시 중구 세종대로 76 (태평로2가, 지상1,2,3층)</t>
  </si>
  <si>
    <t>3010000-102-1985-02623</t>
  </si>
  <si>
    <t xml:space="preserve">서울특별시 중구 남대문로5가 214-0번지 </t>
  </si>
  <si>
    <t>3010000-102-1985-02539</t>
  </si>
  <si>
    <t xml:space="preserve">서울특별시 중구 신당동 247-16번지 </t>
  </si>
  <si>
    <t>3010000-102-1985-02592</t>
  </si>
  <si>
    <t xml:space="preserve">서울특별시 중구 만리동2가 231-13번지 </t>
  </si>
  <si>
    <t>3010000-102-1985-02482</t>
  </si>
  <si>
    <t xml:space="preserve">서울특별시 중구 명동2가 89번지 지하1층 </t>
  </si>
  <si>
    <t>서울특별시 중구 명동2길 8, 지하1층 (명동2가)</t>
  </si>
  <si>
    <t>3010000-102-1985-02446</t>
  </si>
  <si>
    <t xml:space="preserve">서울특별시 중구 흥인동 7-0번지 </t>
  </si>
  <si>
    <t>3010000-102-1985-02447</t>
  </si>
  <si>
    <t xml:space="preserve">서울특별시 중구 광희동1가 289-0번지 </t>
  </si>
  <si>
    <t>3010000-102-1985-02448</t>
  </si>
  <si>
    <t>3010000-102-1985-02557</t>
  </si>
  <si>
    <t xml:space="preserve">서울특별시 중구 을지로7가 112-1번지 </t>
  </si>
  <si>
    <t>3010000-102-1985-02456</t>
  </si>
  <si>
    <t xml:space="preserve">서울특별시 중구 회현동3가 10번지 </t>
  </si>
  <si>
    <t>서울특별시 중구 퇴계로14길 1, 지하1층 (회현동3가)</t>
  </si>
  <si>
    <t>3010000-102-1985-02658</t>
  </si>
  <si>
    <t>3010000-102-2003-00014</t>
  </si>
  <si>
    <t xml:space="preserve">서울특별시 중구 을지로3가 95-3번지 (1층) </t>
  </si>
  <si>
    <t>서울특별시 중구 을지로13길 15 (을지로3가,(1층))</t>
  </si>
  <si>
    <t>3010000-102-2003-00015</t>
  </si>
  <si>
    <t xml:space="preserve">서울특별시 중구 태평로2가 69-3번지 </t>
  </si>
  <si>
    <t>서울특별시 중구 세종대로 76 (태평로2가)</t>
  </si>
  <si>
    <t>3010000-102-2003-00016</t>
  </si>
  <si>
    <t xml:space="preserve">서울특별시 중구 광희동1가 189-2 지상2층 </t>
  </si>
  <si>
    <t>서울특별시 중구 마른내로 165-1 (광희동1가,지상2층)</t>
  </si>
  <si>
    <t>3010000-102-1973-02639</t>
  </si>
  <si>
    <t xml:space="preserve">서울특별시 중구 신당동 372-455번지 </t>
  </si>
  <si>
    <t>3010000-102-1973-02641</t>
  </si>
  <si>
    <t>3010000-102-1999-12466</t>
  </si>
  <si>
    <t xml:space="preserve">서울특별시 중구 태평로2가 330-2번지 지상1층 </t>
  </si>
  <si>
    <t>3010000-102-1999-12123</t>
  </si>
  <si>
    <t xml:space="preserve">서울특별시 중구 다동 97-0번지 </t>
  </si>
  <si>
    <t>3010000-102-1987-02505</t>
  </si>
  <si>
    <t xml:space="preserve">서울특별시 중구 남학동 13-2번지 (지하1층) </t>
  </si>
  <si>
    <t>서울특별시 중구 퇴계로 176 (남학동,(지하1층))</t>
  </si>
  <si>
    <t>3010000-102-1987-02533</t>
  </si>
  <si>
    <t xml:space="preserve">서울특별시 중구 다동 92-0번지 </t>
  </si>
  <si>
    <t>3010000-102-1988-02660</t>
  </si>
  <si>
    <t xml:space="preserve">서울특별시 중구 충무로1가 22-2번지 </t>
  </si>
  <si>
    <t>3010000-102-1988-02606</t>
  </si>
  <si>
    <t>3010000-102-1988-02523</t>
  </si>
  <si>
    <t xml:space="preserve">서울특별시 중구 북창동 82-0번지 </t>
  </si>
  <si>
    <t>3010000-102-1988-02595</t>
  </si>
  <si>
    <t xml:space="preserve">서울특별시 중구 신당동 366-144번지 </t>
  </si>
  <si>
    <t>3010000-102-2008-00008</t>
  </si>
  <si>
    <t xml:space="preserve">서울특별시 중구 광희동1가 263-2번지 외2필지 지하1층 </t>
  </si>
  <si>
    <t>서울특별시 중구 마른내로 150 (광희동1가,외2필지 지하1층)</t>
  </si>
  <si>
    <t>3010000-102-2008-00009</t>
  </si>
  <si>
    <t xml:space="preserve">서울특별시 중구 저동2가 48-20번지 지하1층 </t>
  </si>
  <si>
    <t>서울특별시 중구 수표로 22-21 (저동2가,지하1층)</t>
  </si>
  <si>
    <t>3010000-102-1999-12129</t>
  </si>
  <si>
    <t xml:space="preserve">서울특별시 중구 태평로2가 69-2번지 </t>
  </si>
  <si>
    <t>3010000-102-2006-00003</t>
  </si>
  <si>
    <t xml:space="preserve">서울특별시 중구 을지로6가 18-40번지 (지상3층) </t>
  </si>
  <si>
    <t>서울특별시 중구 장충단로 249-24 (을지로6가,(지상3층))</t>
  </si>
  <si>
    <t>3010000-102-2006-00004</t>
  </si>
  <si>
    <t xml:space="preserve">서울특별시 중구 다동 188-0번지 (지상2층) </t>
  </si>
  <si>
    <t>3010000-102-2013-00003</t>
  </si>
  <si>
    <t xml:space="preserve">서울특별시 중구 북창동 134-1번지 지하1층 </t>
  </si>
  <si>
    <t>서울특별시 중구 남대문로1길 6 (북창동, 지하1층)</t>
  </si>
  <si>
    <t>3010000-102-1999-12137</t>
  </si>
  <si>
    <t xml:space="preserve">서울특별시 중구 광희동1가 193-0 지하1층 </t>
  </si>
  <si>
    <t>서울특별시 중구 장충단로 225 (광희동1가,지하1층)</t>
  </si>
  <si>
    <t>3010000-102-1999-12142</t>
  </si>
  <si>
    <t xml:space="preserve">서울특별시 중구 태평로2가 318-1번지 </t>
  </si>
  <si>
    <t>3010000-102-1999-12145</t>
  </si>
  <si>
    <t xml:space="preserve">서울특별시 중구 초동 21-2번지 </t>
  </si>
  <si>
    <t>3010000-102-1999-12153</t>
  </si>
  <si>
    <t xml:space="preserve">서울특별시 중구 북창동 99-3번지 </t>
  </si>
  <si>
    <t>3010000-102-1999-12160</t>
  </si>
  <si>
    <t xml:space="preserve">서울특별시 중구 광희동1가 187-2번지 </t>
  </si>
  <si>
    <t>3010000-102-1999-12164</t>
  </si>
  <si>
    <t xml:space="preserve">서울특별시 중구 북창동 18-4번지 </t>
  </si>
  <si>
    <t>서울특별시 중구 남대문로1길 46, 2층 (북창동)</t>
  </si>
  <si>
    <t>3010000-102-1999-12203</t>
  </si>
  <si>
    <t xml:space="preserve">서울특별시 중구 충무로5가 20-5번지 </t>
  </si>
  <si>
    <t>3010000-102-1904-02602</t>
  </si>
  <si>
    <t xml:space="preserve">서울특별시 중구 황학동 72-0번지 </t>
  </si>
  <si>
    <t>3010000-102-1968-02422</t>
  </si>
  <si>
    <t xml:space="preserve">서울특별시 중구 의주로2가 4-6번지 </t>
  </si>
  <si>
    <t>3010000-102-1968-02511</t>
  </si>
  <si>
    <t xml:space="preserve">서울특별시 중구 중림동 123-7번지 </t>
  </si>
  <si>
    <t>3010000-102-2009-00002</t>
  </si>
  <si>
    <t xml:space="preserve">서울특별시 중구 남대문로5가 84-20번지 지상1층 </t>
  </si>
  <si>
    <t>서울특별시 중구 세종대로2길 6 (남대문로5가,지상1층)</t>
  </si>
  <si>
    <t>3010000-102-1999-12226</t>
  </si>
  <si>
    <t xml:space="preserve">서울특별시 중구 충무로1가 24-28번지 </t>
  </si>
  <si>
    <t>서울특별시 중구 명동2길 57 (충무로1가)</t>
  </si>
  <si>
    <t>3010000-102-1999-12234</t>
  </si>
  <si>
    <t xml:space="preserve">서울특별시 중구 태평로2가 68-13번지 </t>
  </si>
  <si>
    <t>3010000-102-1999-12235</t>
  </si>
  <si>
    <t xml:space="preserve">서울특별시 중구 무교동 12-1번지 </t>
  </si>
  <si>
    <t>3010000-102-1999-12259</t>
  </si>
  <si>
    <t>3010000-102-1999-12279</t>
  </si>
  <si>
    <t xml:space="preserve">서울특별시 중구 무교동 45-0번지 </t>
  </si>
  <si>
    <t>3010000-102-1999-12284</t>
  </si>
  <si>
    <t xml:space="preserve">서울특별시 중구 태평로2가 69-12번지 </t>
  </si>
  <si>
    <t>3010000-102-1968-02514</t>
  </si>
  <si>
    <t xml:space="preserve">서울특별시 중구 무교동 1-0번지 </t>
  </si>
  <si>
    <t>3010000-102-1970-02611</t>
  </si>
  <si>
    <t xml:space="preserve">서울특별시 중구 의주로2가 82-0번지 </t>
  </si>
  <si>
    <t>3010000-102-1971-02629</t>
  </si>
  <si>
    <t xml:space="preserve">서울특별시 중구 중림동 83-5번지 </t>
  </si>
  <si>
    <t>3010000-102-1971-02610</t>
  </si>
  <si>
    <t>3010000-102-1971-02556</t>
  </si>
  <si>
    <t xml:space="preserve">서울특별시 중구 황학동 2478-0번지 </t>
  </si>
  <si>
    <t>3010000-102-1972-02517</t>
  </si>
  <si>
    <t>3010000-102-1972-02568</t>
  </si>
  <si>
    <t xml:space="preserve">서울특별시 중구 남산동2가 1-1번지 </t>
  </si>
  <si>
    <t>3010000-102-1972-02544</t>
  </si>
  <si>
    <t xml:space="preserve">서울특별시 중구 태평로1가 61-1번지 </t>
  </si>
  <si>
    <t>3010000-102-1972-02696</t>
  </si>
  <si>
    <t xml:space="preserve">서울특별시 중구 무학동 47-2번지 </t>
  </si>
  <si>
    <t>3010000-102-1972-02652</t>
  </si>
  <si>
    <t xml:space="preserve">서울특별시 중구 충무로1가 23-1번지 </t>
  </si>
  <si>
    <t>3010000-102-1972-02492</t>
  </si>
  <si>
    <t xml:space="preserve">서울특별시 중구 광희동1가 143-1번지 </t>
  </si>
  <si>
    <t>3010000-102-1972-02524</t>
  </si>
  <si>
    <t xml:space="preserve">서울특별시 중구 주교동 144-3번지 </t>
  </si>
  <si>
    <t>3010000-102-1972-02504</t>
  </si>
  <si>
    <t xml:space="preserve">서울특별시 중구 주교동 95-1번지 </t>
  </si>
  <si>
    <t>3010000-102-1973-02650</t>
  </si>
  <si>
    <t xml:space="preserve">서울특별시 중구 만리동2가 188-3번지 </t>
  </si>
  <si>
    <t>3010000-102-1973-02601</t>
  </si>
  <si>
    <t xml:space="preserve">서울특별시 중구 신당동 292-112번지 </t>
  </si>
  <si>
    <t>3010000-102-1976-02671</t>
  </si>
  <si>
    <t xml:space="preserve">서울특별시 중구 장충동2가 5-5번지 </t>
  </si>
  <si>
    <t>3010000-102-1976-02647</t>
  </si>
  <si>
    <t xml:space="preserve">서울특별시 중구 명동1가 6-0번지 </t>
  </si>
  <si>
    <t>3010000-102-1976-02665</t>
  </si>
  <si>
    <t xml:space="preserve">서울특별시 중구 회현동1가 202-191번지 </t>
  </si>
  <si>
    <t>3010000-102-1976-02674</t>
  </si>
  <si>
    <t xml:space="preserve">서울특별시 중구 명동2가 53-12번지 </t>
  </si>
  <si>
    <t>3010000-102-1976-02454</t>
  </si>
  <si>
    <t xml:space="preserve">서울특별시 중구 을지로6가 18-67번지 </t>
  </si>
  <si>
    <t>3010000-102-1976-02670</t>
  </si>
  <si>
    <t xml:space="preserve">서울특별시 중구 충무로1가 24-11번지 </t>
  </si>
  <si>
    <t>3010000-102-1976-02644</t>
  </si>
  <si>
    <t xml:space="preserve">서울특별시 중구 을지로3가 334-10번지 </t>
  </si>
  <si>
    <t>3010000-102-1999-02599</t>
  </si>
  <si>
    <t xml:space="preserve">서울특별시 중구 북창동 71-4번지 지상2층 </t>
  </si>
  <si>
    <t>3010000-102-1973-02507</t>
  </si>
  <si>
    <t xml:space="preserve">서울특별시 중구 충무로3가 26-1번지 지상1층 </t>
  </si>
  <si>
    <t>3010000-102-1973-02468</t>
  </si>
  <si>
    <t xml:space="preserve">서울특별시 중구 정동 1-54번지 </t>
  </si>
  <si>
    <t>3010000-102-1973-02552</t>
  </si>
  <si>
    <t>3010000-102-2009-00006</t>
  </si>
  <si>
    <t xml:space="preserve">서울특별시 중구 을지로6가 18-21번지 굿모닝시티 8층 </t>
  </si>
  <si>
    <t>3010000-102-2009-00007</t>
  </si>
  <si>
    <t xml:space="preserve">서울특별시 중구 을지로6가 18-130번지 (지상8층) </t>
  </si>
  <si>
    <t>서울특별시 중구 을지로 255 (을지로6가,(지상8층))</t>
  </si>
  <si>
    <t>3010000-102-2009-00008</t>
  </si>
  <si>
    <t xml:space="preserve">서울특별시 중구 을지로6가 18-130번지 (지상9층) </t>
  </si>
  <si>
    <t>서울특별시 중구 을지로 255 (을지로6가,(지상9층))</t>
  </si>
  <si>
    <t>3010000-102-1984-02535</t>
  </si>
  <si>
    <t xml:space="preserve">서울특별시 중구 을지로6가 18-119번지 </t>
  </si>
  <si>
    <t>3010000-102-2001-13668</t>
  </si>
  <si>
    <t xml:space="preserve">서울특별시 중구 북창동 66-0번지 지하1층 </t>
  </si>
  <si>
    <t>3010000-102-2001-13669</t>
  </si>
  <si>
    <t xml:space="preserve">서울특별시 중구 남대문로5가 12-38번지 </t>
  </si>
  <si>
    <t>서울특별시 중구 세종대로 20 (남대문로5가)</t>
  </si>
  <si>
    <t>3010000-102-2001-13671</t>
  </si>
  <si>
    <t xml:space="preserve">서울특별시 중구 북창동 72-0번지 </t>
  </si>
  <si>
    <t>3010000-102-2000-12528</t>
  </si>
  <si>
    <t xml:space="preserve">서울특별시 중구 충무로3가 57-24번지 </t>
  </si>
  <si>
    <t>3010000-102-2000-12538</t>
  </si>
  <si>
    <t xml:space="preserve">서울특별시 중구 무교동 25-1번지 </t>
  </si>
  <si>
    <t>3010000-102-2000-12543</t>
  </si>
  <si>
    <t>3010000-102-2000-12545</t>
  </si>
  <si>
    <t xml:space="preserve">서울특별시 중구 다동 114-0번지 </t>
  </si>
  <si>
    <t>3010000-102-2006-00013</t>
  </si>
  <si>
    <t xml:space="preserve">서울특별시 중구 을지로1가 42 (지하1층) </t>
  </si>
  <si>
    <t>서울특별시 중구 남대문로9길 39 (을지로1가,(지하1층))</t>
  </si>
  <si>
    <t>3010000-102-2006-00014</t>
  </si>
  <si>
    <t xml:space="preserve">서울특별시 중구 주교동 24-1번지 외 6필지(지상2층) </t>
  </si>
  <si>
    <t>서울특별시 중구 청계천로 208 (주교동, 외 6필지(지상2층))</t>
  </si>
  <si>
    <t>3010000-102-2007-00003</t>
  </si>
  <si>
    <t xml:space="preserve">서울특별시 중구 을지로5가 133-1번지 2층 </t>
  </si>
  <si>
    <t>서울특별시 중구 을지로38길 20 (을지로5가, 2층)</t>
  </si>
  <si>
    <t>3010000-102-2007-00002</t>
  </si>
  <si>
    <t xml:space="preserve">서울특별시 중구 장교동 22-17번지 (지상3층) </t>
  </si>
  <si>
    <t>3010000-102-2007-00004</t>
  </si>
  <si>
    <t xml:space="preserve">서울특별시 중구 을지로2가 88-1번지 </t>
  </si>
  <si>
    <t>3010000-102-2007-00009</t>
  </si>
  <si>
    <t xml:space="preserve">서울특별시 중구 북창동 71-1번지 (지하1층) </t>
  </si>
  <si>
    <t>서울특별시 중구 남대문로1길 26-5 (북창동,(지하1층))</t>
  </si>
  <si>
    <t>3010000-102-1999-11918</t>
  </si>
  <si>
    <t xml:space="preserve">서울특별시 중구 태평로2가 68-6번지 </t>
  </si>
  <si>
    <t>서울특별시 중구 남대문로1길 43 (태평로2가)</t>
  </si>
  <si>
    <t>3010000-102-1999-11945</t>
  </si>
  <si>
    <t xml:space="preserve">서울특별시 중구 남대문로5가 21-1번지 </t>
  </si>
  <si>
    <t>3010000-102-1999-11946</t>
  </si>
  <si>
    <t xml:space="preserve">서울특별시 중구 태평로2가 69-20번지 </t>
  </si>
  <si>
    <t>3010000-102-1999-11954</t>
  </si>
  <si>
    <t xml:space="preserve">서울특별시 중구 다동 58-1번지 지상4층 </t>
  </si>
  <si>
    <t>3010000-102-1999-11965</t>
  </si>
  <si>
    <t xml:space="preserve">서울특별시 중구 북창동 11-6번지 </t>
  </si>
  <si>
    <t>서울특별시 중구 세종대로16길 23 (북창동)</t>
  </si>
  <si>
    <t>3010000-102-2004-00019</t>
  </si>
  <si>
    <t xml:space="preserve">서울특별시 중구 을지로6가 18-95번지 (지상6층) </t>
  </si>
  <si>
    <t>3010000-102-2004-00021</t>
  </si>
  <si>
    <t xml:space="preserve">서울특별시 중구 명동2가 3-1번지 (지상2층) </t>
  </si>
  <si>
    <t>3010000-102-2005-00001</t>
  </si>
  <si>
    <t xml:space="preserve">서울특별시 중구 충무로2가 61-1번지 (지상2층) </t>
  </si>
  <si>
    <t>3010000-102-2002-00018</t>
  </si>
  <si>
    <t xml:space="preserve">서울특별시 중구 을지로5가 19-13번지 지하1층 </t>
  </si>
  <si>
    <t>서울특별시 중구 을지로 207-5 (을지로5가,지하1층)</t>
  </si>
  <si>
    <t>3010000-102-2002-00019</t>
  </si>
  <si>
    <t xml:space="preserve">서울특별시 중구 북창동 88-2번지 (3층) </t>
  </si>
  <si>
    <t>서울특별시 중구 세종대로14길 28-6 (북창동,(3층))</t>
  </si>
  <si>
    <t>3010000-102-1979-02637</t>
  </si>
  <si>
    <t>3010000-102-1979-02662</t>
  </si>
  <si>
    <t xml:space="preserve">서울특별시 중구 충무로2가 60-3번지 지하1층 </t>
  </si>
  <si>
    <t>3010000-102-1979-02455</t>
  </si>
  <si>
    <t xml:space="preserve">서울특별시 중구 주교동 150-0번지 </t>
  </si>
  <si>
    <t>3010000-102-1980-02545</t>
  </si>
  <si>
    <t>서울특별시 중구 을지로1가 188-3번지 백남   16동   16호</t>
  </si>
  <si>
    <t>3010000-102-1980-02587</t>
  </si>
  <si>
    <t xml:space="preserve">서울특별시 중구 장충동1가 62-35번지 </t>
  </si>
  <si>
    <t>3010000-102-1980-02651</t>
  </si>
  <si>
    <t xml:space="preserve">서울특별시 중구 장충동2가 202-0번지 </t>
  </si>
  <si>
    <t>3010000-102-1980-02659</t>
  </si>
  <si>
    <t>3010000-102-1981-02481</t>
  </si>
  <si>
    <t xml:space="preserve">서울특별시 중구 무교동 95-0번지 </t>
  </si>
  <si>
    <t>3010000-102-1981-02636</t>
  </si>
  <si>
    <t xml:space="preserve">서울특별시 중구 의주로2가 312-0번지 </t>
  </si>
  <si>
    <t>3010000-102-1981-02577</t>
  </si>
  <si>
    <t xml:space="preserve">서울특별시 중구 북창동 42-3번지 지하1층 </t>
  </si>
  <si>
    <t>서울특별시 중구 남대문로1길 60, 지하1층 (북창동)</t>
  </si>
  <si>
    <t>3010000-102-1982-02570</t>
  </si>
  <si>
    <t xml:space="preserve">서울특별시 중구 북창동 18-12번지 </t>
  </si>
  <si>
    <t>3010000-102-1982-02597</t>
  </si>
  <si>
    <t xml:space="preserve">서울특별시 중구 무교동 31-0번지 </t>
  </si>
  <si>
    <t>3010000-102-1978-02546</t>
  </si>
  <si>
    <t xml:space="preserve">서울특별시 중구 태평로1가 29-2 </t>
  </si>
  <si>
    <t>서울특별시 중구 세종대로22길 12, 2층 (태평로1가)</t>
  </si>
  <si>
    <t>3010000-102-1978-02547</t>
  </si>
  <si>
    <t>3010000-102-1978-02676</t>
  </si>
  <si>
    <t xml:space="preserve">서울특별시 중구 회현동1가 92-6번지 </t>
  </si>
  <si>
    <t>3010000-102-1978-02501</t>
  </si>
  <si>
    <t>3010000-102-1978-02590</t>
  </si>
  <si>
    <t xml:space="preserve">서울특별시 중구 무학동 22-3번지 </t>
  </si>
  <si>
    <t>3010000-102-2002-00024</t>
  </si>
  <si>
    <t xml:space="preserve">서울특별시 중구 을지로3가 335-2번지 지하1층 </t>
  </si>
  <si>
    <t>3010000-102-2002-00026</t>
  </si>
  <si>
    <t xml:space="preserve">서울특별시 중구 필동1가 43-3번지 지하1층 </t>
  </si>
  <si>
    <t>3010000-102-2002-00031</t>
  </si>
  <si>
    <t xml:space="preserve">서울특별시 중구 을지로5가 273-10번지 1층 </t>
  </si>
  <si>
    <t>3010000-102-2002-00029</t>
  </si>
  <si>
    <t xml:space="preserve">서울특별시 중구 명동1가 43번지 (2층) </t>
  </si>
  <si>
    <t>서울특별시 중구 명동9길 17-3 (명동1가,(2층))</t>
  </si>
  <si>
    <t>3010000-102-2002-00033</t>
  </si>
  <si>
    <t>3010000-102-2002-00036</t>
  </si>
  <si>
    <t xml:space="preserve">서울특별시 중구 충무로5가 19-7번지 (1층) </t>
  </si>
  <si>
    <t>서울특별시 중구 창경궁로 2 (충무로5가,(1층))</t>
  </si>
  <si>
    <t>3010000-102-2002-00037</t>
  </si>
  <si>
    <t xml:space="preserve">서울특별시 중구 북창동 104-0번지 (1층) </t>
  </si>
  <si>
    <t>3010000-102-2002-00039</t>
  </si>
  <si>
    <t xml:space="preserve">서울특별시 중구 광희동1가 143-2번지 (지하1층) </t>
  </si>
  <si>
    <t>3010000-102-2002-00041</t>
  </si>
  <si>
    <t xml:space="preserve">서울특별시 중구 을지로5가 275-5번지 (지하1층) </t>
  </si>
  <si>
    <t>3010000-102-1986-02495</t>
  </si>
  <si>
    <t xml:space="preserve">서울특별시 중구 충무로3가 59-11번지 </t>
  </si>
  <si>
    <t>3010000-102-2014-00003</t>
  </si>
  <si>
    <t xml:space="preserve">서울특별시 중구 을지로1가 32-0번지 2층 </t>
  </si>
  <si>
    <t>서울특별시 중구 남대문로9길 51, 2층 (을지로1가)</t>
  </si>
  <si>
    <t>3010000-102-2014-00004</t>
  </si>
  <si>
    <t xml:space="preserve">서울특별시 중구 을지로6가 30-5번지 지상2층 </t>
  </si>
  <si>
    <t>서울특별시 중구 을지로 250 (을지로6가, 지상2층)</t>
  </si>
  <si>
    <t>3010000-102-2001-13987</t>
  </si>
  <si>
    <t xml:space="preserve">서울특별시 중구 을지로6가 18-131번지 지상7~8층 </t>
  </si>
  <si>
    <t>3010000-102-1987-02593</t>
  </si>
  <si>
    <t xml:space="preserve">서울특별시 중구 충무로2가 64-5번지 </t>
  </si>
  <si>
    <t>3010000-102-1987-02480</t>
  </si>
  <si>
    <t xml:space="preserve">서울특별시 중구 명동2가 2-8번지 </t>
  </si>
  <si>
    <t>3010000-102-1987-02530</t>
  </si>
  <si>
    <t>3010000-102-1987-02638</t>
  </si>
  <si>
    <t xml:space="preserve">서울특별시 중구 충무로2가 51-17번지 </t>
  </si>
  <si>
    <t>3010000-102-1987-02488</t>
  </si>
  <si>
    <t>3010000-102-1987-02640</t>
  </si>
  <si>
    <t xml:space="preserve">서울특별시 중구 충무로2가 50-6번지 </t>
  </si>
  <si>
    <t>3010000-102-1987-02563</t>
  </si>
  <si>
    <t>3010000-102-1999-02513</t>
  </si>
  <si>
    <t xml:space="preserve">서울특별시 중구 북창동 134-1번지 (지상4~6층) </t>
  </si>
  <si>
    <t>3010000-102-2008-00004</t>
  </si>
  <si>
    <t xml:space="preserve">서울특별시 중구 충무로3가 57-24번지 (지상3층) </t>
  </si>
  <si>
    <t>3160000-102-2001-08828</t>
  </si>
  <si>
    <t xml:space="preserve">서울특별시 구로구 오류동 9-6 </t>
  </si>
  <si>
    <t>서울특별시 구로구 경인로 183-1 (오류동)</t>
  </si>
  <si>
    <t>3010000-102-2008-00005</t>
  </si>
  <si>
    <t xml:space="preserve">서울특별시 중구 명동1가 45-1번지 지상3층 </t>
  </si>
  <si>
    <t>서울특별시 중구 명동7길 18 (명동1가,지상3층)</t>
  </si>
  <si>
    <t>3010000-102-2008-00006</t>
  </si>
  <si>
    <t xml:space="preserve">서울특별시 중구 회현동1가 199-6번지 지상5층 </t>
  </si>
  <si>
    <t>3010000-102-1999-12065</t>
  </si>
  <si>
    <t xml:space="preserve">서울특별시 중구 북창동 20-2번지 </t>
  </si>
  <si>
    <t>3010000-102-1999-12073</t>
  </si>
  <si>
    <t xml:space="preserve">서울특별시 중구 수하동 40-2번지 </t>
  </si>
  <si>
    <t>3010000-102-1999-12089</t>
  </si>
  <si>
    <t xml:space="preserve">서울특별시 중구 인현동1가 141-2번지 </t>
  </si>
  <si>
    <t>3010000-102-1984-02598</t>
  </si>
  <si>
    <t xml:space="preserve">서울특별시 중구 초동 107-4번지 </t>
  </si>
  <si>
    <t>3010000-102-1984-02500</t>
  </si>
  <si>
    <t xml:space="preserve">서울특별시 중구 주교동 18-1번지 </t>
  </si>
  <si>
    <t>3010000-102-1999-02457</t>
  </si>
  <si>
    <t xml:space="preserve">서울특별시 중구 북창동 101-0번지 </t>
  </si>
  <si>
    <t>3010000-102-2015-00005</t>
  </si>
  <si>
    <t xml:space="preserve">서울특별시 중구 북창동 118번지 2층 </t>
  </si>
  <si>
    <t>서울특별시 중구 남대문로1길 16 (북창동, 2층)</t>
  </si>
  <si>
    <t>3010000-102-1973-02519</t>
  </si>
  <si>
    <t>3010000-102-1973-02571</t>
  </si>
  <si>
    <t xml:space="preserve">서울특별시 중구 을지로6가 18-74번지 </t>
  </si>
  <si>
    <t>3010000-102-2001-13988</t>
  </si>
  <si>
    <t xml:space="preserve">서울특별시 중구 다동 58-1번지 (지상3층) </t>
  </si>
  <si>
    <t>3010000-102-2001-13990</t>
  </si>
  <si>
    <t xml:space="preserve">서울특별시 중구 명동2가 31-1번지 지상21층 </t>
  </si>
  <si>
    <t>3010000-102-2001-13992</t>
  </si>
  <si>
    <t xml:space="preserve">서울특별시 중구 충무로3가 57-11번지 지하1층 </t>
  </si>
  <si>
    <t>서울특별시 중구 퇴계로31길 27 (충무로3가,지하1층)</t>
  </si>
  <si>
    <t>3010000-102-2001-13993</t>
  </si>
  <si>
    <t xml:space="preserve">서울특별시 중구 저동2가 76번지 지상2층 </t>
  </si>
  <si>
    <t>3010000-102-1976-02536</t>
  </si>
  <si>
    <t xml:space="preserve">서울특별시 중구 흥인동 49-7번지 </t>
  </si>
  <si>
    <t>3010000-102-1976-02607</t>
  </si>
  <si>
    <t xml:space="preserve">서울특별시 중구 황학동 753-1번지 </t>
  </si>
  <si>
    <t>3010000-102-1976-02467</t>
  </si>
  <si>
    <t xml:space="preserve">서울특별시 중구 황학동 844-0번지 </t>
  </si>
  <si>
    <t>3010000-102-1976-02554</t>
  </si>
  <si>
    <t xml:space="preserve">서울특별시 중구 충무로2가 61-3번지 </t>
  </si>
  <si>
    <t>3010000-102-1976-02616</t>
  </si>
  <si>
    <t xml:space="preserve">서울특별시 중구 서소문동 168-9번지 </t>
  </si>
  <si>
    <t>3010000-102-1976-02471</t>
  </si>
  <si>
    <t>3010000-102-1976-02512</t>
  </si>
  <si>
    <t xml:space="preserve">서울특별시 중구 주교동 122-2 1층 </t>
  </si>
  <si>
    <t>서울특별시 중구 창경궁로 66 (주교동, 1층)</t>
  </si>
  <si>
    <t>3010000-102-1999-02624</t>
  </si>
  <si>
    <t xml:space="preserve">서울특별시 중구 무학동 6-0번지 </t>
  </si>
  <si>
    <t>3010000-102-1976-02656</t>
  </si>
  <si>
    <t xml:space="preserve">서울특별시 중구 남산동2가 31-1번지 </t>
  </si>
  <si>
    <t>서울특별시 중구 퇴계로20길 2 (남산동2가)</t>
  </si>
  <si>
    <t>3010000-102-1976-02655</t>
  </si>
  <si>
    <t>3010000-102-1977-02487</t>
  </si>
  <si>
    <t xml:space="preserve">서울특별시 중구 북창동 18-1번지 </t>
  </si>
  <si>
    <t>3010000-102-1977-02561</t>
  </si>
  <si>
    <t>3010000-102-1977-02559</t>
  </si>
  <si>
    <t xml:space="preserve">서울특별시 중구 필동1가 3-5번지 지하 1층 </t>
  </si>
  <si>
    <t>서울특별시 중구 수표로2길 22 (필동1가, 지하 1층)</t>
  </si>
  <si>
    <t>3010000-102-1977-02510</t>
  </si>
  <si>
    <t xml:space="preserve">서울특별시 중구 광희동1가 145-2번지 </t>
  </si>
  <si>
    <t>3010000-102-1977-02483</t>
  </si>
  <si>
    <t xml:space="preserve">서울특별시 중구 주교동 176-8번지 </t>
  </si>
  <si>
    <t>3010000-102-1977-02675</t>
  </si>
  <si>
    <t xml:space="preserve">서울특별시 중구 다동 35-0번지 </t>
  </si>
  <si>
    <t>3010000-102-1977-02551</t>
  </si>
  <si>
    <t xml:space="preserve">서울특별시 중구 명동1가 38-3번지 </t>
  </si>
  <si>
    <t>3010000-102-1977-02421</t>
  </si>
  <si>
    <t xml:space="preserve">서울특별시 중구 의주로2가 30-5번지 </t>
  </si>
  <si>
    <t>3010000-102-1977-02664</t>
  </si>
  <si>
    <t xml:space="preserve">서울특별시 중구 남대문로5가 36-1번지 </t>
  </si>
  <si>
    <t>3010000-102-2002-00001</t>
  </si>
  <si>
    <t xml:space="preserve">서울특별시 중구 남대문로3가 91번지 외1 지상1층 </t>
  </si>
  <si>
    <t>3010000-102-2002-00002</t>
  </si>
  <si>
    <t xml:space="preserve">서울특별시 중구 남대문로5가 17-11번지 지하1층 </t>
  </si>
  <si>
    <t>서울특별시 중구 세종대로4길 5 (남대문로5가,지하1층)</t>
  </si>
  <si>
    <t>3010000-102-2002-00005</t>
  </si>
  <si>
    <t xml:space="preserve">서울특별시 중구 북창동 99-2번지 지상2층 </t>
  </si>
  <si>
    <t>3010000-102-2002-00007</t>
  </si>
  <si>
    <t xml:space="preserve">서울특별시 중구 북창동 125번지 외2필지 지상1층 </t>
  </si>
  <si>
    <t>3010000-102-2002-00044</t>
  </si>
  <si>
    <t xml:space="preserve">서울특별시 중구 태평로1가 31-28번지 (지하1층) </t>
  </si>
  <si>
    <t>3010000-102-2002-00045</t>
  </si>
  <si>
    <t xml:space="preserve">서울특별시 중구 광희동1가 103-1번지 (지하1층) </t>
  </si>
  <si>
    <t>3010000-102-2002-00009</t>
  </si>
  <si>
    <t xml:space="preserve">서울특별시 중구 회현동2가 2-1번지 지상2층 </t>
  </si>
  <si>
    <t>3010000-102-2002-00010</t>
  </si>
  <si>
    <t xml:space="preserve">서울특별시 중구 태평로2가 68-9번지 지상2층 </t>
  </si>
  <si>
    <t>3010000-102-2002-00014</t>
  </si>
  <si>
    <t xml:space="preserve">서울특별시 중구 다동 170-1번지 지하1층 </t>
  </si>
  <si>
    <t>3010000-102-2002-00015</t>
  </si>
  <si>
    <t xml:space="preserve">서울특별시 중구 북창동 17-5번지 2층 </t>
  </si>
  <si>
    <t>3010000-102-1999-12317</t>
  </si>
  <si>
    <t xml:space="preserve">서울특별시 중구 인현동2가 96-1번지 ,5,6,7,8,13 </t>
  </si>
  <si>
    <t>서울특별시 중구 마른내로 65 (인현동2가,,5,6,7,8,13)</t>
  </si>
  <si>
    <t>3010000-102-1999-12333</t>
  </si>
  <si>
    <t xml:space="preserve">서울특별시 중구 충무로3가 25-2번지 </t>
  </si>
  <si>
    <t>3010000-102-1999-12340</t>
  </si>
  <si>
    <t xml:space="preserve">서울특별시 중구 을지로2가 148-5번지 </t>
  </si>
  <si>
    <t>3010000-102-1999-12341</t>
  </si>
  <si>
    <t xml:space="preserve">서울특별시 중구 다동 120-0번지 </t>
  </si>
  <si>
    <t>3010000-102-1999-12349</t>
  </si>
  <si>
    <t xml:space="preserve">서울특별시 중구 삼각동 115-0번지 </t>
  </si>
  <si>
    <t>3010000-102-1999-12368</t>
  </si>
  <si>
    <t xml:space="preserve">서울특별시 중구 다동 160-0번지 </t>
  </si>
  <si>
    <t>3010000-102-1999-12382</t>
  </si>
  <si>
    <t xml:space="preserve">서울특별시 중구 태평로2가 69-10번지 </t>
  </si>
  <si>
    <t>3010000-102-1999-12394</t>
  </si>
  <si>
    <t xml:space="preserve">서울특별시 중구 신당동 120-5번지 </t>
  </si>
  <si>
    <t>3010000-102-1999-12395</t>
  </si>
  <si>
    <t xml:space="preserve">서울특별시 중구 북창동 19-2번지 </t>
  </si>
  <si>
    <t>3010000-102-1999-12397</t>
  </si>
  <si>
    <t>3010000-102-1999-12398</t>
  </si>
  <si>
    <t xml:space="preserve">서울특별시 중구 북창동 42-2번지 </t>
  </si>
  <si>
    <t>서울특별시 중구 세종대로18길 14 (북창동)</t>
  </si>
  <si>
    <t>3010000-102-1999-12447</t>
  </si>
  <si>
    <t>3010000-102-1999-12450</t>
  </si>
  <si>
    <t xml:space="preserve">서울특별시 중구 광희동1가 182-30번지 </t>
  </si>
  <si>
    <t>3010000-102-1999-12465</t>
  </si>
  <si>
    <t xml:space="preserve">서울특별시 중구 다동 162-1번지 </t>
  </si>
  <si>
    <t>3010000-102-2000-12486</t>
  </si>
  <si>
    <t xml:space="preserve">서울특별시 중구 예관동 70-27번지 시사빌딩지층 </t>
  </si>
  <si>
    <t>3010000-102-2000-12517</t>
  </si>
  <si>
    <t xml:space="preserve">서울특별시 중구 다동 183-0번지 </t>
  </si>
  <si>
    <t>3010000-102-1998-02449</t>
  </si>
  <si>
    <t xml:space="preserve">서울특별시 중구 황학동 375-0번지 </t>
  </si>
  <si>
    <t>3010000-102-1999-11829</t>
  </si>
  <si>
    <t xml:space="preserve">서울특별시 중구 서소문동 99-4번지 </t>
  </si>
  <si>
    <t>3010000-102-1999-11846</t>
  </si>
  <si>
    <t xml:space="preserve">서울특별시 중구 북창동 19-6번지 </t>
  </si>
  <si>
    <t>3010000-102-1999-11851</t>
  </si>
  <si>
    <t>3010000-102-1999-11873</t>
  </si>
  <si>
    <t xml:space="preserve">서울특별시 중구 수표동 11-3번지 </t>
  </si>
  <si>
    <t>3010000-102-1999-11875</t>
  </si>
  <si>
    <t xml:space="preserve">서울특별시 중구 태평로2가 69-6번지 </t>
  </si>
  <si>
    <t>3010000-102-1999-11884</t>
  </si>
  <si>
    <t xml:space="preserve">서울특별시 중구 태평로2가 68-2번지 </t>
  </si>
  <si>
    <t>3010000-102-1999-11900</t>
  </si>
  <si>
    <t xml:space="preserve">서울특별시 중구 북창동 19-3번지 </t>
  </si>
  <si>
    <t>3010000-102-1999-11907</t>
  </si>
  <si>
    <t xml:space="preserve">서울특별시 중구 을지로2가 163-1번지 </t>
  </si>
  <si>
    <t>3010000-102-2000-13185</t>
  </si>
  <si>
    <t xml:space="preserve">서울특별시 중구 북창동 94-18번지 </t>
  </si>
  <si>
    <t>3010000-102-2000-12556</t>
  </si>
  <si>
    <t xml:space="preserve">서울특별시 중구 북창동 135-1번지 </t>
  </si>
  <si>
    <t>3010000-102-2000-12576</t>
  </si>
  <si>
    <t xml:space="preserve">서울특별시 중구 북창동 85번지 지상1-2층 </t>
  </si>
  <si>
    <t>3010000-102-2000-13220</t>
  </si>
  <si>
    <t xml:space="preserve">서울특별시 중구 남대문로3가 88-0번지 </t>
  </si>
  <si>
    <t>3010000-102-2000-13227</t>
  </si>
  <si>
    <t xml:space="preserve">서울특별시 중구 북창동 99-3번지 지상2-3층 </t>
  </si>
  <si>
    <t>3010000-102-2000-13230</t>
  </si>
  <si>
    <t>3010000-102-2000-13190</t>
  </si>
  <si>
    <t>3010000-102-2000-12585</t>
  </si>
  <si>
    <t xml:space="preserve">서울특별시 중구 을지로1가 46-2번지 </t>
  </si>
  <si>
    <t>3010000-102-2000-13235</t>
  </si>
  <si>
    <t xml:space="preserve">서울특별시 중구 북창동 3-1 성원빌딩지하1층 </t>
  </si>
  <si>
    <t>서울특별시 중구 세종대로18길 28 (북창동,성원빌딩지하1층)</t>
  </si>
  <si>
    <t>3010000-102-2000-13341</t>
  </si>
  <si>
    <t xml:space="preserve">서울특별시 중구 필동1가 3-6번지 지하1층 </t>
  </si>
  <si>
    <t>서울특별시 중구 수표로2길 22 (필동1가)</t>
  </si>
  <si>
    <t>3010000-102-2000-13381</t>
  </si>
  <si>
    <t xml:space="preserve">서울특별시 중구 다동 128-0번지 </t>
  </si>
  <si>
    <t>3010000-102-2000-12904</t>
  </si>
  <si>
    <t xml:space="preserve">서울특별시 중구 다동 192-1번지 ,2호 </t>
  </si>
  <si>
    <t>3010000-102-2000-12601</t>
  </si>
  <si>
    <t xml:space="preserve">서울특별시 중구 남대문로3가 86-0번지 </t>
  </si>
  <si>
    <t>3010000-102-2000-12609</t>
  </si>
  <si>
    <t xml:space="preserve">서울특별시 중구 태평로1가 31-20번지 28 </t>
  </si>
  <si>
    <t>3010000-102-2000-12651</t>
  </si>
  <si>
    <t xml:space="preserve">서울특별시 중구 다동 185-1번지 2 </t>
  </si>
  <si>
    <t>3010000-102-2000-12656</t>
  </si>
  <si>
    <t xml:space="preserve">서울특별시 중구 황학동 73-1번지 </t>
  </si>
  <si>
    <t>3010000-102-2000-13384</t>
  </si>
  <si>
    <t xml:space="preserve">서울특별시 중구 북창동 14-5번지 지상2층 </t>
  </si>
  <si>
    <t>3010000-102-2000-12666</t>
  </si>
  <si>
    <t xml:space="preserve">서울특별시 중구 을지로1가 32-0번지 </t>
  </si>
  <si>
    <t>3010000-102-2000-12669</t>
  </si>
  <si>
    <t xml:space="preserve">서울특별시 중구 다동 156-0번지 </t>
  </si>
  <si>
    <t>3010000-102-2000-12671</t>
  </si>
  <si>
    <t xml:space="preserve">서울특별시 중구 충무로5가 76-2번지 </t>
  </si>
  <si>
    <t>서울특별시 중구 퇴계로 238 (충무로5가)</t>
  </si>
  <si>
    <t>3010000-102-2000-12776</t>
  </si>
  <si>
    <t>3010000-102-2000-12778</t>
  </si>
  <si>
    <t xml:space="preserve">서울특별시 중구 북창동 136-0 </t>
  </si>
  <si>
    <t>서울특별시 중구 남대문로1길 2 (북창동)</t>
  </si>
  <si>
    <t>3010000-102-2000-12787</t>
  </si>
  <si>
    <t xml:space="preserve">서울특별시 중구 북창동 104번지 2층 </t>
  </si>
  <si>
    <t>서울특별시 중구 남대문로1길 26-10, 2층 (북창동)</t>
  </si>
  <si>
    <t>3010000-102-2000-12818</t>
  </si>
  <si>
    <t xml:space="preserve">서울특별시 중구 태평로2가 69-1번지 2층 </t>
  </si>
  <si>
    <t>3010000-102-2000-13385</t>
  </si>
  <si>
    <t xml:space="preserve">서울특별시 중구 무교동 21-3번지 </t>
  </si>
  <si>
    <t>3010000-102-2000-13233</t>
  </si>
  <si>
    <t xml:space="preserve">서울특별시 중구 북창동 120-2번지 </t>
  </si>
  <si>
    <t>서울특별시 중구 남대문로1길 14 (북창동)</t>
  </si>
  <si>
    <t>3010000-102-2000-12873</t>
  </si>
  <si>
    <t xml:space="preserve">서울특별시 중구 충무로5가 59-1번지 </t>
  </si>
  <si>
    <t>3010000-102-2005-00016</t>
  </si>
  <si>
    <t xml:space="preserve">서울특별시 중구 남대문로5가 14-3번지 (지상3층) </t>
  </si>
  <si>
    <t>서울특별시 중구 세종대로2가길 19 (남대문로5가,(지상3층))</t>
  </si>
  <si>
    <t>3010000-102-2005-00017</t>
  </si>
  <si>
    <t xml:space="preserve">서울특별시 중구 을지로3가 320-12번지 (지하1층) </t>
  </si>
  <si>
    <t>3010000-102-2006-00001</t>
  </si>
  <si>
    <t xml:space="preserve">서울특별시 중구 충무로4가 5-1 (지상1층) </t>
  </si>
  <si>
    <t>서울특별시 중구 충무로2길 7 (충무로4가,(지상1층))</t>
  </si>
  <si>
    <t>3010000-102-2006-00002</t>
  </si>
  <si>
    <t xml:space="preserve">서울특별시 중구 충무로4가 5-1 (지상2층) </t>
  </si>
  <si>
    <t>서울특별시 중구 충무로2길 7 (충무로4가,(지상2층))</t>
  </si>
  <si>
    <t>3010000-102-1988-02531</t>
  </si>
  <si>
    <t>3010000-102-1989-02476</t>
  </si>
  <si>
    <t xml:space="preserve">서울특별시 중구 명동2가 2-21번지 </t>
  </si>
  <si>
    <t>3010000-102-1989-02509</t>
  </si>
  <si>
    <t xml:space="preserve">서울특별시 중구 북창동 71-1번지 </t>
  </si>
  <si>
    <t>3010000-102-1989-02479</t>
  </si>
  <si>
    <t xml:space="preserve">서울특별시 중구 명동2가 2-20번지 지하1층 </t>
  </si>
  <si>
    <t>3010000-102-1989-02522</t>
  </si>
  <si>
    <t>서울특별시 중구 남대문로1길 46 (북창동)</t>
  </si>
  <si>
    <t>3010000-102-1989-02475</t>
  </si>
  <si>
    <t>서울특별시 중구 남대문로1길 25 (북창동)</t>
  </si>
  <si>
    <t>3010000-102-1990-02581</t>
  </si>
  <si>
    <t xml:space="preserve">서울특별시 중구 인현동2가 134-3번지 </t>
  </si>
  <si>
    <t>3010000-102-1990-02520</t>
  </si>
  <si>
    <t xml:space="preserve">서울특별시 중구 남대문로4가 17-1번지 </t>
  </si>
  <si>
    <t>3010000-102-1990-02491</t>
  </si>
  <si>
    <t>3010000-102-1999-02550</t>
  </si>
  <si>
    <t xml:space="preserve">서울특별시 중구 충무로2가 51-1번지 </t>
  </si>
  <si>
    <t>3010000-102-1991-02534</t>
  </si>
  <si>
    <t xml:space="preserve">서울특별시 중구 봉래동1가 88-1번지 </t>
  </si>
  <si>
    <t>3010000-102-1993-02459</t>
  </si>
  <si>
    <t>3010000-102-1993-02564</t>
  </si>
  <si>
    <t xml:space="preserve">서울특별시 중구 남대문로5가 251-0번지 </t>
  </si>
  <si>
    <t>3010000-102-1994-02464</t>
  </si>
  <si>
    <t xml:space="preserve">서울특별시 중구 황학동 514-0번지 </t>
  </si>
  <si>
    <t>3010000-102-1998-02613</t>
  </si>
  <si>
    <t xml:space="preserve">서울특별시 중구 북창동 105-0번지 </t>
  </si>
  <si>
    <t>3010000-102-1985-02442</t>
  </si>
  <si>
    <t xml:space="preserve">서울특별시 중구 황학동 371-47번지 </t>
  </si>
  <si>
    <t>3010000-102-1985-02443</t>
  </si>
  <si>
    <t>3010000-102-1985-02444</t>
  </si>
  <si>
    <t>3010000-102-1983-02472</t>
  </si>
  <si>
    <t xml:space="preserve">서울특별시 중구 북창동 11-5번지 </t>
  </si>
  <si>
    <t>3010000-102-1983-02657</t>
  </si>
  <si>
    <t>3010000-102-1983-02682</t>
  </si>
  <si>
    <t>3010000-102-1983-02503</t>
  </si>
  <si>
    <t xml:space="preserve">서울특별시 중구 다동 170-1번지 </t>
  </si>
  <si>
    <t>3010000-102-1983-02673</t>
  </si>
  <si>
    <t>3010000-102-1983-02600</t>
  </si>
  <si>
    <t xml:space="preserve">서울특별시 중구 만리동2가 213-49번지 </t>
  </si>
  <si>
    <t>3010000-102-1983-02460</t>
  </si>
  <si>
    <t xml:space="preserve">서울특별시 중구 중림동 45-4번지 </t>
  </si>
  <si>
    <t>3010000-102-1983-02543</t>
  </si>
  <si>
    <t xml:space="preserve">서울특별시 중구 다동 32-1번지 </t>
  </si>
  <si>
    <t>3010000-102-1984-02474</t>
  </si>
  <si>
    <t xml:space="preserve">서울특별시 중구 북창동 104-0번지 </t>
  </si>
  <si>
    <t>3010000-102-1998-02625</t>
  </si>
  <si>
    <t xml:space="preserve">서울특별시 중구 을지로6가 21-31번지 </t>
  </si>
  <si>
    <t>3010000-102-1984-02528</t>
  </si>
  <si>
    <t xml:space="preserve">서울특별시 중구 흥인동 66-6번지 </t>
  </si>
  <si>
    <t>3010000-102-1984-02646</t>
  </si>
  <si>
    <t xml:space="preserve">서울특별시 중구 광희동1가 142-2번지 </t>
  </si>
  <si>
    <t>3010000-102-1984-02527</t>
  </si>
  <si>
    <t xml:space="preserve">서울특별시 중구 흥인동 62-1번지 </t>
  </si>
  <si>
    <t>3010000-102-1984-02630</t>
  </si>
  <si>
    <t xml:space="preserve">서울특별시 중구 흥인동 66-23번지 </t>
  </si>
  <si>
    <t>3010000-102-1984-02677</t>
  </si>
  <si>
    <t xml:space="preserve">서울특별시 중구 남대문로5가 395-0번지 </t>
  </si>
  <si>
    <t>3010000-102-2018-00001</t>
  </si>
  <si>
    <t xml:space="preserve">서울특별시 중구 명동1가 45-1 </t>
  </si>
  <si>
    <t>서울특별시 중구 명동7길 18, 3층 (명동1가)</t>
  </si>
  <si>
    <t>3010000-102-2001-13404</t>
  </si>
  <si>
    <t xml:space="preserve">서울특별시 중구 다동 188-0번지 </t>
  </si>
  <si>
    <t>3010000-102-2001-13410</t>
  </si>
  <si>
    <t xml:space="preserve">서울특별시 중구 남대문로3가 86-0번지 1층 </t>
  </si>
  <si>
    <t>3010000-102-2001-13459</t>
  </si>
  <si>
    <t xml:space="preserve">서울특별시 중구 서소문동 91-0번지 지하1층 </t>
  </si>
  <si>
    <t>3010000-102-2001-13471</t>
  </si>
  <si>
    <t xml:space="preserve">서울특별시 중구 북창동 94-18번지 1층 </t>
  </si>
  <si>
    <t>3010000-102-2001-13542</t>
  </si>
  <si>
    <t>3010000-102-2001-13567</t>
  </si>
  <si>
    <t xml:space="preserve">서울특별시 중구 을지로6가 18-130번지 지하1층 </t>
  </si>
  <si>
    <t>3010000-102-2001-13573</t>
  </si>
  <si>
    <t>3010000-102-2001-13584</t>
  </si>
  <si>
    <t xml:space="preserve">서울특별시 중구 북창동 123-0번지 </t>
  </si>
  <si>
    <t>3010000-102-2001-13663</t>
  </si>
  <si>
    <t xml:space="preserve">서울특별시 중구 황학동 2478-0번지 지하1층 </t>
  </si>
  <si>
    <t>서울특별시 중구 퇴계로 459 (황학동,지하1층)</t>
  </si>
  <si>
    <t>3010000-102-2000-13205</t>
  </si>
  <si>
    <t>3010000-102-2000-13206</t>
  </si>
  <si>
    <t xml:space="preserve">서울특별시 중구 북창동 63-0 </t>
  </si>
  <si>
    <t>서울특별시 중구 세종대로14길 18 (북창동)</t>
  </si>
  <si>
    <t>3010000-102-2000-13214</t>
  </si>
  <si>
    <t>3010000-102-2000-13215</t>
  </si>
  <si>
    <t xml:space="preserve">서울특별시 중구 남대문로4가 20-60번지 </t>
  </si>
  <si>
    <t>3010000-102-2000-13216</t>
  </si>
  <si>
    <t>3010000-102-2000-12926</t>
  </si>
  <si>
    <t xml:space="preserve">서울특별시 중구 북창동 125-0번지 외2 </t>
  </si>
  <si>
    <t>3010000-102-2000-12941</t>
  </si>
  <si>
    <t xml:space="preserve">서울특별시 중구 광희동1가 142-0번지 </t>
  </si>
  <si>
    <t>3010000-102-2000-12950</t>
  </si>
  <si>
    <t>3010000-102-2000-12958</t>
  </si>
  <si>
    <t xml:space="preserve">서울특별시 중구 을지로2가 148-1번지 </t>
  </si>
  <si>
    <t>3010000-102-2000-12964</t>
  </si>
  <si>
    <t xml:space="preserve">서울특별시 중구 을지로6가 18-75번지 </t>
  </si>
  <si>
    <t>3010000-102-2000-12974</t>
  </si>
  <si>
    <t xml:space="preserve">서울특별시 중구 다동 58-1번지 </t>
  </si>
  <si>
    <t>3010000-102-2000-12980</t>
  </si>
  <si>
    <t xml:space="preserve">서울특별시 중구 다동 192-1번지 2호 </t>
  </si>
  <si>
    <t>3010000-102-2000-12989</t>
  </si>
  <si>
    <t xml:space="preserve">서울특별시 중구 다동 191-0번지 </t>
  </si>
  <si>
    <t>3010000-102-2000-12993</t>
  </si>
  <si>
    <t xml:space="preserve">서울특별시 중구 다동 190-0번지 </t>
  </si>
  <si>
    <t>3010000-102-2000-13103</t>
  </si>
  <si>
    <t xml:space="preserve">서울특별시 중구 명동2가 2-16번지 외2필지3층 </t>
  </si>
  <si>
    <t>3010000-102-2000-13105</t>
  </si>
  <si>
    <t xml:space="preserve">서울특별시 중구 충무로2가 62-9번지 </t>
  </si>
  <si>
    <t>3010000-102-2022-00002</t>
  </si>
  <si>
    <t>서울특별시 중구 충무로4가 125-3 일흥빌딩</t>
  </si>
  <si>
    <t>서울특별시 중구 퇴계로 213, 일흥빌딩 지하1층 (충무로4가)</t>
  </si>
  <si>
    <t>3010000-102-2000-13121</t>
  </si>
  <si>
    <t xml:space="preserve">서울특별시 중구 남대문로5가 6-11번지 외1필지 </t>
  </si>
  <si>
    <t>3010000-102-2000-13140</t>
  </si>
  <si>
    <t>3010000-102-2000-13143</t>
  </si>
  <si>
    <t xml:space="preserve">서울특별시 중구 북창동 118-0번지 119-0 </t>
  </si>
  <si>
    <t>3010000-102-2000-13165</t>
  </si>
  <si>
    <t xml:space="preserve">서울특별시 중구 북창동 103-1번지 </t>
  </si>
  <si>
    <t>3010000-102-2003-00010</t>
  </si>
  <si>
    <t xml:space="preserve">서울특별시 중구 신당동 100-6 (2층) </t>
  </si>
  <si>
    <t>서울특별시 중구 퇴계로 406-2 (신당동,(2층))</t>
  </si>
  <si>
    <t>3010000-102-2023-00001</t>
  </si>
  <si>
    <t>서울특별시 중구 을지로3가 95-4 301호</t>
  </si>
  <si>
    <t>서울특별시 중구 충무로9길 12, 3층 301호 (을지로3가)</t>
  </si>
  <si>
    <t>3010000-102-2024-00002</t>
  </si>
  <si>
    <t xml:space="preserve">서울특별시 중구 북창동 131 </t>
  </si>
  <si>
    <t>서울특별시 중구 남대문로1길 10-8, 1층 (북창동)</t>
  </si>
  <si>
    <t>3010000-102-2005-00015</t>
  </si>
  <si>
    <t xml:space="preserve">서울특별시 중구 충무로3가 34-8번지 (지상2층) </t>
  </si>
  <si>
    <t>서울특별시 중구 충무로2길 1 (충무로3가,(지상2층))</t>
  </si>
  <si>
    <t>3010000-102-2008-00001</t>
  </si>
  <si>
    <t xml:space="preserve">서울특별시 중구 충무로3가 56-1 (지상3층) </t>
  </si>
  <si>
    <t>서울특별시 중구 수표로6길 32 (충무로3가,(지상3층))</t>
  </si>
  <si>
    <t>3010000-102-2024-00001</t>
  </si>
  <si>
    <t xml:space="preserve">서울특별시 중구 충무로2가 52-1 해보라인쇄 </t>
  </si>
  <si>
    <t>서울특별시 중구 퇴계로 161, 해보라인쇄 지하1~지상2층 (충무로2가)</t>
  </si>
  <si>
    <t>3010000-102-2020-00002</t>
  </si>
  <si>
    <t xml:space="preserve">서울특별시 중구 황학동 371-38 신라여관 </t>
  </si>
  <si>
    <t>서울특별시 중구 퇴계로83길 12-16, 2층 (황학동)</t>
  </si>
  <si>
    <t>3010000-102-2022-00005</t>
  </si>
  <si>
    <t xml:space="preserve">서울특별시 중구 광희동1가 145-2 </t>
  </si>
  <si>
    <t>서울특별시 중구 을지로44길 18-4, 동대문디플레이스 지하2층 (광희동1가)</t>
  </si>
  <si>
    <t>3010000-102-2022-00003</t>
  </si>
  <si>
    <t xml:space="preserve">서울특별시 중구 을지로6가 23 </t>
  </si>
  <si>
    <t>서울특별시 중구 을지로 254, 지하1층 B102호 (을지로6가)</t>
  </si>
  <si>
    <t>3010000-102-2022-00001</t>
  </si>
  <si>
    <t xml:space="preserve">서울특별시 중구 북창동 122 </t>
  </si>
  <si>
    <t>서울특별시 중구 남대문로1길 8-1, 지하1-2층 (북창동)</t>
  </si>
  <si>
    <t>3010000-102-2021-00001</t>
  </si>
  <si>
    <t xml:space="preserve">서울특별시 중구 충무로3가 28-2 </t>
  </si>
  <si>
    <t>서울특별시 중구 수표로6길 37-1, 2층 (충무로3가)</t>
  </si>
  <si>
    <t>3010000-102-2023-00002</t>
  </si>
  <si>
    <t xml:space="preserve">서울특별시 중구 저동2가 7-5 서광빌딩 </t>
  </si>
  <si>
    <t>서울특별시 중구 수표로 42-13, 서광빌딩 1층 (저동2가)</t>
  </si>
  <si>
    <t>3010000-102-2005-00003</t>
  </si>
  <si>
    <t xml:space="preserve">서울특별시 중구 남대문로5가 6-10번지 (지상2층) </t>
  </si>
  <si>
    <t>서울특별시 중구 세종대로1길 6 (남대문로5가,(지상2층))</t>
  </si>
  <si>
    <t>3010000-102-2005-00007</t>
  </si>
  <si>
    <t xml:space="preserve">서울특별시 중구 인현동1가 87-18 (지하1층) </t>
  </si>
  <si>
    <t>서울특별시 중구 마른내로 58 (인현동1가,(지하1층))</t>
  </si>
  <si>
    <t>3010000-102-2002-00047</t>
  </si>
  <si>
    <t>서울특별시 중구 충무로3가 59-10 (지하1층)</t>
  </si>
  <si>
    <t>서울특별시 중구 수표로2길 7 (충무로3가,(지하1층))</t>
  </si>
  <si>
    <t>3010000-102-2005-00008</t>
  </si>
  <si>
    <t xml:space="preserve">서울특별시 중구 초동 41-2 2층 </t>
  </si>
  <si>
    <t>서울특별시 중구 충무로 32, 2층 (초동)</t>
  </si>
  <si>
    <t>3010000-102-2005-00009</t>
  </si>
  <si>
    <t xml:space="preserve">서울특별시 중구 충무로4가 28-3번지 (지상1층) </t>
  </si>
  <si>
    <t>3010000-102-2005-00010</t>
  </si>
  <si>
    <t xml:space="preserve">서울특별시 중구 광희동1가 188-4번지 (지하1층) </t>
  </si>
  <si>
    <t>서울특별시 중구 마른내로 165 (광희동1가,(지하1층))</t>
  </si>
  <si>
    <t>3010000-102-2005-00011</t>
  </si>
  <si>
    <t xml:space="preserve">서울특별시 중구 충무로3가 36-4 (지상2층) </t>
  </si>
  <si>
    <t>서울특별시 중구 충무로2길 2 (충무로3가,(지상2층))</t>
  </si>
  <si>
    <t>3010000-102-2002-00050</t>
  </si>
  <si>
    <t xml:space="preserve">서울특별시 중구 회현동1가 202-5번지 (지하1층) </t>
  </si>
  <si>
    <t>서울특별시 중구 남대문시장길 73-3 (회현동1가,(지하1층))</t>
  </si>
  <si>
    <t>3010000-102-2002-00053</t>
  </si>
  <si>
    <t xml:space="preserve">서울특별시 중구 충무로4가 26번지 2층 </t>
  </si>
  <si>
    <t>서울특별시 중구 마른내로6길 37, 2층 (충무로4가)</t>
  </si>
  <si>
    <t>3010000-102-2002-00058</t>
  </si>
  <si>
    <t xml:space="preserve">서울특별시 중구 북창동 67-0 (2층) </t>
  </si>
  <si>
    <t>서울특별시 중구 남대문로1길 36 (북창동,(2층))</t>
  </si>
  <si>
    <t>3010000-102-2002-00059</t>
  </si>
  <si>
    <t xml:space="preserve">서울특별시 중구 광희동1가 45-0번지 (지하1층) </t>
  </si>
  <si>
    <t>서울특별시 중구 을지로40길 18 (광희동1가,(지하1층))</t>
  </si>
  <si>
    <t>3010000-102-2003-00002</t>
  </si>
  <si>
    <t xml:space="preserve">서울특별시 중구 오장동 148-1번지 (2층) </t>
  </si>
  <si>
    <t>서울특별시 중구 을지로36길 40 (오장동,(2층))</t>
  </si>
  <si>
    <t>3010000-102-1985-02582</t>
  </si>
  <si>
    <t xml:space="preserve">서울특별시 중구 신당동 100-7 1층 </t>
  </si>
  <si>
    <t>서울특별시 중구 퇴계로78길 6 (신당동, 1층)</t>
  </si>
  <si>
    <t>3010000-102-2004-00005</t>
  </si>
  <si>
    <t xml:space="preserve">서울특별시 중구 광희동1가 38-1 (지하1층) </t>
  </si>
  <si>
    <t>서울특별시 중구 을지로38길 11 (광희동1가,(지하1층))</t>
  </si>
  <si>
    <t>3010000-102-2004-00006</t>
  </si>
  <si>
    <t xml:space="preserve">서울특별시 중구 흥인동 111 (지하1층) </t>
  </si>
  <si>
    <t>서울특별시 중구 다산로 255 (흥인동,(지하1층))</t>
  </si>
  <si>
    <t>3010000-102-2004-00011</t>
  </si>
  <si>
    <t xml:space="preserve">서울특별시 중구 충무로3가 35-3번지 외 1필지 (지상2층) </t>
  </si>
  <si>
    <t>서울특별시 중구 충무로2길 6 (충무로3가,외 1필지 (지상2층))</t>
  </si>
  <si>
    <t>3010000-102-2004-00013</t>
  </si>
  <si>
    <t xml:space="preserve">서울특별시 중구 북창동 82 (지하1층) </t>
  </si>
  <si>
    <t>서울특별시 중구 세종대로14길 26 (북창동,(지하1층))</t>
  </si>
  <si>
    <t>3010000-102-2004-00014</t>
  </si>
  <si>
    <t xml:space="preserve">서울특별시 중구 서소문동 90번지 외3필지(지하1층) </t>
  </si>
  <si>
    <t>서울특별시 중구 서소문로 130 (서소문동,외3필지(지하1층))</t>
  </si>
  <si>
    <t>3010000-102-1974-02681</t>
  </si>
  <si>
    <t xml:space="preserve">서울특별시 중구 을지로5가 133-1번지 </t>
  </si>
  <si>
    <t>3010000-102-1974-02486</t>
  </si>
  <si>
    <t xml:space="preserve">서울특별시 중구 다동 117번지 지하1층 </t>
  </si>
  <si>
    <t>서울특별시 중구 남대문로9길 12 (다동,지하1층)</t>
  </si>
  <si>
    <t>3010000-102-2003-00004</t>
  </si>
  <si>
    <t xml:space="preserve">서울특별시 중구 주교동 43-25번지 지하1층 </t>
  </si>
  <si>
    <t>서울특별시 중구 창경궁로8길 24 (주교동, 지하1층)</t>
  </si>
  <si>
    <t>3010000-102-2011-00007</t>
  </si>
  <si>
    <t>서울특별시 중구 충무로3가 59-11 2층</t>
  </si>
  <si>
    <t>서울특별시 중구 수표로2길 5 (충무로3가, 2층)</t>
  </si>
  <si>
    <t>3010000-102-2012-00001</t>
  </si>
  <si>
    <t xml:space="preserve">서울특별시 중구 충무로3가 33-1 </t>
  </si>
  <si>
    <t>서울특별시 중구 충무로 20-1, 지하1층 (충무로3가)</t>
  </si>
  <si>
    <t>3010000-102-2012-00002</t>
  </si>
  <si>
    <t xml:space="preserve">서울특별시 중구 초동 53-20번지 지상 3층 </t>
  </si>
  <si>
    <t>서울특별시 중구 마른내로2길 25-1 (초동, 지상 3층)</t>
  </si>
  <si>
    <t>3010000-102-2012-00003</t>
  </si>
  <si>
    <t xml:space="preserve">서울특별시 중구 초동 107-5번지 지상3층 </t>
  </si>
  <si>
    <t>서울특별시 중구 을지로12길 29 (초동)</t>
  </si>
  <si>
    <t>3010000-102-2012-00004</t>
  </si>
  <si>
    <t xml:space="preserve">서울특별시 중구 북창동 71-2번지 삼영빌딩 3층 </t>
  </si>
  <si>
    <t>서울특별시 중구 남대문로1길 30, 북창동동 (북창동, 삼영빌딩 3층)</t>
  </si>
  <si>
    <t>3010000-102-2012-00005</t>
  </si>
  <si>
    <t xml:space="preserve">서울특별시 중구 광희동1가 182-39 지상2층 </t>
  </si>
  <si>
    <t>서울특별시 중구 마른내로 167-42 (광희동1가, 지상2층)</t>
  </si>
  <si>
    <t>3010000-102-2013-00001</t>
  </si>
  <si>
    <t xml:space="preserve">서울특별시 중구 충무로3가 59-6 지하1층 </t>
  </si>
  <si>
    <t>서울특별시 중구 수표로2길 15 (충무로3가, 지하1층)</t>
  </si>
  <si>
    <t>3010000-102-2013-00002</t>
  </si>
  <si>
    <t xml:space="preserve">서울특별시 중구 을지로3가 291-40번지 지상2층 </t>
  </si>
  <si>
    <t>서울특별시 중구 충무로 52 (을지로3가, 지상2층)</t>
  </si>
  <si>
    <t>3010000-102-1985-02612</t>
  </si>
  <si>
    <t xml:space="preserve">서울특별시 중구 을지로3가 296-11번지 </t>
  </si>
  <si>
    <t>서울특별시 중구 을지로14길 13 (을지로3가)</t>
  </si>
  <si>
    <t>3010000-102-2003-00012</t>
  </si>
  <si>
    <t xml:space="preserve">서울특별시 중구 남대문로5가 17-3번지 (지하1층) </t>
  </si>
  <si>
    <t>서울특별시 중구 세종대로 22 (남대문로5가,(지하1층))</t>
  </si>
  <si>
    <t>3010000-102-2003-00018</t>
  </si>
  <si>
    <t xml:space="preserve">서울특별시 중구 오장동 148-18 </t>
  </si>
  <si>
    <t>서울특별시 중구 마른내로 121-1 (오장동)</t>
  </si>
  <si>
    <t>3010000-102-2011-00005</t>
  </si>
  <si>
    <t xml:space="preserve">서울특별시 중구 충무로3가 25-2 지하1층 </t>
  </si>
  <si>
    <t>서울특별시 중구 수표로6길 25-1 (충무로3가,지하1층)</t>
  </si>
  <si>
    <t>3010000-102-2009-00010</t>
  </si>
  <si>
    <t xml:space="preserve">서울특별시 중구 황학동 732 2층 </t>
  </si>
  <si>
    <t>서울특별시 중구 퇴계로 427-2, 2층 (황학동)</t>
  </si>
  <si>
    <t>3010000-102-2010-00003</t>
  </si>
  <si>
    <t xml:space="preserve">서울특별시 중구 을지로1가 37-0번지 지하1층 </t>
  </si>
  <si>
    <t>서울특별시 중구 을지로1길 15 (을지로1가,지하1층)</t>
  </si>
  <si>
    <t>3010000-102-2010-00004</t>
  </si>
  <si>
    <t xml:space="preserve">서울특별시 중구 을지로1가 37-0번지 지하2층 </t>
  </si>
  <si>
    <t>서울특별시 중구 을지로1길 15 (을지로1가,지하2층)</t>
  </si>
  <si>
    <t>3010000-102-1985-02588</t>
  </si>
  <si>
    <t xml:space="preserve">서울특별시 중구 방산동 70-4번지 </t>
  </si>
  <si>
    <t>서울특별시 중구 동호로 386 (방산동)</t>
  </si>
  <si>
    <t>3010000-102-1985-02499</t>
  </si>
  <si>
    <t xml:space="preserve">서울특별시 중구 필동1가 10-9번지 </t>
  </si>
  <si>
    <t>3010000-102-1985-02484</t>
  </si>
  <si>
    <t xml:space="preserve">서울특별시 중구 황학동 629-0 </t>
  </si>
  <si>
    <t>3010000-102-2011-00002</t>
  </si>
  <si>
    <t>서울특별시 중구 초동 70-8</t>
  </si>
  <si>
    <t>서울특별시 중구 마른내로2길 6, 2층 (초동)</t>
  </si>
  <si>
    <t>3010000-102-1999-02626</t>
  </si>
  <si>
    <t>서울특별시 중구 충무로2가 50-5</t>
  </si>
  <si>
    <t>3010000-102-1985-02645</t>
  </si>
  <si>
    <t>서울특별시 중구 을지로4가 109-1</t>
  </si>
  <si>
    <t>서울특별시 중구 을지로33길 33, 지하1층 (을지로4가)</t>
  </si>
  <si>
    <t>3010000-102-1986-02580</t>
  </si>
  <si>
    <t xml:space="preserve">서울특별시 중구 충무로4가 150-0 </t>
  </si>
  <si>
    <t>서울특별시 중구 충무로2길 16 (충무로4가)</t>
  </si>
  <si>
    <t>3010000-102-2003-00017</t>
  </si>
  <si>
    <t>서울특별시 중구 광희동1가 191 (지하1층)</t>
  </si>
  <si>
    <t>서울특별시 중구 마른내로 167-1 (광희동1가,(지하1층))</t>
  </si>
  <si>
    <t>3010000-102-2003-00013</t>
  </si>
  <si>
    <t>서울특별시 중구 충무로4가 24-6 (지상2층)</t>
  </si>
  <si>
    <t>서울특별시 중구 충무로2길 35 (충무로4가,(지상2층))</t>
  </si>
  <si>
    <t>3010000-102-2006-00005</t>
  </si>
  <si>
    <t xml:space="preserve">서울특별시 중구 광희동1가 98-0 (지하1층) </t>
  </si>
  <si>
    <t>서울특별시 중구 마른내로 155-1 (광희동1가,(지하1층))</t>
  </si>
  <si>
    <t>3010000-102-1974-02622</t>
  </si>
  <si>
    <t xml:space="preserve">서울특별시 중구 신당동 247-11번지 </t>
  </si>
  <si>
    <t>서울특별시 중구 퇴계로 386-5 (신당동)</t>
  </si>
  <si>
    <t>3010000-102-1975-02553</t>
  </si>
  <si>
    <t>서울특별시 중구 삼일대로 299, 지하1층 (충무로2가)</t>
  </si>
  <si>
    <t>3010000-102-1999-02663</t>
  </si>
  <si>
    <t xml:space="preserve">서울특별시 중구 황학동 730번지 </t>
  </si>
  <si>
    <t>서울특별시 중구 퇴계로 429 (황학동)</t>
  </si>
  <si>
    <t>3010000-102-2002-00017</t>
  </si>
  <si>
    <t xml:space="preserve">서울특별시 중구 충무로3가 34-7번지 2층 </t>
  </si>
  <si>
    <t>서울특별시 중구 마른내로4길 36 (충무로3가,2층)</t>
  </si>
  <si>
    <t>3010000-102-1986-02621</t>
  </si>
  <si>
    <t xml:space="preserve">서울특별시 중구 황학동 737-0 </t>
  </si>
  <si>
    <t>서울특별시 중구 퇴계로 423-6 (황학동)</t>
  </si>
  <si>
    <t>3010000-102-1986-02648</t>
  </si>
  <si>
    <t xml:space="preserve">서울특별시 중구 충무로2가 60-3 지하1층 </t>
  </si>
  <si>
    <t>서울특별시 중구 삼일대로 299 (충무로2가, 지하1층)</t>
  </si>
  <si>
    <t>3010000-102-2010-00008</t>
  </si>
  <si>
    <t>서울특별시 중구 남대문로5가 84-1 2호,3호(지상4층)</t>
  </si>
  <si>
    <t>서울특별시 중구 세종대로 10-2 (남대문로5가,2호,3호(지상4층))</t>
  </si>
  <si>
    <t>3010000-102-1982-02548</t>
  </si>
  <si>
    <t>서울특별시 중구 을지로14길 30 (초동)</t>
  </si>
  <si>
    <t>3010000-102-2003-00019</t>
  </si>
  <si>
    <t xml:space="preserve">서울특별시 중구 광희동1가 187-9 (지상2층) </t>
  </si>
  <si>
    <t>서울특별시 중구 을지로44길 21 (광희동1가,(지상2층))</t>
  </si>
  <si>
    <t>3010000-102-2003-00022</t>
  </si>
  <si>
    <t xml:space="preserve">서울특별시 중구 충무로3가 57-5번지 (지하1층) </t>
  </si>
  <si>
    <t>서울특별시 중구 수표로2길 29 (충무로3가,(지하1층))</t>
  </si>
  <si>
    <t>3010000-102-2004-00002</t>
  </si>
  <si>
    <t xml:space="preserve">서울특별시 중구 충무로3가 25-5 (지상2층) </t>
  </si>
  <si>
    <t>서울특별시 중구 마른내로2길 31 (충무로3가,(지상2층))</t>
  </si>
  <si>
    <t>3010000-102-2010-00009</t>
  </si>
  <si>
    <t xml:space="preserve">서울특별시 중구 초동 19-2번지 2층 </t>
  </si>
  <si>
    <t>서울특별시 중구 충무로 39, 2층 (초동)</t>
  </si>
  <si>
    <t>3010000-102-2010-00010</t>
  </si>
  <si>
    <t xml:space="preserve">서울특별시 중구 무교동 21-3 지하1층 </t>
  </si>
  <si>
    <t>서울특별시 중구 무교로 12 (무교동,지하1층)</t>
  </si>
  <si>
    <t>3010000-102-2010-00012</t>
  </si>
  <si>
    <t xml:space="preserve">서울특별시 중구 충무로4가 32-16 (지하1층) </t>
  </si>
  <si>
    <t>서울특별시 중구 창경궁로1길 38 (충무로4가,(지하1층))</t>
  </si>
  <si>
    <t>3010000-102-2006-00006</t>
  </si>
  <si>
    <t>서울특별시 중구 광희동1가 182-28 (지상2층)</t>
  </si>
  <si>
    <t>서울특별시 중구 을지로44길 17-5 (광희동1가,(지상2층))</t>
  </si>
  <si>
    <t>3010000-102-2003-00005</t>
  </si>
  <si>
    <t xml:space="preserve">서울특별시 중구 신당동 120-4번지 (지하1층) </t>
  </si>
  <si>
    <t>서울특별시 중구 퇴계로 418-1 (신당동,(지하1층))</t>
  </si>
  <si>
    <t>3010000-102-2003-00008</t>
  </si>
  <si>
    <t xml:space="preserve">서울특별시 중구 수표동 11-3번지 (지하1층) </t>
  </si>
  <si>
    <t>서울특별시 중구 을지로11길 29 (수표동,(지하1층))</t>
  </si>
  <si>
    <t>3010000-102-2003-00009</t>
  </si>
  <si>
    <t xml:space="preserve">서울특별시 중구 을지로3가 291-41번지 (2층) </t>
  </si>
  <si>
    <t>서울특별시 중구 충무로 52-1 (을지로3가,(2층))</t>
  </si>
  <si>
    <t>3010000-102-2007-00007</t>
  </si>
  <si>
    <t xml:space="preserve">서울특별시 중구 충무로4가 25번지 외1필지 (2층) </t>
  </si>
  <si>
    <t>서울특별시 중구 충무로2길 37 (충무로4가,외1필지 (2층))</t>
  </si>
  <si>
    <t>3010000-102-2007-00008</t>
  </si>
  <si>
    <t xml:space="preserve">서울특별시 중구 충무로4가 25번지 외1필지 (3층) </t>
  </si>
  <si>
    <t>서울특별시 중구 충무로2길 37 (충무로4가,외1필지 (3층))</t>
  </si>
  <si>
    <t>3010000-102-1999-11913</t>
  </si>
  <si>
    <t xml:space="preserve">서울특별시 중구 오장동 139-8 </t>
  </si>
  <si>
    <t>서울특별시 중구 마른내로 125 (오장동)</t>
  </si>
  <si>
    <t>3010000-102-1999-11924</t>
  </si>
  <si>
    <t xml:space="preserve">서울특별시 중구 을지로3가 296-1 </t>
  </si>
  <si>
    <t>서울특별시 중구 충무로 51 (을지로3가)</t>
  </si>
  <si>
    <t>3010000-102-1999-11947</t>
  </si>
  <si>
    <t xml:space="preserve">서울특별시 중구 저동2가 47-3번지 </t>
  </si>
  <si>
    <t>서울특별시 중구 수표로12길 8 (저동2가)</t>
  </si>
  <si>
    <t>3010000-102-2004-00018</t>
  </si>
  <si>
    <t xml:space="preserve">서울특별시 중구 중림동 129-35 (지상2층) </t>
  </si>
  <si>
    <t>서울특별시 중구 청파로 425-2 (중림동,(지상2층))</t>
  </si>
  <si>
    <t>3010000-102-2004-00020</t>
  </si>
  <si>
    <t xml:space="preserve">서울특별시 중구 충무로3가 30-18 지상2층 </t>
  </si>
  <si>
    <t>서울특별시 중구 충무로 17-1 (충무로3가,지상2층)</t>
  </si>
  <si>
    <t>3010000-102-2005-00002</t>
  </si>
  <si>
    <t xml:space="preserve">서울특별시 중구 황학동 732-0 (지상1,2층) </t>
  </si>
  <si>
    <t>서울특별시 중구 퇴계로 427-3, 1,2층 (황학동)</t>
  </si>
  <si>
    <t>3010000-102-1978-02496</t>
  </si>
  <si>
    <t xml:space="preserve">서울특별시 중구 북창동 98-0 </t>
  </si>
  <si>
    <t>서울특별시 중구 남대문로1길 26 (북창동)</t>
  </si>
  <si>
    <t>3010000-102-2002-00023</t>
  </si>
  <si>
    <t xml:space="preserve">서울특별시 중구 광희동1가 187-5 지하1층 </t>
  </si>
  <si>
    <t>서울특별시 중구 을지로44길 27 (광희동1가,지하1층)</t>
  </si>
  <si>
    <t>3010000-102-2001-13982</t>
  </si>
  <si>
    <t xml:space="preserve">서울특별시 중구 황학동 738 지하1층 </t>
  </si>
  <si>
    <t>서울특별시 중구 퇴계로 423-2 (황학동, 지하1층)</t>
  </si>
  <si>
    <t>3010000-102-2001-13983</t>
  </si>
  <si>
    <t xml:space="preserve">서울특별시 중구 충무로4가 133-20 지상2층 </t>
  </si>
  <si>
    <t>서울특별시 중구 충무로2길 32-6 (충무로4가,지상2층)</t>
  </si>
  <si>
    <t>3010000-102-2002-00022</t>
  </si>
  <si>
    <t>서울특별시 중구 을지로3가 302-2,3,22</t>
  </si>
  <si>
    <t>3010000-102-2007-00006</t>
  </si>
  <si>
    <t>서울특별시 중구 충무로4가 15-18 외1필지(15-20) (3층)</t>
  </si>
  <si>
    <t>3010000-102-2002-00020</t>
  </si>
  <si>
    <t>서울특별시 중구 충무로3가 33-3 지하1층</t>
  </si>
  <si>
    <t>서울특별시 중구 충무로 20 (충무로3가,지하1층)</t>
  </si>
  <si>
    <t>3010000-102-2002-00027</t>
  </si>
  <si>
    <t xml:space="preserve">서울특별시 중구 광희동1가 175-2번지 2층 </t>
  </si>
  <si>
    <t>서울특별시 중구 마른내로 163 (광희동1가,2층)</t>
  </si>
  <si>
    <t>3010000-102-2002-00032</t>
  </si>
  <si>
    <t xml:space="preserve">서울특별시 중구 서소문동 89 (3층) </t>
  </si>
  <si>
    <t>서울특별시 중구 서소문로 128-3 (서소문동,(3층))</t>
  </si>
  <si>
    <t>3010000-102-2002-00034</t>
  </si>
  <si>
    <t xml:space="preserve">서울특별시 중구 황학동 632 (2층) </t>
  </si>
  <si>
    <t>서울특별시 중구 퇴계로87길 15-12 (황학동,(2층))</t>
  </si>
  <si>
    <t>3010000-102-2002-00038</t>
  </si>
  <si>
    <t xml:space="preserve">서울특별시 중구 수표동 56-14번지 (지하1층) </t>
  </si>
  <si>
    <t>서울특별시 중구 을지로9길 26 (수표동,(지하1층))</t>
  </si>
  <si>
    <t>3010000-102-2002-00040</t>
  </si>
  <si>
    <t xml:space="preserve">서울특별시 중구 충무로4가 132-5 (지하1층) </t>
  </si>
  <si>
    <t>서울특별시 중구 퇴계로 207 (충무로4가,(지하1층))</t>
  </si>
  <si>
    <t>3010000-102-2014-00002</t>
  </si>
  <si>
    <t xml:space="preserve">서울특별시 중구 다동 155번지 YG빌딩 지하1층 </t>
  </si>
  <si>
    <t>서울특별시 중구 남대문로9길 40 (다동, YG빌딩 지하1층)</t>
  </si>
  <si>
    <t>3010000-102-2001-13984</t>
  </si>
  <si>
    <t xml:space="preserve">서울특별시 중구 을지로5가 20-2 지하1층 </t>
  </si>
  <si>
    <t>서울특별시 중구 을지로 211 (을지로5가,지하1층)</t>
  </si>
  <si>
    <t>3010000-102-2001-13985</t>
  </si>
  <si>
    <t xml:space="preserve">서울특별시 중구 을지로3가 334-10번지 지하1층 </t>
  </si>
  <si>
    <t>서울특별시 중구 을지로12길 10 (을지로3가,지하1층)</t>
  </si>
  <si>
    <t>3010000-102-2001-13986</t>
  </si>
  <si>
    <t xml:space="preserve">서울특별시 중구 인현동1가 15-15 지하1층 </t>
  </si>
  <si>
    <t>서울특별시 중구 을지로20길 16 (인현동1가,지하1층)</t>
  </si>
  <si>
    <t>3010000-102-2007-00011</t>
  </si>
  <si>
    <t xml:space="preserve">서울특별시 중구 충무로4가 134-2번지 (지상2층) </t>
  </si>
  <si>
    <t>3010000-102-2007-00013</t>
  </si>
  <si>
    <t>서울특별시 중구 무교로 24 (무교동)</t>
  </si>
  <si>
    <t>3010000-102-2008-00002</t>
  </si>
  <si>
    <t xml:space="preserve">서울특별시 중구 광희동1가 194-1번지 지하1층 </t>
  </si>
  <si>
    <t>서울특별시 중구 장충단로 221 (광희동1가,지하1층)</t>
  </si>
  <si>
    <t>3010000-102-2008-00003</t>
  </si>
  <si>
    <t xml:space="preserve">서울특별시 중구 을지로3가 295-4 양지빌딩 </t>
  </si>
  <si>
    <t>서울특별시 중구 충무로7길 6, 양지빌딩 지하 1층 (을지로3가)</t>
  </si>
  <si>
    <t>3010000-102-2002-00035</t>
  </si>
  <si>
    <t>서울특별시 중구 충무로4가 15-18 (지상2층)</t>
  </si>
  <si>
    <t>3010000-102-2002-00025</t>
  </si>
  <si>
    <t>서울특별시 중구 충무로3가 24-16 지하1층</t>
  </si>
  <si>
    <t>서울특별시 중구 수표로 20-1 (충무로3가,지하1층)</t>
  </si>
  <si>
    <t>3010000-102-2007-00010</t>
  </si>
  <si>
    <t>서울특별시 중구 인현동2가 192-17 외2필지(지하1층)</t>
  </si>
  <si>
    <t>서울특별시 중구 퇴계로41길 47 (인현동2가,외2필지(지하1층))</t>
  </si>
  <si>
    <t>3010000-102-2008-00007</t>
  </si>
  <si>
    <t xml:space="preserve">서울특별시 중구 광희동1가 182-20번지 지하1층 </t>
  </si>
  <si>
    <t>서울특별시 중구 장충단로 229-9 (광희동1가,지하1층)</t>
  </si>
  <si>
    <t>3010000-102-1999-12132</t>
  </si>
  <si>
    <t xml:space="preserve">서울특별시 중구 북창동 20-3 3층 </t>
  </si>
  <si>
    <t>3010000-102-2008-00010</t>
  </si>
  <si>
    <t xml:space="preserve">서울특별시 중구 초동 62번지 지상2층 </t>
  </si>
  <si>
    <t>서울특별시 중구 마른내로2길 10 (초동,지상2층)</t>
  </si>
  <si>
    <t>3010000-102-2014-00001</t>
  </si>
  <si>
    <t xml:space="preserve">서울특별시 중구 충무로3가 51-8 지하1층 </t>
  </si>
  <si>
    <t>서울특별시 중구 퇴계로31길 14 (충무로3가, 지하1층)</t>
  </si>
  <si>
    <t>3010000-102-1999-12159</t>
  </si>
  <si>
    <t xml:space="preserve">서울특별시 중구 을지로2가 163-5 </t>
  </si>
  <si>
    <t>서울특별시 중구 을지로 78 (을지로2가)</t>
  </si>
  <si>
    <t>3010000-102-2008-00011</t>
  </si>
  <si>
    <t xml:space="preserve">서울특별시 중구 충무로3가 25-12 </t>
  </si>
  <si>
    <t>서울특별시 중구 수표로6길 25, 2층 (충무로3가, 남정빌딩)</t>
  </si>
  <si>
    <t>3010000-102-1999-12187</t>
  </si>
  <si>
    <t xml:space="preserve">서울특별시 중구 오장동 139-17번지 </t>
  </si>
  <si>
    <t>서울특별시 중구 마른내로 123 (오장동)</t>
  </si>
  <si>
    <t>3010000-102-1967-02477</t>
  </si>
  <si>
    <t xml:space="preserve">서울특별시 중구 북창동 120-3 </t>
  </si>
  <si>
    <t>서울특별시 중구 남대문로1길 12 (북창동)</t>
  </si>
  <si>
    <t>3010000-102-2004-00015</t>
  </si>
  <si>
    <t xml:space="preserve">서울특별시 중구 충무로4가 131-4번지 외1필지(지상2층) </t>
  </si>
  <si>
    <t>서울특별시 중구 충무로2길 36 (충무로4가,외1필지(지상2층))</t>
  </si>
  <si>
    <t>3010000-102-2008-00012</t>
  </si>
  <si>
    <t xml:space="preserve">서울특별시 중구 북창동 99-3번지 지상2,3층 </t>
  </si>
  <si>
    <t>서울특별시 중구 남대문로1길 22 (북창동,지상2,3층)</t>
  </si>
  <si>
    <t>3010000-102-2009-00001</t>
  </si>
  <si>
    <t xml:space="preserve">서울특별시 중구 남대문로5가 84-20번지 지상2층 </t>
  </si>
  <si>
    <t>서울특별시 중구 세종대로2길 6 (남대문로5가,지상2층)</t>
  </si>
  <si>
    <t>3010000-102-2009-00003</t>
  </si>
  <si>
    <t xml:space="preserve">서울특별시 중구 초동 40-4 지상2층 </t>
  </si>
  <si>
    <t>서울특별시 중구 충무로 26-1 (초동,지상2층)</t>
  </si>
  <si>
    <t>3010000-102-2009-00004</t>
  </si>
  <si>
    <t>서울특별시 중구 퇴계로 425-1 (황학동, 지하1층)</t>
  </si>
  <si>
    <t>3010000-102-1999-12212</t>
  </si>
  <si>
    <t xml:space="preserve">서울특별시 중구 광희동1가 182-21 </t>
  </si>
  <si>
    <t>서울특별시 중구 을지로44길 13 (광희동1가)</t>
  </si>
  <si>
    <t>3010000-102-1999-12223</t>
  </si>
  <si>
    <t xml:space="preserve">서울특별시 중구 저동2가 80-5번지 </t>
  </si>
  <si>
    <t>서울특별시 중구 수표로 51 (저동2가)</t>
  </si>
  <si>
    <t>3010000-102-1999-12241</t>
  </si>
  <si>
    <t xml:space="preserve">서울특별시 중구 충무로3가 57-5번지 </t>
  </si>
  <si>
    <t>서울특별시 중구 수표로2길 29 (충무로3가)</t>
  </si>
  <si>
    <t>3010000-102-1999-12277</t>
  </si>
  <si>
    <t xml:space="preserve">서울특별시 중구 다동 50-0번지 </t>
  </si>
  <si>
    <t>서울특별시 중구 다동길 17 (다동)</t>
  </si>
  <si>
    <t>3010000-102-2014-00005</t>
  </si>
  <si>
    <t xml:space="preserve">서울특별시 중구 충무로3가 30-19번지 2층 </t>
  </si>
  <si>
    <t>서울특별시 중구 충무로 17 (충무로3가, 2층)</t>
  </si>
  <si>
    <t>3010000-102-2014-00006</t>
  </si>
  <si>
    <t xml:space="preserve">서울특별시 중구 충무로3가 25-10 지상2층 </t>
  </si>
  <si>
    <t>서울특별시 중구 수표로6길 27, 2층 (충무로3가)</t>
  </si>
  <si>
    <t>3010000-102-2015-00001</t>
  </si>
  <si>
    <t xml:space="preserve">서울특별시 중구 을지로3가 342-1번지 지상2층 </t>
  </si>
  <si>
    <t>서울특별시 중구 을지로 114-3, 2층 (을지로3가)</t>
  </si>
  <si>
    <t>3010000-102-2015-00002</t>
  </si>
  <si>
    <t xml:space="preserve">서울특별시 중구 광희동1가 175-2번지 지상3층 </t>
  </si>
  <si>
    <t>서울특별시 중구 마른내로 163, 3층 (광희동1가)</t>
  </si>
  <si>
    <t>3010000-102-1973-02572</t>
  </si>
  <si>
    <t xml:space="preserve">서울특별시 중구 흥인동 15-0 </t>
  </si>
  <si>
    <t>서울특별시 중구 퇴계로 417 (흥인동)</t>
  </si>
  <si>
    <t>3010000-102-2009-00005</t>
  </si>
  <si>
    <t xml:space="preserve">서울특별시 중구 황학동 703-1 (지층1) </t>
  </si>
  <si>
    <t>서울특별시 중구 퇴계로 439-6 (황학동,(지층1))</t>
  </si>
  <si>
    <t>3010000-102-2001-13670</t>
  </si>
  <si>
    <t xml:space="preserve">서울특별시 중구 북창동 98-0번지 </t>
  </si>
  <si>
    <t>3010000-102-2001-13826</t>
  </si>
  <si>
    <t xml:space="preserve">서울특별시 중구 남대문로5가 63-20번지 1층 </t>
  </si>
  <si>
    <t>서울특별시 중구 세종대로 7 (남대문로5가, 1층)</t>
  </si>
  <si>
    <t>3010000-102-2001-13825</t>
  </si>
  <si>
    <t xml:space="preserve">서울특별시 중구 남대문로4가 3-13 </t>
  </si>
  <si>
    <t>서울특별시 중구 남대문로 16 (남대문로4가)</t>
  </si>
  <si>
    <t>3010000-102-2001-13976</t>
  </si>
  <si>
    <t xml:space="preserve">서울특별시 중구 충무로4가 130-3번지 외1(지상2층) </t>
  </si>
  <si>
    <t>서울특별시 중구 충무로2길 34-1 (충무로4가,외1(지상2층))</t>
  </si>
  <si>
    <t>3010000-102-2001-13979</t>
  </si>
  <si>
    <t xml:space="preserve">서울특별시 중구 초동 19-9 </t>
  </si>
  <si>
    <t>서울특별시 중구 을지로14길 27 (초동)</t>
  </si>
  <si>
    <t>3010000-102-2001-13980</t>
  </si>
  <si>
    <t xml:space="preserve">서울특별시 중구 황학동 809 지상 2층 </t>
  </si>
  <si>
    <t>서울특별시 중구 난계로11길 6 (황학동,지상 2층)</t>
  </si>
  <si>
    <t>3010000-102-2001-13579</t>
  </si>
  <si>
    <t xml:space="preserve">서울특별시 중구 광희동1가 187-1 </t>
  </si>
  <si>
    <t>서울특별시 중구 을지로44길 19 (광희동1가)</t>
  </si>
  <si>
    <t>3010000-102-2001-13660</t>
  </si>
  <si>
    <t xml:space="preserve">서울특별시 중구 무학동 11-2 지하1층 </t>
  </si>
  <si>
    <t>서울특별시 중구 퇴계로 398 (무학동, 지하1층)</t>
  </si>
  <si>
    <t>3010000-102-2001-13879</t>
  </si>
  <si>
    <t>서울특별시 중구 충무로4가 29-3</t>
  </si>
  <si>
    <t>서울특별시 중구 퇴계로41길 13 (충무로4가)</t>
  </si>
  <si>
    <t>3010000-102-2000-13204</t>
  </si>
  <si>
    <t>서울특별시 중구 을지로44길 23 (광희동1가)</t>
  </si>
  <si>
    <t>3010000-102-2000-12940</t>
  </si>
  <si>
    <t xml:space="preserve">서울특별시 중구 태평로1가 31-19번지 </t>
  </si>
  <si>
    <t>서울특별시 중구 무교로 17-25 (태평로1가)</t>
  </si>
  <si>
    <t>3010000-102-1984-02518</t>
  </si>
  <si>
    <t>서울특별시 중구 충무로4가 155-2</t>
  </si>
  <si>
    <t>서울특별시 중구 퇴계로37길 22 (충무로4가)</t>
  </si>
  <si>
    <t>3010000-102-2000-12949</t>
  </si>
  <si>
    <t xml:space="preserve">서울특별시 중구 저동2가 76-6 </t>
  </si>
  <si>
    <t>서울특별시 중구 수표로 43 (저동2가)</t>
  </si>
  <si>
    <t>3010000-102-2000-13054</t>
  </si>
  <si>
    <t xml:space="preserve">서울특별시 중구 태평로2가 330-2번지 </t>
  </si>
  <si>
    <t>서울특별시 중구 서소문로 136 (태평로2가)</t>
  </si>
  <si>
    <t>3010000-102-2000-12561</t>
  </si>
  <si>
    <t xml:space="preserve">서울특별시 중구 남창동 169-4번지 지하1층 </t>
  </si>
  <si>
    <t>서울특별시 중구 퇴계로 38 (남창동,지하1층)</t>
  </si>
  <si>
    <t>3010000-102-2000-13232</t>
  </si>
  <si>
    <t xml:space="preserve">서울특별시 중구 신당동 247-14번지 </t>
  </si>
  <si>
    <t>서울특별시 중구 퇴계로 386-1 (신당동)</t>
  </si>
  <si>
    <t>3010000-102-2000-13343</t>
  </si>
  <si>
    <t xml:space="preserve">서울특별시 중구 을지로3가 348-7 2층 </t>
  </si>
  <si>
    <t>서울특별시 중구 수표로 52-1 (을지로3가)</t>
  </si>
  <si>
    <t>3010000-102-2000-12895</t>
  </si>
  <si>
    <t xml:space="preserve">서울특별시 중구 주교동 122-4 2층 </t>
  </si>
  <si>
    <t>서울특별시 중구 창경궁로8길 2-1 (주교동, 2층)</t>
  </si>
  <si>
    <t>3010000-102-2000-12602</t>
  </si>
  <si>
    <t xml:space="preserve">서울특별시 중구 을지로3가 296-2번지 지하1층 </t>
  </si>
  <si>
    <t>서울특별시 중구 충무로 49-1 (을지로3가, 지하1층)</t>
  </si>
  <si>
    <t>3010000-102-2000-12640</t>
  </si>
  <si>
    <t xml:space="preserve">서울특별시 중구 수표동 62-4 </t>
  </si>
  <si>
    <t>서울특별시 중구 청계천로 106 (수표동)</t>
  </si>
  <si>
    <t>3010000-102-2000-12712</t>
  </si>
  <si>
    <t xml:space="preserve">서울특별시 중구 서소문동 89-0번지 </t>
  </si>
  <si>
    <t>서울특별시 중구 서소문로 128-3 (서소문동)</t>
  </si>
  <si>
    <t>3010000-102-2000-12758</t>
  </si>
  <si>
    <t xml:space="preserve">서울특별시 중구 북창동 10-4번지 지하1층 </t>
  </si>
  <si>
    <t>서울특별시 중구 남대문로5길 47, 지하1층 (북창동)</t>
  </si>
  <si>
    <t>3010000-102-2000-12874</t>
  </si>
  <si>
    <t xml:space="preserve">서울특별시 중구 북창동 19-6 지상 2~3층 </t>
  </si>
  <si>
    <t>서울특별시 중구 세종대로14길 6-3 (북창동,지상 2~3층)</t>
  </si>
  <si>
    <t>3010000-102-2005-00012</t>
  </si>
  <si>
    <t xml:space="preserve">서울특별시 중구 충무로4가 133-1 (지상2층) </t>
  </si>
  <si>
    <t>서울특별시 중구 충무로2길 34 (충무로4가,(지상2층))</t>
  </si>
  <si>
    <t>3010000-102-2005-00014</t>
  </si>
  <si>
    <t xml:space="preserve">서울특별시 중구 광희동1가 164번지 (지상2층) </t>
  </si>
  <si>
    <t>서울특별시 중구 을지로44길 28 (광희동1가,(지상2층))</t>
  </si>
  <si>
    <t>3010000-102-2005-00018</t>
  </si>
  <si>
    <t xml:space="preserve">서울특별시 중구 충무로3가 24-6번지 (지상2층) </t>
  </si>
  <si>
    <t>서울특별시 중구 퇴계로27길 45 (충무로3가,(지상2층))</t>
  </si>
  <si>
    <t>3010000-102-1989-02576</t>
  </si>
  <si>
    <t xml:space="preserve">서울특별시 중구 북창동 21-0 </t>
  </si>
  <si>
    <t>서울특별시 중구 세종대로 64 (북창동)</t>
  </si>
  <si>
    <t>3010000-102-2000-12854</t>
  </si>
  <si>
    <t>서울특별시 중구 다동 88-0 지하15호</t>
  </si>
  <si>
    <t>서울특별시 중구 남대문로 117 (다동,지하15호)</t>
  </si>
  <si>
    <t>3010000-102-2005-00013</t>
  </si>
  <si>
    <t>서울특별시 중구 충무로3가 24-5 지상2층</t>
  </si>
  <si>
    <t>서울특별시 중구 수표로 22-14, 2층 (충무로3가)</t>
  </si>
  <si>
    <t>3010000-102-1985-02441</t>
  </si>
  <si>
    <t>서울특별시 중구 퇴계로83길 22-10 (황학동)</t>
  </si>
  <si>
    <t>3010000-102-1985-02567</t>
  </si>
  <si>
    <t xml:space="preserve">서울특별시 중구 충무로3가 30-14 </t>
  </si>
  <si>
    <t>서울특별시 중구 충무로 21-3 (충무로3가)</t>
  </si>
  <si>
    <t>3010000-102-1983-02549</t>
  </si>
  <si>
    <t xml:space="preserve">서울특별시 중구 남대문로5가 63-7 </t>
  </si>
  <si>
    <t>3010000-102-2002-00003</t>
  </si>
  <si>
    <t>서울특별시 중구 충무로4가 24-3 지하1층</t>
  </si>
  <si>
    <t>서울특별시 중구 충무로2길 29 (충무로4가,지하1층)</t>
  </si>
  <si>
    <t>3010000-102-2015-00004</t>
  </si>
  <si>
    <t xml:space="preserve">서울특별시 중구 북창동 118 2층 </t>
  </si>
  <si>
    <t>3010000-102-2001-13989</t>
  </si>
  <si>
    <t xml:space="preserve">서울특별시 중구 광희동1가 130 지하1층 </t>
  </si>
  <si>
    <t>서울특별시 중구 을지로42길 11 (광희동1가,지하1층)</t>
  </si>
  <si>
    <t>3010000-102-2001-13991</t>
  </si>
  <si>
    <t xml:space="preserve">서울특별시 중구 황학동 706-2 지하1층 </t>
  </si>
  <si>
    <t>서울특별시 중구 퇴계로 439-4 (황학동,지하1층)</t>
  </si>
  <si>
    <t>3010000-102-1976-02619</t>
  </si>
  <si>
    <t>3010000-102-1976-02558</t>
  </si>
  <si>
    <t xml:space="preserve">서울특별시 중구 중림동 129-38번지 지하1층 </t>
  </si>
  <si>
    <t>서울특별시 중구 청파로 425 (중림동)</t>
  </si>
  <si>
    <t>3010000-102-2016-00001</t>
  </si>
  <si>
    <t xml:space="preserve">서울특별시 중구 을지로3가 95-4 2층 </t>
  </si>
  <si>
    <t>서울특별시 중구 충무로9길 12 (을지로3가, 2층)</t>
  </si>
  <si>
    <t>3010000-102-2016-00002</t>
  </si>
  <si>
    <t xml:space="preserve">서울특별시 중구 남대문로5가 18-2번지 지하1 </t>
  </si>
  <si>
    <t>서울특별시 중구 세종대로2가길 23, 지하1층 (남대문로5가)</t>
  </si>
  <si>
    <t>3010000-102-2016-00003</t>
  </si>
  <si>
    <t xml:space="preserve">서울특별시 중구 북창동 20-2번지 2층 </t>
  </si>
  <si>
    <t>서울특별시 중구 남대문로1길 25, 2층 (북창동)</t>
  </si>
  <si>
    <t>3010000-102-2016-00004</t>
  </si>
  <si>
    <t xml:space="preserve">서울특별시 중구 황학동 740 2층 </t>
  </si>
  <si>
    <t>서울특별시 중구 퇴계로 421, 2층 (황학동)</t>
  </si>
  <si>
    <t>3010000-102-2017-00002</t>
  </si>
  <si>
    <t xml:space="preserve">서울특별시 중구 초동 17-2번지 태창빌딩 </t>
  </si>
  <si>
    <t>서울특별시 중구 충무로4길 5, 태창빌딩 지하1층 (초동)</t>
  </si>
  <si>
    <t>3010000-102-2002-00004</t>
  </si>
  <si>
    <t xml:space="preserve">서울특별시 중구 다동 58-1번지 4층 </t>
  </si>
  <si>
    <t>서울특별시 중구 다동길 33, 4층 (다동)</t>
  </si>
  <si>
    <t>3010000-102-2002-00006</t>
  </si>
  <si>
    <t xml:space="preserve">서울특별시 중구 필동1가 10-6 지하1층 </t>
  </si>
  <si>
    <t>서울특별시 중구 퇴계로31길 9 (필동1가,지하1층)</t>
  </si>
  <si>
    <t>3010000-102-2017-00001</t>
  </si>
  <si>
    <t>서울특별시 중구 충무로3가 56-5 2층</t>
  </si>
  <si>
    <t>서울특별시 중구 수표로6길 24 (충무로3가, 2층)</t>
  </si>
  <si>
    <t>3010000-102-2002-00008</t>
  </si>
  <si>
    <t xml:space="preserve">서울특별시 중구 인현동1가 97-2 지하1층 </t>
  </si>
  <si>
    <t>서울특별시 중구 마른내로 54-1 (인현동1가,지하1층)</t>
  </si>
  <si>
    <t>3010000-102-2002-00042</t>
  </si>
  <si>
    <t xml:space="preserve">서울특별시 중구 인현동1가 87-16 (지하1층) </t>
  </si>
  <si>
    <t>서울특별시 중구 마른내로 58-1 (인현동1가,(지하1층))</t>
  </si>
  <si>
    <t>3010000-102-2002-00043</t>
  </si>
  <si>
    <t xml:space="preserve">서울특별시 중구 충무로4가 22 지하1층 </t>
  </si>
  <si>
    <t>서울특별시 중구 충무로2길 27, 지하1층 (충무로4가)</t>
  </si>
  <si>
    <t>3010000-102-2002-00046</t>
  </si>
  <si>
    <t xml:space="preserve">서울특별시 중구 을지로3가 302-15번지 (지하1층) </t>
  </si>
  <si>
    <t>서울특별시 중구 충무로7길 19 (을지로3가,(지하1층))</t>
  </si>
  <si>
    <t>3010000-102-2002-00011</t>
  </si>
  <si>
    <t xml:space="preserve">서울특별시 중구 중림동 128-21번지 지하1층 </t>
  </si>
  <si>
    <t>서울특별시 중구 청파로 427-3 (중림동,지하1층)</t>
  </si>
  <si>
    <t>3010000-102-2002-00012</t>
  </si>
  <si>
    <t xml:space="preserve">서울특별시 중구 주교동 124-1 지하1층 </t>
  </si>
  <si>
    <t>서울특별시 중구 창경궁로 70, 지하1층 (주교동)</t>
  </si>
  <si>
    <t>3010000-102-2002-00030</t>
  </si>
  <si>
    <t xml:space="preserve">서울특별시 중구 충무로4가 28-3번지 지상2층 </t>
  </si>
  <si>
    <t>서울특별시 중구 충무로2길 41, 2층 (충무로4가)</t>
  </si>
  <si>
    <t>3010000-102-1999-12304</t>
  </si>
  <si>
    <t xml:space="preserve">서울특별시 중구 오장동 206-37 </t>
  </si>
  <si>
    <t>서울특별시 중구 마른내로 124 (오장동)</t>
  </si>
  <si>
    <t>3010000-102-1999-12316</t>
  </si>
  <si>
    <t xml:space="preserve">서울특별시 중구 을지로1가 37-0번지 (4층) </t>
  </si>
  <si>
    <t>서울특별시 중구 을지로1길 15 (을지로1가,(4층))</t>
  </si>
  <si>
    <t>3010000-102-1999-12399</t>
  </si>
  <si>
    <t xml:space="preserve">서울특별시 중구 저동1가 90-6번지 </t>
  </si>
  <si>
    <t>서울특별시 중구 명동길 89-2 (저동1가)</t>
  </si>
  <si>
    <t>3010000-102-1999-12426</t>
  </si>
  <si>
    <t xml:space="preserve">서울특별시 중구 북창동 20-3번지 (지상3,4층) </t>
  </si>
  <si>
    <t>서울특별시 중구 세종대로 66-11, 3층,4층 (북창동)</t>
  </si>
  <si>
    <t>3010000-102-1999-12427</t>
  </si>
  <si>
    <t xml:space="preserve">서울특별시 중구 다동 58-1 지하1층 </t>
  </si>
  <si>
    <t>서울특별시 중구 다동길 33, 지하1층 (다동)</t>
  </si>
  <si>
    <t>3010000-102-2006-00009</t>
  </si>
  <si>
    <t xml:space="preserve">서울특별시 중구 광희동1가 142 (지상3층) </t>
  </si>
  <si>
    <t>서울특별시 중구 을지로44길 10 (광희동1가,(지상3층))</t>
  </si>
  <si>
    <t>3010000-102-2006-00010</t>
  </si>
  <si>
    <t xml:space="preserve">서울특별시 중구 오장동 206-35번지 (지상2층) </t>
  </si>
  <si>
    <t>서울특별시 중구 마른내로 126 (오장동,(지상2층))</t>
  </si>
  <si>
    <t>3010000-102-2006-00011</t>
  </si>
  <si>
    <t xml:space="preserve">서울특별시 중구 회현동1가 92-6번지 (지하1층) </t>
  </si>
  <si>
    <t>서울특별시 중구 퇴계로8길 13 (회현동1가,(지하1층))</t>
  </si>
  <si>
    <t>3010000-102-2006-00012</t>
  </si>
  <si>
    <t xml:space="preserve">서울특별시 중구 서소문동 84번지 (지하1층) </t>
  </si>
  <si>
    <t>서울특별시 중구 서소문로 128-4 (서소문동,(지하1층))</t>
  </si>
  <si>
    <t>3010000-102-1999-11796</t>
  </si>
  <si>
    <t xml:space="preserve">서울특별시 중구 충무로2가 60-3번지 신관지하1층 </t>
  </si>
  <si>
    <t>3010000-102-1999-11816</t>
  </si>
  <si>
    <t xml:space="preserve">서울특별시 중구 남대문로5가 19-4번지 지상2층 </t>
  </si>
  <si>
    <t>서울특별시 중구 세종대로 26 (남대문로5가,지상2층)</t>
  </si>
  <si>
    <t>3010000-102-1999-11837</t>
  </si>
  <si>
    <t xml:space="preserve">서울특별시 중구 필동2가 53-0 </t>
  </si>
  <si>
    <t>서울특별시 중구 퇴계로 226 (필동2가)</t>
  </si>
  <si>
    <t>3010000-102-1999-11865</t>
  </si>
  <si>
    <t xml:space="preserve">서울특별시 중구 북창동 94-7번지 </t>
  </si>
  <si>
    <t>서울특별시 중구 남대문로1길 26-13 (북창동)</t>
  </si>
  <si>
    <t>3010000-102-2002-00021</t>
  </si>
  <si>
    <t xml:space="preserve">서울특별시 중구 을지로3가 5-6 </t>
  </si>
  <si>
    <t>서울특별시 중구 을지로 109 (을지로3가)</t>
  </si>
  <si>
    <t>3010000-102-2006-00015</t>
  </si>
  <si>
    <t xml:space="preserve">서울특별시 중구 인현동2가 100 (지상2층) </t>
  </si>
  <si>
    <t>서울특별시 중구 마른내로 68 (인현동2가,(지상2층))</t>
  </si>
  <si>
    <t>3010000-102-2007-00001</t>
  </si>
  <si>
    <t xml:space="preserve">서울특별시 중구 을지로6가 18-52 (지하1층) </t>
  </si>
  <si>
    <t>서울특별시 중구 을지로43길 15 (을지로6가,(지하1층))</t>
  </si>
  <si>
    <t>3010000-102-2007-00005</t>
  </si>
  <si>
    <t xml:space="preserve">서울특별시 중구 남대문로5가 84-4번지 외 3필지(84-1,84-2,84-3) </t>
  </si>
  <si>
    <t>서울특별시 중구 세종대로 10 (남대문로5가,외 3필지(84-1,84-2,84-3))</t>
  </si>
  <si>
    <t>3010000-102-2000-13383</t>
  </si>
  <si>
    <t xml:space="preserve">서울특별시 중구 중림동 69-8 지하1층 </t>
  </si>
  <si>
    <t>서울특별시 중구 청파로 437-1 (중림동,지하1층)</t>
  </si>
  <si>
    <t>3010000-102-2001-13411</t>
  </si>
  <si>
    <t xml:space="preserve">서울특별시 중구 충무로4가 149-3 </t>
  </si>
  <si>
    <t>서울특별시 중구 충무로2길 20 (충무로4가)</t>
  </si>
  <si>
    <t>3020000-102-2000-07735</t>
  </si>
  <si>
    <t xml:space="preserve">서울특별시 용산구 동자동 43-29번지 </t>
  </si>
  <si>
    <t>3020000-102-2000-07736</t>
  </si>
  <si>
    <t xml:space="preserve">서울특별시 용산구 동자동 43-37번지 (지상1층) </t>
  </si>
  <si>
    <t>3010000-102-2004-00017</t>
  </si>
  <si>
    <t>서울특별시 중구 광희동1가 278 (지상2층)</t>
  </si>
  <si>
    <t>서울특별시 중구 동호로34길 28 (광희동1가,(지상2층))</t>
  </si>
  <si>
    <t>3010000-102-2000-13382</t>
  </si>
  <si>
    <t>서울특별시 중구 을지로4가 316-1</t>
  </si>
  <si>
    <t>서울특별시 중구 을지로20길 10-4 (을지로4가)</t>
  </si>
  <si>
    <t>3010000-102-2001-13565</t>
  </si>
  <si>
    <t>서울특별시 중구 충무로2가 51-1</t>
  </si>
  <si>
    <t>서울특별시 중구 삼일대로4길 14 (충무로2가)</t>
  </si>
  <si>
    <t>3010000-102-2001-13506</t>
  </si>
  <si>
    <t>서울특별시 중구 북창동 42-3 (2~3층)</t>
  </si>
  <si>
    <t>서울특별시 중구 남대문로1길 60 (북창동,(2~3층))</t>
  </si>
  <si>
    <t>3020000-102-2000-07738</t>
  </si>
  <si>
    <t xml:space="preserve">서울특별시 용산구 갈월동 85-3번지 (지하1층) </t>
  </si>
  <si>
    <t>3020000-102-1985-03523</t>
  </si>
  <si>
    <t xml:space="preserve">서울특별시 용산구 동자동 43-172번지 (지상1층) </t>
  </si>
  <si>
    <t>서울특별시 용산구 한강대로 353 (동자동,(지상1층))</t>
  </si>
  <si>
    <t>3020000-102-1977-03556</t>
  </si>
  <si>
    <t xml:space="preserve">서울특별시 용산구 이촌동 302-48 </t>
  </si>
  <si>
    <t>서울특별시 용산구 이촌로62길 9 (이촌동, 302-48 지하1층)</t>
  </si>
  <si>
    <t>3020000-102-1989-03514</t>
  </si>
  <si>
    <t xml:space="preserve">서울특별시 용산구 한남동 747-7 (지하2층) </t>
  </si>
  <si>
    <t>서울특별시 용산구 소월로 322 (한남동,(지하2층))</t>
  </si>
  <si>
    <t>3020000-102-2000-07462</t>
  </si>
  <si>
    <t xml:space="preserve">서울특별시 용산구 원효로2가 84-10번지 (지하1층) </t>
  </si>
  <si>
    <t>서울특별시 용산구 원효로 171 (원효로2가,(지하1층))</t>
  </si>
  <si>
    <t>3020000-102-2012-00001</t>
  </si>
  <si>
    <t xml:space="preserve">서울특별시 용산구 이태원동 116-1번지 해밀턴호텔 별관 2층 </t>
  </si>
  <si>
    <t>서울특별시 용산구 이태원로27가길 26 (이태원동, 해밀턴호텔 별관2층)</t>
  </si>
  <si>
    <t>3020000-102-2012-00002</t>
  </si>
  <si>
    <t xml:space="preserve">서울특별시 용산구 이태원동 116-1번지 해밀턴관광호텔 별관2층 </t>
  </si>
  <si>
    <t>서울특별시 용산구 이태원로27가길 26 (이태원동, 116-1 해밀턴관광호텔 별관2층)</t>
  </si>
  <si>
    <t>3020000-102-2013-00001</t>
  </si>
  <si>
    <t xml:space="preserve">서울특별시 용산구 이태원동 108-9 해밀튼호텔 지하2층 </t>
  </si>
  <si>
    <t>서울특별시 용산구 이태원로 지하 179 (이태원동, 해밀튼호텔 지하2층)</t>
  </si>
  <si>
    <t>3020000-102-1967-03577</t>
  </si>
  <si>
    <t>서울특별시 용산구 이태원동 136-46 (지상1층)</t>
  </si>
  <si>
    <t>서울특별시 용산구 우사단로 40 (이태원동,(지상1층))</t>
  </si>
  <si>
    <t>3020000-102-2001-07748</t>
  </si>
  <si>
    <t xml:space="preserve">서울특별시 용산구 남영동 62-9 (지하1층) </t>
  </si>
  <si>
    <t>서울특별시 용산구 한강대로 280-1 (남영동,(지하1층))</t>
  </si>
  <si>
    <t>3020000-102-2002-00002</t>
  </si>
  <si>
    <t xml:space="preserve">서울특별시 용산구 원효로2가 90-1번지 (지하1층) </t>
  </si>
  <si>
    <t>서울특별시 용산구 새창로 132 (원효로2가,(지하1층))</t>
  </si>
  <si>
    <t>3020000-102-2004-00001</t>
  </si>
  <si>
    <t xml:space="preserve">서울특별시 용산구 한강로2가 115-1번지 (지하1층) </t>
  </si>
  <si>
    <t>서울특별시 용산구 한강대로 132 (한강로2가,(지하1층))</t>
  </si>
  <si>
    <t>3020000-102-1968-03553</t>
  </si>
  <si>
    <t xml:space="preserve">서울특별시 용산구 이태원동 127-2 </t>
  </si>
  <si>
    <t>서울특별시 용산구 이태원로 192, 지하1층 (이태원동)</t>
  </si>
  <si>
    <t>3020000-102-1972-03517</t>
  </si>
  <si>
    <t xml:space="preserve">서울특별시 용산구 원효로2가 84-1번지 지하1층 </t>
  </si>
  <si>
    <t>서울특별시 용산구 새창로 131-6 (원효로2가, 84-1 지하1층)</t>
  </si>
  <si>
    <t>3210000-102-2000-14887</t>
  </si>
  <si>
    <t xml:space="preserve">서울특별시 서초구 서초동 1304-2번지 </t>
  </si>
  <si>
    <t>3020000-102-1973-03529</t>
  </si>
  <si>
    <t xml:space="preserve">서울특별시 용산구 이태원동 34-16번지 (지하) </t>
  </si>
  <si>
    <t>서울특별시 용산구 이태원로 134 (이태원동,(지하))</t>
  </si>
  <si>
    <t>3020000-102-2001-07750</t>
  </si>
  <si>
    <t xml:space="preserve">서울특별시 용산구 동자동 43-33 (지상1층) </t>
  </si>
  <si>
    <t>서울특별시 용산구 한강대로 353-4 (동자동,(지상1층))</t>
  </si>
  <si>
    <t>3020000-102-1967-03511</t>
  </si>
  <si>
    <t xml:space="preserve">서울특별시 용산구 이태원동 136-2 (지상1층) </t>
  </si>
  <si>
    <t>서울특별시 용산구 우사단로14길 16 (이태원동,(지상1층))</t>
  </si>
  <si>
    <t>3020000-102-1999-03521</t>
  </si>
  <si>
    <t xml:space="preserve">서울특별시 용산구 갈월동 98-31번지 (지하1층) </t>
  </si>
  <si>
    <t>서울특별시 용산구 한강대로77길 21 (갈월동,(지하1층))</t>
  </si>
  <si>
    <t>3020000-102-1999-03526</t>
  </si>
  <si>
    <t xml:space="preserve">서울특별시 용산구 원효로2가 94-2번지 지하1층 </t>
  </si>
  <si>
    <t>서울특별시 용산구 원효로 166 (원효로2가, 94-2 지하1층)</t>
  </si>
  <si>
    <t>3020000-102-2000-07317</t>
  </si>
  <si>
    <t>서울특별시 용산구 남영동 61-6 (지상2층)</t>
  </si>
  <si>
    <t>서울특별시 용산구 한강대로 280-2 (남영동,(지상2층))</t>
  </si>
  <si>
    <t>3020000-102-2000-07734</t>
  </si>
  <si>
    <t xml:space="preserve">서울특별시 용산구 한강로1가 243-13 (지하1층) </t>
  </si>
  <si>
    <t>서울특별시 용산구 한강대로 166-1 (한강로1가,(지하1층))</t>
  </si>
  <si>
    <t>3020000-102-2000-07737</t>
  </si>
  <si>
    <t xml:space="preserve">서울특별시 용산구 남영동 17-1번지 (지하1층) </t>
  </si>
  <si>
    <t>서울특별시 용산구 한강대로 296 (남영동,(지하1층))</t>
  </si>
  <si>
    <t>3020000-102-2006-00001</t>
  </si>
  <si>
    <t xml:space="preserve">서울특별시 용산구 이태원동 108-9번지 외8필지(지하2층) </t>
  </si>
  <si>
    <t>3020000-102-2014-00001</t>
  </si>
  <si>
    <t xml:space="preserve">서울특별시 용산구 이태원동 22-76 </t>
  </si>
  <si>
    <t>서울특별시 용산구 장문로 23, 지하3층 (이태원동, 캐피탈관광호텔)</t>
  </si>
  <si>
    <t>3020000-102-2001-07749</t>
  </si>
  <si>
    <t xml:space="preserve">서울특별시 용산구 갈월동 89-9번지 (지하1층) </t>
  </si>
  <si>
    <t>3020000-102-2002-00001</t>
  </si>
  <si>
    <t xml:space="preserve">서울특별시 용산구 동자동 43-38번지 (지상1층) </t>
  </si>
  <si>
    <t>3020000-102-2003-00001</t>
  </si>
  <si>
    <t xml:space="preserve">서울특별시 용산구 동자동 43-24번지 (지상 1층) </t>
  </si>
  <si>
    <t>3020000-102-1968-03535</t>
  </si>
  <si>
    <t xml:space="preserve">서울특별시 용산구 갈월동 98-1번지 </t>
  </si>
  <si>
    <t>3020000-102-1969-03559</t>
  </si>
  <si>
    <t xml:space="preserve">서울특별시 용산구 이태원동 126-16번지 </t>
  </si>
  <si>
    <t>3020000-102-1970-03530</t>
  </si>
  <si>
    <t xml:space="preserve">서울특별시 용산구 이태원동 136-45 (지상2층) </t>
  </si>
  <si>
    <t>서울특별시 용산구 우사단로 42 (이태원동,(지상2층))</t>
  </si>
  <si>
    <t>3020000-102-1971-03527</t>
  </si>
  <si>
    <t xml:space="preserve">서울특별시 용산구 원효로3가 51-37번지 </t>
  </si>
  <si>
    <t>3020000-102-1971-03544</t>
  </si>
  <si>
    <t xml:space="preserve">서울특별시 용산구 갈월동 69-3번지 </t>
  </si>
  <si>
    <t>3020000-102-1971-03557</t>
  </si>
  <si>
    <t xml:space="preserve">서울특별시 용산구 한남동 107-10번지 </t>
  </si>
  <si>
    <t>3020000-102-1972-03536</t>
  </si>
  <si>
    <t xml:space="preserve">서울특별시 용산구 갈월동 92-3 </t>
  </si>
  <si>
    <t>3020000-102-1974-03493</t>
  </si>
  <si>
    <t xml:space="preserve">서울특별시 용산구 한강로2가 322-1번지 (지상2층) </t>
  </si>
  <si>
    <t>3020000-102-1992-03525</t>
  </si>
  <si>
    <t xml:space="preserve">서울특별시 용산구 한강로2가 319-1번지 </t>
  </si>
  <si>
    <t>3020000-102-1978-03540</t>
  </si>
  <si>
    <t xml:space="preserve">서울특별시 용산구 한남동 683-137 </t>
  </si>
  <si>
    <t>서울특별시 용산구 이태원로 258 (한남동, 683-137 지상1,2층)</t>
  </si>
  <si>
    <t>3020000-102-1978-03495</t>
  </si>
  <si>
    <t xml:space="preserve">서울특별시 용산구 한강로2가 77-1번지 </t>
  </si>
  <si>
    <t>3020000-102-1978-03494</t>
  </si>
  <si>
    <t xml:space="preserve">서울특별시 용산구 한남동 729-45번지 </t>
  </si>
  <si>
    <t>3020000-102-2000-07484</t>
  </si>
  <si>
    <t xml:space="preserve">서울특별시 용산구 동자동 43-154번지 (지상1층) </t>
  </si>
  <si>
    <t>서울특별시 용산구 한강대로 349-1 (동자동)</t>
  </si>
  <si>
    <t>3020000-102-1967-03531</t>
  </si>
  <si>
    <t xml:space="preserve">서울특별시 용산구 한남동 736-11번지 (지상3층) </t>
  </si>
  <si>
    <t>3020000-102-1999-03541</t>
  </si>
  <si>
    <t xml:space="preserve">서울특별시 용산구 한남동 737-2 </t>
  </si>
  <si>
    <t>3020000-102-1999-03524</t>
  </si>
  <si>
    <t xml:space="preserve">서울특별시 용산구 원효로3가 99-0 </t>
  </si>
  <si>
    <t>3020000-102-1999-02196</t>
  </si>
  <si>
    <t xml:space="preserve">서울특별시 용산구 갈월동 69-109번지 </t>
  </si>
  <si>
    <t>3020000-102-1999-02148</t>
  </si>
  <si>
    <t xml:space="preserve">서울특별시 용산구 갈월동 69-26번지 </t>
  </si>
  <si>
    <t>3020000-102-1999-02126</t>
  </si>
  <si>
    <t xml:space="preserve">서울특별시 용산구 한강로2가 215-2번지 (지상2층) </t>
  </si>
  <si>
    <t>3020000-102-1999-02060</t>
  </si>
  <si>
    <t xml:space="preserve">서울특별시 용산구 원효로3가 43-1번지 (지하1층) </t>
  </si>
  <si>
    <t>서울특별시 용산구 원효로 151 (원효로3가,(지하1층))</t>
  </si>
  <si>
    <t>3020000-102-1999-07221</t>
  </si>
  <si>
    <t>3020000-102-1999-07228</t>
  </si>
  <si>
    <t xml:space="preserve">서울특별시 용산구 서계동 223-65번지 </t>
  </si>
  <si>
    <t>3020000-102-1999-07250</t>
  </si>
  <si>
    <t xml:space="preserve">서울특별시 용산구 동자동 43-33번지 </t>
  </si>
  <si>
    <t>3020000-102-1999-07251</t>
  </si>
  <si>
    <t xml:space="preserve">서울특별시 용산구 원효로2가 90-16 (지하1층) </t>
  </si>
  <si>
    <t>서울특별시 용산구 새창로 136 (원효로2가,(지하1층))</t>
  </si>
  <si>
    <t>3020000-102-2002-00003</t>
  </si>
  <si>
    <t xml:space="preserve">서울특별시 용산구 동자동 43-21번지 </t>
  </si>
  <si>
    <t>3020000-102-2000-07520</t>
  </si>
  <si>
    <t xml:space="preserve">서울특별시 용산구 동자동 43-24번지 </t>
  </si>
  <si>
    <t>3020000-102-1978-03560</t>
  </si>
  <si>
    <t xml:space="preserve">서울특별시 용산구 한남동 683-133번지 ,134(지상3층) </t>
  </si>
  <si>
    <t>3020000-102-1988-03516</t>
  </si>
  <si>
    <t xml:space="preserve">서울특별시 용산구 한남동 737-25번지 ,32,34 (지하1층) </t>
  </si>
  <si>
    <t>3020000-102-2000-07377</t>
  </si>
  <si>
    <t xml:space="preserve">서울특별시 용산구 동자동 43-43번지 </t>
  </si>
  <si>
    <t>3020000-102-1978-03558</t>
  </si>
  <si>
    <t xml:space="preserve">서울특별시 용산구 한남동 32-17 (지하1층) </t>
  </si>
  <si>
    <t>서울특별시 용산구 독서당로 89 (한남동,(지하1층))</t>
  </si>
  <si>
    <t>3020000-102-1980-03537</t>
  </si>
  <si>
    <t xml:space="preserve">서울특별시 용산구 한남동 683-141번지 </t>
  </si>
  <si>
    <t>3020000-102-1980-03552</t>
  </si>
  <si>
    <t xml:space="preserve">서울특별시 용산구 이태원동 34-69 (지하1층) </t>
  </si>
  <si>
    <t>서울특별시 용산구 녹사평대로 140 (이태원동,(지하1층))</t>
  </si>
  <si>
    <t>3020000-102-1981-03576</t>
  </si>
  <si>
    <t xml:space="preserve">서울특별시 용산구 한강로2가 374-1번지 </t>
  </si>
  <si>
    <t>3020000-102-1981-03554</t>
  </si>
  <si>
    <t xml:space="preserve">서울특별시 용산구 원효로2가 68-3번지 (지하1층) </t>
  </si>
  <si>
    <t>서울특별시 용산구 원효로54길 10 (원효로2가,(지하1층))</t>
  </si>
  <si>
    <t>3020000-102-1983-03555</t>
  </si>
  <si>
    <t xml:space="preserve">서울특별시 용산구 남영동 62-0 </t>
  </si>
  <si>
    <t>3020000-102-1985-03518</t>
  </si>
  <si>
    <t xml:space="preserve">서울특별시 용산구 한강로2가 174-1번지 (지상1층) </t>
  </si>
  <si>
    <t>3020000-102-1985-03520</t>
  </si>
  <si>
    <t>3020000-102-1986-03532</t>
  </si>
  <si>
    <t xml:space="preserve">서울특별시 용산구 한강로2가 37-2번지 </t>
  </si>
  <si>
    <t>3020000-102-1986-03546</t>
  </si>
  <si>
    <t xml:space="preserve">서울특별시 용산구 한강로2가 </t>
  </si>
  <si>
    <t>3020000-102-1986-03522</t>
  </si>
  <si>
    <t xml:space="preserve">서울특별시 용산구 원효로3가 56-4번지 </t>
  </si>
  <si>
    <t>3020000-102-1986-03534</t>
  </si>
  <si>
    <t xml:space="preserve">서울특별시 용산구 한강로2가 256-2번지 (지하1층) </t>
  </si>
  <si>
    <t>3020000-102-1975-03538</t>
  </si>
  <si>
    <t xml:space="preserve">서울특별시 용산구 이태원동 557-0번지 (지상1층) </t>
  </si>
  <si>
    <t>서울특별시 용산구 녹사평대로 222 (이태원동,(지상1층))</t>
  </si>
  <si>
    <t>3020000-102-1976-03513</t>
  </si>
  <si>
    <t xml:space="preserve">서울특별시 용산구 이태원동 22-76번지 (지하1층) </t>
  </si>
  <si>
    <t>3020000-102-1976-03578</t>
  </si>
  <si>
    <t xml:space="preserve">서울특별시 용산구 한강로2가 2-36번지 </t>
  </si>
  <si>
    <t>3020000-102-1977-03551</t>
  </si>
  <si>
    <t xml:space="preserve">서울특별시 용산구 이태원동 119-25번지 </t>
  </si>
  <si>
    <t>3020000-102-1977-03543</t>
  </si>
  <si>
    <t xml:space="preserve">서울특별시 용산구 이촌동 300-19번지 </t>
  </si>
  <si>
    <t>3020000-102-1977-03533</t>
  </si>
  <si>
    <t xml:space="preserve">서울특별시 용산구 이촌동 300-19번지 (지하1층) </t>
  </si>
  <si>
    <t>3020000-102-1978-03542</t>
  </si>
  <si>
    <t xml:space="preserve">서울특별시 용산구 한남동 683-133 지상1층 134호 </t>
  </si>
  <si>
    <t>서울특별시 용산구 이태원로 242 (한남동, 683-133 지상1층 134호)</t>
  </si>
  <si>
    <t>3020000-102-1978-03561</t>
  </si>
  <si>
    <t xml:space="preserve">서울특별시 용산구 한남동 683-137번지 (지상4층) </t>
  </si>
  <si>
    <t>서울특별시 용산구 이태원로 258 (한남동,(지상4층))</t>
  </si>
  <si>
    <t>3020000-102-1986-03545</t>
  </si>
  <si>
    <t xml:space="preserve">서울특별시 용산구 한강로2가 225-1번지 </t>
  </si>
  <si>
    <t>3020000-102-1987-03539</t>
  </si>
  <si>
    <t xml:space="preserve">서울특별시 용산구 한강로2가 140-0번지 </t>
  </si>
  <si>
    <t>3020000-102-1988-03550</t>
  </si>
  <si>
    <t xml:space="preserve">서울특별시 용산구 이태원동 119-25번지 (지하2층) </t>
  </si>
  <si>
    <t>3020000-102-1988-03548</t>
  </si>
  <si>
    <t xml:space="preserve">서울특별시 용산구 이태원동 22-76번지 (지하2,3층) </t>
  </si>
  <si>
    <t>3020000-102-1988-03512</t>
  </si>
  <si>
    <t xml:space="preserve">서울특별시 용산구 한강로3가 16-85번지 (지하1층) </t>
  </si>
  <si>
    <t>서울특별시 용산구 이촌로 1 (한강로3가,(지하1층))</t>
  </si>
  <si>
    <t>3020000-102-1988-03549</t>
  </si>
  <si>
    <t>서울특별시 용산구 이태원로 221 (한남동,,32,34 (지하1층))</t>
  </si>
  <si>
    <t>3020000-102-1989-03528</t>
  </si>
  <si>
    <t xml:space="preserve">서울특별시 용산구 한강로3가 16-48번지 96 </t>
  </si>
  <si>
    <t>3020000-102-2000-07733</t>
  </si>
  <si>
    <t xml:space="preserve">서울특별시 용산구 동자동 43-32번지 ,168,170(지상1층) </t>
  </si>
  <si>
    <t>3020000-102-2002-00004</t>
  </si>
  <si>
    <t xml:space="preserve">서울특별시 용산구 동자동 43-37번지 </t>
  </si>
  <si>
    <t>서울특별시 용산구 한강대로 351-1 (동자동, 43-37 지상1층)</t>
  </si>
  <si>
    <t>3030000-102-1985-01130</t>
  </si>
  <si>
    <t xml:space="preserve">서울특별시 성동구 도선동 289 </t>
  </si>
  <si>
    <t>서울특별시 성동구 왕십리로 348 (도선동)</t>
  </si>
  <si>
    <t>3030000-102-2016-00001</t>
  </si>
  <si>
    <t xml:space="preserve">서울특별시 성동구 도선동 29번지 </t>
  </si>
  <si>
    <t>서울특별시 성동구 왕십리로20길 8, 3층 (도선동)</t>
  </si>
  <si>
    <t>3030000-102-1991-01129</t>
  </si>
  <si>
    <t xml:space="preserve">서울특별시 성동구 상왕십리동 285-0번지 </t>
  </si>
  <si>
    <t>3030000-102-1991-01131</t>
  </si>
  <si>
    <t xml:space="preserve">서울특별시 성동구 도선동 58-1번지 ,2,3,4,5,6 </t>
  </si>
  <si>
    <t>3030000-102-1978-01126</t>
  </si>
  <si>
    <t xml:space="preserve">서울특별시 성동구 도선동 58번지 </t>
  </si>
  <si>
    <t>3030000-102-1978-01127</t>
  </si>
  <si>
    <t xml:space="preserve">서울특별시 성동구 성수동2가 281-30번지 </t>
  </si>
  <si>
    <t>서울특별시 성동구 광나루로 334 (성수동2가)</t>
  </si>
  <si>
    <t>3030000-102-1979-01125</t>
  </si>
  <si>
    <t xml:space="preserve">서울특별시 성동구 마장동 474-1 </t>
  </si>
  <si>
    <t>서울특별시 성동구 고산자로 349 (마장동)</t>
  </si>
  <si>
    <t>3030000-102-2001-07034</t>
  </si>
  <si>
    <t xml:space="preserve">서울특별시 성동구 도선동 150번지 </t>
  </si>
  <si>
    <t>3030000-102-2001-07036</t>
  </si>
  <si>
    <t xml:space="preserve">서울특별시 성동구 도선동 57번지 </t>
  </si>
  <si>
    <t>3030000-102-2008-00001</t>
  </si>
  <si>
    <t xml:space="preserve">서울특별시 성동구 도선동 86번지 (지하1층) </t>
  </si>
  <si>
    <t>서울특별시 성동구 무학로2길 47 (도선동,(지하1층))</t>
  </si>
  <si>
    <t>3030000-102-2009-00001</t>
  </si>
  <si>
    <t xml:space="preserve">서울특별시 성동구 도선동 46번지 (지하1층) </t>
  </si>
  <si>
    <t>서울특별시 성동구 왕십리로 320 (도선동,(지하1층))</t>
  </si>
  <si>
    <t>3030000-102-2012-00001</t>
  </si>
  <si>
    <t xml:space="preserve">서울특별시 성동구 도선동 2번지 비젼호텔 지하1층 </t>
  </si>
  <si>
    <t>서울특별시 성동구 고산자로 277, 지하1층 (도선동, 2 비젼호텔)</t>
  </si>
  <si>
    <t>3030000-102-1979-01128</t>
  </si>
  <si>
    <t xml:space="preserve">서울특별시 성동구 성수동1가 671-71번지 </t>
  </si>
  <si>
    <t>3030000-102-1981-01096</t>
  </si>
  <si>
    <t xml:space="preserve">서울특별시 성동구 홍익동 125번지 </t>
  </si>
  <si>
    <t>서울특별시 성동구 고산자로 293 (홍익동)</t>
  </si>
  <si>
    <t>3030000-102-1977-01097</t>
  </si>
  <si>
    <t xml:space="preserve">서울특별시 성동구 행당동 267-17번지 </t>
  </si>
  <si>
    <t>서울특별시 성동구 왕십리로 291-2 (행당동)</t>
  </si>
  <si>
    <t>3030000-102-2000-06375</t>
  </si>
  <si>
    <t xml:space="preserve">서울특별시 성동구 도선동 144번지 </t>
  </si>
  <si>
    <t>서울특별시 성동구 무학로2길 43 (도선동)</t>
  </si>
  <si>
    <t>3030000-102-2000-06428</t>
  </si>
  <si>
    <t xml:space="preserve">서울특별시 성동구 용답동 235-2 금풍빌딩 지1층104호 </t>
  </si>
  <si>
    <t>서울특별시 성동구 천호대로 432, 지1층 104호 (용답동, 금풍빌딩)</t>
  </si>
  <si>
    <t>3030000-102-2001-06789</t>
  </si>
  <si>
    <t xml:space="preserve">서울특별시 성동구 도선동 151-1 </t>
  </si>
  <si>
    <t>서울특별시 성동구 왕십리로24길 8, 3층 (도선동)</t>
  </si>
  <si>
    <t>3030000-102-2001-06858</t>
  </si>
  <si>
    <t xml:space="preserve">서울특별시 성동구 용답동 233-6 </t>
  </si>
  <si>
    <t>서울특별시 성동구 천호대로 426, 지층 (용답동, 233-6)</t>
  </si>
  <si>
    <t>3030000-102-2001-06884</t>
  </si>
  <si>
    <t xml:space="preserve">서울특별시 성동구 도선동 65 </t>
  </si>
  <si>
    <t>서울특별시 성동구 왕십리로22길 6 (도선동)</t>
  </si>
  <si>
    <t>3030000-102-2001-06994</t>
  </si>
  <si>
    <t>서울특별시 성동구 도선동 29-0  동  호</t>
  </si>
  <si>
    <t>서울특별시 성동구 왕십리로20길 8, 동  호 (도선동)</t>
  </si>
  <si>
    <t>3030000-102-2001-07035</t>
  </si>
  <si>
    <t xml:space="preserve">서울특별시 성동구 도선동 253-12 </t>
  </si>
  <si>
    <t>서울특별시 성동구 왕십리로 328 (도선동)</t>
  </si>
  <si>
    <t>3030000-102-2003-00001</t>
  </si>
  <si>
    <t xml:space="preserve">서울특별시 성동구 도선동 149번지 (지하1층) </t>
  </si>
  <si>
    <t>서울특별시 성동구 무학로2길 39 (도선동, 도선동149외3필지 지하1층)</t>
  </si>
  <si>
    <t>3030000-102-2005-00001</t>
  </si>
  <si>
    <t xml:space="preserve">서울특별시 성동구 도선동 64 (지하1층) </t>
  </si>
  <si>
    <t>서울특별시 성동구 무학로2길 44 (도선동,(지하1층))</t>
  </si>
  <si>
    <t>3030000-102-2009-00002</t>
  </si>
  <si>
    <t xml:space="preserve">서울특별시 성동구 도선동 50 지하1층 </t>
  </si>
  <si>
    <t>서울특별시 성동구 왕십리로22길 3 (도선동, 50 지하1층)</t>
  </si>
  <si>
    <t>3030000-102-2011-00001</t>
  </si>
  <si>
    <t xml:space="preserve">서울특별시 성동구 도선동 89번지 지하1층 </t>
  </si>
  <si>
    <t>서울특별시 성동구 왕십리로22길 10 (도선동,지하1층)</t>
  </si>
  <si>
    <t>3030000-102-2013-00001</t>
  </si>
  <si>
    <t xml:space="preserve">서울특별시 성동구 도선동 43 (지하1층) </t>
  </si>
  <si>
    <t>서울특별시 성동구 무학로2길 48 (도선동)</t>
  </si>
  <si>
    <t>3030000-102-2014-00001</t>
  </si>
  <si>
    <t xml:space="preserve">서울특별시 성동구 도선동 68번지 </t>
  </si>
  <si>
    <t>서울특별시 성동구 무학로2길 46, 3층 (도선동)</t>
  </si>
  <si>
    <t>3030000-102-1986-01095</t>
  </si>
  <si>
    <t xml:space="preserve">서울특별시 성동구 상왕십리동 14-20번지 </t>
  </si>
  <si>
    <t>3040000-102-1978-06839</t>
  </si>
  <si>
    <t xml:space="preserve">서울특별시 광진구 광장동 20-0번지 </t>
  </si>
  <si>
    <t>3040000-102-1976-06858</t>
  </si>
  <si>
    <t xml:space="preserve">서울특별시 광진구 군자동 355-14번지 </t>
  </si>
  <si>
    <t>서울특별시 광진구 광나루로 347 (군자동)</t>
  </si>
  <si>
    <t>3040000-102-1978-06855</t>
  </si>
  <si>
    <t xml:space="preserve">서울특별시 광진구 자양동 680-0 </t>
  </si>
  <si>
    <t>서울특별시 광진구 자양로 94 (자양동)</t>
  </si>
  <si>
    <t>3030000-102-1980-01100</t>
  </si>
  <si>
    <t>서울특별시 성동구 송정동 66-196</t>
  </si>
  <si>
    <t>서울특별시 성동구 광나루로 323 (송정동)</t>
  </si>
  <si>
    <t>3030000-102-2010-00001</t>
  </si>
  <si>
    <t>서울특별시 성동구 도선동 87 지상2층</t>
  </si>
  <si>
    <t>서울특별시 성동구 무학로2길 45 (도선동,지상2층)</t>
  </si>
  <si>
    <t>3030000-102-1980-01098</t>
  </si>
  <si>
    <t>서울특별시 성동구 송정동 66-259</t>
  </si>
  <si>
    <t>서울특별시 성동구 광나루로 315 (송정동)</t>
  </si>
  <si>
    <t>3040000-102-1979-06840</t>
  </si>
  <si>
    <t xml:space="preserve">서울특별시 광진구 구의동 253-13 </t>
  </si>
  <si>
    <t>서울특별시 광진구 자양로 187 (구의동)</t>
  </si>
  <si>
    <t>3040000-102-1980-06850</t>
  </si>
  <si>
    <t xml:space="preserve">서울특별시 광진구 군자동 355-12 </t>
  </si>
  <si>
    <t>서울특별시 광진구 광나루로 345 (군자동)</t>
  </si>
  <si>
    <t>3040000-102-1980-06856</t>
  </si>
  <si>
    <t xml:space="preserve">서울특별시 광진구 화양동 21-4번지 </t>
  </si>
  <si>
    <t>3040000-102-1980-06836</t>
  </si>
  <si>
    <t xml:space="preserve">서울특별시 광진구 광장동 188-2번지 1,2층 </t>
  </si>
  <si>
    <t>서울특별시 광진구 아차산로78길 147 (광장동)</t>
  </si>
  <si>
    <t>3040000-102-1981-06853</t>
  </si>
  <si>
    <t xml:space="preserve">서울특별시 광진구 화양동 116-16번지 </t>
  </si>
  <si>
    <t>3040000-102-1991-06845</t>
  </si>
  <si>
    <t xml:space="preserve">서울특별시 광진구 구의동 595-0 </t>
  </si>
  <si>
    <t>서울특별시 광진구 구의강변로 38 (구의동)</t>
  </si>
  <si>
    <t>3040000-102-1991-06838</t>
  </si>
  <si>
    <t xml:space="preserve">서울특별시 광진구 구의동 595-0번지 </t>
  </si>
  <si>
    <t>3040000-102-1972-06844</t>
  </si>
  <si>
    <t xml:space="preserve">서울특별시 광진구 화양동 192 </t>
  </si>
  <si>
    <t>서울특별시 광진구 광나루로 384 (화양동)</t>
  </si>
  <si>
    <t>3040000-102-1974-06848</t>
  </si>
  <si>
    <t xml:space="preserve">서울특별시 광진구 중곡동 157-23 </t>
  </si>
  <si>
    <t>서울특별시 광진구 천호대로 555 (중곡동)</t>
  </si>
  <si>
    <t>3040000-102-1975-06854</t>
  </si>
  <si>
    <t xml:space="preserve">서울특별시 광진구 능동 91-4번지 </t>
  </si>
  <si>
    <t>3040000-102-1975-06843</t>
  </si>
  <si>
    <t xml:space="preserve">서울특별시 광진구 화양동 132-75번지 </t>
  </si>
  <si>
    <t>3040000-102-1975-06857</t>
  </si>
  <si>
    <t xml:space="preserve">서울특별시 광진구 화양동 23-28 , 29 </t>
  </si>
  <si>
    <t>서울특별시 광진구 동일로 170 (화양동,, 29)</t>
  </si>
  <si>
    <t>3040000-102-1975-06849</t>
  </si>
  <si>
    <t xml:space="preserve">서울특별시 광진구 화양동 20-25번지 </t>
  </si>
  <si>
    <t>서울특별시 광진구 광나루로12길 19 (화양동)</t>
  </si>
  <si>
    <t>3040000-102-1979-06851</t>
  </si>
  <si>
    <t xml:space="preserve">서울특별시 광진구 화양동 23-40 </t>
  </si>
  <si>
    <t>서울특별시 광진구 동일로 166 (화양동)</t>
  </si>
  <si>
    <t>3040000-102-1980-06847</t>
  </si>
  <si>
    <t xml:space="preserve">서울특별시 광진구 구의동 252-44 </t>
  </si>
  <si>
    <t>서울특별시 광진구 자양로 112 (구의동)</t>
  </si>
  <si>
    <t>3040000-102-1980-06842</t>
  </si>
  <si>
    <t xml:space="preserve">서울특별시 광진구 구의동 66-62번지 </t>
  </si>
  <si>
    <t>서울특별시 광진구 광나루로 529 (구의동)</t>
  </si>
  <si>
    <t>3040000-102-1981-08506</t>
  </si>
  <si>
    <t xml:space="preserve">서울특별시 광진구 군자동 355-11 </t>
  </si>
  <si>
    <t>서울특별시 광진구 광나루로 343 (군자동)</t>
  </si>
  <si>
    <t>3040000-102-1979-06860</t>
  </si>
  <si>
    <t>서울특별시 광진구 화양동 24-1 , 7</t>
  </si>
  <si>
    <t>서울특별시 광진구 동일로 164 (화양동,, 7)</t>
  </si>
  <si>
    <t>3040000-102-1976-06841</t>
  </si>
  <si>
    <t xml:space="preserve">서울특별시 광진구 구의동 228-1 </t>
  </si>
  <si>
    <t>서울특별시 광진구 구의로 72 (구의동)</t>
  </si>
  <si>
    <t>3040000-102-1977-06846</t>
  </si>
  <si>
    <t xml:space="preserve">서울특별시 광진구 군자동 359 </t>
  </si>
  <si>
    <t>서울특별시 광진구 군자로 69 (군자동)</t>
  </si>
  <si>
    <t>3040000-102-1977-06859</t>
  </si>
  <si>
    <t xml:space="preserve">서울특별시 광진구 군자동 355-10번지 </t>
  </si>
  <si>
    <t>서울특별시 광진구 광나루로 341 (군자동)</t>
  </si>
  <si>
    <t>3040000-102-1974-06852</t>
  </si>
  <si>
    <t xml:space="preserve">서울특별시 광진구 화양동 23-39 </t>
  </si>
  <si>
    <t>서울특별시 광진구 동일로 168 (화양동)</t>
  </si>
  <si>
    <t>3040000-102-1978-06837</t>
  </si>
  <si>
    <t xml:space="preserve">서울특별시 광진구 광장동 21-0번지 </t>
  </si>
  <si>
    <t>3050000-102-1984-08482</t>
  </si>
  <si>
    <t xml:space="preserve">서울특별시 동대문구 장안동 366-6 지하1층 </t>
  </si>
  <si>
    <t>서울특별시 동대문구 장한로 106, 지하1층 (장안동)</t>
  </si>
  <si>
    <t>3050000-102-1984-08492</t>
  </si>
  <si>
    <t xml:space="preserve">서울특별시 동대문구 장안동 366-6 </t>
  </si>
  <si>
    <t>서울특별시 동대문구 장한로 106, 2층 (장안동)</t>
  </si>
  <si>
    <t>3050000-102-2000-11478</t>
  </si>
  <si>
    <t xml:space="preserve">서울특별시 동대문구 전농동 597-10 </t>
  </si>
  <si>
    <t>서울특별시 동대문구 왕산로 244-2 (전농동)</t>
  </si>
  <si>
    <t>3050000-102-2001-12669</t>
  </si>
  <si>
    <t xml:space="preserve">서울특별시 동대문구 장안동 344-3 지하1층 </t>
  </si>
  <si>
    <t>서울특별시 동대문구 장한로24길 15, 지하1층 (장안동)</t>
  </si>
  <si>
    <t>3050000-102-1992-08507</t>
  </si>
  <si>
    <t xml:space="preserve">서울특별시 동대문구 장안동 344-9 지하1층 </t>
  </si>
  <si>
    <t>서울특별시 동대문구 장한로24길 13, 지하1층 (장안동)</t>
  </si>
  <si>
    <t>3050000-102-2001-12913</t>
  </si>
  <si>
    <t xml:space="preserve">서울특별시 동대문구 장안동 367-1 (장한로 126) </t>
  </si>
  <si>
    <t>서울특별시 동대문구 장한로 126 (장안동,(장한로 126))</t>
  </si>
  <si>
    <t>3050000-102-2001-13067</t>
  </si>
  <si>
    <t xml:space="preserve">서울특별시 동대문구 용두동 24-1 지하1층 </t>
  </si>
  <si>
    <t>서울특별시 동대문구 왕산로 138-1, 지하1층 (용두동)</t>
  </si>
  <si>
    <t>3050000-102-1985-08480</t>
  </si>
  <si>
    <t xml:space="preserve">서울특별시 동대문구 장안동 382-6 지하1층 </t>
  </si>
  <si>
    <t>서울특별시 동대문구 장한로21길 11-12, 지하1층 (장안동)</t>
  </si>
  <si>
    <t>3050000-102-2007-00001</t>
  </si>
  <si>
    <t xml:space="preserve">서울특별시 동대문구 장안동 372-4번지 지하1층 </t>
  </si>
  <si>
    <t>서울특별시 동대문구 장한로 111, 지하1층 (장안동)</t>
  </si>
  <si>
    <t>3050000-102-2007-00004</t>
  </si>
  <si>
    <t xml:space="preserve">서울특별시 동대문구 답십리동 494-5 지하1층 </t>
  </si>
  <si>
    <t>서울특별시 동대문구 천호대로 291-1, 지하1층 (답십리동)</t>
  </si>
  <si>
    <t>3050000-102-1982-08459</t>
  </si>
  <si>
    <t xml:space="preserve">서울특별시 동대문구 전농동 602-18번지 지하1층 </t>
  </si>
  <si>
    <t>서울특별시 동대문구 왕산로 266, 지하1층 (전농동)</t>
  </si>
  <si>
    <t>3050000-102-2000-11555</t>
  </si>
  <si>
    <t>서울특별시 동대문구 장안동 365-3 (장평15길 28)</t>
  </si>
  <si>
    <t>서울특별시 동대문구 장한로26가길 54 (장안동,(장평15길 28))</t>
  </si>
  <si>
    <t>3050000-102-1983-08414</t>
  </si>
  <si>
    <t xml:space="preserve">서울특별시 동대문구 답십리동 961-9 </t>
  </si>
  <si>
    <t>서울특별시 동대문구 고미술로 99, 5층 (답십리동)</t>
  </si>
  <si>
    <t>3050000-102-2012-00001</t>
  </si>
  <si>
    <t xml:space="preserve">서울특별시 동대문구 장안동 366-9번지 </t>
  </si>
  <si>
    <t>서울특별시 동대문구 장한로22길 7, 지하1층 (장안동)</t>
  </si>
  <si>
    <t>3050000-102-2012-00003</t>
  </si>
  <si>
    <t xml:space="preserve">서울특별시 동대문구 용두동 24-2번지 지하1층 </t>
  </si>
  <si>
    <t>서울특별시 동대문구 고산자로 428, 지하1층 (용두동)</t>
  </si>
  <si>
    <t>3050000-102-2014-00001</t>
  </si>
  <si>
    <t xml:space="preserve">서울특별시 동대문구 장안동 365-7 7층 </t>
  </si>
  <si>
    <t>서울특별시 동대문구 장한로 92, 7층 (장안동)</t>
  </si>
  <si>
    <t>3050000-102-2014-00002</t>
  </si>
  <si>
    <t xml:space="preserve">서울특별시 동대문구 장안동 366-6번지 </t>
  </si>
  <si>
    <t>서울특별시 동대문구 장한로 106, 3층 (장안동)</t>
  </si>
  <si>
    <t>3050000-102-2015-00001</t>
  </si>
  <si>
    <t xml:space="preserve">서울특별시 동대문구 장안동 365-7번지 6층 </t>
  </si>
  <si>
    <t>서울특별시 동대문구 장한로 92, 6층 (장안동)</t>
  </si>
  <si>
    <t>3050000-102-1976-08476</t>
  </si>
  <si>
    <t xml:space="preserve">서울특별시 동대문구 휘경동 336번지 지하1층 </t>
  </si>
  <si>
    <t>서울특별시 동대문구 이문로 16, 지하1층 (휘경동)</t>
  </si>
  <si>
    <t>3050000-102-2009-00002</t>
  </si>
  <si>
    <t xml:space="preserve">서울특별시 동대문구 장안동 374-3번지 </t>
  </si>
  <si>
    <t>서울특별시 동대문구 장한로 77 (장안동)</t>
  </si>
  <si>
    <t>3050000-102-2009-00003</t>
  </si>
  <si>
    <t xml:space="preserve">서울특별시 동대문구 답십리동 952-18번지 </t>
  </si>
  <si>
    <t>서울특별시 동대문구 천호대로 343, 지하1층 (답십리동)</t>
  </si>
  <si>
    <t>3050000-102-2010-00001</t>
  </si>
  <si>
    <t xml:space="preserve">서울특별시 동대문구 장안동 366-1번지 지하1층 </t>
  </si>
  <si>
    <t>서울특별시 동대문구 장한로 116 (장안동,지하1층)</t>
  </si>
  <si>
    <t>3050000-102-2010-00002</t>
  </si>
  <si>
    <t xml:space="preserve">서울특별시 동대문구 장안동 365-6번지 </t>
  </si>
  <si>
    <t>서울특별시 동대문구 장한로 92, 지하1층 (장안동, 화성빌딩 )</t>
  </si>
  <si>
    <t>3050000-102-1973-08428</t>
  </si>
  <si>
    <t xml:space="preserve">서울특별시 동대문구 용두동 36-1 </t>
  </si>
  <si>
    <t>서울특별시 동대문구 천호대로 128, 지하1층 (용두동)</t>
  </si>
  <si>
    <t>3050000-102-1975-08444</t>
  </si>
  <si>
    <t xml:space="preserve">서울특별시 동대문구 장안동 108-5 (한천로 190) </t>
  </si>
  <si>
    <t>서울특별시 동대문구 한천로 190 (장안동,(한천로 190))</t>
  </si>
  <si>
    <t>3050000-102-2020-00001</t>
  </si>
  <si>
    <t xml:space="preserve">서울특별시 동대문구 장안동 372-14 (지하2층) </t>
  </si>
  <si>
    <t>서울특별시 동대문구 장한로21길 8, 지하2층 (장안동)</t>
  </si>
  <si>
    <t>3050000-102-2000-11899</t>
  </si>
  <si>
    <t xml:space="preserve">서울특별시 동대문구 장안동 464-3번지 </t>
  </si>
  <si>
    <t>3050000-102-2010-00003</t>
  </si>
  <si>
    <t>서울특별시 동대문구 장안동 372-1 지하1층</t>
  </si>
  <si>
    <t>서울특별시 동대문구 장한로 115, 지하1층 (장안동)</t>
  </si>
  <si>
    <t>3050000-102-2008-00002</t>
  </si>
  <si>
    <t>서울특별시 동대문구 장안동 464-1</t>
  </si>
  <si>
    <t>서울특별시 동대문구 장한로 6 (장안동)</t>
  </si>
  <si>
    <t>3050000-102-2000-11976</t>
  </si>
  <si>
    <t xml:space="preserve">서울특별시 동대문구 장안동 372-5번지 </t>
  </si>
  <si>
    <t>3050000-102-2000-12014</t>
  </si>
  <si>
    <t xml:space="preserve">서울특별시 동대문구 휘경동 336-7번지 (이문로 6-1) </t>
  </si>
  <si>
    <t>3050000-102-2000-12042</t>
  </si>
  <si>
    <t xml:space="preserve">서울특별시 동대문구 장안동 366-9번지 (지하1층) (장평15길 26) </t>
  </si>
  <si>
    <t>3050000-102-2000-12120</t>
  </si>
  <si>
    <t xml:space="preserve">서울특별시 동대문구 장안동 373-4번지 (장일길 59) </t>
  </si>
  <si>
    <t>서울특별시 동대문구 한천로24길 77 (장안동,(장일길 59))</t>
  </si>
  <si>
    <t>3050000-102-2000-12121</t>
  </si>
  <si>
    <t>3050000-102-2000-12257</t>
  </si>
  <si>
    <t xml:space="preserve">서울특별시 동대문구 장안동 367-1번지 </t>
  </si>
  <si>
    <t>3050000-102-2000-12283</t>
  </si>
  <si>
    <t xml:space="preserve">서울특별시 동대문구 장안동 364-4번지 </t>
  </si>
  <si>
    <t>서울특별시 동대문구 장한로 82, 지하1층 (장안동)</t>
  </si>
  <si>
    <t>3050000-102-2000-12297</t>
  </si>
  <si>
    <t xml:space="preserve">서울특별시 동대문구 전농동 620-27번지 8층 </t>
  </si>
  <si>
    <t>서울특별시 동대문구 답십리로1길 39-5, 8층 (전농동)</t>
  </si>
  <si>
    <t>3050000-102-2000-11748</t>
  </si>
  <si>
    <t xml:space="preserve">서울특별시 동대문구 장안동 365-2번지 </t>
  </si>
  <si>
    <t>3050000-102-2000-11779</t>
  </si>
  <si>
    <t xml:space="preserve">서울특별시 동대문구 청량리동 774-0번지 현대코아서관지하2층 </t>
  </si>
  <si>
    <t>3160000-102-2001-08835</t>
  </si>
  <si>
    <t xml:space="preserve">서울특별시 구로구 오류동 33-73 1층 </t>
  </si>
  <si>
    <t>서울특별시 구로구 경인로 228 (오류동,1층)</t>
  </si>
  <si>
    <t>3050000-102-2000-11828</t>
  </si>
  <si>
    <t xml:space="preserve">서울특별시 동대문구 장안동 465-2번지 3 </t>
  </si>
  <si>
    <t>서울특별시 동대문구 장한로2길 36 (장안동,3)</t>
  </si>
  <si>
    <t>3050000-102-2000-12310</t>
  </si>
  <si>
    <t xml:space="preserve">서울특별시 동대문구 장안동 364-5번지 (장한로 80) </t>
  </si>
  <si>
    <t>3050000-102-1983-08420</t>
  </si>
  <si>
    <t xml:space="preserve">서울특별시 동대문구 청량리동 235-4번지 </t>
  </si>
  <si>
    <t>3050000-102-1984-08458</t>
  </si>
  <si>
    <t xml:space="preserve">서울특별시 동대문구 답십리동 530-17번지 </t>
  </si>
  <si>
    <t>3050000-102-1984-08449</t>
  </si>
  <si>
    <t xml:space="preserve">서울특별시 동대문구 답십리동 729번지 </t>
  </si>
  <si>
    <t>3050000-102-1984-10623</t>
  </si>
  <si>
    <t xml:space="preserve">서울특별시 동대문구 장안동 367-7번지 (장한로 124) </t>
  </si>
  <si>
    <t>서울특별시 동대문구 장한로 124 (장안동,(장한로 124))</t>
  </si>
  <si>
    <t>3050000-102-1985-08467</t>
  </si>
  <si>
    <t>3050000-102-1989-08499</t>
  </si>
  <si>
    <t xml:space="preserve">서울특별시 동대문구 장안동 373-1번지 </t>
  </si>
  <si>
    <t>3050000-102-2003-00002</t>
  </si>
  <si>
    <t xml:space="preserve">서울특별시 동대문구 장안동 366-6번지 (3층) </t>
  </si>
  <si>
    <t>3050000-102-2004-00001</t>
  </si>
  <si>
    <t xml:space="preserve">서울특별시 동대문구 장안동 365-6번지 ,7(6층) (장한로 92) </t>
  </si>
  <si>
    <t>서울특별시 동대문구 장한로 92 (장안동,,7(6층) (장한로 92))</t>
  </si>
  <si>
    <t>3050000-102-2004-00002</t>
  </si>
  <si>
    <t xml:space="preserve">서울특별시 동대문구 장안동 365-6번지 ,7(7층) (장한로 92) </t>
  </si>
  <si>
    <t>서울특별시 동대문구 장한로 92 (장안동,,7(7층) (장한로 92))</t>
  </si>
  <si>
    <t>3050000-102-2005-00001</t>
  </si>
  <si>
    <t xml:space="preserve">서울특별시 동대문구 장안동 368-4번지 (장한로 130) </t>
  </si>
  <si>
    <t>서울특별시 동대문구 장한로 130 (장안동,(장한로 130))</t>
  </si>
  <si>
    <t>3050000-102-2018-00001</t>
  </si>
  <si>
    <t xml:space="preserve">서울특별시 동대문구 장안동 364-2 </t>
  </si>
  <si>
    <t>서울특별시 동대문구 장한로 86, 지하1층 (장안동)</t>
  </si>
  <si>
    <t>3050000-102-2018-00002</t>
  </si>
  <si>
    <t xml:space="preserve">서울특별시 동대문구 전농동 622-1번지 </t>
  </si>
  <si>
    <t>서울특별시 동대문구 답십리로 9, 2층 (전농동)</t>
  </si>
  <si>
    <t>3050000-102-1990-08502</t>
  </si>
  <si>
    <t xml:space="preserve">서울특별시 동대문구 답십리동 234번지 </t>
  </si>
  <si>
    <t>3050000-102-1990-08504</t>
  </si>
  <si>
    <t xml:space="preserve">서울특별시 동대문구 장안동 366-7 </t>
  </si>
  <si>
    <t>서울특별시 동대문구 장한로 110 (장안동)</t>
  </si>
  <si>
    <t>3050000-102-1990-08417</t>
  </si>
  <si>
    <t>3050000-102-1984-08447</t>
  </si>
  <si>
    <t xml:space="preserve">서울특별시 동대문구 장안동 345-8번지 </t>
  </si>
  <si>
    <t>3050000-102-1984-08434</t>
  </si>
  <si>
    <t xml:space="preserve">서울특별시 동대문구 답십리동 530-15번지 </t>
  </si>
  <si>
    <t>서울특별시 동대문구 전농로 5, 지하1층 (답십리동)</t>
  </si>
  <si>
    <t>3050000-102-1985-08423</t>
  </si>
  <si>
    <t xml:space="preserve">서울특별시 동대문구 장안동 366-7번지 </t>
  </si>
  <si>
    <t>서울특별시 동대문구 장한로 110 (장안동,(장한로 110))</t>
  </si>
  <si>
    <t>3050000-102-1991-08493</t>
  </si>
  <si>
    <t xml:space="preserve">서울특별시 동대문구 답십리동 193번지 </t>
  </si>
  <si>
    <t>3050000-102-1999-10899</t>
  </si>
  <si>
    <t xml:space="preserve">서울특별시 동대문구 전농동 597-5번지 (망우로 44) </t>
  </si>
  <si>
    <t>3050000-102-1999-11081</t>
  </si>
  <si>
    <t xml:space="preserve">서울특별시 동대문구 장안동 465-11번지 </t>
  </si>
  <si>
    <t>3050000-102-1999-11239</t>
  </si>
  <si>
    <t xml:space="preserve">서울특별시 동대문구 장안동 372-4번지 </t>
  </si>
  <si>
    <t>3050000-102-1999-11396</t>
  </si>
  <si>
    <t xml:space="preserve">서울특별시 동대문구 답십리동 492-3번지 </t>
  </si>
  <si>
    <t>3050000-102-2000-12117</t>
  </si>
  <si>
    <t>서울특별시 동대문구 장안동 367-3</t>
  </si>
  <si>
    <t>서울특별시 동대문구 장한로24길 7, 지하1층 (장안동)</t>
  </si>
  <si>
    <t>3050000-102-2024-00001</t>
  </si>
  <si>
    <t>서울특별시 동대문구 장안동 366-2 지하 1층</t>
  </si>
  <si>
    <t>서울특별시 동대문구 장한로24길 8, 지하 1층 (장안동)</t>
  </si>
  <si>
    <t>3050000-102-1999-11397</t>
  </si>
  <si>
    <t xml:space="preserve">서울특별시 동대문구 장안동 366-1번지 </t>
  </si>
  <si>
    <t>3050000-102-2002-00001</t>
  </si>
  <si>
    <t xml:space="preserve">서울특별시 동대문구 전농동 620-4번지 </t>
  </si>
  <si>
    <t>3050000-102-2002-00002</t>
  </si>
  <si>
    <t xml:space="preserve">서울특별시 동대문구 장안동 373-3번지 </t>
  </si>
  <si>
    <t>3050000-102-2002-00003</t>
  </si>
  <si>
    <t xml:space="preserve">서울특별시 동대문구 장안동 464-3번지 나동지층 </t>
  </si>
  <si>
    <t>3050000-102-2002-00004</t>
  </si>
  <si>
    <t xml:space="preserve">서울특별시 동대문구 답십리동 492-1번지 </t>
  </si>
  <si>
    <t>3050000-102-2019-00003</t>
  </si>
  <si>
    <t xml:space="preserve">서울특별시 동대문구 장안동 372-4 </t>
  </si>
  <si>
    <t>서울특별시 동대문구 장한로 111, 지상2층 (장안동)</t>
  </si>
  <si>
    <t>3050000-102-1984-08490</t>
  </si>
  <si>
    <t xml:space="preserve">서울특별시 동대문구 휘경동 321-25 </t>
  </si>
  <si>
    <t>서울특별시 동대문구 이문로 40, 2층 (휘경동)</t>
  </si>
  <si>
    <t>3050000-102-1984-08484</t>
  </si>
  <si>
    <t xml:space="preserve">서울특별시 동대문구 장안동 367-8 </t>
  </si>
  <si>
    <t>서울특별시 동대문구 장한로 122, 지하1층 (장안동)</t>
  </si>
  <si>
    <t>3050000-102-1985-08478</t>
  </si>
  <si>
    <t xml:space="preserve">서울특별시 동대문구 이문동 358-3 (지하1층) </t>
  </si>
  <si>
    <t>서울특별시 동대문구 이문로 200 (이문동,(지하1층))</t>
  </si>
  <si>
    <t>3050000-102-2000-11983</t>
  </si>
  <si>
    <t xml:space="preserve">서울특별시 동대문구 이문동 255-260번지 (이문로 174) </t>
  </si>
  <si>
    <t>서울특별시 동대문구 이문로 174 (이문동,(이문로 174))</t>
  </si>
  <si>
    <t>3050000-102-2000-12300</t>
  </si>
  <si>
    <t xml:space="preserve">서울특별시 동대문구 장안동 382-23 </t>
  </si>
  <si>
    <t>서울특별시 동대문구 장한로21길 11-4 (장안동)</t>
  </si>
  <si>
    <t>3050000-102-2018-00003</t>
  </si>
  <si>
    <t>서울특별시 동대문구 장안동 366-2</t>
  </si>
  <si>
    <t>서울특별시 동대문구 장한로24길 8, 지상2층 (장안동)</t>
  </si>
  <si>
    <t>3050000-102-2019-00005</t>
  </si>
  <si>
    <t>서울특별시 동대문구 장안동 372-3</t>
  </si>
  <si>
    <t>서울특별시 동대문구 장한로 111-1, 지하1층 (장안동)</t>
  </si>
  <si>
    <t>3050000-102-2001-13063</t>
  </si>
  <si>
    <t xml:space="preserve">서울특별시 동대문구 용두동 689-19번지 (왕산로 248-1) </t>
  </si>
  <si>
    <t>서울특별시 동대문구 왕산로 112 (용두동,(왕산로 248-1))</t>
  </si>
  <si>
    <t>3050000-102-2000-11839</t>
  </si>
  <si>
    <t xml:space="preserve">서울특별시 동대문구 장안동 431-2번지 </t>
  </si>
  <si>
    <t>서울특별시 동대문구 장한로 27, 지하1층 (장안동)</t>
  </si>
  <si>
    <t>3050000-102-2000-12395</t>
  </si>
  <si>
    <t xml:space="preserve">서울특별시 동대문구 청량리동 30-1 </t>
  </si>
  <si>
    <t>서울특별시 동대문구 왕산로 273 (청량리동)</t>
  </si>
  <si>
    <t>3050000-102-1984-08441</t>
  </si>
  <si>
    <t xml:space="preserve">서울특별시 동대문구 휘경동 321-57 </t>
  </si>
  <si>
    <t>서울특별시 동대문구 이문로 36, 지하1층 (휘경동)</t>
  </si>
  <si>
    <t>3050000-102-2004-00003</t>
  </si>
  <si>
    <t xml:space="preserve">서울특별시 동대문구 장안동 365-6번지 8층 </t>
  </si>
  <si>
    <t>서울특별시 동대문구 장한로 92, 8층 (장안동)</t>
  </si>
  <si>
    <t>3050000-102-1984-08495</t>
  </si>
  <si>
    <t xml:space="preserve">서울특별시 동대문구 신설동 76-35 </t>
  </si>
  <si>
    <t>서울특별시 동대문구 왕산로 11, 지하1층 (신설동)</t>
  </si>
  <si>
    <t>3050000-102-1984-08457</t>
  </si>
  <si>
    <t xml:space="preserve">서울특별시 동대문구 장안동 366-11 지하1층 </t>
  </si>
  <si>
    <t>서울특별시 동대문구 장한로 114, 지하1층 (장안동)</t>
  </si>
  <si>
    <t>3050000-102-1990-08464</t>
  </si>
  <si>
    <t xml:space="preserve">서울특별시 동대문구 답십리동 952-18번지 지하1층 </t>
  </si>
  <si>
    <t>3050000-102-1999-10847</t>
  </si>
  <si>
    <t xml:space="preserve">서울특별시 동대문구 답십리동 961-2 지하1층 10,11,12호 </t>
  </si>
  <si>
    <t>서울특별시 동대문구 고미술로 100, 지하1층 (답십리동, 지하1층 10,11,12호)</t>
  </si>
  <si>
    <t>3050000-102-1999-11118</t>
  </si>
  <si>
    <t xml:space="preserve">서울특별시 동대문구 장안동 464-8번지 지하1층 </t>
  </si>
  <si>
    <t>서울특별시 동대문구 천호대로 425, 지하1층 (장안동)</t>
  </si>
  <si>
    <t>3050000-102-2003-00001</t>
  </si>
  <si>
    <t xml:space="preserve">서울특별시 동대문구 답십리동 496-17 </t>
  </si>
  <si>
    <t>서울특별시 동대문구 천호대로 269 (답십리동)</t>
  </si>
  <si>
    <t>3050000-102-1986-08483</t>
  </si>
  <si>
    <t xml:space="preserve">서울특별시 동대문구 장안동 366-2번지 </t>
  </si>
  <si>
    <t>3050000-102-1986-08442</t>
  </si>
  <si>
    <t xml:space="preserve">서울특별시 동대문구 답십리동 982번지 </t>
  </si>
  <si>
    <t>3050000-102-1986-08411</t>
  </si>
  <si>
    <t xml:space="preserve">서울특별시 동대문구 장안동 366-11번지 </t>
  </si>
  <si>
    <t>3050000-102-1987-08498</t>
  </si>
  <si>
    <t xml:space="preserve">서울특별시 동대문구 장안동 373-3번지 지하1층 </t>
  </si>
  <si>
    <t>3050000-102-2000-11840</t>
  </si>
  <si>
    <t>서울특별시 동대문구 장안동 464-4</t>
  </si>
  <si>
    <t>서울특별시 동대문구 장한로2길 18, 지하1층 (장안동)</t>
  </si>
  <si>
    <t>3050000-102-1987-08475</t>
  </si>
  <si>
    <t>3050000-102-1987-08453</t>
  </si>
  <si>
    <t xml:space="preserve">서울특별시 동대문구 답십리동 495-1 </t>
  </si>
  <si>
    <t>서울특별시 동대문구 천호대로 281 (답십리동, 지하1층)</t>
  </si>
  <si>
    <t>3050000-102-1987-08488</t>
  </si>
  <si>
    <t xml:space="preserve">서울특별시 동대문구 장안동 364-1번지 </t>
  </si>
  <si>
    <t>3050000-102-2000-12196</t>
  </si>
  <si>
    <t>3050000-102-2000-12201</t>
  </si>
  <si>
    <t xml:space="preserve">서울특별시 동대문구 장안동 372-5번지 (장한로 105) </t>
  </si>
  <si>
    <t>3050000-102-1987-08489</t>
  </si>
  <si>
    <t xml:space="preserve">서울특별시 동대문구 장안동 364-3번지 </t>
  </si>
  <si>
    <t>서울특별시 동대문구 장한로 84, 지하1층 (장안동)</t>
  </si>
  <si>
    <t>3050000-102-1987-08460</t>
  </si>
  <si>
    <t xml:space="preserve">서울특별시 동대문구 답십리동 494-5번지 6 </t>
  </si>
  <si>
    <t>3050000-102-1987-08432</t>
  </si>
  <si>
    <t xml:space="preserve">서울특별시 동대문구 답십리동 125번지 </t>
  </si>
  <si>
    <t>3050000-102-1987-08487</t>
  </si>
  <si>
    <t xml:space="preserve">서울특별시 동대문구 장안동 364-2번지 </t>
  </si>
  <si>
    <t>3050000-102-1987-08461</t>
  </si>
  <si>
    <t xml:space="preserve">서울특별시 동대문구 답십리동 401번지 </t>
  </si>
  <si>
    <t>3050000-102-1987-08425</t>
  </si>
  <si>
    <t xml:space="preserve">서울특별시 동대문구 답십리동 109번지 </t>
  </si>
  <si>
    <t>3050000-102-1987-08409</t>
  </si>
  <si>
    <t xml:space="preserve">서울특별시 동대문구 장안동 367-2번지 </t>
  </si>
  <si>
    <t>3050000-102-1988-08435</t>
  </si>
  <si>
    <t xml:space="preserve">서울특별시 동대문구 장안동 365-8 </t>
  </si>
  <si>
    <t>서울특별시 동대문구 장한로 96, 지하1층 (장안동)</t>
  </si>
  <si>
    <t>3050000-102-1988-08446</t>
  </si>
  <si>
    <t xml:space="preserve">서울특별시 동대문구 용두동 34-10번지 </t>
  </si>
  <si>
    <t>3050000-102-2001-12728</t>
  </si>
  <si>
    <t xml:space="preserve">서울특별시 동대문구 장안동 433-2번지 </t>
  </si>
  <si>
    <t>3050000-102-2001-12741</t>
  </si>
  <si>
    <t xml:space="preserve">서울특별시 동대문구 장안동 345-2번지 </t>
  </si>
  <si>
    <t>3050000-102-2001-12820</t>
  </si>
  <si>
    <t xml:space="preserve">서울특별시 동대문구 장안동 367-6 (장평11길 4) </t>
  </si>
  <si>
    <t>서울특별시 동대문구 장한로26길 6 (장안동,(장평11길 4))</t>
  </si>
  <si>
    <t>3050000-102-2001-12821</t>
  </si>
  <si>
    <t xml:space="preserve">서울특별시 동대문구 장안동 365-1 지하1층 </t>
  </si>
  <si>
    <t>서울특별시 동대문구 장한로 102, 지하1층 (장안동)</t>
  </si>
  <si>
    <t>3050000-102-1988-08454</t>
  </si>
  <si>
    <t>3050000-102-1988-08505</t>
  </si>
  <si>
    <t xml:space="preserve">서울특별시 동대문구 답십리동 176번지 </t>
  </si>
  <si>
    <t>3050000-102-1991-08491</t>
  </si>
  <si>
    <t xml:space="preserve">서울특별시 동대문구 전농동 620-49번지 (청량리역2길 16) </t>
  </si>
  <si>
    <t>3050000-102-1991-08412</t>
  </si>
  <si>
    <t xml:space="preserve">서울특별시 동대문구 답십리동 497-23번지 </t>
  </si>
  <si>
    <t>3050000-102-1993-08466</t>
  </si>
  <si>
    <t xml:space="preserve">서울특별시 동대문구 장안동 365-1번지 </t>
  </si>
  <si>
    <t>3050000-102-1994-08407</t>
  </si>
  <si>
    <t xml:space="preserve">서울특별시 동대문구 전농동 597-3번지 </t>
  </si>
  <si>
    <t>3050000-102-2001-13068</t>
  </si>
  <si>
    <t>3050000-102-2001-13064</t>
  </si>
  <si>
    <t>3050000-102-2001-13065</t>
  </si>
  <si>
    <t xml:space="preserve">서울특별시 동대문구 전농동 620-122번지 </t>
  </si>
  <si>
    <t>3050000-102-2001-13066</t>
  </si>
  <si>
    <t xml:space="preserve">서울특별시 동대문구 답십리동 496-2번지 (천호대로 101) </t>
  </si>
  <si>
    <t>서울특별시 동대문구 천호대로 267 (답십리동,(천호대로 101))</t>
  </si>
  <si>
    <t>3050000-102-2000-12328</t>
  </si>
  <si>
    <t xml:space="preserve">서울특별시 동대문구 전농동 620-27번지 </t>
  </si>
  <si>
    <t>3050000-102-2000-12396</t>
  </si>
  <si>
    <t>3050000-102-2000-12370</t>
  </si>
  <si>
    <t xml:space="preserve">서울특별시 동대문구 장안동 345-8번지 (지하1층) (장평15길 19-1) </t>
  </si>
  <si>
    <t>서울특별시 동대문구 장한로26가길 39 (장안동,(지하1층) (장평15길 19-1))</t>
  </si>
  <si>
    <t>3050000-102-1986-08436</t>
  </si>
  <si>
    <t xml:space="preserve">서울특별시 동대문구 장안동 365-9번지 (장한로 100) </t>
  </si>
  <si>
    <t>서울특별시 동대문구 장한로 100 (장안동,(장한로 100))</t>
  </si>
  <si>
    <t>3050000-102-1986-08421</t>
  </si>
  <si>
    <t xml:space="preserve">서울특별시 동대문구 전농동 620-69번지 </t>
  </si>
  <si>
    <t>3050000-102-1986-08431</t>
  </si>
  <si>
    <t xml:space="preserve">서울특별시 동대문구 청량리동 317-0번지 </t>
  </si>
  <si>
    <t>3050000-102-1986-08485</t>
  </si>
  <si>
    <t xml:space="preserve">서울특별시 동대문구 장안동 372-2번지 </t>
  </si>
  <si>
    <t>3050000-102-2006-00004</t>
  </si>
  <si>
    <t xml:space="preserve">서울특별시 동대문구 장안동 365-2번지 (지하1층) (장평9길 6) </t>
  </si>
  <si>
    <t>서울특별시 동대문구 장한로22길 8 (장안동,(지하1층) (장평9길 6))</t>
  </si>
  <si>
    <t>3050000-102-2006-00005</t>
  </si>
  <si>
    <t xml:space="preserve">서울특별시 동대문구 장안동 366-6번지 (지상3층) (장한로 106) </t>
  </si>
  <si>
    <t>3050000-102-2019-00001</t>
  </si>
  <si>
    <t xml:space="preserve">서울특별시 동대문구 장안동 465-2번지 </t>
  </si>
  <si>
    <t>서울특별시 동대문구 장한로2길 36, 지상2~3층 (장안동)</t>
  </si>
  <si>
    <t>3050000-102-2019-00002</t>
  </si>
  <si>
    <t xml:space="preserve">서울특별시 동대문구 전농동 622-1 </t>
  </si>
  <si>
    <t>서울특별시 동대문구 답십리로 9, 지층 (전농동)</t>
  </si>
  <si>
    <t>3050000-102-2019-00004</t>
  </si>
  <si>
    <t xml:space="preserve">서울특별시 동대문구 장안동 366-7번지 경남관광호텔 </t>
  </si>
  <si>
    <t>서울특별시 동대문구 장한로 110, 경남관광호텔 지하1층 (장안동)</t>
  </si>
  <si>
    <t>3050000-102-1999-11406</t>
  </si>
  <si>
    <t xml:space="preserve">서울특별시 동대문구 장안동 365-9번지 </t>
  </si>
  <si>
    <t>3050000-102-1999-11407</t>
  </si>
  <si>
    <t xml:space="preserve">서울특별시 동대문구 휘경동 330번지 (이문로 22) </t>
  </si>
  <si>
    <t>3050000-102-2000-11477</t>
  </si>
  <si>
    <t xml:space="preserve">서울특별시 동대문구 답십리동 496-2번지 </t>
  </si>
  <si>
    <t>3050000-102-1984-08509</t>
  </si>
  <si>
    <t xml:space="preserve">서울특별시 동대문구 전농동 597-11번지 </t>
  </si>
  <si>
    <t>서울특별시 동대문구 왕산로 244-1 (전농동)</t>
  </si>
  <si>
    <t>3050000-102-1984-08501</t>
  </si>
  <si>
    <t xml:space="preserve">서울특별시 동대문구 답십리동 961-9번지 </t>
  </si>
  <si>
    <t>3050000-102-1984-08410</t>
  </si>
  <si>
    <t>3050000-102-1984-08496</t>
  </si>
  <si>
    <t>3050000-102-1984-08456</t>
  </si>
  <si>
    <t>3050000-102-1984-08494</t>
  </si>
  <si>
    <t>3050000-102-2016-00001</t>
  </si>
  <si>
    <t xml:space="preserve">서울특별시 동대문구 장안동 366-2 지하1층 </t>
  </si>
  <si>
    <t>서울특별시 동대문구 장한로24길 8 (장안동, 지하1층)</t>
  </si>
  <si>
    <t>3050000-102-1985-08477</t>
  </si>
  <si>
    <t xml:space="preserve">서울특별시 동대문구 이문동 256-371번지 </t>
  </si>
  <si>
    <t>3050000-102-1985-08429</t>
  </si>
  <si>
    <t>3050000-102-1985-08451</t>
  </si>
  <si>
    <t>3050000-102-1985-08481</t>
  </si>
  <si>
    <t xml:space="preserve">서울특별시 동대문구 장안동 372-3번지 (장한로 111) </t>
  </si>
  <si>
    <t>3050000-102-1985-08474</t>
  </si>
  <si>
    <t xml:space="preserve">서울특별시 동대문구 장안동 344-4번지 지하1층 </t>
  </si>
  <si>
    <t>서울특별시 동대문구 장한로24길 19, 지하1층 (장안동)</t>
  </si>
  <si>
    <t>3050000-102-1985-08437</t>
  </si>
  <si>
    <t>3050000-102-1985-08448</t>
  </si>
  <si>
    <t xml:space="preserve">서울특별시 동대문구 답십리동 624번지 </t>
  </si>
  <si>
    <t>3050000-102-1985-08418</t>
  </si>
  <si>
    <t xml:space="preserve">서울특별시 동대문구 장안동 372-9번지 지하1층 </t>
  </si>
  <si>
    <t>서울특별시 동대문구 장한로23길 7, 지하1층 (장안동)</t>
  </si>
  <si>
    <t>3050000-102-1985-08439</t>
  </si>
  <si>
    <t xml:space="preserve">서울특별시 동대문구 답십리동 819번지 </t>
  </si>
  <si>
    <t>3050000-102-2000-11848</t>
  </si>
  <si>
    <t xml:space="preserve">서울특별시 동대문구 장안동 416-6 동보빌딩 </t>
  </si>
  <si>
    <t>서울특별시 동대문구 천호대로 405, 동보빌딩 지하1층 (장안동)</t>
  </si>
  <si>
    <t>3050000-102-2007-00002</t>
  </si>
  <si>
    <t xml:space="preserve">서울특별시 동대문구 장안동 366-7 4층 </t>
  </si>
  <si>
    <t>서울특별시 동대문구 장한로 110, 4층 (장안동)</t>
  </si>
  <si>
    <t>3050000-102-2007-00003</t>
  </si>
  <si>
    <t xml:space="preserve">서울특별시 동대문구 답십리동 497-23번지 지하1층 </t>
  </si>
  <si>
    <t>3050000-102-2008-00001</t>
  </si>
  <si>
    <t xml:space="preserve">서울특별시 동대문구 전농동 620-49번지 </t>
  </si>
  <si>
    <t>3050000-102-1969-08470</t>
  </si>
  <si>
    <t xml:space="preserve">서울특별시 동대문구 신설동 76-25 2층 </t>
  </si>
  <si>
    <t>서울특별시 동대문구 한빛로 6-1, 2층 (신설동)</t>
  </si>
  <si>
    <t>3050000-102-1969-08469</t>
  </si>
  <si>
    <t>3050000-102-1971-08408</t>
  </si>
  <si>
    <t xml:space="preserve">서울특별시 동대문구 청량리동 176-18번지 </t>
  </si>
  <si>
    <t>3050000-102-1971-08427</t>
  </si>
  <si>
    <t xml:space="preserve">서울특별시 동대문구 휘경동 320-2번지 </t>
  </si>
  <si>
    <t>서울특별시 동대문구 회기로 189 (휘경동)</t>
  </si>
  <si>
    <t>3050000-102-1971-08443</t>
  </si>
  <si>
    <t xml:space="preserve">서울특별시 동대문구 전농동 295-7 지하1층 </t>
  </si>
  <si>
    <t>서울특별시 동대문구 사가정로 111, 지하1층 (전농동)</t>
  </si>
  <si>
    <t>3050000-102-1971-08471</t>
  </si>
  <si>
    <t xml:space="preserve">서울특별시 동대문구 장안동 372-12번지 </t>
  </si>
  <si>
    <t>3050000-102-2006-00001</t>
  </si>
  <si>
    <t>3050000-102-2006-00002</t>
  </si>
  <si>
    <t xml:space="preserve">서울특별시 동대문구 답십리동 530-15번지 (지상3층) </t>
  </si>
  <si>
    <t>3050000-102-2006-00003</t>
  </si>
  <si>
    <t xml:space="preserve">서울특별시 동대문구 장안동 366-2번지 (지하1층) (장평10길 4) </t>
  </si>
  <si>
    <t>3050000-102-1982-08486</t>
  </si>
  <si>
    <t xml:space="preserve">서울특별시 동대문구 장안동 372-1번지 </t>
  </si>
  <si>
    <t>3050000-102-1982-08465</t>
  </si>
  <si>
    <t xml:space="preserve">서울특별시 동대문구 장안동 103-1번지 (사가정길 222) </t>
  </si>
  <si>
    <t>서울특별시 동대문구 사가정로 222 (장안동,(사가정길 222))</t>
  </si>
  <si>
    <t>3050000-102-1982-08472</t>
  </si>
  <si>
    <t>서울특별시 동대문구 천호대로 313, 지하1층 (답십리동)</t>
  </si>
  <si>
    <t>3050000-102-1982-08430</t>
  </si>
  <si>
    <t xml:space="preserve">서울특별시 동대문구 용두동 9-6번지 </t>
  </si>
  <si>
    <t>3050000-102-1982-08497</t>
  </si>
  <si>
    <t xml:space="preserve">서울특별시 동대문구 전농동 602-23번지 (망우로 52-1) </t>
  </si>
  <si>
    <t>3050000-102-1983-08416</t>
  </si>
  <si>
    <t>3050000-102-1984-08508</t>
  </si>
  <si>
    <t>3050000-102-1983-08415</t>
  </si>
  <si>
    <t>서울특별시 동대문구 답십리로 9 (전농동)</t>
  </si>
  <si>
    <t>3050000-102-2010-00005</t>
  </si>
  <si>
    <t>3050000-102-2010-00006</t>
  </si>
  <si>
    <t xml:space="preserve">서울특별시 동대문구 장안동 372-12번지 지하1층 </t>
  </si>
  <si>
    <t>서울특별시 동대문구 장한로 107 (장안동,지하1층)</t>
  </si>
  <si>
    <t>3050000-102-1983-08413</t>
  </si>
  <si>
    <t xml:space="preserve">서울특별시 동대문구 제기동 654-1번지 (왕산로 305) </t>
  </si>
  <si>
    <t>3050000-102-1983-08419</t>
  </si>
  <si>
    <t xml:space="preserve">서울특별시 동대문구 장안동 364-5번지 </t>
  </si>
  <si>
    <t>3050000-102-2011-00001</t>
  </si>
  <si>
    <t>서울특별시 동대문구 왕산로 192-2, 지하1층 (전농동)</t>
  </si>
  <si>
    <t>3050000-102-2011-00002</t>
  </si>
  <si>
    <t xml:space="preserve">서울특별시 동대문구 장안동 365-1 2층 </t>
  </si>
  <si>
    <t>서울특별시 동대문구 장한로 102, 2층 (장안동)</t>
  </si>
  <si>
    <t>3050000-102-2011-00003</t>
  </si>
  <si>
    <t xml:space="preserve">서울특별시 동대문구 전농동 620-4번지 지하1층 </t>
  </si>
  <si>
    <t>3050000-102-2012-00002</t>
  </si>
  <si>
    <t>서울특별시 동대문구 장한로 80, 지하1층 (장안동)</t>
  </si>
  <si>
    <t>3050000-102-2012-00004</t>
  </si>
  <si>
    <t xml:space="preserve">서울특별시 동대문구 장안동 366-2번지 지하1층 </t>
  </si>
  <si>
    <t>서울특별시 동대문구 장한로24길 6, 지하1층 (장안동)</t>
  </si>
  <si>
    <t>3050000-102-1977-08506</t>
  </si>
  <si>
    <t xml:space="preserve">서울특별시 동대문구 답십리동 465-39 (천호대로 59) </t>
  </si>
  <si>
    <t>서울특별시 동대문구 천호대로 225 (답십리동,(천호대로 59))</t>
  </si>
  <si>
    <t>3050000-102-1977-08440</t>
  </si>
  <si>
    <t xml:space="preserve">서울특별시 동대문구 답십리동 126번지 </t>
  </si>
  <si>
    <t>3050000-102-1979-08422</t>
  </si>
  <si>
    <t xml:space="preserve">서울특별시 동대문구 답십리동 825번지 </t>
  </si>
  <si>
    <t>3050000-102-1981-08479</t>
  </si>
  <si>
    <t xml:space="preserve">서울특별시 동대문구 제기동 1140-5번지 </t>
  </si>
  <si>
    <t>3050000-102-1981-08452</t>
  </si>
  <si>
    <t>서울특별시 동대문구 장한로 105 (장안동,(장한로 105))</t>
  </si>
  <si>
    <t>3050000-102-2009-00001</t>
  </si>
  <si>
    <t xml:space="preserve">서울특별시 동대문구 장안동 364-1 지하1층 </t>
  </si>
  <si>
    <t>서울특별시 동대문구 장한로 88, 지하1층 (장안동)</t>
  </si>
  <si>
    <t>3050000-102-2010-00004</t>
  </si>
  <si>
    <t>서울특별시 동대문구 답십리동 530-15번지 지하1층 7호</t>
  </si>
  <si>
    <t>서울특별시 동대문구 전농로 5, 지하1층 7호 (답십리동)</t>
  </si>
  <si>
    <t>3050000-102-1973-08510</t>
  </si>
  <si>
    <t xml:space="preserve">서울특별시 동대문구 신설동 76-28번지 </t>
  </si>
  <si>
    <t>3050000-102-1973-08468</t>
  </si>
  <si>
    <t xml:space="preserve">서울특별시 동대문구 휘경동 321-26번지 (지상2층) (이문로 38) </t>
  </si>
  <si>
    <t>3050000-102-1974-08445</t>
  </si>
  <si>
    <t>3050000-102-1975-08424</t>
  </si>
  <si>
    <t xml:space="preserve">서울특별시 동대문구 전농동 620-25번지 ,26,27 </t>
  </si>
  <si>
    <t>3050000-102-1976-08426</t>
  </si>
  <si>
    <t xml:space="preserve">서울특별시 동대문구 청량리동 50-1번지 </t>
  </si>
  <si>
    <t>3050000-102-1986-08433</t>
  </si>
  <si>
    <t xml:space="preserve">서울특별시 동대문구 답십리동 509번지 </t>
  </si>
  <si>
    <t>3050000-102-2002-00005</t>
  </si>
  <si>
    <t xml:space="preserve">서울특별시 동대문구 장안동 344-9번지 </t>
  </si>
  <si>
    <t>3050000-102-2002-00006</t>
  </si>
  <si>
    <t xml:space="preserve">서울특별시 동대문구 장안동 464-1번지 </t>
  </si>
  <si>
    <t>3050000-102-2002-00007</t>
  </si>
  <si>
    <t xml:space="preserve">서울특별시 동대문구 장안동 368-4번지 </t>
  </si>
  <si>
    <t>3050000-102-2001-12464</t>
  </si>
  <si>
    <t>3050000-102-2001-12546</t>
  </si>
  <si>
    <t xml:space="preserve">서울특별시 동대문구 장안동 373-2번지 </t>
  </si>
  <si>
    <t>3050000-102-2001-12568</t>
  </si>
  <si>
    <t xml:space="preserve">서울특별시 동대문구 이문동 256-26 (이문로 185) </t>
  </si>
  <si>
    <t>서울특별시 동대문구 이문로 185 (이문동,(이문로 185))</t>
  </si>
  <si>
    <t>3050000-102-2001-12667</t>
  </si>
  <si>
    <t xml:space="preserve">서울특별시 동대문구 답십리동 493-3 (천호대로 137) </t>
  </si>
  <si>
    <t>서울특별시 동대문구 천호대로 301-1 (답십리동,(천호대로 137))</t>
  </si>
  <si>
    <t>3050000-102-1999-10622</t>
  </si>
  <si>
    <t xml:space="preserve">서울특별시 동대문구 장안동 371-10 지하1층 </t>
  </si>
  <si>
    <t>서울특별시 동대문구 장한로25길 3, 지하1층 (장안동)</t>
  </si>
  <si>
    <t>3050000-102-2016-00002</t>
  </si>
  <si>
    <t xml:space="preserve">서울특별시 동대문구 신설동 76-25 3층 </t>
  </si>
  <si>
    <t>서울특별시 동대문구 한빛로 6-1, 3층 (신설동)</t>
  </si>
  <si>
    <t>3050000-102-1984-08450</t>
  </si>
  <si>
    <t>3050000-102-1984-08503</t>
  </si>
  <si>
    <t xml:space="preserve">서울특별시 동대문구 전농동 597-2번지 </t>
  </si>
  <si>
    <t>3050000-102-1984-08500</t>
  </si>
  <si>
    <t>3050000-102-1984-08455</t>
  </si>
  <si>
    <t xml:space="preserve">서울특별시 동대문구 전농동 602-23번지 </t>
  </si>
  <si>
    <t>3050000-102-1984-08511</t>
  </si>
  <si>
    <t xml:space="preserve">서울특별시 동대문구 답십리동 909번지 </t>
  </si>
  <si>
    <t>3050000-102-1984-08463</t>
  </si>
  <si>
    <t>3050000-102-1984-08438</t>
  </si>
  <si>
    <t xml:space="preserve">서울특별시 동대문구 휘경동 330-0번지 </t>
  </si>
  <si>
    <t>3050000-102-1985-08473</t>
  </si>
  <si>
    <t xml:space="preserve">서울특별시 동대문구 장안동 371-4번지 </t>
  </si>
  <si>
    <t>3050000-102-2000-11585</t>
  </si>
  <si>
    <t xml:space="preserve">서울특별시 동대문구 장안동 372-9번지 </t>
  </si>
  <si>
    <t>3050000-102-2000-11602</t>
  </si>
  <si>
    <t>3050000-102-2000-11624</t>
  </si>
  <si>
    <t>3050000-102-2000-11728</t>
  </si>
  <si>
    <t xml:space="preserve">서울특별시 동대문구 장안동 433-19번지 </t>
  </si>
  <si>
    <t>3060000-102-2000-09591</t>
  </si>
  <si>
    <t xml:space="preserve">서울특별시 중랑구 망우동 490-19번지 </t>
  </si>
  <si>
    <t>서울특별시 중랑구 망우로 394 (망우동)</t>
  </si>
  <si>
    <t>3060000-102-2001-09825</t>
  </si>
  <si>
    <t xml:space="preserve">서울특별시 중랑구 상봉동 88-92번지 </t>
  </si>
  <si>
    <t>서울특별시 중랑구 봉우재로33길 74 (상봉동)</t>
  </si>
  <si>
    <t>3060000-102-1978-06643</t>
  </si>
  <si>
    <t xml:space="preserve">서울특별시 중랑구 묵동 175-2번지 </t>
  </si>
  <si>
    <t>서울특별시 중랑구 동일로 920 (묵동)</t>
  </si>
  <si>
    <t>3060000-102-1978-06642</t>
  </si>
  <si>
    <t xml:space="preserve">서울특별시 중랑구 묵동 238-8번지 </t>
  </si>
  <si>
    <t>3060000-102-2011-00002</t>
  </si>
  <si>
    <t xml:space="preserve">서울특별시 중랑구 상봉동 89-41번지 </t>
  </si>
  <si>
    <t>서울특별시 중랑구 봉우재로33길 85, 지하1층 (상봉동)</t>
  </si>
  <si>
    <t>3060000-102-2015-00001</t>
  </si>
  <si>
    <t xml:space="preserve">서울특별시 중랑구 상봉동 89-1번지 5층 </t>
  </si>
  <si>
    <t>서울특별시 중랑구 망우로50길 15 (상봉동)</t>
  </si>
  <si>
    <t>3060000-102-1999-08768</t>
  </si>
  <si>
    <t xml:space="preserve">서울특별시 중랑구 묵동 165-0번지 </t>
  </si>
  <si>
    <t>서울특별시 중랑구 중랑역로 262 (묵동)</t>
  </si>
  <si>
    <t>3060000-102-1999-08065</t>
  </si>
  <si>
    <t xml:space="preserve">서울특별시 중랑구 망우동 564-0 </t>
  </si>
  <si>
    <t>서울특별시 중랑구 망우로 374 (망우동)</t>
  </si>
  <si>
    <t>3060000-102-1973-06646</t>
  </si>
  <si>
    <t xml:space="preserve">서울특별시 중랑구 상봉동 118-0번지 </t>
  </si>
  <si>
    <t>3060000-102-1974-06638</t>
  </si>
  <si>
    <t xml:space="preserve">서울특별시 중랑구 묵동 238-13번지 </t>
  </si>
  <si>
    <t>서울특별시 중랑구 동일로 917 (묵동)</t>
  </si>
  <si>
    <t>3060000-102-1975-06641</t>
  </si>
  <si>
    <t xml:space="preserve">서울특별시 중랑구 상봉동 115-21번지 </t>
  </si>
  <si>
    <t>3060000-102-1977-06640</t>
  </si>
  <si>
    <t xml:space="preserve">서울특별시 중랑구 상봉동 107-43번지 </t>
  </si>
  <si>
    <t>3060000-102-1989-06631</t>
  </si>
  <si>
    <t xml:space="preserve">서울특별시 중랑구 상봉동 90-3번지 </t>
  </si>
  <si>
    <t>서울특별시 중랑구 망우로50길 22 (상봉동)</t>
  </si>
  <si>
    <t>3060000-102-1999-07969</t>
  </si>
  <si>
    <t xml:space="preserve">서울특별시 중랑구 망우동 564-11번지 </t>
  </si>
  <si>
    <t>3060000-102-1999-08968</t>
  </si>
  <si>
    <t>3060000-102-2000-09389</t>
  </si>
  <si>
    <t>3060000-102-2000-09452</t>
  </si>
  <si>
    <t xml:space="preserve">서울특별시 중랑구 상봉동 92-2번지 </t>
  </si>
  <si>
    <t>3060000-102-2000-09512</t>
  </si>
  <si>
    <t xml:space="preserve">서울특별시 중랑구 묵동 164-7번지 </t>
  </si>
  <si>
    <t>3060000-102-2000-09549</t>
  </si>
  <si>
    <t>3060000-102-2003-00001</t>
  </si>
  <si>
    <t xml:space="preserve">서울특별시 중랑구 상봉동 90-1 </t>
  </si>
  <si>
    <t>서울특별시 중랑구 망우로50길 18 (상봉동)</t>
  </si>
  <si>
    <t>3060000-102-2005-00001</t>
  </si>
  <si>
    <t xml:space="preserve">서울특별시 중랑구 묵동 165번지 </t>
  </si>
  <si>
    <t>3060000-102-2007-00001</t>
  </si>
  <si>
    <t xml:space="preserve">서울특별시 중랑구 망우동 506-8번지 </t>
  </si>
  <si>
    <t>3060000-102-2011-00001</t>
  </si>
  <si>
    <t>서울특별시 중랑구 망우로50길 15, 5층 (상봉동)</t>
  </si>
  <si>
    <t>3060000-102-1979-06639</t>
  </si>
  <si>
    <t xml:space="preserve">서울특별시 중랑구 묵동 170-25번지 </t>
  </si>
  <si>
    <t>3060000-102-1979-06633</t>
  </si>
  <si>
    <t xml:space="preserve">서울특별시 중랑구 면목동 72-57 </t>
  </si>
  <si>
    <t>서울특별시 중랑구 겸재로 218 (면목동)</t>
  </si>
  <si>
    <t>3060000-102-1983-06629</t>
  </si>
  <si>
    <t xml:space="preserve">서울특별시 중랑구 상봉동 91-1번지 </t>
  </si>
  <si>
    <t>3060000-102-1984-06634</t>
  </si>
  <si>
    <t xml:space="preserve">서울특별시 중랑구 망우동 508-1번지 </t>
  </si>
  <si>
    <t>3060000-102-1985-06632</t>
  </si>
  <si>
    <t xml:space="preserve">서울특별시 중랑구 망우동 563-16번지 </t>
  </si>
  <si>
    <t>3060000-102-2002-00001</t>
  </si>
  <si>
    <t xml:space="preserve">서울특별시 중랑구 면목동 604-7 </t>
  </si>
  <si>
    <t>서울특별시 중랑구 사가정로 381 (면목동)</t>
  </si>
  <si>
    <t>3060000-102-2001-09826</t>
  </si>
  <si>
    <t xml:space="preserve">서울특별시 중랑구 면목동 611-3번지 </t>
  </si>
  <si>
    <t>서울특별시 중랑구 면목로 318 (면목동)</t>
  </si>
  <si>
    <t>3060000-102-2001-10108</t>
  </si>
  <si>
    <t xml:space="preserve">서울특별시 중랑구 면목동 604-44 </t>
  </si>
  <si>
    <t>서울특별시 중랑구 사가정로 379 (면목동)</t>
  </si>
  <si>
    <t>3060000-102-2001-10109</t>
  </si>
  <si>
    <t xml:space="preserve">서울특별시 중랑구 상봉동 89-16 </t>
  </si>
  <si>
    <t>서울특별시 중랑구 망우로50길 33 (상봉동)</t>
  </si>
  <si>
    <t>3060000-102-2001-10110</t>
  </si>
  <si>
    <t xml:space="preserve">서울특별시 중랑구 면목동 604-41번지 </t>
  </si>
  <si>
    <t>서울특별시 중랑구 사가정로 377 (면목동)</t>
  </si>
  <si>
    <t>3060000-102-1977-06635</t>
  </si>
  <si>
    <t xml:space="preserve">서울특별시 중랑구 상봉동 106-24 </t>
  </si>
  <si>
    <t>서울특별시 중랑구 봉우재로 127 (상봉동)</t>
  </si>
  <si>
    <t>3060000-102-1999-08688</t>
  </si>
  <si>
    <t xml:space="preserve">서울특별시 중랑구 상봉동 91-1 </t>
  </si>
  <si>
    <t>서울특별시 중랑구 망우로 326 (상봉동)</t>
  </si>
  <si>
    <t>3060000-102-2002-00002</t>
  </si>
  <si>
    <t>서울특별시 중랑구 상봉동 92-2</t>
  </si>
  <si>
    <t>서울특별시 중랑구 망우로 328 (상봉동)</t>
  </si>
  <si>
    <t>3060000-102-1988-06636</t>
  </si>
  <si>
    <t>3060000-102-1999-08957</t>
  </si>
  <si>
    <t xml:space="preserve">서울특별시 중랑구 상봉동 89-1번지 </t>
  </si>
  <si>
    <t>3060000-102-2000-09178</t>
  </si>
  <si>
    <t xml:space="preserve">서울특별시 중랑구 상봉동 89-17번지 </t>
  </si>
  <si>
    <t>서울특별시 중랑구 봉우재로33길 79 (상봉동)</t>
  </si>
  <si>
    <t>3060000-102-1979-06637</t>
  </si>
  <si>
    <t xml:space="preserve">서울특별시 중랑구 묵동 238-9 </t>
  </si>
  <si>
    <t>서울특별시 중랑구 동일로 923 (묵동)</t>
  </si>
  <si>
    <t>3060000-102-2000-09277</t>
  </si>
  <si>
    <t xml:space="preserve">서울특별시 중랑구 상봉동 90-10번지 </t>
  </si>
  <si>
    <t>서울특별시 중랑구 망우로50길 30 (상봉동)</t>
  </si>
  <si>
    <t>3060000-102-2007-00002</t>
  </si>
  <si>
    <t xml:space="preserve">서울특별시 중랑구 상봉동 89-17 </t>
  </si>
  <si>
    <t>서울특별시 중랑구 봉우재로33길 79 (상봉동, 3층)</t>
  </si>
  <si>
    <t>3060000-102-2008-00001</t>
  </si>
  <si>
    <t>서울특별시 중랑구 망우로50길 15 (상봉동, 3층)</t>
  </si>
  <si>
    <t>3060000-102-1980-06630</t>
  </si>
  <si>
    <t xml:space="preserve">서울특별시 중랑구 묵동 245-6번지 </t>
  </si>
  <si>
    <t>서울특별시 중랑구 동일로 859 (묵동)</t>
  </si>
  <si>
    <t>3060000-102-1980-06644</t>
  </si>
  <si>
    <t xml:space="preserve">서울특별시 중랑구 묵동 182-21 </t>
  </si>
  <si>
    <t>서울특별시 중랑구 동일로 852 (묵동)</t>
  </si>
  <si>
    <t>3060000-102-2001-09814</t>
  </si>
  <si>
    <t xml:space="preserve">서울특별시 중랑구 상봉동 89-0번지 </t>
  </si>
  <si>
    <t>서울특별시 중랑구 망우로52길 16 (상봉동)</t>
  </si>
  <si>
    <t>3070000-102-1975-07649</t>
  </si>
  <si>
    <t xml:space="preserve">서울특별시 성북구 길음동 535-20번지 </t>
  </si>
  <si>
    <t>3070000-102-1974-07691</t>
  </si>
  <si>
    <t xml:space="preserve">서울특별시 성북구 보문동4가 77-2번지 외3필지(76번지포함) </t>
  </si>
  <si>
    <t>서울특별시 성북구 보문로 78 (보문동4가, 지하1층)</t>
  </si>
  <si>
    <t>3070000-102-2000-10279</t>
  </si>
  <si>
    <t xml:space="preserve">서울특별시 성북구 하월곡동 88-413번지 </t>
  </si>
  <si>
    <t>3070000-102-2000-10336</t>
  </si>
  <si>
    <t xml:space="preserve">서울특별시 성북구 석관동 337-1번지 </t>
  </si>
  <si>
    <t>3070000-102-2000-10345</t>
  </si>
  <si>
    <t xml:space="preserve">서울특별시 성북구 동선동1가 114-1번지 플라망스타워1502호 </t>
  </si>
  <si>
    <t>3070000-102-2000-10353</t>
  </si>
  <si>
    <t xml:space="preserve">서울특별시 성북구 동소문동6가 133-1번지 </t>
  </si>
  <si>
    <t>서울특별시 성북구 아리랑로 3 (동소문동6가)</t>
  </si>
  <si>
    <t>3070000-102-2000-10406</t>
  </si>
  <si>
    <t xml:space="preserve">서울특별시 성북구 장위동 45-12번지 ,13,14,25 </t>
  </si>
  <si>
    <t>3070000-102-2001-10866</t>
  </si>
  <si>
    <t xml:space="preserve">서울특별시 성북구 길음동 25-7번지 </t>
  </si>
  <si>
    <t>3070000-102-2002-00001</t>
  </si>
  <si>
    <t>3070000-102-2003-00001</t>
  </si>
  <si>
    <t xml:space="preserve">서울특별시 성북구 장위동 45-1번지 </t>
  </si>
  <si>
    <t>3070000-102-1967-07652</t>
  </si>
  <si>
    <t xml:space="preserve">서울특별시 성북구 하월곡동 88-71번지 </t>
  </si>
  <si>
    <t>3070000-102-1970-07691</t>
  </si>
  <si>
    <t xml:space="preserve">서울특별시 성북구 종암동 3-75번지 </t>
  </si>
  <si>
    <t>3070000-102-1971-07653</t>
  </si>
  <si>
    <t xml:space="preserve">서울특별시 성북구 종암동 16-4번지 </t>
  </si>
  <si>
    <t>3070000-102-1972-07692</t>
  </si>
  <si>
    <t xml:space="preserve">서울특별시 성북구 성북동 330-115번지 </t>
  </si>
  <si>
    <t>3070000-102-1973-07689</t>
  </si>
  <si>
    <t xml:space="preserve">서울특별시 성북구 안암동5가 104-119번지 ,104-129 </t>
  </si>
  <si>
    <t>3070000-102-1968-07693</t>
  </si>
  <si>
    <t xml:space="preserve">서울특별시 성북구 성북동 323번지 </t>
  </si>
  <si>
    <t>3070000-102-1974-07651</t>
  </si>
  <si>
    <t xml:space="preserve">서울특별시 성북구 종암동 3-1235번지 </t>
  </si>
  <si>
    <t>서울특별시 성북구 종암로22길 7 (종암동)</t>
  </si>
  <si>
    <t>3070000-102-2001-11071</t>
  </si>
  <si>
    <t xml:space="preserve">서울특별시 성북구 동소문동6가 133-2번지 (지하1층) </t>
  </si>
  <si>
    <t>서울특별시 성북구 아리랑로 3 (동소문동6가,(지하1층))</t>
  </si>
  <si>
    <t>3070000-102-2004-00001</t>
  </si>
  <si>
    <t xml:space="preserve">서울특별시 성북구 동선동4가 7 외 1필지 </t>
  </si>
  <si>
    <t>서울특별시 성북구 아리랑로 4 (동선동4가,외 1필지)</t>
  </si>
  <si>
    <t>3070000-102-2005-00001</t>
  </si>
  <si>
    <t xml:space="preserve">서울특별시 성북구 동소문동5가 85번지 </t>
  </si>
  <si>
    <t>서울특별시 성북구 동소문로20길 12 (동소문동5가)</t>
  </si>
  <si>
    <t>3070000-102-2005-00002</t>
  </si>
  <si>
    <t xml:space="preserve">서울특별시 성북구 동선동1가 2-12번지 </t>
  </si>
  <si>
    <t>서울특별시 성북구 동소문로20나길 3 (동선동1가)</t>
  </si>
  <si>
    <t>3070000-102-2011-00001</t>
  </si>
  <si>
    <t xml:space="preserve">서울특별시 성북구 보문동4가 77-2번지 브라운관광호텔 지하1층 </t>
  </si>
  <si>
    <t>서울특별시 성북구 보문로 78 (보문동4가,브라운관광호텔 지하1층)</t>
  </si>
  <si>
    <t>3070000-102-1973-07650</t>
  </si>
  <si>
    <t xml:space="preserve">서울특별시 성북구 길음동 877-195번지 </t>
  </si>
  <si>
    <t>서울특별시 성북구 동소문로 225-3 (길음동)</t>
  </si>
  <si>
    <t>3070000-102-1990-07648</t>
  </si>
  <si>
    <t xml:space="preserve">서울특별시 성북구 종암동 3-1343번지 </t>
  </si>
  <si>
    <t>3080000-102-2017-00002</t>
  </si>
  <si>
    <t xml:space="preserve">서울특별시 강북구 수유동 191-14 지1층 </t>
  </si>
  <si>
    <t>서울특별시 강북구 도봉로 345, 지1층 (수유동)</t>
  </si>
  <si>
    <t>3080000-102-2000-08549</t>
  </si>
  <si>
    <t xml:space="preserve">서울특별시 강북구 수유동 191-77 </t>
  </si>
  <si>
    <t>서울특별시 강북구 한천로139길 41 (수유동)</t>
  </si>
  <si>
    <t>3080000-102-2000-00487</t>
  </si>
  <si>
    <t xml:space="preserve">서울특별시 강북구 미아동 160-2번지 </t>
  </si>
  <si>
    <t>서울특별시 강북구 덕릉로 88 (미아동)</t>
  </si>
  <si>
    <t>3080000-102-2001-00031</t>
  </si>
  <si>
    <t xml:space="preserve">서울특별시 강북구 수유동 191-58 </t>
  </si>
  <si>
    <t>서울특별시 강북구 한천로139길 9 (수유동)</t>
  </si>
  <si>
    <t>3080000-102-2001-08817</t>
  </si>
  <si>
    <t xml:space="preserve">서울특별시 강북구 수유동 47-14 </t>
  </si>
  <si>
    <t>서울특별시 강북구 덕릉로19길 8 (수유동)</t>
  </si>
  <si>
    <t>3080000-102-2001-08807</t>
  </si>
  <si>
    <t xml:space="preserve">서울특별시 강북구 미아동 160-9 </t>
  </si>
  <si>
    <t>서울특별시 강북구 도봉로 284 (미아동)</t>
  </si>
  <si>
    <t>3080000-102-2002-00005</t>
  </si>
  <si>
    <t xml:space="preserve">서울특별시 강북구 수유동 191-51 지하 </t>
  </si>
  <si>
    <t>서울특별시 강북구 한천로139길 7-5 (수유동,지하)</t>
  </si>
  <si>
    <t>3080000-102-2001-08814</t>
  </si>
  <si>
    <t xml:space="preserve">서울특별시 강북구 미아동 44-15번지 </t>
  </si>
  <si>
    <t>서울특별시 강북구 월계로3길 57 (미아동)</t>
  </si>
  <si>
    <t>3080000-102-2001-08811</t>
  </si>
  <si>
    <t xml:space="preserve">서울특별시 강북구 수유동 191-66 </t>
  </si>
  <si>
    <t>서울특별시 강북구 한천로139길 33 (수유동)</t>
  </si>
  <si>
    <t>3080000-102-2002-00003</t>
  </si>
  <si>
    <t xml:space="preserve">서울특별시 강북구 수유동 47-1 지하 </t>
  </si>
  <si>
    <t>서울특별시 강북구 도봉로81길 3 (수유동,지하)</t>
  </si>
  <si>
    <t>3080000-102-2003-00003</t>
  </si>
  <si>
    <t xml:space="preserve">서울특별시 강북구 수유동 229-38번지 </t>
  </si>
  <si>
    <t>서울특별시 강북구 도봉로87길 3-10 (수유동)</t>
  </si>
  <si>
    <t>3080000-102-2003-00005</t>
  </si>
  <si>
    <t xml:space="preserve">서울특별시 강북구 수유동 191-2번지 </t>
  </si>
  <si>
    <t>서울특별시 강북구 도봉로 355 (수유동)</t>
  </si>
  <si>
    <t>3080000-102-2008-00003</t>
  </si>
  <si>
    <t>서울특별시 강북구 수유동 229-11 동오빌딩</t>
  </si>
  <si>
    <t>서울특별시 강북구 도봉로 329, 동오빌딩 지하1층 (수유동)</t>
  </si>
  <si>
    <t>3080000-102-2017-00001</t>
  </si>
  <si>
    <t>서울특별시 강북구 번동 449-1</t>
  </si>
  <si>
    <t>서울특별시 강북구 도봉로 308, 지하 1~2층 (번동)</t>
  </si>
  <si>
    <t>3080000-102-2016-00001</t>
  </si>
  <si>
    <t>서울특별시 강북구 수유동 7-17 지하1층</t>
  </si>
  <si>
    <t>서울특별시 강북구 수유로 82, 지1층 (수유동)</t>
  </si>
  <si>
    <t>3080000-102-2001-08813</t>
  </si>
  <si>
    <t xml:space="preserve">서울특별시 강북구 수유동 191-44 (지하1층) </t>
  </si>
  <si>
    <t>서울특별시 강북구 도봉로 353-1 (수유동,(지하1층))</t>
  </si>
  <si>
    <t>3080000-102-2002-00004</t>
  </si>
  <si>
    <t xml:space="preserve">서울특별시 강북구 수유동 191-12번지 </t>
  </si>
  <si>
    <t>서울특별시 강북구 도봉로89길 1 (수유동)</t>
  </si>
  <si>
    <t>3080000-102-2007-00002</t>
  </si>
  <si>
    <t xml:space="preserve">서울특별시 강북구 수유동 191-13 </t>
  </si>
  <si>
    <t>서울특별시 강북구 도봉로 347 (수유동)</t>
  </si>
  <si>
    <t>3080000-102-2007-00001</t>
  </si>
  <si>
    <t xml:space="preserve">서울특별시 강북구 수유동 191-15 야산빌딩 지하1층 </t>
  </si>
  <si>
    <t>서울특별시 강북구 도봉로 343, 야산빌딩 지하1층 (수유동)</t>
  </si>
  <si>
    <t>3080000-102-2008-00001</t>
  </si>
  <si>
    <t xml:space="preserve">서울특별시 강북구 수유동 86-1 </t>
  </si>
  <si>
    <t>서울특별시 강북구 도봉로73길 11 (수유동)</t>
  </si>
  <si>
    <t>3080000-102-2003-00007</t>
  </si>
  <si>
    <t xml:space="preserve">서울특별시 강북구 수유동 48-9 </t>
  </si>
  <si>
    <t>서울특별시 강북구 덕릉로24길 7 (수유동)</t>
  </si>
  <si>
    <t>3080000-102-2005-00003</t>
  </si>
  <si>
    <t xml:space="preserve">서울특별시 강북구 수유동 191-6번지 </t>
  </si>
  <si>
    <t>서울특별시 강북구 도봉로 353 (수유동)</t>
  </si>
  <si>
    <t>3080000-102-2009-00002</t>
  </si>
  <si>
    <t xml:space="preserve">서울특별시 강북구 수유동 229-14번지 </t>
  </si>
  <si>
    <t>서울특별시 강북구 도봉로 327 (수유동, 지하1층)</t>
  </si>
  <si>
    <t>3080000-102-1984-02340</t>
  </si>
  <si>
    <t xml:space="preserve">서울특별시 강북구 미아동 160-11 지하1층 </t>
  </si>
  <si>
    <t>서울특별시 강북구 도봉로 282 (미아동,지하1층)</t>
  </si>
  <si>
    <t>3080000-102-2001-08784</t>
  </si>
  <si>
    <t xml:space="preserve">서울특별시 강북구 미아동 160-8번지 (2층) </t>
  </si>
  <si>
    <t>서울특별시 강북구 도봉로 284-9 (미아동,(2층))</t>
  </si>
  <si>
    <t>3080000-102-1968-02367</t>
  </si>
  <si>
    <t xml:space="preserve">서울특별시 강북구 미아동 60-5번지 (지하1층) </t>
  </si>
  <si>
    <t>3080000-102-1972-02365</t>
  </si>
  <si>
    <t xml:space="preserve">서울특별시 강북구 수유동 174-17 </t>
  </si>
  <si>
    <t>서울특별시 강북구 한천로 1038 (수유동)</t>
  </si>
  <si>
    <t>3080000-102-1973-02321</t>
  </si>
  <si>
    <t xml:space="preserve">서울특별시 강북구 수유동 47-23번지 </t>
  </si>
  <si>
    <t>서울특별시 강북구 덕릉로 69 (수유동)</t>
  </si>
  <si>
    <t>3080000-102-1973-02345</t>
  </si>
  <si>
    <t xml:space="preserve">서울특별시 강북구 번동 418-1번지 </t>
  </si>
  <si>
    <t>3080000-102-2008-00006</t>
  </si>
  <si>
    <t>서울특별시 강북구 수유동 191-2</t>
  </si>
  <si>
    <t>3080000-102-2001-08809</t>
  </si>
  <si>
    <t>서울특별시 강북구 미아동 160-46</t>
  </si>
  <si>
    <t>서울특별시 강북구 도봉로 284-1 (미아동)</t>
  </si>
  <si>
    <t>3080000-102-2006-00001</t>
  </si>
  <si>
    <t>서울특별시 강북구 수유동 229-43</t>
  </si>
  <si>
    <t>서울특별시 강북구 도봉로85길 4 (수유동)</t>
  </si>
  <si>
    <t>3080000-102-1974-02346</t>
  </si>
  <si>
    <t xml:space="preserve">서울특별시 강북구 미아동 42-8번지 (지상1층) </t>
  </si>
  <si>
    <t>3080000-102-2010-00002</t>
  </si>
  <si>
    <t xml:space="preserve">서울특별시 강북구 번동 449-1번지 </t>
  </si>
  <si>
    <t>서울특별시 강북구 도봉로 308 (번동)</t>
  </si>
  <si>
    <t>3080000-102-2010-00004</t>
  </si>
  <si>
    <t xml:space="preserve">서울특별시 강북구 수유동 229-5 </t>
  </si>
  <si>
    <t>서울특별시 강북구 도봉로 333 (수유동)</t>
  </si>
  <si>
    <t>3080000-102-2000-08042</t>
  </si>
  <si>
    <t xml:space="preserve">서울특별시 강북구 수유동 48-8번지 </t>
  </si>
  <si>
    <t>3080000-102-1975-02348</t>
  </si>
  <si>
    <t>3080000-102-1985-02341</t>
  </si>
  <si>
    <t xml:space="preserve">서울특별시 강북구 수유동 191-14번지 </t>
  </si>
  <si>
    <t>3080000-102-1986-02354</t>
  </si>
  <si>
    <t xml:space="preserve">서울특별시 강북구 수유동 47-4번지 (화계사길 104)(지하1층) </t>
  </si>
  <si>
    <t>3080000-102-1986-02338</t>
  </si>
  <si>
    <t>3080000-102-2012-00001</t>
  </si>
  <si>
    <t xml:space="preserve">서울특별시 강북구 수유동 7-4번지 </t>
  </si>
  <si>
    <t>서울특별시 강북구 수유로 84 (수유동)</t>
  </si>
  <si>
    <t>3080000-102-2012-00002</t>
  </si>
  <si>
    <t xml:space="preserve">서울특별시 강북구 미아동 160-8번지 지하1층 </t>
  </si>
  <si>
    <t>서울특별시 강북구 도봉로 284-9 (미아동)</t>
  </si>
  <si>
    <t>3080000-102-2000-07924</t>
  </si>
  <si>
    <t xml:space="preserve">서울특별시 강북구 수유동 48-7번지 </t>
  </si>
  <si>
    <t>서울특별시 강북구 덕릉로 78, 지하1층 (수유동)</t>
  </si>
  <si>
    <t>3080000-102-1976-02353</t>
  </si>
  <si>
    <t>3080000-102-1999-07438</t>
  </si>
  <si>
    <t>3080000-102-1999-02366</t>
  </si>
  <si>
    <t>3080000-102-1999-07615</t>
  </si>
  <si>
    <t xml:space="preserve">서울특별시 강북구 번동 449-3 </t>
  </si>
  <si>
    <t>서울특별시 강북구 덕릉로 93-3 (번동)</t>
  </si>
  <si>
    <t>3080000-102-2009-00003</t>
  </si>
  <si>
    <t xml:space="preserve">서울특별시 강북구 수유동 191-20 </t>
  </si>
  <si>
    <t>서울특별시 강북구 도봉로87길 6 (수유동)</t>
  </si>
  <si>
    <t>3240000-102-2000-11243</t>
  </si>
  <si>
    <t xml:space="preserve">서울특별시 강동구 길동 459-4 </t>
  </si>
  <si>
    <t>서울특별시 강동구 양재대로 1441, 지1층 (길동)</t>
  </si>
  <si>
    <t>3080000-102-2009-00004</t>
  </si>
  <si>
    <t xml:space="preserve">서울특별시 강북구 수유동 191-45 지하1층 </t>
  </si>
  <si>
    <t>서울특별시 강북구 도봉로 351, 지하1층층 (수유동)</t>
  </si>
  <si>
    <t>3080000-102-2018-00001</t>
  </si>
  <si>
    <t xml:space="preserve">서울특별시 강북구 수유동 191-16 </t>
  </si>
  <si>
    <t>서울특별시 강북구 도봉로 341, 지하1층 (수유동)</t>
  </si>
  <si>
    <t>3080000-102-2021-00004</t>
  </si>
  <si>
    <t xml:space="preserve">서울특별시 강북구 수유동 229-2 덕인빌딩 </t>
  </si>
  <si>
    <t>서울특별시 강북구 도봉로87길 3, 덕인빌딩 지하1층 01호 (수유동)</t>
  </si>
  <si>
    <t>3080000-102-2024-00001</t>
  </si>
  <si>
    <t>서울특별시 강북구 도봉로87길 6, 5층 (수유동)</t>
  </si>
  <si>
    <t>3080000-102-2000-08249</t>
  </si>
  <si>
    <t xml:space="preserve">서울특별시 강북구 수유동 47-69 </t>
  </si>
  <si>
    <t>서울특별시 강북구 덕릉로 79 (수유동)</t>
  </si>
  <si>
    <t>3080000-102-2020-00002</t>
  </si>
  <si>
    <t>서울특별시 강북구 도봉로87길 3, 덕인빌딩 2층 201호 (수유동)</t>
  </si>
  <si>
    <t>3080000-102-2022-00002</t>
  </si>
  <si>
    <t xml:space="preserve">서울특별시 강북구 수유동 229-37 </t>
  </si>
  <si>
    <t>서울특별시 강북구 도봉로87길 3-8, 1층 (수유동)</t>
  </si>
  <si>
    <t>3080000-102-2023-00001</t>
  </si>
  <si>
    <t xml:space="preserve">서울특별시 강북구 수유동 191-29 피카소모텔 지하1층 </t>
  </si>
  <si>
    <t>서울특별시 강북구 도봉로 355-8, B1층 (수유동)</t>
  </si>
  <si>
    <t>3080000-102-2019-00002</t>
  </si>
  <si>
    <t xml:space="preserve">서울특별시 강북구 수유동 229-9 </t>
  </si>
  <si>
    <t>서울특별시 강북구 도봉로 331, 지하1층 (수유동)</t>
  </si>
  <si>
    <t>3080000-102-2021-00001</t>
  </si>
  <si>
    <t>서울특별시 강북구 수유동 7-4</t>
  </si>
  <si>
    <t>서울특별시 강북구 수유로 84, 지하 1층 (수유동)</t>
  </si>
  <si>
    <t>3080000-102-2019-00001</t>
  </si>
  <si>
    <t>서울특별시 강북구 수유동 230-7 효성인텔리안오피스텔</t>
  </si>
  <si>
    <t>서울특별시 강북구 도봉로 313, 효성인텔리안오피스텔 지하1층 105호 (수유동)</t>
  </si>
  <si>
    <t>3080000-102-2022-00003</t>
  </si>
  <si>
    <t>서울특별시 강북구 수유동 45-1 평익타워</t>
  </si>
  <si>
    <t>서울특별시 강북구 노해로 3, 평익타워 지층 b01호 (수유동)</t>
  </si>
  <si>
    <t>3080000-102-2021-00002</t>
  </si>
  <si>
    <t>서울특별시 강북구 수유동 229-35</t>
  </si>
  <si>
    <t>서울특별시 강북구 도봉로87길 7, 3층 (수유동)</t>
  </si>
  <si>
    <t>3080000-102-2021-00003</t>
  </si>
  <si>
    <t>서울특별시 강북구 수유동 229-2 덕인빌딩</t>
  </si>
  <si>
    <t>서울특별시 강북구 도봉로87길 3, 덕인빌딩 지하1층 (수유동)</t>
  </si>
  <si>
    <t>3080000-102-2001-08812</t>
  </si>
  <si>
    <t>서울특별시 강북구 미아동 160-19 지상2층</t>
  </si>
  <si>
    <t>서울특별시 강북구 도봉로 274 (미아동,지상2층)</t>
  </si>
  <si>
    <t>3080000-102-2022-00001</t>
  </si>
  <si>
    <t>서울특별시 강북구 번동 446-46</t>
  </si>
  <si>
    <t>서울특별시 강북구 오패산로 417, 지하1층 (번동)</t>
  </si>
  <si>
    <t>3080000-102-2020-00001</t>
  </si>
  <si>
    <t>서울특별시 강북구 수유동 191-30 몽모텔</t>
  </si>
  <si>
    <t>서울특별시 강북구 도봉로 355-6, 몽모텔 지하1층 (수유동)</t>
  </si>
  <si>
    <t>3080000-102-2024-00002</t>
  </si>
  <si>
    <t xml:space="preserve">서울특별시 강북구 수유동 229-5 정우빌딩 </t>
  </si>
  <si>
    <t>서울특별시 강북구 도봉로 333, 정우빌딩 지하1층 (수유동)</t>
  </si>
  <si>
    <t>3080000-102-2024-00003</t>
  </si>
  <si>
    <t>3080000-102-1990-02343</t>
  </si>
  <si>
    <t xml:space="preserve">서울특별시 강북구 미아동 189-7번지 </t>
  </si>
  <si>
    <t>서울특별시 강북구 도봉로 268 (미아동)</t>
  </si>
  <si>
    <t>3080000-102-1993-02342</t>
  </si>
  <si>
    <t>3080000-102-2013-00001</t>
  </si>
  <si>
    <t xml:space="preserve">서울특별시 강북구 수유동 191-15 </t>
  </si>
  <si>
    <t>서울특별시 강북구 도봉로 343 (수유동)</t>
  </si>
  <si>
    <t>3080000-102-1980-02322</t>
  </si>
  <si>
    <t xml:space="preserve">서울특별시 강북구 미아동 42-212번지 </t>
  </si>
  <si>
    <t>서울특별시 강북구 월계로 7 (미아동)</t>
  </si>
  <si>
    <t>3080000-102-2010-00001</t>
  </si>
  <si>
    <t xml:space="preserve">서울특별시 강북구 미아동 160-13 지하1층 </t>
  </si>
  <si>
    <t>서울특별시 강북구 도봉로 280 (미아동)</t>
  </si>
  <si>
    <t>3080000-102-1973-02344</t>
  </si>
  <si>
    <t xml:space="preserve">서울특별시 강북구 미아동 202-1번지 (지하1층) </t>
  </si>
  <si>
    <t>서울특별시 강북구 도봉로 249 (미아동,(지하1층))</t>
  </si>
  <si>
    <t>3080000-102-2010-00003</t>
  </si>
  <si>
    <t xml:space="preserve">서울특별시 강북구 수유동 229-35번지 지하1층 </t>
  </si>
  <si>
    <t>서울특별시 강북구 도봉로87길 7 (수유동)</t>
  </si>
  <si>
    <t>3080000-102-2011-00001</t>
  </si>
  <si>
    <t xml:space="preserve">서울특별시 강북구 수유동 229-2 </t>
  </si>
  <si>
    <t>서울특별시 강북구 도봉로87길 3 (수유동)</t>
  </si>
  <si>
    <t>3080000-102-1986-02371</t>
  </si>
  <si>
    <t xml:space="preserve">서울특별시 강북구 미아동 189-23번지 (지하1층) </t>
  </si>
  <si>
    <t>서울특별시 강북구 도봉로 264 (미아동,(지하1층))</t>
  </si>
  <si>
    <t>3080000-102-2011-00002</t>
  </si>
  <si>
    <t xml:space="preserve">서울특별시 강북구 번동 418-10 동국빌딩 </t>
  </si>
  <si>
    <t>서울특별시 강북구 한천로131길 36, 동국빌딩 지하1층 (번동)</t>
  </si>
  <si>
    <t>3080000-102-2000-00030</t>
  </si>
  <si>
    <t xml:space="preserve">서울특별시 강북구 수유동 191-61 </t>
  </si>
  <si>
    <t>서울특별시 강북구 도봉로89길 5-6 (수유동)</t>
  </si>
  <si>
    <t>3080000-102-2000-01808</t>
  </si>
  <si>
    <t xml:space="preserve">서울특별시 강북구 수유동 2-9번지 </t>
  </si>
  <si>
    <t>서울특별시 강북구 수유로 81 (수유동)</t>
  </si>
  <si>
    <t>3080000-102-2000-07828</t>
  </si>
  <si>
    <t xml:space="preserve">서울특별시 강북구 번동 449-2 </t>
  </si>
  <si>
    <t>서울특별시 강북구 도봉로82길 16 (번동)</t>
  </si>
  <si>
    <t>3080000-102-2013-00003</t>
  </si>
  <si>
    <t>서울특별시 강북구 수유동 47-63</t>
  </si>
  <si>
    <t>서울특별시 강북구 덕릉로19길 4 (수유동)</t>
  </si>
  <si>
    <t>3080000-102-1971-02368</t>
  </si>
  <si>
    <t>서울특별시 강북구 수유동 173-14 지하1층</t>
  </si>
  <si>
    <t>서울특별시 강북구 도봉로97길 1 (수유동, 지하1층)</t>
  </si>
  <si>
    <t>3080000-102-2000-07948</t>
  </si>
  <si>
    <t xml:space="preserve">서울특별시 강북구 수유동 191-67 </t>
  </si>
  <si>
    <t>서울특별시 강북구 한천로139길 29 (수유동)</t>
  </si>
  <si>
    <t>3080000-102-2000-00029</t>
  </si>
  <si>
    <t xml:space="preserve">서울특별시 강북구 미아동 41-10 </t>
  </si>
  <si>
    <t>서울특별시 강북구 월계로3길 5, 지하1층 (미아동)</t>
  </si>
  <si>
    <t>3080000-102-2000-08082</t>
  </si>
  <si>
    <t xml:space="preserve">서울특별시 강북구 수유동 229-47번지 </t>
  </si>
  <si>
    <t>서울특별시 강북구 노해로8길 28 (수유동)</t>
  </si>
  <si>
    <t>3080000-102-2014-00001</t>
  </si>
  <si>
    <t xml:space="preserve">서울특별시 강북구 수유동 229-2 5층 </t>
  </si>
  <si>
    <t>3080000-102-2015-00001</t>
  </si>
  <si>
    <t xml:space="preserve">서울특별시 강북구 미아동 160-8 </t>
  </si>
  <si>
    <t>3080000-102-1999-07654</t>
  </si>
  <si>
    <t xml:space="preserve">서울특별시 강북구 수유동 47-40번지 (지하1층) </t>
  </si>
  <si>
    <t>3080000-102-1999-07671</t>
  </si>
  <si>
    <t xml:space="preserve">서울특별시 강북구 미아동 160-8번지 </t>
  </si>
  <si>
    <t>3080000-102-2000-07871</t>
  </si>
  <si>
    <t xml:space="preserve">서울특별시 강북구 번동 449-5번지 </t>
  </si>
  <si>
    <t>3080000-102-2000-07885</t>
  </si>
  <si>
    <t xml:space="preserve">서울특별시 강북구 번동 449-4번지 (지하1층) </t>
  </si>
  <si>
    <t>3080000-102-2000-07984</t>
  </si>
  <si>
    <t xml:space="preserve">서울특별시 강북구 수유동 191-29 (지하1층) </t>
  </si>
  <si>
    <t>서울특별시 강북구 도봉로 355-8 (수유동,(지하1층))</t>
  </si>
  <si>
    <t>3080000-102-2000-08215</t>
  </si>
  <si>
    <t xml:space="preserve">서울특별시 강북구 미아동 160-3번지 4층 </t>
  </si>
  <si>
    <t>3080000-102-2000-08213</t>
  </si>
  <si>
    <t xml:space="preserve">서울특별시 강북구 미아동 160-3번지 (도봉로 286) </t>
  </si>
  <si>
    <t>서울특별시 강북구 도봉로 288 (미아동,(도봉로 286))</t>
  </si>
  <si>
    <t>3080000-102-2000-08214</t>
  </si>
  <si>
    <t xml:space="preserve">서울특별시 강북구 미아동 160-3번지 3층 </t>
  </si>
  <si>
    <t>3080000-102-2001-00028</t>
  </si>
  <si>
    <t xml:space="preserve">서울특별시 강북구 수유동 93-1 (지하) </t>
  </si>
  <si>
    <t>서울특별시 강북구 도봉로77길 9 (수유동,(지하))</t>
  </si>
  <si>
    <t>3080000-102-2000-08417</t>
  </si>
  <si>
    <t xml:space="preserve">서울특별시 강북구 수유동 229-2번지 </t>
  </si>
  <si>
    <t>3080000-102-2001-00032</t>
  </si>
  <si>
    <t xml:space="preserve">서울특별시 강북구 번동 418-10번지 </t>
  </si>
  <si>
    <t>3080000-102-2001-08803</t>
  </si>
  <si>
    <t xml:space="preserve">서울특별시 강북구 미아동 160-8번지 (도봉로 284-2)(지상1층) </t>
  </si>
  <si>
    <t>3080000-102-2001-08805</t>
  </si>
  <si>
    <t xml:space="preserve">서울특별시 강북구 수유동 90-2 (지하1층) </t>
  </si>
  <si>
    <t>서울특별시 강북구 도봉로73길 43 (수유동,(지하1층))</t>
  </si>
  <si>
    <t>3080000-102-2001-08810</t>
  </si>
  <si>
    <t xml:space="preserve">서울특별시 강북구 미아동 160-13번지 지하1층 </t>
  </si>
  <si>
    <t>3080000-102-2001-08816</t>
  </si>
  <si>
    <t xml:space="preserve">서울특별시 강북구 미아동 42-8번지 지상3층(도봉로 14) </t>
  </si>
  <si>
    <t>서울특별시 강북구 도봉로 16 (미아동,지상3층(도봉로 14))</t>
  </si>
  <si>
    <t>3080000-102-1999-07719</t>
  </si>
  <si>
    <t xml:space="preserve">서울특별시 강북구 미아동 189-6번지 </t>
  </si>
  <si>
    <t>3080000-102-2000-07776</t>
  </si>
  <si>
    <t xml:space="preserve">서울특별시 강북구 번동 449-20 (지하1층) </t>
  </si>
  <si>
    <t>서울특별시 강북구 덕릉로 93-7 (번동,(지하1층))</t>
  </si>
  <si>
    <t>3080000-102-2001-08566</t>
  </si>
  <si>
    <t xml:space="preserve">서울특별시 강북구 수유동 191-30번지 (지하1층) </t>
  </si>
  <si>
    <t>서울특별시 강북구 도봉로 355-6 (수유동,(지하1층))</t>
  </si>
  <si>
    <t>3080000-102-2001-08595</t>
  </si>
  <si>
    <t xml:space="preserve">서울특별시 강북구 수유동 86-1번지 (지하1층) </t>
  </si>
  <si>
    <t>3080000-102-2001-08609</t>
  </si>
  <si>
    <t xml:space="preserve">서울특별시 강북구 수유동 7-17번지 지하1층 </t>
  </si>
  <si>
    <t>서울특별시 강북구 수유로 지하 82 (수유동, 지하1층)</t>
  </si>
  <si>
    <t>3080000-102-2001-08599</t>
  </si>
  <si>
    <t xml:space="preserve">서울특별시 강북구 수유동 95-5번지 </t>
  </si>
  <si>
    <t>서울특별시 강북구 도봉로 285 (수유동)</t>
  </si>
  <si>
    <t>3080000-102-2001-08619</t>
  </si>
  <si>
    <t xml:space="preserve">서울특별시 강북구 미아동 160-40번지 (지상1층) </t>
  </si>
  <si>
    <t>3080000-102-2001-08785</t>
  </si>
  <si>
    <t xml:space="preserve">서울특별시 강북구 미아동 160-8번지 (도봉로 284-2)(지상3층) </t>
  </si>
  <si>
    <t>3080000-102-2001-08818</t>
  </si>
  <si>
    <t xml:space="preserve">서울특별시 강북구 미아동 160-21번지 (지상3층) </t>
  </si>
  <si>
    <t>3080000-102-2001-08806</t>
  </si>
  <si>
    <t>서울특별시 강북구 도봉로 290 (미아동,(지상3층))</t>
  </si>
  <si>
    <t>3080000-102-2003-00004</t>
  </si>
  <si>
    <t xml:space="preserve">서울특별시 강북구 수유동 229-53 </t>
  </si>
  <si>
    <t>서울특별시 강북구 도봉로83길 10 (수유동)</t>
  </si>
  <si>
    <t>3080000-102-2001-08815</t>
  </si>
  <si>
    <t>3080000-102-2002-00001</t>
  </si>
  <si>
    <t xml:space="preserve">서울특별시 강북구 수유동 48-8번지 지상3층 </t>
  </si>
  <si>
    <t>3080000-102-2002-00002</t>
  </si>
  <si>
    <t xml:space="preserve">서울특별시 강북구 수유동 93-11번지 </t>
  </si>
  <si>
    <t>서울특별시 강북구 도봉로 279 (수유동)</t>
  </si>
  <si>
    <t>3080000-102-2001-08808</t>
  </si>
  <si>
    <t xml:space="preserve">서울특별시 강북구 미아동 160-29번지 </t>
  </si>
  <si>
    <t>3080000-102-2003-00002</t>
  </si>
  <si>
    <t xml:space="preserve">서울특별시 강북구 수유동 48-81 </t>
  </si>
  <si>
    <t>서울특별시 강북구 덕릉로24길 18 (수유동)</t>
  </si>
  <si>
    <t>3080000-102-2008-00004</t>
  </si>
  <si>
    <t xml:space="preserve">서울특별시 강북구 미아동 160-8번지 지상1층 </t>
  </si>
  <si>
    <t>3080000-102-2003-00006</t>
  </si>
  <si>
    <t>3080000-102-2002-00006</t>
  </si>
  <si>
    <t xml:space="preserve">서울특별시 강북구 수유동 48-8번지 (화계사길 103) </t>
  </si>
  <si>
    <t>3080000-102-2002-00007</t>
  </si>
  <si>
    <t xml:space="preserve">서울특별시 강북구 미아동 41-1번지 </t>
  </si>
  <si>
    <t>서울특별시 강북구 월계로3길 15 (미아동)</t>
  </si>
  <si>
    <t>3080000-102-2003-00001</t>
  </si>
  <si>
    <t xml:space="preserve">서울특별시 강북구 수유동 84-2번지 </t>
  </si>
  <si>
    <t>3080000-102-2007-00003</t>
  </si>
  <si>
    <t xml:space="preserve">서울특별시 강북구 수유동 191-16번지 (도봉로 339)(지상2층) </t>
  </si>
  <si>
    <t>서울특별시 강북구 도봉로 341 (수유동,(도봉로 339)(지상2층))</t>
  </si>
  <si>
    <t>3080000-102-2007-00004</t>
  </si>
  <si>
    <t xml:space="preserve">서울특별시 강북구 미아동 42-8번지 (도봉로 14) </t>
  </si>
  <si>
    <t>3080000-102-2008-00002</t>
  </si>
  <si>
    <t xml:space="preserve">서울특별시 강북구 수유동 47-4번지 </t>
  </si>
  <si>
    <t>서울특별시 강북구 덕릉로 75 (수유동)</t>
  </si>
  <si>
    <t>3080000-102-2003-00008</t>
  </si>
  <si>
    <t xml:space="preserve">서울특별시 강북구 수유동 230-13번지 </t>
  </si>
  <si>
    <t>3080000-102-2005-00001</t>
  </si>
  <si>
    <t>3080000-102-2005-00002</t>
  </si>
  <si>
    <t xml:space="preserve">서울특별시 강북구 미아동 160-29 (지상2층) </t>
  </si>
  <si>
    <t>서울특별시 강북구 도봉로78길 8 (미아동,(지상2층))</t>
  </si>
  <si>
    <t>3080000-102-2008-00005</t>
  </si>
  <si>
    <t>3080000-102-1987-02329</t>
  </si>
  <si>
    <t xml:space="preserve">서울특별시 강북구 미아동 160-4번지 </t>
  </si>
  <si>
    <t>3080000-102-1999-01254</t>
  </si>
  <si>
    <t>3080000-102-1999-07432</t>
  </si>
  <si>
    <t xml:space="preserve">서울특별시 강북구 수유동 45-2번지 (지하1층) </t>
  </si>
  <si>
    <t>3080000-102-1989-02372</t>
  </si>
  <si>
    <t xml:space="preserve">서울특별시 강북구 수유동 229-11번지 (지하1층) </t>
  </si>
  <si>
    <t>3080000-102-1991-02364</t>
  </si>
  <si>
    <t xml:space="preserve">서울특별시 강북구 미아동 35-30 </t>
  </si>
  <si>
    <t>서울특별시 강북구 도봉로 32 (미아동)</t>
  </si>
  <si>
    <t>3080000-102-1993-02363</t>
  </si>
  <si>
    <t>3080000-102-1993-02339</t>
  </si>
  <si>
    <t xml:space="preserve">서울특별시 강북구 미아동 42-8번지 </t>
  </si>
  <si>
    <t>3080000-102-1993-02350</t>
  </si>
  <si>
    <t xml:space="preserve">서울특별시 강북구 미아동 160-11 2층 </t>
  </si>
  <si>
    <t>서울특별시 강북구 도봉로 282 (미아동,2층)</t>
  </si>
  <si>
    <t>3080000-102-1984-02370</t>
  </si>
  <si>
    <t xml:space="preserve">서울특별시 강북구 미아동 160-21번지 (도봉로 290)지하1층 </t>
  </si>
  <si>
    <t>3080000-102-1984-02349</t>
  </si>
  <si>
    <t xml:space="preserve">서울특별시 강북구 수유동 230-14번지 </t>
  </si>
  <si>
    <t>서울특별시 강북구 노해로 12 (수유동)</t>
  </si>
  <si>
    <t>3080000-102-1985-02323</t>
  </si>
  <si>
    <t xml:space="preserve">서울특별시 강북구 수유동 191-29번지 </t>
  </si>
  <si>
    <t>3080000-102-1985-02351</t>
  </si>
  <si>
    <t xml:space="preserve">서울특별시 강북구 미아동 41-10번지 </t>
  </si>
  <si>
    <t>3080000-102-1985-02328</t>
  </si>
  <si>
    <t>3080000-102-1968-02324</t>
  </si>
  <si>
    <t xml:space="preserve">서울특별시 강북구 우이동 270-6번지 </t>
  </si>
  <si>
    <t>3080000-102-2013-00002</t>
  </si>
  <si>
    <t xml:space="preserve">서울특별시 강북구 번동 418-17번지 지하 1층 </t>
  </si>
  <si>
    <t>서울특별시 강북구 도봉로 342 (번동)</t>
  </si>
  <si>
    <t>3080000-102-1976-02327</t>
  </si>
  <si>
    <t xml:space="preserve">서울특별시 강북구 미아동 160-45번지 </t>
  </si>
  <si>
    <t>3080000-102-1977-02325</t>
  </si>
  <si>
    <t xml:space="preserve">서울특별시 강북구 미아동 160-40번지 </t>
  </si>
  <si>
    <t>3080000-102-1977-02352</t>
  </si>
  <si>
    <t>서울특별시 강북구 도봉로 284-9, 지상3층 (미아동)</t>
  </si>
  <si>
    <t>3080000-102-1979-02326</t>
  </si>
  <si>
    <t xml:space="preserve">서울특별시 강북구 미아동 160-43번지 </t>
  </si>
  <si>
    <t>3080000-102-1982-02347</t>
  </si>
  <si>
    <t xml:space="preserve">서울특별시 강북구 번동 449-3번지 </t>
  </si>
  <si>
    <t>3080000-102-1982-02369</t>
  </si>
  <si>
    <t xml:space="preserve">서울특별시 강북구 미아동 42-11번지 </t>
  </si>
  <si>
    <t>서울특별시 강북구 월계로 3 (미아동)</t>
  </si>
  <si>
    <t>3090000-102-1999-04922</t>
  </si>
  <si>
    <t xml:space="preserve">서울특별시 도봉구 창동 6-1번지 </t>
  </si>
  <si>
    <t>서울특별시 도봉구 마들로11가길 13-6, 지상3층 (창동)</t>
  </si>
  <si>
    <t>3090000-102-2000-05153</t>
  </si>
  <si>
    <t xml:space="preserve">서울특별시 도봉구 쌍문동 88-1 (지하1층) </t>
  </si>
  <si>
    <t>서울특별시 도봉구 도봉로 511, 지하1층 (쌍문동)</t>
  </si>
  <si>
    <t>3090000-102-2000-05358</t>
  </si>
  <si>
    <t xml:space="preserve">서울특별시 도봉구 창동 13-3 </t>
  </si>
  <si>
    <t>서울특별시 도봉구 노해로69길 25, 지하1층 (창동)</t>
  </si>
  <si>
    <t>3090000-102-2001-05656</t>
  </si>
  <si>
    <t xml:space="preserve">서울특별시 도봉구 창동 3-3번지 콤마프라자지하1층 </t>
  </si>
  <si>
    <t>3090000-102-2002-00001</t>
  </si>
  <si>
    <t xml:space="preserve">서울특별시 도봉구 창동 13번지 유진빌딩 지하 103호 </t>
  </si>
  <si>
    <t>3090000-102-2002-00003</t>
  </si>
  <si>
    <t xml:space="preserve">서울특별시 도봉구 창동 14-4 </t>
  </si>
  <si>
    <t>서울특별시 도봉구 마들로11길 25, 지하1층 (창동)</t>
  </si>
  <si>
    <t>3090000-102-1999-04516</t>
  </si>
  <si>
    <t xml:space="preserve">서울특별시 도봉구 창동 10-1번지 </t>
  </si>
  <si>
    <t>서울특별시 도봉구 노해로69길 15-15 (창동)</t>
  </si>
  <si>
    <t>3090000-102-1999-04547</t>
  </si>
  <si>
    <t xml:space="preserve">서울특별시 도봉구 창동 10-3번지 </t>
  </si>
  <si>
    <t>3090000-102-1999-04695</t>
  </si>
  <si>
    <t xml:space="preserve">서울특별시 도봉구 창동 16-0번지 제일빌딩 지하 101호 </t>
  </si>
  <si>
    <t>3090000-102-1999-04890</t>
  </si>
  <si>
    <t xml:space="preserve">서울특별시 도봉구 창동 5-0번지 지하1층 </t>
  </si>
  <si>
    <t>서울특별시 도봉구 마들로11가길 12, 지하1층 (창동)</t>
  </si>
  <si>
    <t>3090000-102-2024-00001</t>
  </si>
  <si>
    <t xml:space="preserve">서울특별시 도봉구 창동 13 </t>
  </si>
  <si>
    <t>서울특별시 도봉구 마들로11길 65, 7층 (창동)</t>
  </si>
  <si>
    <t>3090000-102-2015-00001</t>
  </si>
  <si>
    <t>서울특별시 도봉구 창동 13-2 B101호</t>
  </si>
  <si>
    <t>서울특별시 도봉구 마들로11길 57, B1층 101호 (창동, EQ 빌딩)</t>
  </si>
  <si>
    <t>3090000-102-2012-00002</t>
  </si>
  <si>
    <t>서울특별시 도봉구 노해로69길 15-15, 지하1층 (창동, 점보빌딩(27,28,29,30,39,40,42,43호))</t>
  </si>
  <si>
    <t>3090000-102-2012-00003</t>
  </si>
  <si>
    <t xml:space="preserve">서울특별시 도봉구 창동 13번지 </t>
  </si>
  <si>
    <t>서울특별시 도봉구 마들로11길 65, 지하층 3호 (창동, 유진빌딩)</t>
  </si>
  <si>
    <t>3090000-102-2010-00001</t>
  </si>
  <si>
    <t>서울특별시 도봉구 창동 12-1 2층 201,202,203,204호</t>
  </si>
  <si>
    <t>서울특별시 도봉구 노해로69길 21-11, 2층 201,202,203,204호 (창동)</t>
  </si>
  <si>
    <t>3090000-102-1999-04862</t>
  </si>
  <si>
    <t>서울특별시 도봉구 마들로11길 65, 지하2층 (창동, 유진빌딩)</t>
  </si>
  <si>
    <t>3090000-102-2017-00001</t>
  </si>
  <si>
    <t>서울특별시 도봉구 창동 10-3</t>
  </si>
  <si>
    <t>서울특별시 도봉구 노해로69길 15, 5층 (창동, 세정빌딩)</t>
  </si>
  <si>
    <t>3090000-102-2000-04983</t>
  </si>
  <si>
    <t xml:space="preserve">서울특별시 도봉구 창동 6-1 (지하1층) </t>
  </si>
  <si>
    <t>서울특별시 도봉구 마들로11가길 13-6, 지하1층 (창동)</t>
  </si>
  <si>
    <t>3090000-102-2011-00001</t>
  </si>
  <si>
    <t xml:space="preserve">서울특별시 도봉구 창동 6번지 콤마빌딩 지하1층(2,3,4,5,6,7,25,26호) </t>
  </si>
  <si>
    <t>서울특별시 도봉구 마들로11가길 15, 지하1층 2,3,4,5,6,7,25,26호 (창동, 콤마빌딩)</t>
  </si>
  <si>
    <t>3090000-102-2012-00001</t>
  </si>
  <si>
    <t xml:space="preserve">서울특별시 도봉구 창동 6번지 콤마빌딩 2층 202호 </t>
  </si>
  <si>
    <t>서울특별시 도봉구 마들로11가길 15, 2층 202호 (창동)</t>
  </si>
  <si>
    <t>3090000-102-2001-05551</t>
  </si>
  <si>
    <t xml:space="preserve">서울특별시 도봉구 창동 331-2번지 </t>
  </si>
  <si>
    <t>서울특별시 도봉구 노해로65길 17, 지하1층 101호 (창동, 중앙빌딩)</t>
  </si>
  <si>
    <t>3090000-102-2002-00002</t>
  </si>
  <si>
    <t xml:space="preserve">서울특별시 도봉구 창동 10-3번지 세정빌딩 </t>
  </si>
  <si>
    <t>서울특별시 도봉구 노해로69길 15, 세정빌딩 지하1층 (창동)</t>
  </si>
  <si>
    <t>3090000-102-2007-00001</t>
  </si>
  <si>
    <t xml:space="preserve">서울특별시 도봉구 창동 3-3번지 </t>
  </si>
  <si>
    <t>서울특별시 도봉구 마들로11길 73, 지하1층 3호,4호 (창동)</t>
  </si>
  <si>
    <t>3090000-102-2007-00002</t>
  </si>
  <si>
    <t xml:space="preserve">서울특별시 도봉구 창동 3-4 </t>
  </si>
  <si>
    <t>서울특별시 도봉구 마들로11길 71, 지하1층 (창동)</t>
  </si>
  <si>
    <t>3090000-102-2007-00003</t>
  </si>
  <si>
    <t xml:space="preserve">서울특별시 도봉구 창동 3-3 콤마빌딩 지하층 1,2호 </t>
  </si>
  <si>
    <t>서울특별시 도봉구 마들로11길 73, 지하층 1,2호 (창동, 콤마빌딩)</t>
  </si>
  <si>
    <t>3090000-102-1999-04654</t>
  </si>
  <si>
    <t xml:space="preserve">서울특별시 도봉구 창동 12-1 </t>
  </si>
  <si>
    <t>서울특별시 도봉구 노해로69길 21-11 (창동)</t>
  </si>
  <si>
    <t>3090000-102-2000-04957</t>
  </si>
  <si>
    <t xml:space="preserve">서울특별시 도봉구 창동 12-1번지 (지상6층) </t>
  </si>
  <si>
    <t>3100000-102-1992-04963</t>
  </si>
  <si>
    <t xml:space="preserve">서울특별시 노원구 상계동 711-11번지 </t>
  </si>
  <si>
    <t>3100000-102-2018-00001</t>
  </si>
  <si>
    <t xml:space="preserve">서울특별시 노원구 상계동 711-9 노블레스관광호텔 3층 </t>
  </si>
  <si>
    <t>서울특별시 노원구 노해로77길 22, 노블레스관광호텔 3층 (상계동)</t>
  </si>
  <si>
    <t>3100000-102-1990-04960</t>
  </si>
  <si>
    <t xml:space="preserve">서울특별시 노원구 상계동 731-3번지 지하1층 </t>
  </si>
  <si>
    <t>3090000-102-2000-05073</t>
  </si>
  <si>
    <t>서울특별시 도봉구 창동 16 지하1층</t>
  </si>
  <si>
    <t>서울특별시 도봉구 노해로 389, 지하1층 (창동, 제일빌딩)</t>
  </si>
  <si>
    <t>3090000-102-2002-00004</t>
  </si>
  <si>
    <t>서울특별시 도봉구 창동 10-1</t>
  </si>
  <si>
    <t>서울특별시 도봉구 노해로69길 15-15, 104호 (창동, 점보빌딩)</t>
  </si>
  <si>
    <t>3090000-102-2018-00001</t>
  </si>
  <si>
    <t>서울특별시 도봉구 창동 3-3 3층 303호</t>
  </si>
  <si>
    <t>서울특별시 도봉구 마들로11길 73, 3층 303호 (창동)</t>
  </si>
  <si>
    <t>3090000-102-2001-05657</t>
  </si>
  <si>
    <t>서울특별시 도봉구 창동 9-2</t>
  </si>
  <si>
    <t>서울특별시 도봉구 노해로 381, 지하1층 (창동)</t>
  </si>
  <si>
    <t>3100000-102-1990-04961</t>
  </si>
  <si>
    <t xml:space="preserve">서울특별시 노원구 상계동 712-0번지 지상2층 </t>
  </si>
  <si>
    <t>서울특별시 노원구 동일로 1413 (상계동, 지상2층)</t>
  </si>
  <si>
    <t>3100000-102-1991-04962</t>
  </si>
  <si>
    <t xml:space="preserve">서울특별시 노원구 상계동 712-0번지 지하1층 </t>
  </si>
  <si>
    <t>서울특별시 노원구 동일로 1413 (상계동,지하1층)</t>
  </si>
  <si>
    <t>3100000-102-1999-06125</t>
  </si>
  <si>
    <t xml:space="preserve">서울특별시 노원구 상계동 705-2번지 청산빌딩 </t>
  </si>
  <si>
    <t>서울특별시 노원구 노해로 451 (상계동, 청산빌딩)</t>
  </si>
  <si>
    <t>3100000-102-1999-06215</t>
  </si>
  <si>
    <t xml:space="preserve">서울특별시 노원구 상계동 709-2번지 </t>
  </si>
  <si>
    <t>3100000-102-1999-06390</t>
  </si>
  <si>
    <t xml:space="preserve">서울특별시 노원구 상계동 727-0번지 덕영빌딩 지하1층 </t>
  </si>
  <si>
    <t>서울특별시 노원구 노해로 482 (상계동,덕영빌딩 지하1층)</t>
  </si>
  <si>
    <t>3100000-102-1999-06404</t>
  </si>
  <si>
    <t xml:space="preserve">서울특별시 노원구 상계동 708-3번지 </t>
  </si>
  <si>
    <t>3100000-102-1999-06433</t>
  </si>
  <si>
    <t xml:space="preserve">서울특별시 노원구 상계동 728-1번지 지하2층 </t>
  </si>
  <si>
    <t>3100000-102-2000-06623</t>
  </si>
  <si>
    <t xml:space="preserve">서울특별시 노원구 상계동 708-0번지 지하1층 </t>
  </si>
  <si>
    <t>3100000-102-2000-06897</t>
  </si>
  <si>
    <t xml:space="preserve">서울특별시 노원구 상계동 730-5번지 지하1층5호 </t>
  </si>
  <si>
    <t>3100000-102-2000-07182</t>
  </si>
  <si>
    <t xml:space="preserve">서울특별시 노원구 상계동 724-1번지 </t>
  </si>
  <si>
    <t>3100000-102-2001-07455</t>
  </si>
  <si>
    <t xml:space="preserve">서울특별시 노원구 상계동 711-9번지 노블레스관광호텔 3층 </t>
  </si>
  <si>
    <t>서울특별시 노원구 노해로77길 22, 3층 (상계동, 노블레스관광호텔)</t>
  </si>
  <si>
    <t>3100000-102-2001-07602</t>
  </si>
  <si>
    <t xml:space="preserve">서울특별시 노원구 상계동 711-9번지 , 11호 </t>
  </si>
  <si>
    <t>3100000-102-2002-00002</t>
  </si>
  <si>
    <t xml:space="preserve">서울특별시 노원구 상계동 724-2번지 지하 1층 </t>
  </si>
  <si>
    <t>서울특별시 노원구 노해로 492 (상계동,지하 1층)</t>
  </si>
  <si>
    <t>3100000-102-2002-00004</t>
  </si>
  <si>
    <t xml:space="preserve">서울특별시 노원구 상계동 703-3번지 </t>
  </si>
  <si>
    <t>서울특별시 노원구 노해로75길 14-13 (상계동)</t>
  </si>
  <si>
    <t>3100000-102-2003-00004</t>
  </si>
  <si>
    <t xml:space="preserve">서울특별시 노원구 상계동 711-9번지 </t>
  </si>
  <si>
    <t>3100000-102-2004-00001</t>
  </si>
  <si>
    <t>3100000-102-2007-00001</t>
  </si>
  <si>
    <t xml:space="preserve">서울특별시 노원구 상계동 710번지 3층 </t>
  </si>
  <si>
    <t>서울특별시 노원구 노해로77길 14-3, 3층 (상계동)</t>
  </si>
  <si>
    <t>3100000-102-2008-00001</t>
  </si>
  <si>
    <t xml:space="preserve">서울특별시 노원구 상계동 711-9번지 2층(노해로 77길 22) </t>
  </si>
  <si>
    <t>서울특별시 노원구 노해로77길 22 (상계동,2층(노해로 77길 22))</t>
  </si>
  <si>
    <t>3100000-102-2008-00002</t>
  </si>
  <si>
    <t xml:space="preserve">서울특별시 노원구 상계동 709번지 인산빌딩 지하1층 </t>
  </si>
  <si>
    <t>서울특별시 노원구 노해로 455 (상계동,인산빌딩 지하1층)</t>
  </si>
  <si>
    <t>3100000-102-2001-07701</t>
  </si>
  <si>
    <t xml:space="preserve">서울특별시 노원구 상계동 730-5번지 지하1층 </t>
  </si>
  <si>
    <t>3100000-102-1989-04958</t>
  </si>
  <si>
    <t xml:space="preserve">서울특별시 노원구 상계동 734-4번지 동방빌딩 </t>
  </si>
  <si>
    <t>서울특별시 노원구 노해로 456, 동방빌딩 지하층 (상계동)</t>
  </si>
  <si>
    <t>3100000-102-1999-05857</t>
  </si>
  <si>
    <t xml:space="preserve">서울특별시 노원구 상계동 724-3번지 지하1층 2,3,4호 </t>
  </si>
  <si>
    <t>서울특별시 노원구 노해로 494, 지하1층 2,3,4호 (상계동)</t>
  </si>
  <si>
    <t>3100000-102-1999-04959</t>
  </si>
  <si>
    <t xml:space="preserve">서울특별시 노원구 상계동 711-13 </t>
  </si>
  <si>
    <t>서울특별시 노원구 동일로 1417 (상계동)</t>
  </si>
  <si>
    <t>3100000-102-1999-06547</t>
  </si>
  <si>
    <t xml:space="preserve">서울특별시 노원구 상계동 705-0 </t>
  </si>
  <si>
    <t>서울특별시 노원구 노해로 447 (상계동)</t>
  </si>
  <si>
    <t>3100000-102-1999-06589</t>
  </si>
  <si>
    <t xml:space="preserve">서울특별시 노원구 상계동 710 문화빌딩 지하1층 </t>
  </si>
  <si>
    <t>서울특별시 노원구 노해로77길 14-3, 지하1층 (상계동, 문화빌딩)</t>
  </si>
  <si>
    <t>3100000-102-2000-06724</t>
  </si>
  <si>
    <t xml:space="preserve">서울특별시 노원구 상계동 707-1번지 </t>
  </si>
  <si>
    <t>서울특별시 노원구 노해로75길 14-19 (상계동)</t>
  </si>
  <si>
    <t>3100000-102-2000-06842</t>
  </si>
  <si>
    <t xml:space="preserve">서울특별시 노원구 상계동 706-1 2층 </t>
  </si>
  <si>
    <t>서울특별시 노원구 노해로75길 20-21 (상계동,2층)</t>
  </si>
  <si>
    <t>3100000-102-2000-07041</t>
  </si>
  <si>
    <t xml:space="preserve">서울특별시 노원구 상계동 709-1번지 은성빌딩 </t>
  </si>
  <si>
    <t>서울특별시 노원구 노해로 457, 은성빌딩 지하1층 (상계동)</t>
  </si>
  <si>
    <t>3100000-102-2001-07699</t>
  </si>
  <si>
    <t xml:space="preserve">서울특별시 노원구 상계동 724-2 프린스빌딩 </t>
  </si>
  <si>
    <t>서울특별시 노원구 노해로 492, 프린스빌딩 지하1층 (상계동)</t>
  </si>
  <si>
    <t>3100000-102-2002-00003</t>
  </si>
  <si>
    <t xml:space="preserve">서울특별시 노원구 상계동 707-3 지하1층 </t>
  </si>
  <si>
    <t>서울특별시 노원구 노해로75길 14-25 (상계동,지하1층)</t>
  </si>
  <si>
    <t>3100000-102-2003-00001</t>
  </si>
  <si>
    <t xml:space="preserve">서울특별시 노원구 상계동 708-2 </t>
  </si>
  <si>
    <t>서울특별시 노원구 노해로75길 14-22 (상계동)</t>
  </si>
  <si>
    <t>3100000-102-2003-00002</t>
  </si>
  <si>
    <t xml:space="preserve">서울특별시 노원구 상계동 704-3 유남빌딩 지하 </t>
  </si>
  <si>
    <t>서울특별시 노원구 노해로75길 14-12 (상계동,유남빌딩 지하)</t>
  </si>
  <si>
    <t>3100000-102-2005-00001</t>
  </si>
  <si>
    <t xml:space="preserve">서울특별시 노원구 상계동 708 </t>
  </si>
  <si>
    <t>서울특별시 노원구 노해로75길 14-18, 2층 (상계동, 도영빌딩)</t>
  </si>
  <si>
    <t>3100000-102-2003-00003</t>
  </si>
  <si>
    <t>서울특별시 노원구 상계동 724-1 길빌딩</t>
  </si>
  <si>
    <t>서울특별시 노원구 노해로 490, 길빌딩 3층 304, 305호 (상계동)</t>
  </si>
  <si>
    <t>3100000-102-2005-00002</t>
  </si>
  <si>
    <t xml:space="preserve">서울특별시 노원구 상계동 711-9 지하2층 </t>
  </si>
  <si>
    <t>서울특별시 노원구 노해로77길 22, 지하2층 (상계동)</t>
  </si>
  <si>
    <t>3100000-102-2009-00001</t>
  </si>
  <si>
    <t xml:space="preserve">서울특별시 노원구 상계동 724-1 길빌딩 </t>
  </si>
  <si>
    <t>서울특별시 노원구 노해로 490, 길빌딩 7층 (상계동)</t>
  </si>
  <si>
    <t>3100000-102-2012-00001</t>
  </si>
  <si>
    <t>서울특별시 노원구 노해로75길 14-18, 지하1층 (상계동)</t>
  </si>
  <si>
    <t>3100000-102-2001-07700</t>
  </si>
  <si>
    <t>서울특별시 노원구 상계동 730-5 지하2호</t>
  </si>
  <si>
    <t>서울특별시 노원구 동일로 1393, 지하층 지하2호 (상계동)</t>
  </si>
  <si>
    <t>3100000-102-2002-00001</t>
  </si>
  <si>
    <t xml:space="preserve">서울특별시 노원구 상계동 710-2 </t>
  </si>
  <si>
    <t>서울특별시 노원구 노해로77길 14-7 (상계동)</t>
  </si>
  <si>
    <t>3100000-102-1999-05852</t>
  </si>
  <si>
    <t xml:space="preserve">서울특별시 노원구 상계동 724-1번지 702,703호 </t>
  </si>
  <si>
    <t>3110000-102-2010-00001</t>
  </si>
  <si>
    <t xml:space="preserve">서울특별시 은평구 대조동 12-10번지 외1필지(지층) </t>
  </si>
  <si>
    <t>서울특별시 은평구 불광로 21 (대조동,외1필지(지층))</t>
  </si>
  <si>
    <t>3110000-102-2010-00002</t>
  </si>
  <si>
    <t xml:space="preserve">서울특별시 은평구 응암동 577-46 지층 </t>
  </si>
  <si>
    <t>서울특별시 은평구 가좌로 232 (응암동, 지층)</t>
  </si>
  <si>
    <t>3110000-102-2014-00003</t>
  </si>
  <si>
    <t xml:space="preserve">서울특별시 은평구 응암동 600-10번지 지층 </t>
  </si>
  <si>
    <t>서울특별시 은평구 응암로13길 5 (응암동, 지층)</t>
  </si>
  <si>
    <t>3110000-102-2015-00001</t>
  </si>
  <si>
    <t xml:space="preserve">서울특별시 은평구 응암동 599-5 지하1층 </t>
  </si>
  <si>
    <t>서울특별시 은평구 응암로13길 11-10, 지하1층 (응암동)</t>
  </si>
  <si>
    <t>3110000-102-2015-00002</t>
  </si>
  <si>
    <t xml:space="preserve">서울특별시 은평구 응암동 600-3번지 1층 </t>
  </si>
  <si>
    <t>서울특별시 은평구 응암로13길 11-3, 1층 (응암동)</t>
  </si>
  <si>
    <t>3110000-102-2015-00003</t>
  </si>
  <si>
    <t xml:space="preserve">서울특별시 은평구 응암동 599-6번지 지하 1층 </t>
  </si>
  <si>
    <t>서울특별시 은평구 응암로 189, 지하 1층 (응암동)</t>
  </si>
  <si>
    <t>3110000-102-2018-00003</t>
  </si>
  <si>
    <t xml:space="preserve">서울특별시 은평구 불광동 281-172 </t>
  </si>
  <si>
    <t>서울특별시 은평구 통일로 720, 2층 (불광동)</t>
  </si>
  <si>
    <t>3110000-102-2018-00004</t>
  </si>
  <si>
    <t xml:space="preserve">서울특별시 은평구 대조동 14-25번지 </t>
  </si>
  <si>
    <t>서울특별시 은평구 불광로 16-3, 2층 (대조동)</t>
  </si>
  <si>
    <t>3110000-102-2018-00005</t>
  </si>
  <si>
    <t xml:space="preserve">서울특별시 은평구 갈현동 395-25 </t>
  </si>
  <si>
    <t>서울특별시 은평구 통일로 863-4 (갈현동)</t>
  </si>
  <si>
    <t>3110000-102-2003-00001</t>
  </si>
  <si>
    <t>서울특별시 은평구 불광동 281-176</t>
  </si>
  <si>
    <t>서울특별시 은평구 통일로 714-1, 2층 (불광동)</t>
  </si>
  <si>
    <t>3110000-102-2012-00004</t>
  </si>
  <si>
    <t>서울특별시 은평구 응암동 590-14</t>
  </si>
  <si>
    <t>서울특별시 은평구 응암로13길 10, 2층 (응암동)</t>
  </si>
  <si>
    <t>3110000-102-2001-07997</t>
  </si>
  <si>
    <t xml:space="preserve">서울특별시 은평구 불광동 281-174 </t>
  </si>
  <si>
    <t>서울특별시 은평구 통일로 716-1, 지하1층 (불광동)</t>
  </si>
  <si>
    <t>3110000-102-2001-07908</t>
  </si>
  <si>
    <t xml:space="preserve">서울특별시 은평구 대조동 15-84 지하1 층 </t>
  </si>
  <si>
    <t>서울특별시 은평구 통일로65길 24, 지하1층 (대조동)</t>
  </si>
  <si>
    <t>3110000-102-2001-07932</t>
  </si>
  <si>
    <t xml:space="preserve">서울특별시 은평구 응암동 600-5번지 (지하1층) </t>
  </si>
  <si>
    <t>서울특별시 은평구 응암로13길 9 (응암동,(지하1층))</t>
  </si>
  <si>
    <t>3110000-102-2001-08066</t>
  </si>
  <si>
    <t xml:space="preserve">서울특별시 은평구 응암동 590-12 지하1층 </t>
  </si>
  <si>
    <t>서울특별시 은평구 응암로13길 8, 지하1층 (응암동)</t>
  </si>
  <si>
    <t>3110000-102-2013-00008</t>
  </si>
  <si>
    <t xml:space="preserve">서울특별시 은평구 응암동 599-5 </t>
  </si>
  <si>
    <t>서울특별시 은평구 응암로13길 11-10, 3층 (응암동)</t>
  </si>
  <si>
    <t>3110000-102-2014-00001</t>
  </si>
  <si>
    <t xml:space="preserve">서울특별시 은평구 응암동 600-5번지 2층 </t>
  </si>
  <si>
    <t>서울특별시 은평구 응암로13길 9, 2층 (응암동)</t>
  </si>
  <si>
    <t>3110000-102-2012-00003</t>
  </si>
  <si>
    <t xml:space="preserve">서울특별시 은평구 대조동 15-80 </t>
  </si>
  <si>
    <t>서울특별시 은평구 통일로65길 20-2, 지하1층 (대조동)</t>
  </si>
  <si>
    <t>3110000-102-2012-00005</t>
  </si>
  <si>
    <t xml:space="preserve">서울특별시 은평구 대조동 15-82번지 지하1층 </t>
  </si>
  <si>
    <t>서울특별시 은평구 통일로65길 22, 지하1층 (대조동)</t>
  </si>
  <si>
    <t>3110000-102-2013-00001</t>
  </si>
  <si>
    <t xml:space="preserve">서울특별시 은평구 대조동 14-13 지층 </t>
  </si>
  <si>
    <t>서울특별시 은평구 통일로 719, 지층 (대조동)</t>
  </si>
  <si>
    <t>3110000-102-2013-00002</t>
  </si>
  <si>
    <t xml:space="preserve">서울특별시 은평구 대조동 15-106 지하1층 </t>
  </si>
  <si>
    <t>서울특별시 은평구 통일로65길 17-1, 지하1층 (대조동)</t>
  </si>
  <si>
    <t>3110000-102-2013-00003</t>
  </si>
  <si>
    <t xml:space="preserve">서울특별시 은평구 응암동 600-2번지 </t>
  </si>
  <si>
    <t>서울특별시 은평구 응암로 지하 193, 지층 (응암동)</t>
  </si>
  <si>
    <t>3110000-102-2013-00005</t>
  </si>
  <si>
    <t xml:space="preserve">서울특별시 은평구 대조동 198-5 지층 </t>
  </si>
  <si>
    <t>서울특별시 은평구 연서로 220 (대조동, 지층)</t>
  </si>
  <si>
    <t>3110000-102-2013-00007</t>
  </si>
  <si>
    <t>서울특별시 은평구 응암로13길 11-10, 2층 (응암동)</t>
  </si>
  <si>
    <t>3110000-102-2000-07579</t>
  </si>
  <si>
    <t xml:space="preserve">서울특별시 은평구 대조동 197-19번지 (지1층) </t>
  </si>
  <si>
    <t>서울특별시 은평구 연서로26길 9 (대조동,(지1층))</t>
  </si>
  <si>
    <t>3110000-102-2000-07663</t>
  </si>
  <si>
    <t xml:space="preserve">서울특별시 은평구 불광동 281-98 (지하1층) </t>
  </si>
  <si>
    <t>서울특별시 은평구 통일로66길 1 (불광동,(지하1층))</t>
  </si>
  <si>
    <t>3110000-102-2001-07801</t>
  </si>
  <si>
    <t xml:space="preserve">서울특별시 은평구 불광동 281-169 지층 </t>
  </si>
  <si>
    <t>서울특별시 은평구 통일로66길 4-2, 지층 (불광동)</t>
  </si>
  <si>
    <t>3110000-102-2019-00001</t>
  </si>
  <si>
    <t>서울특별시 은평구 응암동 600-2번지 지하 좌측호</t>
  </si>
  <si>
    <t>서울특별시 은평구 응암로 193, 지하층 좌측호 (응암동)</t>
  </si>
  <si>
    <t>3110000-102-2019-00002</t>
  </si>
  <si>
    <t>서울특별시 은평구 응암동 600-2번지 지하 우측호</t>
  </si>
  <si>
    <t>서울특별시 은평구 응암로 193, 지하층 우측호 (응암동)</t>
  </si>
  <si>
    <t>3110000-102-1985-04281</t>
  </si>
  <si>
    <t xml:space="preserve">서울특별시 은평구 불광동 281-171 (2층) </t>
  </si>
  <si>
    <t>서울특별시 은평구 통일로 722 (불광동,(2층))</t>
  </si>
  <si>
    <t>3110000-102-2018-00009</t>
  </si>
  <si>
    <t xml:space="preserve">서울특별시 은평구 갈현동 456-32 2층 </t>
  </si>
  <si>
    <t>서울특별시 은평구 연서로29길 5, 2층 (갈현동)</t>
  </si>
  <si>
    <t>3110000-102-1973-04268</t>
  </si>
  <si>
    <t xml:space="preserve">서울특별시 은평구 갈현동 398-10번지 지층 </t>
  </si>
  <si>
    <t>서울특별시 은평구 연서로 225 (갈현동,지층)</t>
  </si>
  <si>
    <t>3110000-102-1985-04282</t>
  </si>
  <si>
    <t xml:space="preserve">서울특별시 은평구 불광동 281-172 (지하1층) </t>
  </si>
  <si>
    <t>서울특별시 은평구 통일로 720 (불광동,(지하1층))</t>
  </si>
  <si>
    <t>3110000-102-1985-04283</t>
  </si>
  <si>
    <t xml:space="preserve">서울특별시 은평구 불광동 281-173 </t>
  </si>
  <si>
    <t>서울특별시 은평구 통일로 718 (불광동)</t>
  </si>
  <si>
    <t>3110000-102-2000-06992</t>
  </si>
  <si>
    <t xml:space="preserve">서울특별시 은평구 대조동 15-194 </t>
  </si>
  <si>
    <t>서울특별시 은평구 진흥로 167 (대조동)</t>
  </si>
  <si>
    <t>3110000-102-2000-07008</t>
  </si>
  <si>
    <t xml:space="preserve">서울특별시 은평구 갈현동 395-7 (지1층) </t>
  </si>
  <si>
    <t>서울특별시 은평구 통일로 863, 지1층 (갈현동)</t>
  </si>
  <si>
    <t>3110000-102-2000-07311</t>
  </si>
  <si>
    <t xml:space="preserve">서울특별시 은평구 갈현동 395-28 </t>
  </si>
  <si>
    <t>서울특별시 은평구 통일로 863-8 (갈현동)</t>
  </si>
  <si>
    <t>3110000-102-2000-07438</t>
  </si>
  <si>
    <t xml:space="preserve">서울특별시 은평구 불광동 281-170 </t>
  </si>
  <si>
    <t>서울특별시 은평구 통일로66길 2 (불광동)</t>
  </si>
  <si>
    <t>3110000-102-2000-07439</t>
  </si>
  <si>
    <t xml:space="preserve">서울특별시 은평구 불광동 281-97번지 </t>
  </si>
  <si>
    <t>서울특별시 은평구 불광로 40-6 (불광동)</t>
  </si>
  <si>
    <t>3110000-102-1973-04267</t>
  </si>
  <si>
    <t>서울특별시 은평구 불광동 281-92 (지하1층)</t>
  </si>
  <si>
    <t>서울특별시 은평구 통일로 730 (불광동,(지하1층))</t>
  </si>
  <si>
    <t>3110000-102-1999-08107</t>
  </si>
  <si>
    <t>서울특별시 은평구 녹번동 117-112 지하1층</t>
  </si>
  <si>
    <t>서울특별시 은평구 통일로 697 (녹번동,지하1층)</t>
  </si>
  <si>
    <t>3110000-102-2018-00008</t>
  </si>
  <si>
    <t>서울특별시 은평구 갈현동 395-5 서연빌딩 지하 1층동</t>
  </si>
  <si>
    <t>서울특별시 은평구 통일로 869, 서연빌딩 지하1층 (갈현동)</t>
  </si>
  <si>
    <t>3110000-102-2000-07549</t>
  </si>
  <si>
    <t xml:space="preserve">서울특별시 은평구 응암동 599-57 (지층) </t>
  </si>
  <si>
    <t>서울특별시 은평구 응암로11길 12 (응암동,(지층))</t>
  </si>
  <si>
    <t>3110000-102-1973-05118</t>
  </si>
  <si>
    <t xml:space="preserve">서울특별시 은평구 응암동 96-14 (지층) </t>
  </si>
  <si>
    <t>서울특별시 은평구 은평로 166 (응암동,(지층))</t>
  </si>
  <si>
    <t>3110000-102-1974-04269</t>
  </si>
  <si>
    <t xml:space="preserve">서울특별시 은평구 녹번동 258-0번지 </t>
  </si>
  <si>
    <t>서울특별시 은평구 은평로 233 (녹번동)</t>
  </si>
  <si>
    <t>3110000-102-1979-04284</t>
  </si>
  <si>
    <t xml:space="preserve">서울특별시 은평구 갈현동 396-9 지1층 </t>
  </si>
  <si>
    <t>서울특별시 은평구 통일로 855-20 (갈현동, 지1층)</t>
  </si>
  <si>
    <t>3110000-102-1979-04276</t>
  </si>
  <si>
    <t xml:space="preserve">서울특별시 은평구 대조동 14-18번지 </t>
  </si>
  <si>
    <t>서울특별시 은평구 통일로 723 (대조동)</t>
  </si>
  <si>
    <t>3110000-102-1982-04274</t>
  </si>
  <si>
    <t xml:space="preserve">서울특별시 은평구 대조동 11-11번지 (지하1층) </t>
  </si>
  <si>
    <t>서울특별시 은평구 불광로 29-1 (대조동,(지하1층))</t>
  </si>
  <si>
    <t>3110000-102-1985-04253</t>
  </si>
  <si>
    <t xml:space="preserve">서울특별시 은평구 불광동 281-171번지 </t>
  </si>
  <si>
    <t>서울특별시 은평구 통일로 722, 지하1층 106호 (불광동)</t>
  </si>
  <si>
    <t>3110000-102-2001-08167</t>
  </si>
  <si>
    <t xml:space="preserve">서울특별시 은평구 대조동 15-224 보승빌딩 지층 </t>
  </si>
  <si>
    <t>서울특별시 은평구 진흥로 163, 보승빌딩 지층 (대조동)</t>
  </si>
  <si>
    <t>3110000-102-2001-08169</t>
  </si>
  <si>
    <t xml:space="preserve">서울특별시 은평구 응암동 599-37번지 지1층 </t>
  </si>
  <si>
    <t>서울특별시 은평구 응암로11길 6-2, 지1층 (응암동)</t>
  </si>
  <si>
    <t>3110000-102-2001-08170</t>
  </si>
  <si>
    <t xml:space="preserve">서울특별시 은평구 응암동 599-36번지 지1층 </t>
  </si>
  <si>
    <t>서울특별시 은평구 응암로11길 6 (응암동, 지1층)</t>
  </si>
  <si>
    <t>3110000-102-2001-08171</t>
  </si>
  <si>
    <t xml:space="preserve">서울특별시 은평구 갈현동 456-24 2층 </t>
  </si>
  <si>
    <t>서울특별시 은평구 연서로27길 8-6, 2층 (갈현동)</t>
  </si>
  <si>
    <t>3110000-102-2002-00002</t>
  </si>
  <si>
    <t xml:space="preserve">서울특별시 은평구 불광동 281-100 (지하1층) </t>
  </si>
  <si>
    <t>서울특별시 은평구 통일로 724 (불광동,(지하1층))</t>
  </si>
  <si>
    <t>3110000-102-2002-00003</t>
  </si>
  <si>
    <t xml:space="preserve">서울특별시 은평구 응암동 91-1번지 (지하1층) </t>
  </si>
  <si>
    <t>서울특별시 은평구 은평로 99 (응암동,(지하1층))</t>
  </si>
  <si>
    <t>3110000-102-2003-00002</t>
  </si>
  <si>
    <t xml:space="preserve">서울특별시 은평구 갈현동 396-8번지 3층 </t>
  </si>
  <si>
    <t>서울특별시 은평구 통일로 855-16 (갈현동, 3층)</t>
  </si>
  <si>
    <t>3240000-102-2007-00005</t>
  </si>
  <si>
    <t xml:space="preserve">서울특별시 강동구 길동 458-3번지 2층 </t>
  </si>
  <si>
    <t>서울특별시 강동구 진황도로 110 (길동,2층)</t>
  </si>
  <si>
    <t>3110000-102-1985-04303</t>
  </si>
  <si>
    <t>서울특별시 은평구 불광동 281-176 지층</t>
  </si>
  <si>
    <t>서울특별시 은평구 통일로 714 (불광동, 지층)</t>
  </si>
  <si>
    <t>3110000-102-2005-00001</t>
  </si>
  <si>
    <t xml:space="preserve">서울특별시 은평구 응암동 590-1 (지하1층) </t>
  </si>
  <si>
    <t>서울특별시 은평구 가좌로 231 (응암동,(지하1층))</t>
  </si>
  <si>
    <t>3110000-102-2006-00001</t>
  </si>
  <si>
    <t xml:space="preserve">서울특별시 은평구 갈현동 456-24번지 (지하1층) </t>
  </si>
  <si>
    <t>서울특별시 은평구 연서로27길 8-6 (갈현동,(지하1층))</t>
  </si>
  <si>
    <t>3110000-102-2007-00002</t>
  </si>
  <si>
    <t xml:space="preserve">서울특별시 은평구 대조동 14-14번지 (지하1층) </t>
  </si>
  <si>
    <t>서울특별시 은평구 통일로 721 (대조동,(지하1층))</t>
  </si>
  <si>
    <t>3110000-102-2007-00003</t>
  </si>
  <si>
    <t xml:space="preserve">서울특별시 은평구 대조동 12-12 (지상2층) </t>
  </si>
  <si>
    <t>서울특별시 은평구 불광로 27 (대조동,(지상2층))</t>
  </si>
  <si>
    <t>3110000-102-2007-00004</t>
  </si>
  <si>
    <t xml:space="preserve">서울특별시 은평구 응암동 577-45 (지하1층) </t>
  </si>
  <si>
    <t>서울특별시 은평구 응암로 207 (응암동,(지하1층))</t>
  </si>
  <si>
    <t>3110000-102-2010-00003</t>
  </si>
  <si>
    <t xml:space="preserve">서울특별시 은평구 응암동 590-2 </t>
  </si>
  <si>
    <t>서울특별시 은평구 가좌로 229 (응암동)</t>
  </si>
  <si>
    <t>3110000-102-2011-00001</t>
  </si>
  <si>
    <t xml:space="preserve">서울특별시 은평구 대조동 15-38 </t>
  </si>
  <si>
    <t>서울특별시 은평구 통일로65길 12-8 (대조동)</t>
  </si>
  <si>
    <t>3110000-102-2011-00003</t>
  </si>
  <si>
    <t xml:space="preserve">서울특별시 은평구 응암동 590-3번지 </t>
  </si>
  <si>
    <t>서울특별시 은평구 가좌로 227, 지하1층 (응암동)</t>
  </si>
  <si>
    <t>3110000-102-2012-00001</t>
  </si>
  <si>
    <t xml:space="preserve">서울특별시 은평구 응암동 590-6 </t>
  </si>
  <si>
    <t>서울특별시 은평구 응암로13길 2, 지하1층 (응암동)</t>
  </si>
  <si>
    <t>3110000-102-2012-00002</t>
  </si>
  <si>
    <t xml:space="preserve">서울특별시 은평구 응암동 590-4 </t>
  </si>
  <si>
    <t>서울특별시 은평구 응암로 201 (응암동)</t>
  </si>
  <si>
    <t>3110000-102-2008-00001</t>
  </si>
  <si>
    <t xml:space="preserve">서울특별시 은평구 대조동 12-10번지 외1필지(지하1층) </t>
  </si>
  <si>
    <t>서울특별시 은평구 불광로 21 (대조동,외1필지(지하1층))</t>
  </si>
  <si>
    <t>3110000-102-2008-00002</t>
  </si>
  <si>
    <t xml:space="preserve">서울특별시 은평구 응암동 600-2 외2필지 지상4층 </t>
  </si>
  <si>
    <t>서울특별시 은평구 응암로 193 (응암동,외2필지 지상4층)</t>
  </si>
  <si>
    <t>3110000-102-1985-05125</t>
  </si>
  <si>
    <t xml:space="preserve">서울특별시 은평구 응암동 110-9번지 (지상1층) </t>
  </si>
  <si>
    <t>3110000-102-1972-04273</t>
  </si>
  <si>
    <t xml:space="preserve">서울특별시 은평구 대조동 14-8번지 </t>
  </si>
  <si>
    <t>3110000-102-1973-04275</t>
  </si>
  <si>
    <t>서울특별시 은평구 불광동 17-616번지 태성주택 3층동 B호</t>
  </si>
  <si>
    <t>3110000-102-2001-08166</t>
  </si>
  <si>
    <t xml:space="preserve">서울특별시 은평구 갈현동 395-15번지 지층 </t>
  </si>
  <si>
    <t>서울특별시 은평구 통일로 863-20 (갈현동, 지층)</t>
  </si>
  <si>
    <t>3110000-102-2001-08168</t>
  </si>
  <si>
    <t xml:space="preserve">서울특별시 은평구 대조동 186-21번지 </t>
  </si>
  <si>
    <t>서울특별시 은평구 연서로28길 17-1 (대조동)</t>
  </si>
  <si>
    <t>3110000-102-2001-08172</t>
  </si>
  <si>
    <t xml:space="preserve">서울특별시 은평구 대조동 185-81번지 (1층) </t>
  </si>
  <si>
    <t>서울특별시 은평구 통일로 841 (대조동,(1층))</t>
  </si>
  <si>
    <t>3110000-102-2002-00001</t>
  </si>
  <si>
    <t xml:space="preserve">서울특별시 은평구 갈현동 396-12번지 ,13 (지하1층) </t>
  </si>
  <si>
    <t>3110000-102-2003-00003</t>
  </si>
  <si>
    <t xml:space="preserve">서울특별시 은평구 응암동 600-2번지 지하1층 </t>
  </si>
  <si>
    <t>서울특별시 은평구 응암로 193, 지하1층 (응암동)</t>
  </si>
  <si>
    <t>3110000-102-2004-00001</t>
  </si>
  <si>
    <t xml:space="preserve">서울특별시 은평구 대조동 12-28번지 지하1층 </t>
  </si>
  <si>
    <t>서울특별시 은평구 불광로 29 (대조동, 지하1층)</t>
  </si>
  <si>
    <t>3110000-102-2004-00002</t>
  </si>
  <si>
    <t xml:space="preserve">서울특별시 은평구 갈현동 395-17번지 (지하1층) </t>
  </si>
  <si>
    <t>서울특별시 은평구 통일로 863-24 (갈현동,(지하1층))</t>
  </si>
  <si>
    <t>3110000-102-2004-00003</t>
  </si>
  <si>
    <t xml:space="preserve">서울특별시 은평구 응암동 577-45번지 (지상2층) </t>
  </si>
  <si>
    <t>서울특별시 은평구 응암로 207 (응암동,(지상2층))</t>
  </si>
  <si>
    <t>3110000-102-2007-00001</t>
  </si>
  <si>
    <t xml:space="preserve">서울특별시 은평구 갈현동 396-11 ,14,15(지하1층) </t>
  </si>
  <si>
    <t>서울특별시 은평구 통일로 855-4 (갈현동,,14,15(지하1층))</t>
  </si>
  <si>
    <t>3110000-102-2011-00002</t>
  </si>
  <si>
    <t xml:space="preserve">서울특별시 은평구 대조동 14-25번지 (2층) </t>
  </si>
  <si>
    <t>서울특별시 은평구 불광로 16-3 (대조동,(2층))</t>
  </si>
  <si>
    <t>3110000-102-2017-00001</t>
  </si>
  <si>
    <t xml:space="preserve">서울특별시 은평구 대조동 14-19 3층 2호 </t>
  </si>
  <si>
    <t>서울특별시 은평구 통일로 727-3 (대조동, 3층 2호)</t>
  </si>
  <si>
    <t>3110000-102-2018-00006</t>
  </si>
  <si>
    <t xml:space="preserve">서울특별시 은평구 갈현동 395-5 서연빌딩 </t>
  </si>
  <si>
    <t>서울특별시 은평구 통일로 869, 서연빌딩 (갈현동)</t>
  </si>
  <si>
    <t>3110000-102-2018-00007</t>
  </si>
  <si>
    <t xml:space="preserve">서울특별시 은평구 대조동 12-28 지층 </t>
  </si>
  <si>
    <t>서울특별시 은평구 불광로 29, 지층 (대조동)</t>
  </si>
  <si>
    <t>3110000-102-2002-00008</t>
  </si>
  <si>
    <t xml:space="preserve">서울특별시 은평구 대조동 14-1번지 (지하1층) </t>
  </si>
  <si>
    <t>서울특별시 은평구 불광로 28 (대조동,(지하1층))</t>
  </si>
  <si>
    <t>3110000-102-2001-07931</t>
  </si>
  <si>
    <t xml:space="preserve">서울특별시 은평구 갈현동 456-24번지 </t>
  </si>
  <si>
    <t>3110000-102-2001-07994</t>
  </si>
  <si>
    <t xml:space="preserve">서울특별시 은평구 불광동 281-172번지 (지상2층) </t>
  </si>
  <si>
    <t>서울특별시 은평구 통일로 720 (불광동,(지상2층))</t>
  </si>
  <si>
    <t>3110000-102-2001-08091</t>
  </si>
  <si>
    <t xml:space="preserve">서울특별시 은평구 갈현동 396-8번지 지층 </t>
  </si>
  <si>
    <t>서울특별시 은평구 통일로 855-16 (갈현동, 지층)</t>
  </si>
  <si>
    <t>3110000-102-2008-00003</t>
  </si>
  <si>
    <t xml:space="preserve">서울특별시 은평구 응암동 600-9번지 메트로타워4층 </t>
  </si>
  <si>
    <t>3110000-102-2009-00001</t>
  </si>
  <si>
    <t xml:space="preserve">서울특별시 은평구 응암동 600-2번지 2층 </t>
  </si>
  <si>
    <t>서울특별시 은평구 응암로 193 (응암동,2층)</t>
  </si>
  <si>
    <t>3110000-102-2013-00004</t>
  </si>
  <si>
    <t xml:space="preserve">서울특별시 은평구 응암동 590-10 지층 </t>
  </si>
  <si>
    <t>서울특별시 은평구 응암로13길 6 (응암동, 지층)</t>
  </si>
  <si>
    <t>3110000-102-2002-00004</t>
  </si>
  <si>
    <t xml:space="preserve">서울특별시 은평구 갈현동 456-32번지 (2층) </t>
  </si>
  <si>
    <t>서울특별시 은평구 연서로29길 5 (갈현동,(2층))</t>
  </si>
  <si>
    <t>3110000-102-2002-00005</t>
  </si>
  <si>
    <t xml:space="preserve">서울특별시 은평구 갈현동 396-11번지 (2층) </t>
  </si>
  <si>
    <t>3110000-102-2002-00006</t>
  </si>
  <si>
    <t xml:space="preserve">서울특별시 은평구 대조동 185-1번지 (3층) </t>
  </si>
  <si>
    <t>3110000-102-2002-00007</t>
  </si>
  <si>
    <t xml:space="preserve">서울특별시 은평구 대조동 185-1번지 (지상2층) </t>
  </si>
  <si>
    <t>3110000-102-2014-00002</t>
  </si>
  <si>
    <t xml:space="preserve">서울특별시 은평구 대조동 185-72번지 1,2층 </t>
  </si>
  <si>
    <t>서울특별시 은평구 연서로28길 7-3 (대조동, 1, 2층)</t>
  </si>
  <si>
    <t>3110000-102-2000-07675</t>
  </si>
  <si>
    <t xml:space="preserve">서울특별시 은평구 갈현동 395-9번지 지하1층 </t>
  </si>
  <si>
    <t>서울특별시 은평구 통일로 863-14, 지하1층 (갈현동)</t>
  </si>
  <si>
    <t>3110000-102-2002-00009</t>
  </si>
  <si>
    <t xml:space="preserve">서울특별시 은평구 불광동 281-177번지 지하1층 </t>
  </si>
  <si>
    <t>서울특별시 은평구 통일로 714, 지하1층 (불광동)</t>
  </si>
  <si>
    <t>3110000-102-1973-04285</t>
  </si>
  <si>
    <t xml:space="preserve">서울특별시 은평구 갈현동 395-5번지 지하1층 </t>
  </si>
  <si>
    <t>서울특별시 은평구 통일로 869 (갈현동, 지하1층)</t>
  </si>
  <si>
    <t>3110000-102-1985-04278</t>
  </si>
  <si>
    <t xml:space="preserve">서울특별시 은평구 응암동 110-1 (지하1층) </t>
  </si>
  <si>
    <t>서울특별시 은평구 은평로 116 (응암동,(지하1층))</t>
  </si>
  <si>
    <t>3110000-102-1985-04280</t>
  </si>
  <si>
    <t xml:space="preserve">서울특별시 은평구 갈현동 396-11번지 ,396-14호 3층 </t>
  </si>
  <si>
    <t>서울특별시 은평구 통일로 855-4, 3층 (갈현동)</t>
  </si>
  <si>
    <t>3110000-102-1986-04279</t>
  </si>
  <si>
    <t xml:space="preserve">서울특별시 은평구 갈현동 396-12번지 </t>
  </si>
  <si>
    <t>3110000-102-1988-04247</t>
  </si>
  <si>
    <t xml:space="preserve">서울특별시 은평구 불광동 310-190번지 </t>
  </si>
  <si>
    <t>3110000-102-1989-04249</t>
  </si>
  <si>
    <t xml:space="preserve">서울특별시 은평구 불광동 302-13번지 </t>
  </si>
  <si>
    <t>3110000-102-1999-06297</t>
  </si>
  <si>
    <t xml:space="preserve">서울특별시 은평구 불광동 281-178번지 </t>
  </si>
  <si>
    <t>3110000-102-1999-06459</t>
  </si>
  <si>
    <t xml:space="preserve">서울특별시 은평구 대조동 197-3번지 </t>
  </si>
  <si>
    <t>서울특별시 은평구 연서로28길 14, 2,3층 (대조동)</t>
  </si>
  <si>
    <t>3110000-102-1999-06480</t>
  </si>
  <si>
    <t xml:space="preserve">서울특별시 은평구 갈현동 395-17번지 </t>
  </si>
  <si>
    <t>3110000-102-1999-06813</t>
  </si>
  <si>
    <t xml:space="preserve">서울특별시 은평구 녹번동 117-112번지 </t>
  </si>
  <si>
    <t>3110000-102-2000-06982</t>
  </si>
  <si>
    <t xml:space="preserve">서울특별시 은평구 갈현동 395-25번지 </t>
  </si>
  <si>
    <t>3110000-102-2000-06999</t>
  </si>
  <si>
    <t xml:space="preserve">서울특별시 은평구 응암동 91-3 지하1층 </t>
  </si>
  <si>
    <t>서울특별시 은평구 은평로 97 (응암동, 지하1층)</t>
  </si>
  <si>
    <t>3110000-102-2000-07058</t>
  </si>
  <si>
    <t xml:space="preserve">서울특별시 은평구 불광동 285-27번지 </t>
  </si>
  <si>
    <t>3110000-102-2000-07214</t>
  </si>
  <si>
    <t xml:space="preserve">서울특별시 은평구 불광동 281-174번지 </t>
  </si>
  <si>
    <t>3110000-102-2000-07566</t>
  </si>
  <si>
    <t xml:space="preserve">서울특별시 은평구 갈현동 456-7 지하A동 </t>
  </si>
  <si>
    <t>서울특별시 은평구 연서로29길 7-3 (갈현동, 지하A동)</t>
  </si>
  <si>
    <t>3110000-102-1973-04271</t>
  </si>
  <si>
    <t xml:space="preserve">서울특별시 은평구 녹번동 183-0번지 </t>
  </si>
  <si>
    <t>3110000-102-1974-04304</t>
  </si>
  <si>
    <t xml:space="preserve">서울특별시 은평구 불광동 304-18번지 </t>
  </si>
  <si>
    <t>3110000-102-1974-04254</t>
  </si>
  <si>
    <t xml:space="preserve">서울특별시 은평구 응암동 598-4번지 (지하1층) </t>
  </si>
  <si>
    <t>3110000-102-1974-04250</t>
  </si>
  <si>
    <t xml:space="preserve">서울특별시 은평구 불광동 304-2번지 </t>
  </si>
  <si>
    <t>3110000-102-1979-04272</t>
  </si>
  <si>
    <t xml:space="preserve">서울특별시 은평구 대조동 198-27번지 (지하1층) </t>
  </si>
  <si>
    <t>3110000-102-1981-04291</t>
  </si>
  <si>
    <t xml:space="preserve">서울특별시 은평구 갈현동 396-11번지 </t>
  </si>
  <si>
    <t>3110000-102-1983-04266</t>
  </si>
  <si>
    <t>3110000-102-1983-04248</t>
  </si>
  <si>
    <t xml:space="preserve">서울특별시 은평구 갈현동 396-12번지 13 </t>
  </si>
  <si>
    <t>3110000-102-1983-04270</t>
  </si>
  <si>
    <t xml:space="preserve">서울특별시 은평구 대조동 185-1번지 </t>
  </si>
  <si>
    <t>3110000-102-1984-07859</t>
  </si>
  <si>
    <t xml:space="preserve">서울특별시 은평구 갈현동 396-11번지 ,14,15호(지층) </t>
  </si>
  <si>
    <t>3110000-102-1984-04287</t>
  </si>
  <si>
    <t xml:space="preserve">서울특별시 은평구 응암동 90-4번지 </t>
  </si>
  <si>
    <t>3110000-102-1985-04286</t>
  </si>
  <si>
    <t>3110000-102-1985-04277</t>
  </si>
  <si>
    <t xml:space="preserve">서울특별시 은평구 갈현동 396-15번지 </t>
  </si>
  <si>
    <t>3110000-102-2016-00001</t>
  </si>
  <si>
    <t xml:space="preserve">서울특별시 은평구 응암동 577-43 지층 </t>
  </si>
  <si>
    <t>서울특별시 은평구 응암로 209 (응암동, 지층)</t>
  </si>
  <si>
    <t>3110000-102-2016-00002</t>
  </si>
  <si>
    <t xml:space="preserve">서울특별시 은평구 대조동 185-50번지 외3필지(1층) </t>
  </si>
  <si>
    <t>서울특별시 은평구 연서로28길 3 (대조동, 외3필지(1층))</t>
  </si>
  <si>
    <t>3110000-102-2016-00003</t>
  </si>
  <si>
    <t xml:space="preserve">서울특별시 은평구 응암동 599-3 </t>
  </si>
  <si>
    <t>서울특별시 은평구 응암로13길 11-4 (응암동)</t>
  </si>
  <si>
    <t>3110000-102-2017-00002</t>
  </si>
  <si>
    <t xml:space="preserve">서울특별시 은평구 대조동 14-1 지층 </t>
  </si>
  <si>
    <t>서울특별시 은평구 통일로 731 (대조동, 지층)</t>
  </si>
  <si>
    <t>3110000-102-2017-00003</t>
  </si>
  <si>
    <t xml:space="preserve">서울특별시 은평구 갈현동 395-9 </t>
  </si>
  <si>
    <t>서울특별시 은평구 통일로 863-14 (갈현동)</t>
  </si>
  <si>
    <t>3110000-102-2018-00001</t>
  </si>
  <si>
    <t xml:space="preserve">서울특별시 은평구 갈현동 396-8번지 </t>
  </si>
  <si>
    <t>서울특별시 은평구 통일로 855-16 (갈현동)</t>
  </si>
  <si>
    <t>3120000-102-1983-02736</t>
  </si>
  <si>
    <t xml:space="preserve">서울특별시 서대문구 창천동 29-68번지 (지상1층) </t>
  </si>
  <si>
    <t>3120000-102-1978-08132</t>
  </si>
  <si>
    <t xml:space="preserve">서울특별시 서대문구 창천동 20-38번지 </t>
  </si>
  <si>
    <t>3120000-102-1990-02725</t>
  </si>
  <si>
    <t xml:space="preserve">서울특별시 서대문구 창천동 20-56번지 (지상2,3층) </t>
  </si>
  <si>
    <t>3120000-102-1990-04549</t>
  </si>
  <si>
    <t xml:space="preserve">서울특별시 서대문구 창천동 20-24번지 </t>
  </si>
  <si>
    <t>3120000-102-1993-08143</t>
  </si>
  <si>
    <t xml:space="preserve">서울특별시 서대문구 대현동 104-40번지 </t>
  </si>
  <si>
    <t>3120000-102-1999-09189</t>
  </si>
  <si>
    <t xml:space="preserve">서울특별시 서대문구 대현동 104-26번지 </t>
  </si>
  <si>
    <t>3120000-102-1999-03848</t>
  </si>
  <si>
    <t xml:space="preserve">서울특별시 서대문구 창천동 18-58번지 (지상1층) </t>
  </si>
  <si>
    <t>서울특별시 서대문구 연세로 8-1 (창천동,(지상1층))</t>
  </si>
  <si>
    <t>3120000-102-1999-03864</t>
  </si>
  <si>
    <t xml:space="preserve">서울특별시 서대문구 창천동 29-61번지 </t>
  </si>
  <si>
    <t>3120000-102-1983-08089</t>
  </si>
  <si>
    <t xml:space="preserve">서울특별시 서대문구 대현동 27-27번지 </t>
  </si>
  <si>
    <t>3120000-102-1983-03992</t>
  </si>
  <si>
    <t xml:space="preserve">서울특별시 서대문구 홍제동 299-2번지 ,5,44,52, 301-15 </t>
  </si>
  <si>
    <t>서울특별시 서대문구 통일로 472 (홍제동,,5,44,52, 301-15)</t>
  </si>
  <si>
    <t>3120000-102-1972-02717</t>
  </si>
  <si>
    <t xml:space="preserve">서울특별시 서대문구 창천동 503-13 (지하1층) </t>
  </si>
  <si>
    <t>서울특별시 서대문구 신촌로 17 (창천동,(지하1층))</t>
  </si>
  <si>
    <t>3120000-102-1972-08147</t>
  </si>
  <si>
    <t xml:space="preserve">서울특별시 서대문구 창천동 29-70번지 </t>
  </si>
  <si>
    <t>서울특별시 서대문구 연세로2가길 6 (창천동)</t>
  </si>
  <si>
    <t>3120000-102-1973-02724</t>
  </si>
  <si>
    <t xml:space="preserve">서울특별시 서대문구 홍제동 305-3 </t>
  </si>
  <si>
    <t>서울특별시 서대문구 통일로 452, 지층 (홍제동)</t>
  </si>
  <si>
    <t>3120000-102-1973-02718</t>
  </si>
  <si>
    <t xml:space="preserve">서울특별시 서대문구 연희동 353-94 지하1층 </t>
  </si>
  <si>
    <t>서울특별시 서대문구 연희로 36, 지하1층 (연희동)</t>
  </si>
  <si>
    <t>3120000-102-1974-09877</t>
  </si>
  <si>
    <t xml:space="preserve">서울특별시 서대문구 남가좌동 102-6번지 지하1층 </t>
  </si>
  <si>
    <t>서울특별시 서대문구 수색로2길 18, 지하1층 (남가좌동)</t>
  </si>
  <si>
    <t>3120000-102-1975-08142</t>
  </si>
  <si>
    <t xml:space="preserve">서울특별시 서대문구 창천동 29-45 29-109 </t>
  </si>
  <si>
    <t>서울특별시 서대문구 연세로2가길 16 (창천동,29-109)</t>
  </si>
  <si>
    <t>3120000-102-1977-04244</t>
  </si>
  <si>
    <t xml:space="preserve">서울특별시 서대문구 창천동 29-30 용성빌딩 </t>
  </si>
  <si>
    <t>서울특별시 서대문구 연세로4길 12, 용성빌딩 지하1,2층 (창천동)</t>
  </si>
  <si>
    <t>3120000-102-1989-08128</t>
  </si>
  <si>
    <t xml:space="preserve">서울특별시 서대문구 홍은동 201-1번지 </t>
  </si>
  <si>
    <t>서울특별시 서대문구 연희로 353 (홍은동)</t>
  </si>
  <si>
    <t>3120000-102-1988-02801</t>
  </si>
  <si>
    <t>서울특별시 서대문구 창천동 20-108</t>
  </si>
  <si>
    <t>서울특별시 서대문구 연세로2길 66 (창천동)</t>
  </si>
  <si>
    <t>3120000-102-1979-02731</t>
  </si>
  <si>
    <t xml:space="preserve">서울특별시 서대문구 창천동 29-30 용성빌딩 3층 전체 외 1필지(29-111) </t>
  </si>
  <si>
    <t>서울특별시 서대문구 연세로4길 12, 용성빌딩 3층 (창천동)</t>
  </si>
  <si>
    <t>3120000-102-1982-08137</t>
  </si>
  <si>
    <t xml:space="preserve">서울특별시 서대문구 창천동 18-84 외 1필지, 2층 </t>
  </si>
  <si>
    <t>서울특별시 서대문구 연세로2길 7, 2층 (창천동)</t>
  </si>
  <si>
    <t>3120000-102-1991-02714</t>
  </si>
  <si>
    <t xml:space="preserve">서울특별시 서대문구 영천동 325 </t>
  </si>
  <si>
    <t>서울특별시 서대문구 통일로 189, 지하1층 (영천동)</t>
  </si>
  <si>
    <t>3120000-102-1991-08304</t>
  </si>
  <si>
    <t xml:space="preserve">서울특별시 서대문구 창천동 18-13 </t>
  </si>
  <si>
    <t>서울특별시 서대문구 연세로4길 6-3 (창천동)</t>
  </si>
  <si>
    <t>3120000-102-1986-09728</t>
  </si>
  <si>
    <t>서울특별시 서대문구 대현동 101-17 지하1층 나호</t>
  </si>
  <si>
    <t>서울특별시 서대문구 신촌로 155, 지하1층 나호 (대현동)</t>
  </si>
  <si>
    <t>3120000-102-1987-08133</t>
  </si>
  <si>
    <t xml:space="preserve">서울특별시 서대문구 남가좌동 102-19 </t>
  </si>
  <si>
    <t>서울특별시 서대문구 수색로2길 14 (남가좌동)</t>
  </si>
  <si>
    <t>3120000-102-2000-03533</t>
  </si>
  <si>
    <t xml:space="preserve">서울특별시 서대문구 남가좌동 293-85 </t>
  </si>
  <si>
    <t>서울특별시 서대문구 수색로 32 (남가좌동)</t>
  </si>
  <si>
    <t>3120000-102-2000-10158</t>
  </si>
  <si>
    <t xml:space="preserve">서울특별시 서대문구 남가좌동 291-30번지 지하1층 </t>
  </si>
  <si>
    <t>서울특별시 서대문구 수색로 28-5, 지하1층 (남가좌동)</t>
  </si>
  <si>
    <t>3120000-102-2000-10410</t>
  </si>
  <si>
    <t xml:space="preserve">서울특별시 서대문구 남가좌동 291-60번지 </t>
  </si>
  <si>
    <t>서울특별시 서대문구 수색로2길 3 (남가좌동)</t>
  </si>
  <si>
    <t>3120000-102-2001-10472</t>
  </si>
  <si>
    <t xml:space="preserve">서울특별시 서대문구 남가좌동 291-26번지 </t>
  </si>
  <si>
    <t>서울특별시 서대문구 수색로 28 (남가좌동)</t>
  </si>
  <si>
    <t>3120000-102-2001-10473</t>
  </si>
  <si>
    <t xml:space="preserve">서울특별시 서대문구 창천동 30-46 </t>
  </si>
  <si>
    <t>서울특별시 서대문구 연세로 3, 지층 (창천동)</t>
  </si>
  <si>
    <t>3120000-102-2013-00001</t>
  </si>
  <si>
    <t xml:space="preserve">서울특별시 서대문구 남가좌동 102-24 </t>
  </si>
  <si>
    <t>서울특별시 서대문구 수색로 20, 3층 (남가좌동)</t>
  </si>
  <si>
    <t>3120000-102-2008-00001</t>
  </si>
  <si>
    <t xml:space="preserve">서울특별시 서대문구 창천동 30-11번지 나동 (지하1층) </t>
  </si>
  <si>
    <t>서울특별시 서대문구 신촌로 87-4 (창천동,나동 (지하1층))</t>
  </si>
  <si>
    <t>3120000-102-2002-00003</t>
  </si>
  <si>
    <t xml:space="preserve">서울특별시 서대문구 홍제동 330-60번지 (지하1층) </t>
  </si>
  <si>
    <t>서울특별시 서대문구 통일로 457 (홍제동,(지하1층))</t>
  </si>
  <si>
    <t>3120000-102-1983-04447</t>
  </si>
  <si>
    <t>서울특별시 서대문구 영천동 320</t>
  </si>
  <si>
    <t>서울특별시 서대문구 통일로 191, 지층 (영천동)</t>
  </si>
  <si>
    <t>3120000-102-1984-08150</t>
  </si>
  <si>
    <t>서울특별시 서대문구 창천동 18-72 지하1층</t>
  </si>
  <si>
    <t>서울특별시 서대문구 연세로4길 7, 지하1층 (창천동)</t>
  </si>
  <si>
    <t>3120000-102-2003-00001</t>
  </si>
  <si>
    <t xml:space="preserve">서울특별시 서대문구 창천동 18-30 </t>
  </si>
  <si>
    <t>서울특별시 서대문구 연세로 10 (창천동)</t>
  </si>
  <si>
    <t>3120000-102-1983-08088</t>
  </si>
  <si>
    <t xml:space="preserve">서울특별시 서대문구 창천동 30-8번지 (지하1층) </t>
  </si>
  <si>
    <t>3120000-102-1983-08151</t>
  </si>
  <si>
    <t xml:space="preserve">서울특별시 서대문구 창천동 29-52번지 </t>
  </si>
  <si>
    <t>3120000-102-1983-09729</t>
  </si>
  <si>
    <t xml:space="preserve">서울특별시 서대문구 대현동 104-15 (지하1층,지하2층) </t>
  </si>
  <si>
    <t>서울특별시 서대문구 연세로2길 101-10 (대현동,(지하1층,지하2층))</t>
  </si>
  <si>
    <t>3120000-102-1984-08131</t>
  </si>
  <si>
    <t xml:space="preserve">서울특별시 서대문구 창천동 29-69번지 </t>
  </si>
  <si>
    <t>3120000-102-1984-03392</t>
  </si>
  <si>
    <t xml:space="preserve">서울특별시 서대문구 창천동 20-56번지 </t>
  </si>
  <si>
    <t>3120000-102-1984-03391</t>
  </si>
  <si>
    <t>3120000-102-1984-08146</t>
  </si>
  <si>
    <t xml:space="preserve">서울특별시 서대문구 창천동 18-46번지 </t>
  </si>
  <si>
    <t>3120000-102-1984-08135</t>
  </si>
  <si>
    <t xml:space="preserve">서울특별시 서대문구 대현동 104-23번지 24 </t>
  </si>
  <si>
    <t>3120000-102-1984-02733</t>
  </si>
  <si>
    <t xml:space="preserve">서울특별시 서대문구 창천동 29-25번지 </t>
  </si>
  <si>
    <t>3120000-102-2024-00001</t>
  </si>
  <si>
    <t>서울특별시 서대문구 창천동 29-30 용성빌딩</t>
  </si>
  <si>
    <t>서울특별시 서대문구 연세로4길 12, 용성빌딩 2층 (창천동)</t>
  </si>
  <si>
    <t>3120000-102-1984-10055</t>
  </si>
  <si>
    <t xml:space="preserve">서울특별시 서대문구 창천동 18-26번지 </t>
  </si>
  <si>
    <t>3120000-102-1985-08130</t>
  </si>
  <si>
    <t xml:space="preserve">서울특별시 서대문구 홍제동 302-1번지 </t>
  </si>
  <si>
    <t>3120000-102-1985-02710</t>
  </si>
  <si>
    <t xml:space="preserve">서울특별시 서대문구 대현동 37-32번지 </t>
  </si>
  <si>
    <t>3120000-102-1985-02713</t>
  </si>
  <si>
    <t xml:space="preserve">서울특별시 서대문구 창천동 30-11번지 12 나동 </t>
  </si>
  <si>
    <t>3120000-102-1985-02732</t>
  </si>
  <si>
    <t xml:space="preserve">서울특별시 서대문구 대현동 104-19번지 </t>
  </si>
  <si>
    <t>서울특별시 서대문구 연세로2마길 12 (대현동)</t>
  </si>
  <si>
    <t>3120000-102-1986-08141</t>
  </si>
  <si>
    <t xml:space="preserve">서울특별시 서대문구 창천동 29-55번지 </t>
  </si>
  <si>
    <t>3120000-102-1986-08134</t>
  </si>
  <si>
    <t xml:space="preserve">서울특별시 서대문구 대현동 101-17번지 </t>
  </si>
  <si>
    <t>서울특별시 서대문구 신촌로 155 (대현동)</t>
  </si>
  <si>
    <t>3120000-102-1987-08136</t>
  </si>
  <si>
    <t>서울특별시 서대문구 이화여대3길 36 (대현동)</t>
  </si>
  <si>
    <t>3120000-102-1987-02711</t>
  </si>
  <si>
    <t xml:space="preserve">서울특별시 서대문구 창천동 30-1번지 </t>
  </si>
  <si>
    <t>서울특별시 서대문구 연세로 13 (창천동)</t>
  </si>
  <si>
    <t>3120000-102-1969-02729</t>
  </si>
  <si>
    <t xml:space="preserve">서울특별시 서대문구 창천동 18-35번지 </t>
  </si>
  <si>
    <t>3120000-102-1970-02712</t>
  </si>
  <si>
    <t xml:space="preserve">서울특별시 서대문구 창천동 72-3번지 </t>
  </si>
  <si>
    <t>3120000-102-1970-04446</t>
  </si>
  <si>
    <t xml:space="preserve">서울특별시 서대문구 창천동 30-32번지 </t>
  </si>
  <si>
    <t>3120000-102-1971-08087</t>
  </si>
  <si>
    <t xml:space="preserve">서울특별시 서대문구 미근동 8-1번지 ,3-2,5-2,9-2,4-3 </t>
  </si>
  <si>
    <t>3120000-102-1999-09426</t>
  </si>
  <si>
    <t xml:space="preserve">서울특별시 서대문구 창천동 29-111 2층 </t>
  </si>
  <si>
    <t>서울특별시 서대문구 연세로4길 12, 2층 (창천동)</t>
  </si>
  <si>
    <t>3120000-102-1999-04625</t>
  </si>
  <si>
    <t xml:space="preserve">서울특별시 서대문구 창천동 29-91번지 </t>
  </si>
  <si>
    <t>서울특별시 서대문구 신촌로 109 (창천동)</t>
  </si>
  <si>
    <t>3120000-102-2000-04770</t>
  </si>
  <si>
    <t>3120000-102-2000-10398</t>
  </si>
  <si>
    <t xml:space="preserve">서울특별시 서대문구 남가좌동 270-4번지 ,9 </t>
  </si>
  <si>
    <t>3120000-102-2000-10409</t>
  </si>
  <si>
    <t>3120000-102-2001-10474</t>
  </si>
  <si>
    <t xml:space="preserve">서울특별시 서대문구 남가좌동 102-23번지 </t>
  </si>
  <si>
    <t>서울특별시 서대문구 수색로2길 2 (남가좌동)</t>
  </si>
  <si>
    <t>3120000-102-2001-10478</t>
  </si>
  <si>
    <t xml:space="preserve">서울특별시 서대문구 창천동 30-7번지 </t>
  </si>
  <si>
    <t>3120000-102-2001-10477</t>
  </si>
  <si>
    <t xml:space="preserve">서울특별시 서대문구 남가좌동 291-6번지 지하1층 </t>
  </si>
  <si>
    <t>서울특별시 서대문구 수색로 26 (남가좌동,지하1층)</t>
  </si>
  <si>
    <t>3120000-102-2001-10475</t>
  </si>
  <si>
    <t xml:space="preserve">서울특별시 서대문구 창천동 18-81번지 </t>
  </si>
  <si>
    <t>서울특별시 서대문구 연세로2가길 3-3 (창천동)</t>
  </si>
  <si>
    <t>3120000-102-2001-10476</t>
  </si>
  <si>
    <t>3120000-102-2002-00001</t>
  </si>
  <si>
    <t xml:space="preserve">서울특별시 서대문구 창천동 29-43 (지하1층) </t>
  </si>
  <si>
    <t>서울특별시 서대문구 연세로2가길 22 (창천동,(지하1층))</t>
  </si>
  <si>
    <t>3120000-102-2002-00002</t>
  </si>
  <si>
    <t xml:space="preserve">서울특별시 서대문구 대현동 104-56번지 </t>
  </si>
  <si>
    <t>3120000-102-2009-00001</t>
  </si>
  <si>
    <t xml:space="preserve">서울특별시 서대문구 대현동 37-32번지 (지상3층) </t>
  </si>
  <si>
    <t>3120000-102-2003-00002</t>
  </si>
  <si>
    <t xml:space="preserve">서울특별시 서대문구 대현동 104-23번지 ,24(지상3층) </t>
  </si>
  <si>
    <t>3120000-102-2006-00001</t>
  </si>
  <si>
    <t xml:space="preserve">서울특별시 서대문구 창천동 29-55번지 (지상1층) </t>
  </si>
  <si>
    <t>3120000-102-1977-08145</t>
  </si>
  <si>
    <t xml:space="preserve">서울특별시 서대문구 창천동 20-108번지 (지상1층) </t>
  </si>
  <si>
    <t>3120000-102-1986-08144</t>
  </si>
  <si>
    <t xml:space="preserve">서울특별시 서대문구 창천동 29-72번지 </t>
  </si>
  <si>
    <t>3120000-102-1985-09269</t>
  </si>
  <si>
    <t xml:space="preserve">서울특별시 서대문구 대현동 37-32번지 (지상2층) </t>
  </si>
  <si>
    <t>3120000-102-1971-08707</t>
  </si>
  <si>
    <t>서울특별시 서대문구 연세로 8-1 (창천동)</t>
  </si>
  <si>
    <t>3120000-102-1972-08138</t>
  </si>
  <si>
    <t xml:space="preserve">서울특별시 서대문구 홍제동 280-7번지 </t>
  </si>
  <si>
    <t>3120000-102-1972-08149</t>
  </si>
  <si>
    <t xml:space="preserve">서울특별시 서대문구 창천동 20-29번지 </t>
  </si>
  <si>
    <t>3120000-102-1973-02719</t>
  </si>
  <si>
    <t xml:space="preserve">서울특별시 서대문구 미근동 163번지 </t>
  </si>
  <si>
    <t>서울특별시 서대문구 충정로 76 (미근동)</t>
  </si>
  <si>
    <t>3120000-102-1974-02726</t>
  </si>
  <si>
    <t xml:space="preserve">서울특별시 서대문구 창천동 29-72번지 (지하1층) </t>
  </si>
  <si>
    <t>서울특별시 서대문구 연세로2길 9 (창천동,(지하1층))</t>
  </si>
  <si>
    <t>3120000-102-1974-02734</t>
  </si>
  <si>
    <t xml:space="preserve">서울특별시 서대문구 창천동 29-49번지 </t>
  </si>
  <si>
    <t>서울특별시 서대문구 연세로2가길 12 (창천동)</t>
  </si>
  <si>
    <t>3120000-102-1975-02721</t>
  </si>
  <si>
    <t xml:space="preserve">서울특별시 서대문구 창천동 29-59번지 (지하1층) </t>
  </si>
  <si>
    <t>3120000-102-1975-08140</t>
  </si>
  <si>
    <t xml:space="preserve">서울특별시 서대문구 창천동 29-83번지 </t>
  </si>
  <si>
    <t>3120000-102-1977-08090</t>
  </si>
  <si>
    <t xml:space="preserve">서울특별시 서대문구 남가좌동 295-9번지 </t>
  </si>
  <si>
    <t>3120000-102-1977-02722</t>
  </si>
  <si>
    <t xml:space="preserve">서울특별시 서대문구 창천동 18-72번지 </t>
  </si>
  <si>
    <t>3120000-102-1977-02735</t>
  </si>
  <si>
    <t xml:space="preserve">서울특별시 서대문구 창천동 20-76번지 </t>
  </si>
  <si>
    <t>3120000-102-1977-02728</t>
  </si>
  <si>
    <t xml:space="preserve">서울특별시 서대문구 창천동 18-36번지 </t>
  </si>
  <si>
    <t>3120000-102-1988-02715</t>
  </si>
  <si>
    <t>3120000-102-1988-08129</t>
  </si>
  <si>
    <t xml:space="preserve">서울특별시 서대문구 대현동 101-17번지 25 </t>
  </si>
  <si>
    <t>3120000-102-1989-02780</t>
  </si>
  <si>
    <t xml:space="preserve">서울특별시 서대문구 대현동 104-5번지 ,8, 14, 76 </t>
  </si>
  <si>
    <t>3120000-102-1990-02716</t>
  </si>
  <si>
    <t xml:space="preserve">서울특별시 서대문구 창천동 18-29번지 </t>
  </si>
  <si>
    <t>3120000-102-1990-08148</t>
  </si>
  <si>
    <t xml:space="preserve">서울특별시 서대문구 창천동 29-64번지 </t>
  </si>
  <si>
    <t>3120000-102-1990-04243</t>
  </si>
  <si>
    <t>3120000-102-1978-08139</t>
  </si>
  <si>
    <t xml:space="preserve">서울특별시 서대문구 창천동 30-22번지 </t>
  </si>
  <si>
    <t>3120000-102-1979-04241</t>
  </si>
  <si>
    <t xml:space="preserve">서울특별시 서대문구 창천동 30-10번지 </t>
  </si>
  <si>
    <t>3120000-102-1979-02727</t>
  </si>
  <si>
    <t xml:space="preserve">서울특별시 서대문구 대현동 104-36번지 </t>
  </si>
  <si>
    <t>3120000-102-1982-02720</t>
  </si>
  <si>
    <t xml:space="preserve">서울특별시 서대문구 창천동 13-55번지 </t>
  </si>
  <si>
    <t>3120000-102-1982-02723</t>
  </si>
  <si>
    <t xml:space="preserve">서울특별시 서대문구 대현동 27-63번지 </t>
  </si>
  <si>
    <t>3120000-102-1982-02730</t>
  </si>
  <si>
    <t>3130000-102-2001-09114</t>
  </si>
  <si>
    <t xml:space="preserve">서울특별시 마포구 합정동 382-1번지 </t>
  </si>
  <si>
    <t>3130000-102-2001-09116</t>
  </si>
  <si>
    <t xml:space="preserve">서울특별시 마포구 도화동 51-1번지 </t>
  </si>
  <si>
    <t>3130000-102-2002-00001</t>
  </si>
  <si>
    <t xml:space="preserve">서울특별시 마포구 도화동 181-29번지 지하 </t>
  </si>
  <si>
    <t>3130000-102-2002-00002</t>
  </si>
  <si>
    <t xml:space="preserve">서울특별시 마포구 공덕동 256-13번지 1층 </t>
  </si>
  <si>
    <t>서울특별시 마포구 만리재로 15 (공덕동,1층)</t>
  </si>
  <si>
    <t>3130000-102-2002-00004</t>
  </si>
  <si>
    <t xml:space="preserve">서울특별시 마포구 합정동 382-22번지 지하1층 </t>
  </si>
  <si>
    <t>3130000-102-1994-00001</t>
  </si>
  <si>
    <t xml:space="preserve">서울특별시 마포구 서교동 403-16번지 </t>
  </si>
  <si>
    <t>3130000-102-1996-00001</t>
  </si>
  <si>
    <t xml:space="preserve">서울특별시 마포구 동교동 173-14번지 지층 </t>
  </si>
  <si>
    <t>3130000-102-1999-07062</t>
  </si>
  <si>
    <t xml:space="preserve">서울특별시 마포구 도화동 51-1번지 성우빌딩지하9호 </t>
  </si>
  <si>
    <t>3130000-102-1999-07216</t>
  </si>
  <si>
    <t xml:space="preserve">서울특별시 마포구 도화동 51-1번지 성우빌딩 지1층2호 </t>
  </si>
  <si>
    <t>3130000-102-1999-07230</t>
  </si>
  <si>
    <t xml:space="preserve">서울특별시 마포구 도화동 544 </t>
  </si>
  <si>
    <t>서울특별시 마포구 큰우물로 76 (도화동, 고려빌딩 지하1층 1~3호)</t>
  </si>
  <si>
    <t>3130000-102-1999-07314</t>
  </si>
  <si>
    <t xml:space="preserve">서울특별시 마포구 노고산동 49-51번지 </t>
  </si>
  <si>
    <t>3130000-102-1999-07372</t>
  </si>
  <si>
    <t xml:space="preserve">서울특별시 마포구 도화동 544-0번지 B1-12 </t>
  </si>
  <si>
    <t>3130000-102-1999-07445</t>
  </si>
  <si>
    <t xml:space="preserve">서울특별시 마포구 도화동 51-1번지 지하1층8호 </t>
  </si>
  <si>
    <t>3130000-102-1999-07510</t>
  </si>
  <si>
    <t xml:space="preserve">서울특별시 마포구 도화동 544번지 </t>
  </si>
  <si>
    <t>서울특별시 마포구 큰우물로 76 (도화동, B1-13호)</t>
  </si>
  <si>
    <t>3130000-102-1999-07527</t>
  </si>
  <si>
    <t>서울특별시 마포구 큰우물로 76, 지하1층 14호 (도화동)</t>
  </si>
  <si>
    <t>3130000-102-1985-05567</t>
  </si>
  <si>
    <t xml:space="preserve">서울특별시 마포구 도화동 169-1 </t>
  </si>
  <si>
    <t>서울특별시 마포구 마포대로 58 (도화동, 지하1,2층)</t>
  </si>
  <si>
    <t>3130000-102-1988-05577</t>
  </si>
  <si>
    <t xml:space="preserve">서울특별시 마포구 노고산동 107-36번지 2.3.4층 </t>
  </si>
  <si>
    <t>3130000-102-1999-05578</t>
  </si>
  <si>
    <t xml:space="preserve">서울특별시 마포구 노고산동 57-22 </t>
  </si>
  <si>
    <t>서울특별시 마포구 신촌로18길 15 (노고산동)</t>
  </si>
  <si>
    <t>3130000-102-1979-05569</t>
  </si>
  <si>
    <t xml:space="preserve">서울특별시 마포구 노고산동 57-59번지 </t>
  </si>
  <si>
    <t>3130000-102-1978-05570</t>
  </si>
  <si>
    <t xml:space="preserve">서울특별시 마포구 노고산동 57-44 지하1층 </t>
  </si>
  <si>
    <t>서울특별시 마포구 신촌로18길 21 (노고산동,지하1층)</t>
  </si>
  <si>
    <t>3130000-102-1986-05571</t>
  </si>
  <si>
    <t xml:space="preserve">서울특별시 마포구 신공덕동 18-7번지 </t>
  </si>
  <si>
    <t>3130000-102-1989-05579</t>
  </si>
  <si>
    <t xml:space="preserve">서울특별시 마포구 노고산동 106-39번지 </t>
  </si>
  <si>
    <t>3130000-102-1983-05568</t>
  </si>
  <si>
    <t xml:space="preserve">서울특별시 마포구 서교동 354-5번지 </t>
  </si>
  <si>
    <t>서울특별시 마포구 양화로 130 (서교동, 지하1층)</t>
  </si>
  <si>
    <t>3130000-102-1984-05572</t>
  </si>
  <si>
    <t xml:space="preserve">서울특별시 마포구 도화동 181-36번지 </t>
  </si>
  <si>
    <t>3130000-102-1973-05581</t>
  </si>
  <si>
    <t xml:space="preserve">서울특별시 마포구 대흥동 12-2번지 </t>
  </si>
  <si>
    <t>서울특별시 마포구 대흥로 193 (대흥동)</t>
  </si>
  <si>
    <t>3130000-102-1986-05582</t>
  </si>
  <si>
    <t xml:space="preserve">서울특별시 마포구 노고산동 107-1번지 ,2 (10층) </t>
  </si>
  <si>
    <t>3130000-102-1986-05583</t>
  </si>
  <si>
    <t xml:space="preserve">서울특별시 마포구 노고산동 57-33번지 </t>
  </si>
  <si>
    <t>3130000-102-1986-05585</t>
  </si>
  <si>
    <t xml:space="preserve">서울특별시 마포구 노고산동 107-20번지 </t>
  </si>
  <si>
    <t>3130000-102-1987-05584</t>
  </si>
  <si>
    <t xml:space="preserve">서울특별시 마포구 노고산동 49-55번지 외1필지 </t>
  </si>
  <si>
    <t>3130000-102-1983-05563</t>
  </si>
  <si>
    <t xml:space="preserve">서울특별시 마포구 노고산동 107-17번지 2층 </t>
  </si>
  <si>
    <t>3130000-102-1976-05564</t>
  </si>
  <si>
    <t xml:space="preserve">서울특별시 마포구 노고산동 57-49번지 지층 </t>
  </si>
  <si>
    <t>3130000-102-1985-05575</t>
  </si>
  <si>
    <t xml:space="preserve">서울특별시 마포구 노고산동 109-69번지 </t>
  </si>
  <si>
    <t>3130000-102-1985-05589</t>
  </si>
  <si>
    <t xml:space="preserve">서울특별시 마포구 도화동 541번지 지하5호 </t>
  </si>
  <si>
    <t>3130000-102-1988-05574</t>
  </si>
  <si>
    <t xml:space="preserve">서울특별시 마포구 공덕동 256-13번지 제일빌딩 15층동 </t>
  </si>
  <si>
    <t>3130000-102-1999-07148</t>
  </si>
  <si>
    <t xml:space="preserve">서울특별시 마포구 노고산동 57-20번지 </t>
  </si>
  <si>
    <t>서울특별시 마포구 신촌로18길 9, 지하1층 (노고산동)</t>
  </si>
  <si>
    <t>3130000-102-1976-05586</t>
  </si>
  <si>
    <t xml:space="preserve">서울특별시 마포구 서교동 345-30번지 </t>
  </si>
  <si>
    <t>서울특별시 마포구 홍익로 20 (서교동)</t>
  </si>
  <si>
    <t>3130000-102-1981-05590</t>
  </si>
  <si>
    <t xml:space="preserve">서울특별시 마포구 노고산동 106-6번지 </t>
  </si>
  <si>
    <t>3130000-102-1972-05591</t>
  </si>
  <si>
    <t xml:space="preserve">서울특별시 마포구 노고산동 57-18번지 </t>
  </si>
  <si>
    <t>3130000-102-1983-07014</t>
  </si>
  <si>
    <t xml:space="preserve">서울특별시 마포구 노고산동 31-11번지 지상5층 </t>
  </si>
  <si>
    <t>3130000-102-1984-05587</t>
  </si>
  <si>
    <t xml:space="preserve">서울특별시 마포구 노고산동 57-38번지 </t>
  </si>
  <si>
    <t>3130000-102-1978-05562</t>
  </si>
  <si>
    <t xml:space="preserve">서울특별시 마포구 노고산동 49-55번지 </t>
  </si>
  <si>
    <t>3130000-102-1976-05588</t>
  </si>
  <si>
    <t xml:space="preserve">서울특별시 마포구 노고산동 57-9번지 </t>
  </si>
  <si>
    <t>3130000-102-1983-05565</t>
  </si>
  <si>
    <t xml:space="preserve">서울특별시 마포구 노고산동 107-36번지 </t>
  </si>
  <si>
    <t>3130000-102-1987-05566</t>
  </si>
  <si>
    <t xml:space="preserve">서울특별시 마포구 노고산동 107-1 지하1층 </t>
  </si>
  <si>
    <t>서울특별시 마포구 서강로 144 (노고산동, 지하1층 )</t>
  </si>
  <si>
    <t>3130000-102-1979-07015</t>
  </si>
  <si>
    <t xml:space="preserve">서울특별시 마포구 합정동 381-16번지 지상7층 </t>
  </si>
  <si>
    <t>3130000-102-2000-08355</t>
  </si>
  <si>
    <t xml:space="preserve">서울특별시 마포구 서교동 371-23 </t>
  </si>
  <si>
    <t>서울특별시 마포구 홍익로5길 46 (서교동, B1층)</t>
  </si>
  <si>
    <t>3130000-102-2000-08369</t>
  </si>
  <si>
    <t xml:space="preserve">서울특별시 마포구 서교동 372-6번지 B1 </t>
  </si>
  <si>
    <t>서울특별시 마포구 잔다리로 46 (서교동,B1)</t>
  </si>
  <si>
    <t>3130000-102-1999-07806</t>
  </si>
  <si>
    <t xml:space="preserve">서울특별시 마포구 도화동 51-1 </t>
  </si>
  <si>
    <t>서울특별시 마포구 마포대로 49 (도화동, 성우빌딩 지하1층 6호)</t>
  </si>
  <si>
    <t>3130000-102-1999-07830</t>
  </si>
  <si>
    <t xml:space="preserve">서울특별시 마포구 도화동 544-0번지 지하27 </t>
  </si>
  <si>
    <t>3130000-102-1999-07888</t>
  </si>
  <si>
    <t xml:space="preserve">서울특별시 마포구 합정동 382-7번지 지하1층 </t>
  </si>
  <si>
    <t>3130000-102-2000-08099</t>
  </si>
  <si>
    <t xml:space="preserve">서울특별시 마포구 도화동 51-1번지 성우지하12호 </t>
  </si>
  <si>
    <t>3130000-102-2000-08127</t>
  </si>
  <si>
    <t xml:space="preserve">서울특별시 마포구 도화동 181-29번지 </t>
  </si>
  <si>
    <t>3130000-102-2000-08145</t>
  </si>
  <si>
    <t xml:space="preserve">서울특별시 마포구 서교동 354-8번지 </t>
  </si>
  <si>
    <t>서울특별시 마포구 양화로 122 (서교동)</t>
  </si>
  <si>
    <t>3130000-102-2000-08242</t>
  </si>
  <si>
    <t xml:space="preserve">서울특별시 마포구 도화동 541-0번지 일신빌딩 </t>
  </si>
  <si>
    <t>3130000-102-2000-08251</t>
  </si>
  <si>
    <t xml:space="preserve">서울특별시 마포구 노고산동 106-62번지 </t>
  </si>
  <si>
    <t>3130000-102-2000-08263</t>
  </si>
  <si>
    <t xml:space="preserve">서울특별시 마포구 합정동 382-6번지 1층 </t>
  </si>
  <si>
    <t>3130000-102-2000-08264</t>
  </si>
  <si>
    <t xml:space="preserve">서울특별시 마포구 서교동 351-19 </t>
  </si>
  <si>
    <t>서울특별시 마포구 월드컵북로1길 6 (서교동)</t>
  </si>
  <si>
    <t>3130000-102-2000-08286</t>
  </si>
  <si>
    <t xml:space="preserve">서울특별시 마포구 도화동 51-1번지 성우빌딩B1-5 </t>
  </si>
  <si>
    <t>3130000-102-2000-08416</t>
  </si>
  <si>
    <t xml:space="preserve">서울특별시 마포구 도화동 36-0번지 고려아카데미ⅡB1-1 </t>
  </si>
  <si>
    <t>3130000-102-2000-08418</t>
  </si>
  <si>
    <t xml:space="preserve">서울특별시 마포구 도화동 544번지 고려빌딩 지하 10,10-1,11,12 </t>
  </si>
  <si>
    <t>서울특별시 마포구 큰우물로 76 (도화동)</t>
  </si>
  <si>
    <t>3130000-102-2000-08438</t>
  </si>
  <si>
    <t xml:space="preserve">서울특별시 마포구 도화동 538번지 </t>
  </si>
  <si>
    <t>서울특별시 마포구 큰우물로 75 (도화동, 성지빌딩 B1-21호)</t>
  </si>
  <si>
    <t>3130000-102-2000-08535</t>
  </si>
  <si>
    <t xml:space="preserve">서울특별시 마포구 마포동 33-1번지 대농빌딩B1-111.112 </t>
  </si>
  <si>
    <t>3130000-102-2000-08564</t>
  </si>
  <si>
    <t xml:space="preserve">서울특별시 마포구 도화동 541-0번지 B1-3호 </t>
  </si>
  <si>
    <t>3130000-102-2000-08565</t>
  </si>
  <si>
    <t xml:space="preserve">서울특별시 마포구 서교동 354-19 </t>
  </si>
  <si>
    <t>서울특별시 마포구 양화로 124 (서교동, 지하1층)</t>
  </si>
  <si>
    <t>3130000-102-2000-08606</t>
  </si>
  <si>
    <t xml:space="preserve">서울특별시 마포구 도화동 541-0번지 B1-5호 </t>
  </si>
  <si>
    <t>3130000-102-2000-08639</t>
  </si>
  <si>
    <t xml:space="preserve">서울특별시 마포구 합정동 382-39번지 B1 </t>
  </si>
  <si>
    <t>3130000-102-2000-08687</t>
  </si>
  <si>
    <t xml:space="preserve">서울특별시 마포구 도화동 36-0번지 B1-15-19호 </t>
  </si>
  <si>
    <t>3130000-102-2000-08688</t>
  </si>
  <si>
    <t xml:space="preserve">서울특별시 마포구 도화동 544-0번지 고려빌딩B1-34 </t>
  </si>
  <si>
    <t>서울특별시 마포구 큰우물로 76 (도화동,고려빌딩B1-34)</t>
  </si>
  <si>
    <t>3130000-102-2001-09120</t>
  </si>
  <si>
    <t xml:space="preserve">서울특별시 마포구 공덕동 439-3번지 </t>
  </si>
  <si>
    <t>3130000-102-2001-08721</t>
  </si>
  <si>
    <t xml:space="preserve">서울특별시 마포구 도화동 50-1번지 B1-15 </t>
  </si>
  <si>
    <t>3130000-102-2001-08771</t>
  </si>
  <si>
    <t xml:space="preserve">서울특별시 마포구 합정동 382-31번지 </t>
  </si>
  <si>
    <t>3130000-102-2001-08793</t>
  </si>
  <si>
    <t>서울특별시 마포구 큰우물로 75 (도화동, 성지빌딩 지하 17호)</t>
  </si>
  <si>
    <t>3130000-102-2001-08794</t>
  </si>
  <si>
    <t xml:space="preserve">서울특별시 마포구 도화동 36-0번지 고려아카데미텔지44-53,55,56,56-1,57외7 </t>
  </si>
  <si>
    <t>3130000-102-2001-09119</t>
  </si>
  <si>
    <t xml:space="preserve">서울특별시 마포구 도화동 37번지 고려아카데미텔(진도B/D)지1층 10,11호 </t>
  </si>
  <si>
    <t>3130000-102-2001-08799</t>
  </si>
  <si>
    <t xml:space="preserve">서울특별시 마포구 노고산동 57-18 지층 B103-1, B103-2, B103-3, B102-2호 </t>
  </si>
  <si>
    <t>서울특별시 마포구 서강로 137-7 (노고산동, 지층 B103-1, B103-2, B103-3, B102-2호)</t>
  </si>
  <si>
    <t>3130000-102-2001-08798</t>
  </si>
  <si>
    <t xml:space="preserve">서울특별시 마포구 동교동 161-10 준옥빌딩 </t>
  </si>
  <si>
    <t>서울특별시 마포구 월드컵북로2길 19, 준옥빌딩 지하1층 (동교동)</t>
  </si>
  <si>
    <t>3130000-102-2001-08800</t>
  </si>
  <si>
    <t xml:space="preserve">서울특별시 마포구 노고산동 107-88번지 </t>
  </si>
  <si>
    <t>3130000-102-2001-08887</t>
  </si>
  <si>
    <t xml:space="preserve">서울특별시 마포구 도화동 181-56번지 지하1층 </t>
  </si>
  <si>
    <t>3130000-102-2001-08986</t>
  </si>
  <si>
    <t xml:space="preserve">서울특별시 마포구 노고산동 106-8번지 </t>
  </si>
  <si>
    <t>서울특별시 마포구 서강로20길 10 (노고산동)</t>
  </si>
  <si>
    <t>3130000-102-1973-05580</t>
  </si>
  <si>
    <t xml:space="preserve">서울특별시 마포구 노고산동 31-79번지 </t>
  </si>
  <si>
    <t>3130000-102-1999-07805</t>
  </si>
  <si>
    <t xml:space="preserve">서울특별시 마포구 도화동 51-1번지 성우빌딩 지하1층 13호 </t>
  </si>
  <si>
    <t>3130000-102-2004-00001</t>
  </si>
  <si>
    <t>서울특별시 마포구 마포대로 49, 지하1층 10,11,19호 (도화동)</t>
  </si>
  <si>
    <t>3130000-102-2008-00001</t>
  </si>
  <si>
    <t>서울특별시 마포구 서강로 135 (노고산동, 2층)</t>
  </si>
  <si>
    <t>3130000-102-2007-00001</t>
  </si>
  <si>
    <t xml:space="preserve">서울특별시 마포구 노고산동 106-39번지 지1층 </t>
  </si>
  <si>
    <t>서울특별시 마포구 서강로18길 7 (노고산동,지1층)</t>
  </si>
  <si>
    <t>3130000-102-2007-00002</t>
  </si>
  <si>
    <t xml:space="preserve">서울특별시 마포구 노고산동 57-46번지 외 2필지 지하1층 </t>
  </si>
  <si>
    <t>서울특별시 마포구 서강로 131 (노고산동,외 2필지 지하1층)</t>
  </si>
  <si>
    <t>3130000-102-2009-00001</t>
  </si>
  <si>
    <t>서울특별시 마포구 큰우물로 76 (도화동, 고려빌딩 지하 1층 23호)</t>
  </si>
  <si>
    <t>3130000-102-2011-00001</t>
  </si>
  <si>
    <t xml:space="preserve">서울특별시 마포구 노고산동 107-1 </t>
  </si>
  <si>
    <t>서울특별시 마포구 서강로 144, 지하2층 (노고산동)</t>
  </si>
  <si>
    <t>3130000-102-2015-00001</t>
  </si>
  <si>
    <t xml:space="preserve">서울특별시 마포구 도화동 544 지하1층 16호 </t>
  </si>
  <si>
    <t>서울특별시 마포구 큰우물로 76 (도화동, 지하1층 16호)</t>
  </si>
  <si>
    <t>3130000-102-2016-00001</t>
  </si>
  <si>
    <t xml:space="preserve">서울특별시 마포구 노고산동 57-20 </t>
  </si>
  <si>
    <t>3130000-102-2017-00003</t>
  </si>
  <si>
    <t>서울특별시 마포구 노고산동 57-46번지 신촌아이스페이스오피스텔 지하102호</t>
  </si>
  <si>
    <t>서울특별시 마포구 서강로 131, 신촌아이스페이스오피스텔 지하 102호 (노고산동)</t>
  </si>
  <si>
    <t>3130000-102-1999-08001</t>
  </si>
  <si>
    <t xml:space="preserve">서울특별시 마포구 도화동 541-0번지 거성빌딩지1-4 </t>
  </si>
  <si>
    <t>3130000-102-2003-00001</t>
  </si>
  <si>
    <t xml:space="preserve">서울특별시 마포구 노고산동 106-89번지 (2호)1,2,3층, 지층 </t>
  </si>
  <si>
    <t>3130000-102-1999-07595</t>
  </si>
  <si>
    <t xml:space="preserve">서울특별시 마포구 도화동 51-1번지 성우빌딩 지1-19 </t>
  </si>
  <si>
    <t>3130000-102-1999-07662</t>
  </si>
  <si>
    <t xml:space="preserve">서울특별시 마포구 도화동 50-1번지 일진빌딩지하26.27.28호 </t>
  </si>
  <si>
    <t>3130000-102-1999-07671</t>
  </si>
  <si>
    <t xml:space="preserve">서울특별시 마포구 도화동 541-0번지 거성빌딩지하5 </t>
  </si>
  <si>
    <t>3130000-102-1999-07674</t>
  </si>
  <si>
    <t xml:space="preserve">서울특별시 마포구 도화동 544-0 고려B1-33 </t>
  </si>
  <si>
    <t>서울특별시 마포구 큰우물로 76 (도화동,고려B1-33)</t>
  </si>
  <si>
    <t>3130000-102-1999-08014</t>
  </si>
  <si>
    <t xml:space="preserve">서울특별시 마포구 도화동 541-0 일신지하2호 </t>
  </si>
  <si>
    <t>서울특별시 마포구 마포대로 38 (도화동,일신지하2호)</t>
  </si>
  <si>
    <t>3130000-102-1999-08023</t>
  </si>
  <si>
    <t xml:space="preserve">서울특별시 마포구 서교동 354-11 </t>
  </si>
  <si>
    <t>서울특별시 마포구 양화로 120 (서교동, 지하1층)</t>
  </si>
  <si>
    <t>3130000-102-1999-08043</t>
  </si>
  <si>
    <t xml:space="preserve">서울특별시 마포구 노고산동 57-18번지 201호 </t>
  </si>
  <si>
    <t>3130000-102-1999-08045</t>
  </si>
  <si>
    <t xml:space="preserve">서울특별시 마포구 노고산동 107-10번지 </t>
  </si>
  <si>
    <t>서울특별시 마포구 백범로2길 6 (노고산동)</t>
  </si>
  <si>
    <t>3130000-102-1999-08062</t>
  </si>
  <si>
    <t xml:space="preserve">서울특별시 마포구 도화동 51-1번지 성우 B-18 </t>
  </si>
  <si>
    <t>3130000-102-1999-08069</t>
  </si>
  <si>
    <t xml:space="preserve">서울특별시 마포구 노고산동 107-20번지 2F동 </t>
  </si>
  <si>
    <t>3130000-102-1988-05576</t>
  </si>
  <si>
    <t xml:space="preserve">서울특별시 마포구 합정동 381-17번지 </t>
  </si>
  <si>
    <t>3130000-102-2021-00001</t>
  </si>
  <si>
    <t xml:space="preserve">서울특별시 마포구 노고산동 57-26 신촌센트럴코업레지던스 </t>
  </si>
  <si>
    <t>서울특별시 마포구 서강로 137, 신촌센트럴코업레지던스 지하1층 B101~B104호 (노고산동)</t>
  </si>
  <si>
    <t>3130000-102-2021-00002</t>
  </si>
  <si>
    <t xml:space="preserve">서울특별시 마포구 노고산동 57-46 신촌아이스페이스오피스텔 </t>
  </si>
  <si>
    <t>서울특별시 마포구 서강로 131, 신촌아이스페이스오피스텔 지하1층 102호 (노고산동)</t>
  </si>
  <si>
    <t>3130000-102-2008-00002</t>
  </si>
  <si>
    <t>서울특별시 마포구 큰우물로 76 (도화동, 고려빌딩 B21호)</t>
  </si>
  <si>
    <t>3130000-102-2006-00001</t>
  </si>
  <si>
    <t xml:space="preserve">서울특별시 마포구 공덕동 256-13 제일빌딩 1층 116호 </t>
  </si>
  <si>
    <t>서울특별시 마포구 만리재로 15 (공덕동,제일빌딩 1층 116호)</t>
  </si>
  <si>
    <t>3130000-102-2007-00003</t>
  </si>
  <si>
    <t xml:space="preserve">서울특별시 마포구 도화동 36번지 고려아카데미텔 지하1층 48,53,55,59,60호 </t>
  </si>
  <si>
    <t>서울특별시 마포구 마포대로 52, 지하1층 48,53,55,59,60호 (도화동, 고려아카데미텔 )</t>
  </si>
  <si>
    <t>3240000-102-2003-00009</t>
  </si>
  <si>
    <t xml:space="preserve">서울특별시 강동구 길동 412-14번지 </t>
  </si>
  <si>
    <t>서울특별시 강동구 양재대로109길 22 (길동)</t>
  </si>
  <si>
    <t>3130000-102-2008-00003</t>
  </si>
  <si>
    <t>서울특별시 마포구 큰우물로 76 (도화동, 고려빌딩 지하1층 18-1호)</t>
  </si>
  <si>
    <t>3130000-102-2009-00002</t>
  </si>
  <si>
    <t xml:space="preserve">서울특별시 마포구 도화동 37 진도빌딩 지하1층 10호,11호 </t>
  </si>
  <si>
    <t>서울특별시 마포구 마포대로 44 (도화동,진도빌딩 지하1층 10호,11호)</t>
  </si>
  <si>
    <t>3130000-102-2011-00002</t>
  </si>
  <si>
    <t xml:space="preserve">서울특별시 마포구 노고산동 49-51 </t>
  </si>
  <si>
    <t>서울특별시 마포구 신촌로12가길 37 (노고산동, 2층)</t>
  </si>
  <si>
    <t>3130000-102-2015-00002</t>
  </si>
  <si>
    <t xml:space="preserve">서울특별시 마포구 도화동 538 성지빌딩 지하21호 </t>
  </si>
  <si>
    <t>서울특별시 마포구 큰우물로 75 (도화동, 성지빌딩 지하21호)</t>
  </si>
  <si>
    <t>3130000-102-2016-00002</t>
  </si>
  <si>
    <t xml:space="preserve">서울특별시 마포구 도화동 538 </t>
  </si>
  <si>
    <t>서울특별시 마포구 큰우물로 75, 지하1층 (도화동, 17호일부)</t>
  </si>
  <si>
    <t>3130000-102-2017-00001</t>
  </si>
  <si>
    <t>서울특별시 마포구 백범로2길 6 (노고산동, 1층일부)</t>
  </si>
  <si>
    <t>3130000-102-2017-00002</t>
  </si>
  <si>
    <t>서울특별시 마포구 큰우물로 76, 지하1층 20호 (도화동)</t>
  </si>
  <si>
    <t>3130000-102-1999-07886</t>
  </si>
  <si>
    <t>서울특별시 마포구 도화동 544</t>
  </si>
  <si>
    <t>서울특별시 마포구 큰우물로 76 (도화동, 고려빌딩 지하1층 30,31호)</t>
  </si>
  <si>
    <t>3130000-102-2000-08386</t>
  </si>
  <si>
    <t xml:space="preserve">서울특별시 마포구 동교동 161-17 B1 </t>
  </si>
  <si>
    <t>서울특별시 마포구 월드컵북로2길 5 (동교동,B1)</t>
  </si>
  <si>
    <t>3130000-102-2005-00001</t>
  </si>
  <si>
    <t>서울특별시 마포구 도화동 51-1 성우빌딩 지하1층동 8호</t>
  </si>
  <si>
    <t>서울특별시 마포구 마포대로 49, 지하1층동 8호 (도화동,성우빌딩)</t>
  </si>
  <si>
    <t>3130000-102-2002-00005</t>
  </si>
  <si>
    <t xml:space="preserve">서울특별시 마포구 도화동 36번지 </t>
  </si>
  <si>
    <t>서울특별시 마포구 마포대로 52 (도화동, 고려아카데미텔 지하1,2호)</t>
  </si>
  <si>
    <t>3130000-102-1999-08000</t>
  </si>
  <si>
    <t>서울특별시 마포구 큰우물로 76 (도화동, 고려빌딩 지하1층 32호)</t>
  </si>
  <si>
    <t>3130000-102-1999-07528</t>
  </si>
  <si>
    <t xml:space="preserve">서울특별시 마포구 도화동 51-1번지 지하1층 1,2호 </t>
  </si>
  <si>
    <t>서울특별시 마포구 마포대로 49 (도화동,지하1층 1,2호)</t>
  </si>
  <si>
    <t>3130000-102-1999-07617</t>
  </si>
  <si>
    <t xml:space="preserve">서울특별시 마포구 동교동 161-4번지 </t>
  </si>
  <si>
    <t>서울특별시 마포구 동교로 176 (동교동)</t>
  </si>
  <si>
    <t>3130000-102-1999-07710</t>
  </si>
  <si>
    <t xml:space="preserve">서울특별시 마포구 서교동 372-1번지 </t>
  </si>
  <si>
    <t>서울특별시 마포구 양화로 100 (서교동, 지하1층)</t>
  </si>
  <si>
    <t>3130000-102-1999-08033</t>
  </si>
  <si>
    <t xml:space="preserve">서울특별시 마포구 서교동 354-2 </t>
  </si>
  <si>
    <t>서울특별시 마포구 홍익로 29 (서교동, 지하1층)</t>
  </si>
  <si>
    <t>3130000-102-1999-08044</t>
  </si>
  <si>
    <t xml:space="preserve">서울특별시 마포구 노고산동 49-22 </t>
  </si>
  <si>
    <t>서울특별시 마포구 신촌로14길 5 (노고산동, 지하1층)</t>
  </si>
  <si>
    <t>3130000-102-1999-08066</t>
  </si>
  <si>
    <t xml:space="preserve">서울특별시 마포구 서교동 354-1번지 </t>
  </si>
  <si>
    <t>서울특별시 마포구 양화로 136 (서교동, 지하1층)</t>
  </si>
  <si>
    <t>3130000-102-2000-08315</t>
  </si>
  <si>
    <t xml:space="preserve">서울특별시 마포구 도화동 37 </t>
  </si>
  <si>
    <t>서울특별시 마포구 마포대로 44, 지층 24호 (도화동)</t>
  </si>
  <si>
    <t>3130000-102-2000-08093</t>
  </si>
  <si>
    <t>서울특별시 마포구 도화동 544번지 고려빌딩 지하27호 27호</t>
  </si>
  <si>
    <t>서울특별시 마포구 큰우물로 76 (도화동, 고려빌딩 지하 27호)</t>
  </si>
  <si>
    <t>3130000-102-2000-08101</t>
  </si>
  <si>
    <t xml:space="preserve">서울특별시 마포구 노고산동 109-86번지 지하1층 </t>
  </si>
  <si>
    <t>서울특별시 마포구 서강로 126-1 (노고산동,지하1층)</t>
  </si>
  <si>
    <t>3130000-102-2000-08119</t>
  </si>
  <si>
    <t>서울특별시 마포구 마포대로 52 (도화동, 고려아카데미텔 지하 11~19호)</t>
  </si>
  <si>
    <t>3130000-102-2000-08252</t>
  </si>
  <si>
    <t xml:space="preserve">서울특별시 마포구 서교동 354-12 </t>
  </si>
  <si>
    <t>서울특별시 마포구 양화로 118 (서교동, 지하1층)</t>
  </si>
  <si>
    <t>3130000-102-2000-08489</t>
  </si>
  <si>
    <t xml:space="preserve">서울특별시 마포구 도화동 538-0 성지빌딩B1-20 </t>
  </si>
  <si>
    <t>서울특별시 마포구 큰우물로 75 (도화동,성지빌딩B1-20)</t>
  </si>
  <si>
    <t>3130000-102-2001-08718</t>
  </si>
  <si>
    <t xml:space="preserve">서울특별시 마포구 공덕동 256-13 </t>
  </si>
  <si>
    <t>서울특별시 마포구 만리재로 15 (공덕동)</t>
  </si>
  <si>
    <t>3130000-102-2001-08795</t>
  </si>
  <si>
    <t xml:space="preserve">서울특별시 마포구 서교동 354-6 </t>
  </si>
  <si>
    <t>서울특별시 마포구 양화로 128 (서교동, 지하1층)</t>
  </si>
  <si>
    <t>3130000-102-2001-08942</t>
  </si>
  <si>
    <t xml:space="preserve">서울특별시 마포구 공덕동 256-13 제일빌딩15,16 </t>
  </si>
  <si>
    <t>서울특별시 마포구 만리재로 15 (공덕동, 지1층(15,16호))</t>
  </si>
  <si>
    <t>3130000-102-2001-09117</t>
  </si>
  <si>
    <t xml:space="preserve">서울특별시 마포구 서교동 351-27 </t>
  </si>
  <si>
    <t>서울특별시 마포구 동교로 164 (서교동, 지1층)</t>
  </si>
  <si>
    <t>3130000-102-2001-09115</t>
  </si>
  <si>
    <t>서울특별시 마포구 만리재로 15 (공덕동, 2층 290호)</t>
  </si>
  <si>
    <t>3130000-102-2002-00003</t>
  </si>
  <si>
    <t xml:space="preserve">서울특별시 마포구 공덕동 256-13 제일빌딩 210,11 </t>
  </si>
  <si>
    <t>서울특별시 마포구 만리재로 15 (공덕동,제일빌딩 210,11)</t>
  </si>
  <si>
    <t>3130000-102-1976-05573</t>
  </si>
  <si>
    <t xml:space="preserve">서울특별시 마포구 동교동 147-6 지하1층 </t>
  </si>
  <si>
    <t>서울특별시 마포구 연희로 1 (동교동,지하1층)</t>
  </si>
  <si>
    <t>3130000-102-1999-07246</t>
  </si>
  <si>
    <t xml:space="preserve">서울특별시 마포구 도화동 541-0 거성빌딩지하15호 </t>
  </si>
  <si>
    <t>서울특별시 마포구 마포대로 38 (도화동,거성빌딩지하15호)</t>
  </si>
  <si>
    <t>3130000-102-2001-09113</t>
  </si>
  <si>
    <t>서울특별시 마포구 동교동 161-16</t>
  </si>
  <si>
    <t>서울특별시 마포구 월드컵북로2길 7 (동교동, 지하1층)</t>
  </si>
  <si>
    <t>3130000-102-2001-09118</t>
  </si>
  <si>
    <t>서울특별시 마포구 서교동 354-22</t>
  </si>
  <si>
    <t>서울특별시 마포구 양화로 134, 지하1층 (서교동)</t>
  </si>
  <si>
    <t>3130000-102-2024-00002</t>
  </si>
  <si>
    <t>서울특별시 마포구 서강로 144, 지2층 (노고산동)</t>
  </si>
  <si>
    <t>3130000-102-2024-00001</t>
  </si>
  <si>
    <t xml:space="preserve">서울특별시 마포구 노고산동 57-18 신촌르?메이에르타운(I) </t>
  </si>
  <si>
    <t>서울특별시 마포구 서강로 137-7, 신촌르?메이에르타운(I) 지1층 (노고산동)</t>
  </si>
  <si>
    <t>3130000-102-2021-00003</t>
  </si>
  <si>
    <t>서울특별시 마포구 서강로 131, 신촌아이스페이스오피스텔 지하1층 비101호 (노고산동)</t>
  </si>
  <si>
    <t>3140000-102-1979-05663</t>
  </si>
  <si>
    <t xml:space="preserve">서울특별시 양천구 목동 602-15번지 </t>
  </si>
  <si>
    <t>3140000-102-1980-05661</t>
  </si>
  <si>
    <t xml:space="preserve">서울특별시 양천구 목동 793-6 </t>
  </si>
  <si>
    <t>서울특별시 양천구 등촌로 20 (목동)</t>
  </si>
  <si>
    <t>3140000-102-1980-05664</t>
  </si>
  <si>
    <t xml:space="preserve">서울특별시 양천구 목동 793-1번지 </t>
  </si>
  <si>
    <t>3140000-102-1999-06987</t>
  </si>
  <si>
    <t xml:space="preserve">서울특별시 양천구 목동 923-0번지 </t>
  </si>
  <si>
    <t>3140000-102-2001-08881</t>
  </si>
  <si>
    <t xml:space="preserve">서울특별시 양천구 신정동 1029-14번지 </t>
  </si>
  <si>
    <t>서울특별시 양천구 신월로 310 (신정동)</t>
  </si>
  <si>
    <t>3140000-102-1979-05662</t>
  </si>
  <si>
    <t xml:space="preserve">서울특별시 양천구 목동 651-9 지하 1층 </t>
  </si>
  <si>
    <t>서울특별시 양천구 등촌로 182, 지하 1층 (목동)</t>
  </si>
  <si>
    <t>3140000-102-2007-00001</t>
  </si>
  <si>
    <t xml:space="preserve">서울특별시 양천구 신정동 1031-3 지하1층 </t>
  </si>
  <si>
    <t>3140000-102-1978-05658</t>
  </si>
  <si>
    <t xml:space="preserve">서울특별시 양천구 목동 515-0번지 </t>
  </si>
  <si>
    <t>서울특별시 양천구 공항대로 634 (목동)</t>
  </si>
  <si>
    <t>3140000-102-1978-05659</t>
  </si>
  <si>
    <t>서울특별시 양천구 목동 602-1 지하 1층</t>
  </si>
  <si>
    <t>서울특별시 양천구 공항대로 564, 지하 1층 (목동)</t>
  </si>
  <si>
    <t>3140000-102-1978-05660</t>
  </si>
  <si>
    <t xml:space="preserve">서울특별시 양천구 신정동 1030-1 지하 1층 </t>
  </si>
  <si>
    <t>서울특별시 양천구 신월로 292, 지하 1층 (신정동)</t>
  </si>
  <si>
    <t>3140000-102-2004-00001</t>
  </si>
  <si>
    <t xml:space="preserve">서울특별시 양천구 목동 923번지 세신빌딩 10층 1013호,1014호,1015호 </t>
  </si>
  <si>
    <t>3150000-102-2018-00002</t>
  </si>
  <si>
    <t>서울특별시 강서구 마곡동 795-6 뉴골든타워 5층 502-1호</t>
  </si>
  <si>
    <t>서울특별시 강서구 마곡중앙6로 89, 뉴골든타워 5층 502-1호 (마곡동)</t>
  </si>
  <si>
    <t>3150000-102-1989-00738</t>
  </si>
  <si>
    <t>서울특별시 강서구 화곡동 1117-11 지하 1층</t>
  </si>
  <si>
    <t>서울특별시 강서구 공항대로46길 96, 지하 1층 (화곡동, 6동)</t>
  </si>
  <si>
    <t>3150000-102-2018-00006</t>
  </si>
  <si>
    <t>서울특별시 강서구 마곡동 795-6 뉴골든타워 5층 503호</t>
  </si>
  <si>
    <t>서울특별시 강서구 마곡중앙6로 89, 뉴골든타워 5층 503호 (마곡동)</t>
  </si>
  <si>
    <t>3150000-102-2018-00003</t>
  </si>
  <si>
    <t>서울특별시 강서구 마곡동 795-6 뉴골든타워 8층 802호</t>
  </si>
  <si>
    <t>서울특별시 강서구 마곡중앙6로 89, 뉴골든타워 8층 802호 (마곡동)</t>
  </si>
  <si>
    <t>3150000-102-2018-00004</t>
  </si>
  <si>
    <t>서울특별시 강서구 마곡동 795-6 뉴골든타워 8층 804호</t>
  </si>
  <si>
    <t>서울특별시 강서구 마곡중앙6로 89, 뉴골든타워 8층 804호 (마곡동)</t>
  </si>
  <si>
    <t>3150000-102-2018-00005</t>
  </si>
  <si>
    <t>서울특별시 강서구 마곡동 795-6 뉴골든타워 (지상 8층) 802-1호</t>
  </si>
  <si>
    <t>서울특별시 강서구 마곡중앙6로 89, 뉴골든타워 8층 802-1호 (마곡동)</t>
  </si>
  <si>
    <t>3150000-102-2018-00007</t>
  </si>
  <si>
    <t>서울특별시 강서구 마곡동 795-6 뉴골든타워 5층 503-1호</t>
  </si>
  <si>
    <t>서울특별시 강서구 마곡중앙6로 89, 뉴골든타워 5층 503-1호 (마곡동)</t>
  </si>
  <si>
    <t>3150000-102-2018-00008</t>
  </si>
  <si>
    <t>서울특별시 강서구 마곡동 795-6번지 뉴골든타워 (지상 7층) 701호</t>
  </si>
  <si>
    <t>서울특별시 강서구 마곡중앙6로 89, 뉴골든타워 7층 701호 (마곡동)</t>
  </si>
  <si>
    <t>3150000-102-1987-00725</t>
  </si>
  <si>
    <t xml:space="preserve">서울특별시 강서구 화곡동 1117-18번지 (지하 1층) </t>
  </si>
  <si>
    <t>서울특별시 강서구 화곡로 326, 지하 1층 (화곡동, 6동)</t>
  </si>
  <si>
    <t>3150000-102-2009-00003</t>
  </si>
  <si>
    <t xml:space="preserve">서울특별시 강서구 화곡동 902-1 (지하 1층) </t>
  </si>
  <si>
    <t>서울특별시 강서구 곰달래로24길 24, 지하 1층 (화곡동, 1동)</t>
  </si>
  <si>
    <t>3150000-102-2010-00001</t>
  </si>
  <si>
    <t xml:space="preserve">서울특별시 강서구 화곡동 905-9 (지하 1층) </t>
  </si>
  <si>
    <t>서울특별시 강서구 강서로5나길 32, 지하 1층 (화곡동, 1동)</t>
  </si>
  <si>
    <t>3150000-102-2010-00002</t>
  </si>
  <si>
    <t xml:space="preserve">서울특별시 강서구 화곡동 938-18 (지하 1층) </t>
  </si>
  <si>
    <t>서울특별시 강서구 곰달래로 52, 지하 1층 (화곡동, 1동)</t>
  </si>
  <si>
    <t>3150000-102-1990-00757</t>
  </si>
  <si>
    <t xml:space="preserve">서울특별시 강서구 화곡동 1117-19 (지하 1층) </t>
  </si>
  <si>
    <t>서울특별시 강서구 화곡로 328, 지하 1층 (화곡동, 6동)</t>
  </si>
  <si>
    <t>3150000-102-1990-00745</t>
  </si>
  <si>
    <t xml:space="preserve">서울특별시 강서구 화곡동 338-32번지 (지하 1층) </t>
  </si>
  <si>
    <t>서울특별시 강서구 강서로20길 4, 지하 1층 (화곡동, 8동)</t>
  </si>
  <si>
    <t>3150000-102-2001-09108</t>
  </si>
  <si>
    <t xml:space="preserve">서울특별시 강서구 화곡동 1117-12 (지하 1층) </t>
  </si>
  <si>
    <t>서울특별시 강서구 공항대로46길 100, 지하 1층 (화곡동, 6동)</t>
  </si>
  <si>
    <t>3150000-102-2018-00009</t>
  </si>
  <si>
    <t>서울특별시 강서구 마곡동 795-6번지 뉴골든타워 (지상 7층) 702A호</t>
  </si>
  <si>
    <t>서울특별시 강서구 마곡중앙6로 89, 뉴골든타워 7층 702A호 (마곡동)</t>
  </si>
  <si>
    <t>3150000-102-2018-00010</t>
  </si>
  <si>
    <t>서울특별시 강서구 마곡동 795-6 뉴골든타워 (지상 7층) 702호</t>
  </si>
  <si>
    <t>서울특별시 강서구 마곡중앙6로 89, 뉴골든타워 7층 702호 (마곡동)</t>
  </si>
  <si>
    <t>3150000-102-2018-00012</t>
  </si>
  <si>
    <t>서울특별시 강서구 마곡동 795-6번지 뉴골든타워 (지상 8층) 803-1호</t>
  </si>
  <si>
    <t>서울특별시 강서구 마곡중앙6로 89, 뉴골든타워 8층 803-1호 (마곡동)</t>
  </si>
  <si>
    <t>3150000-102-2019-00001</t>
  </si>
  <si>
    <t xml:space="preserve">서울특별시 강서구 마곡동 795-6 뉴골든타워 </t>
  </si>
  <si>
    <t>서울특별시 강서구 마곡중앙6로 89, 뉴골든타워 5층 501호 (마곡동)</t>
  </si>
  <si>
    <t>3150000-102-2024-00001</t>
  </si>
  <si>
    <t xml:space="preserve">서울특별시 강서구 화곡동 936-3 골든빌딩 5층 </t>
  </si>
  <si>
    <t>서울특별시 강서구 곰달래로16길 26, 골든빌딩 5층 (화곡동)</t>
  </si>
  <si>
    <t>3150000-102-2022-00004</t>
  </si>
  <si>
    <t xml:space="preserve">서울특별시 강서구 화곡동 901-15 시온빌딩 지하1층 </t>
  </si>
  <si>
    <t>서울특별시 강서구 강서로7길 35, 시온빌딩 지하1층 (화곡동)</t>
  </si>
  <si>
    <t>3150000-102-2019-00003</t>
  </si>
  <si>
    <t>서울특별시 강서구 마곡동 795-6 뉴골든타워 지하 1층 104호</t>
  </si>
  <si>
    <t>서울특별시 강서구 마곡중앙6로 89, 뉴골든타워 지하 1층 104호 (마곡동)</t>
  </si>
  <si>
    <t>3150000-102-2022-00003</t>
  </si>
  <si>
    <t>서울특별시 강서구 화곡동 901-15 시온빌딩 2층 201호</t>
  </si>
  <si>
    <t>서울특별시 강서구 강서로7길 35, 시온빌딩 2층 201호 (화곡동)</t>
  </si>
  <si>
    <t>3150000-102-2018-00011</t>
  </si>
  <si>
    <t>서울특별시 강서구 마곡동 795-6 뉴골든타워 8층 803호</t>
  </si>
  <si>
    <t>서울특별시 강서구 마곡중앙6로 89, 뉴골든타워 8층 803호 (마곡동)</t>
  </si>
  <si>
    <t>3150000-102-2022-00005</t>
  </si>
  <si>
    <t>서울특별시 강서구 화곡동 901-15 시온빌딩 5층 501호</t>
  </si>
  <si>
    <t>서울특별시 강서구 강서로7길 35, 시온빌딩 5층 501호 (화곡동)</t>
  </si>
  <si>
    <t>3150000-102-2022-00002</t>
  </si>
  <si>
    <t>서울특별시 강서구 화곡동 901-15 시온빌딩 3층 301호</t>
  </si>
  <si>
    <t>서울특별시 강서구 강서로7길 35, 시온빌딩 3층 301호 (화곡동)</t>
  </si>
  <si>
    <t>3150000-102-2019-00002</t>
  </si>
  <si>
    <t>서울특별시 강서구 마곡동 795-6 뉴골든타워 5층 501-1호</t>
  </si>
  <si>
    <t>서울특별시 강서구 마곡중앙6로 89, 뉴골든타워 5층 501-1호 (마곡동)</t>
  </si>
  <si>
    <t>3150000-102-1979-00762</t>
  </si>
  <si>
    <t xml:space="preserve">서울특별시 강서구 화곡동 1006-3 (지하 1층) </t>
  </si>
  <si>
    <t>서울특별시 강서구 강서로 245, 지하 1층 (화곡동, 3동)</t>
  </si>
  <si>
    <t>3150000-102-1979-00747</t>
  </si>
  <si>
    <t xml:space="preserve">서울특별시 강서구 화곡동 372-3 (지하 1층) </t>
  </si>
  <si>
    <t>서울특별시 강서구 가로공원로76길 6, 지하 1층 (화곡동, 1동)</t>
  </si>
  <si>
    <t>3150000-102-2022-00001</t>
  </si>
  <si>
    <t>서울특별시 강서구 화곡동 901-15 시온빌딩 4층 401호</t>
  </si>
  <si>
    <t>서울특별시 강서구 강서로7길 35, 시온빌딩 4층 401호 (화곡동)</t>
  </si>
  <si>
    <t>3150000-102-2023-00003</t>
  </si>
  <si>
    <t xml:space="preserve">서울특별시 강서구 화곡동 936-3 골든빌딩 2층 </t>
  </si>
  <si>
    <t>서울특별시 강서구 곰달래로16길 26, 골든빌딩 2층 (화곡동)</t>
  </si>
  <si>
    <t>3150000-102-2017-00014</t>
  </si>
  <si>
    <t>서울특별시 강서구 마곡동 795-6번지 뉴골든타워 (지상 7층) 704호</t>
  </si>
  <si>
    <t>서울특별시 강서구 마곡중앙6로 89, 뉴골든타워 7층 704호 (마곡동)</t>
  </si>
  <si>
    <t>3150000-102-2017-00016</t>
  </si>
  <si>
    <t>서울특별시 강서구 마곡동 795-6 뉴골든타워 (지상 7층) 703-1호</t>
  </si>
  <si>
    <t>서울특별시 강서구 마곡중앙6로 89, 뉴골든타워 7층 703-1호 (마곡동)</t>
  </si>
  <si>
    <t>3150000-102-1977-00777</t>
  </si>
  <si>
    <t xml:space="preserve">서울특별시 강서구 화곡동 1117-15 지하 1층 </t>
  </si>
  <si>
    <t>서울특별시 강서구 화곡로 320, 지하 1층 (화곡동)</t>
  </si>
  <si>
    <t>3150000-102-1978-00786</t>
  </si>
  <si>
    <t>서울특별시 강서구 화곡동 1006-10번지 (지하 1층) 1호</t>
  </si>
  <si>
    <t>서울특별시 강서구 강서로 239, 지하 1층 1호 (화곡동, 3동)</t>
  </si>
  <si>
    <t>3150000-102-1978-00750</t>
  </si>
  <si>
    <t xml:space="preserve">서울특별시 강서구 화곡동 903-3 (지하 1층) </t>
  </si>
  <si>
    <t>서울특별시 강서구 강서로 17, 지하 1층 (화곡동, 1동)</t>
  </si>
  <si>
    <t>3150000-102-1979-08161</t>
  </si>
  <si>
    <t xml:space="preserve">서울특별시 강서구 화곡동 342-55 지하 1층 </t>
  </si>
  <si>
    <t>서울특별시 강서구 강서로 34, 지하 1층 (화곡동, 8동)</t>
  </si>
  <si>
    <t>3220000-102-2016-00009</t>
  </si>
  <si>
    <t xml:space="preserve">서울특별시 강남구 역삼동 735-11 지하1층 </t>
  </si>
  <si>
    <t>서울특별시 강남구 논현로87길 지하 41 (역삼동)</t>
  </si>
  <si>
    <t>3150000-102-2023-00004</t>
  </si>
  <si>
    <t>서울특별시 강서구 화곡동 936-3 골든빌딩 3층</t>
  </si>
  <si>
    <t>서울특별시 강서구 곰달래로16길 26, 골든빌딩 3층 (화곡동)</t>
  </si>
  <si>
    <t>3150000-102-2017-00013</t>
  </si>
  <si>
    <t>서울특별시 강서구 마곡동 795-6 뉴골든타워 (지상 8층) 801호</t>
  </si>
  <si>
    <t>3150000-102-2017-00015</t>
  </si>
  <si>
    <t>서울특별시 강서구 마곡동 795-6 뉴골든타워 7층 703호</t>
  </si>
  <si>
    <t>서울특별시 강서구 마곡중앙6로 89, 뉴골든타워 7층 703호 (마곡동)</t>
  </si>
  <si>
    <t>3150000-102-2017-00012</t>
  </si>
  <si>
    <t>서울특별시 강서구 마곡동 795-6 뉴골든타워 6층 602-1호</t>
  </si>
  <si>
    <t>서울특별시 강서구 마곡중앙6로 89, 뉴골든타워 6층 602-1호 (마곡동)</t>
  </si>
  <si>
    <t>3150000-102-1984-00779</t>
  </si>
  <si>
    <t>서울특별시 강서구 화곡동 1117-16 지하 1층</t>
  </si>
  <si>
    <t>서울특별시 강서구 화곡로 322, 지하 1층 (화곡동)</t>
  </si>
  <si>
    <t>3150000-102-1984-00797</t>
  </si>
  <si>
    <t xml:space="preserve">서울특별시 강서구 화곡동 904-1번지 (지하 1층) </t>
  </si>
  <si>
    <t>서울특별시 강서구 강서로5길 10, 지하 1층 (화곡동, 1동)</t>
  </si>
  <si>
    <t>3150000-102-1985-00773</t>
  </si>
  <si>
    <t xml:space="preserve">서울특별시 강서구 화곡동 982-9번지 외 1필지 삼호빌딩 (지하 1층) </t>
  </si>
  <si>
    <t>서울특별시 강서구 화곡로 280, 지하 1층 (화곡동, 6동 삼호빌딩)</t>
  </si>
  <si>
    <t>3150000-102-1985-00758</t>
  </si>
  <si>
    <t xml:space="preserve">서울특별시 강서구 화곡동 1117-3 (지하 1층) </t>
  </si>
  <si>
    <t>서울특별시 강서구 공항대로46길 84, 지하 1층 (화곡동, 6동)</t>
  </si>
  <si>
    <t>3150000-102-1985-00746</t>
  </si>
  <si>
    <t xml:space="preserve">서울특별시 강서구 공항동 72-30번지 (지하 1층) </t>
  </si>
  <si>
    <t>서울특별시 강서구 공항대로 14-1, 지하 1층 (공항동)</t>
  </si>
  <si>
    <t>3150000-102-1980-00763</t>
  </si>
  <si>
    <t xml:space="preserve">서울특별시 강서구 화곡동 1116-2번지 (지하 1층) </t>
  </si>
  <si>
    <t>서울특별시 강서구 공항대로46길 64, 지하 1층 (화곡동, 6동)</t>
  </si>
  <si>
    <t>3150000-102-1983-00787</t>
  </si>
  <si>
    <t xml:space="preserve">서울특별시 강서구 화곡동 346-1 (지하 1층) </t>
  </si>
  <si>
    <t>서울특별시 강서구 강서로 55, 지하 1층 (화곡동, 1동)</t>
  </si>
  <si>
    <t>3150000-102-2020-00001</t>
  </si>
  <si>
    <t>서울특별시 강서구 마곡동 795-6 뉴골든타워 5층 504호</t>
  </si>
  <si>
    <t>서울특별시 강서구 마곡중앙6로 89, 뉴골든타워 5층 504호 (마곡동)</t>
  </si>
  <si>
    <t>3150000-102-2020-00002</t>
  </si>
  <si>
    <t xml:space="preserve">서울특별시 강서구 화곡동 935-1 지상4층 </t>
  </si>
  <si>
    <t>서울특별시 강서구 곰달래로16길 32, 4층 (화곡동)</t>
  </si>
  <si>
    <t>3150000-102-2020-00003</t>
  </si>
  <si>
    <t xml:space="preserve">서울특별시 강서구 화곡동 935-1 3층 </t>
  </si>
  <si>
    <t>서울특별시 강서구 곰달래로16길 32, 3층 (화곡동)</t>
  </si>
  <si>
    <t>3150000-102-2020-00004</t>
  </si>
  <si>
    <t xml:space="preserve">서울특별시 강서구 화곡동 935-1 2층 </t>
  </si>
  <si>
    <t>서울특별시 강서구 곰달래로16길 32, 2층 (화곡동)</t>
  </si>
  <si>
    <t>3150000-102-2021-00001</t>
  </si>
  <si>
    <t xml:space="preserve">서울특별시 강서구 화곡동 935-1 지하 1층 </t>
  </si>
  <si>
    <t>서울특별시 강서구 곰달래로16길 32, 지하 1층 (화곡동)</t>
  </si>
  <si>
    <t>3150000-102-2023-00006</t>
  </si>
  <si>
    <t>서울특별시 강서구 화곡동 901-1 네스트인 Bo1호</t>
  </si>
  <si>
    <t>서울특별시 강서구 강서로7길 23, 네스트인 B01호 (화곡동)</t>
  </si>
  <si>
    <t>3150000-102-2000-08712</t>
  </si>
  <si>
    <t xml:space="preserve">서울특별시 강서구 화곡동 1105-5 (지하 1층) </t>
  </si>
  <si>
    <t>서울특별시 강서구 화곡로 313, 지하 1층 (화곡동, 6동)</t>
  </si>
  <si>
    <t>3150000-102-1980-00802</t>
  </si>
  <si>
    <t>서울특별시 강서구 화곡동 1006-9</t>
  </si>
  <si>
    <t>서울특별시 강서구 강서로 243, 지하1층 (화곡동)</t>
  </si>
  <si>
    <t>3150000-102-2018-00001</t>
  </si>
  <si>
    <t>서울특별시 강서구 마곡동 795-6 뉴골든타워 5층 502호</t>
  </si>
  <si>
    <t>서울특별시 강서구 마곡중앙6로 89, 뉴골든타워 5층 502호 (마곡동)</t>
  </si>
  <si>
    <t>3150000-102-2018-00013</t>
  </si>
  <si>
    <t>서울특별시 강서구 화곡동 915-35 지하 1층</t>
  </si>
  <si>
    <t>서울특별시 강서구 강서로7길 85, 지하1층 (화곡동)</t>
  </si>
  <si>
    <t>3150000-102-2000-08709</t>
  </si>
  <si>
    <t xml:space="preserve">서울특별시 강서구 화곡동 1117-1 (지하 1층) </t>
  </si>
  <si>
    <t>서울특별시 강서구 공항대로46길 78, 지하 1층 (화곡동, 6동)</t>
  </si>
  <si>
    <t>3150000-102-2000-08678</t>
  </si>
  <si>
    <t xml:space="preserve">서울특별시 강서구 화곡동 1063-13 (지하 1층) </t>
  </si>
  <si>
    <t>서울특별시 강서구 화곡로 175, 지하 1층 (화곡동, 우장산동)</t>
  </si>
  <si>
    <t>3150000-102-2000-08704</t>
  </si>
  <si>
    <t xml:space="preserve">서울특별시 강서구 화곡동 904-27 (지하 1층) </t>
  </si>
  <si>
    <t>서울특별시 강서구 강서로5길 16, 지하 1층 (화곡동, 1동)</t>
  </si>
  <si>
    <t>3150000-102-2000-08705</t>
  </si>
  <si>
    <t xml:space="preserve">서울특별시 강서구 화곡동 981-13번지 (지하 1층) </t>
  </si>
  <si>
    <t>서울특별시 강서구 화곡로50길 5, 지하 1층 (화곡동, 6동)</t>
  </si>
  <si>
    <t>3150000-102-2000-08708</t>
  </si>
  <si>
    <t xml:space="preserve">서울특별시 강서구 화곡동 343-59 지하 1층 </t>
  </si>
  <si>
    <t>서울특별시 강서구 강서로 35, 지하 1층 (화곡동)</t>
  </si>
  <si>
    <t>3150000-102-2012-00001</t>
  </si>
  <si>
    <t>3150000-102-2012-00002</t>
  </si>
  <si>
    <t>서울특별시 강서구 가양동 1479-4번지 씨드가양플라자 (지하 2층) 201-1호</t>
  </si>
  <si>
    <t>서울특별시 강서구 양천로57길 13, 지하 2층 201-1호 (가양동, 2동 씨드가양플라자)</t>
  </si>
  <si>
    <t>3150000-102-2012-00004</t>
  </si>
  <si>
    <t>서울특별시 강서구 강서로 35, 지하 1층 (화곡동, 1동)</t>
  </si>
  <si>
    <t>3150000-102-2013-00001</t>
  </si>
  <si>
    <t xml:space="preserve">서울특별시 강서구 화곡동 343-61 (지하 1층) </t>
  </si>
  <si>
    <t>서울특별시 강서구 강서로 33, 지하 1층 (화곡동, 1동)</t>
  </si>
  <si>
    <t>3150000-102-2013-00002</t>
  </si>
  <si>
    <t xml:space="preserve">서울특별시 강서구 화곡동 902-10 지하 1층 </t>
  </si>
  <si>
    <t>서울특별시 강서구 강서로7길 19, 지하 1층 (화곡동, 1동)</t>
  </si>
  <si>
    <t>3150000-102-2015-00001</t>
  </si>
  <si>
    <t xml:space="preserve">서울특별시 강서구 화곡동 901-27 태양빌딩 지하 1층 </t>
  </si>
  <si>
    <t>서울특별시 강서구 강서로7길 31, 태양빌딩 지하 1층 (화곡동)</t>
  </si>
  <si>
    <t>3150000-102-2000-07914</t>
  </si>
  <si>
    <t xml:space="preserve">서울특별시 강서구 화곡동 1117-13 (지하 1층) </t>
  </si>
  <si>
    <t>서울특별시 강서구 화곡로 316, 지하 1층 (화곡동, 6동)</t>
  </si>
  <si>
    <t>3150000-102-2000-07915</t>
  </si>
  <si>
    <t xml:space="preserve">서울특별시 강서구 화곡동 1105-5 외 1필지 (지하 1층) </t>
  </si>
  <si>
    <t>3150000-102-2000-08129</t>
  </si>
  <si>
    <t xml:space="preserve">서울특별시 강서구 화곡동 935-14 지하 1층 </t>
  </si>
  <si>
    <t>서울특별시 강서구 강서로5나길 152, 지하 1층 (화곡동, 1동)</t>
  </si>
  <si>
    <t>3150000-102-2000-07864</t>
  </si>
  <si>
    <t>서울특별시 강서구 화곡동 1111-5 지하 1층</t>
  </si>
  <si>
    <t>서울특별시 강서구 화곡로 340, 지하 1층 (화곡동, 6동)</t>
  </si>
  <si>
    <t>3150000-102-2012-00003</t>
  </si>
  <si>
    <t>서울특별시 강서구 화곡동 1116-3 삼보프라자 (지하 1층)</t>
  </si>
  <si>
    <t>서울특별시 강서구 화곡로 330, 지하 1층 (화곡동, 6동 삼보프라자)</t>
  </si>
  <si>
    <t>3150000-102-1999-06858</t>
  </si>
  <si>
    <t xml:space="preserve">서울특별시 강서구 화곡동 903-4 2층 </t>
  </si>
  <si>
    <t>서울특별시 강서구 강서로5길 4, 2층 (화곡동)</t>
  </si>
  <si>
    <t>3150000-102-1999-06799</t>
  </si>
  <si>
    <t xml:space="preserve">서울특별시 강서구 화곡동 935-5번지 (지하 1층) </t>
  </si>
  <si>
    <t>서울특별시 강서구 강서로5나길 144, 지하 1층 (화곡동, 1동)</t>
  </si>
  <si>
    <t>3150000-102-1999-07373</t>
  </si>
  <si>
    <t xml:space="preserve">서울특별시 강서구 화곡동 904-13 지하 1층 </t>
  </si>
  <si>
    <t>서울특별시 강서구 강서로5나길 18, 지하 1층 (화곡동, 1동)</t>
  </si>
  <si>
    <t>3150000-102-1999-07685</t>
  </si>
  <si>
    <t xml:space="preserve">서울특별시 강서구 화곡동 24-347 (지하 1층) </t>
  </si>
  <si>
    <t>서울특별시 강서구 화곡로 268, 지하 1층 (화곡동, 본동)</t>
  </si>
  <si>
    <t>3150000-102-2000-08772</t>
  </si>
  <si>
    <t xml:space="preserve">서울특별시 강서구 화곡동 1105-7번지 (지하 1층) </t>
  </si>
  <si>
    <t>서울특별시 강서구 우장산로16길 19, 지하 1층 (화곡동, 6동)</t>
  </si>
  <si>
    <t>3150000-102-2002-00006</t>
  </si>
  <si>
    <t xml:space="preserve">서울특별시 강서구 화곡동 1110-3 (지하 1~2층) </t>
  </si>
  <si>
    <t>서울특별시 강서구 화곡로 354-10, 지하 1~2층 (화곡동, 6동)</t>
  </si>
  <si>
    <t>3150000-102-2004-00002</t>
  </si>
  <si>
    <t xml:space="preserve">서울특별시 강서구 화곡동 898-5번지 (지상 2층) </t>
  </si>
  <si>
    <t>서울특별시 강서구 강서로 21, 2층 (화곡동, 1동)</t>
  </si>
  <si>
    <t>3150000-102-2007-00001</t>
  </si>
  <si>
    <t xml:space="preserve">서울특별시 강서구 화곡동 1105-12 스카이관광호텔 (지하 1층) </t>
  </si>
  <si>
    <t>서울특별시 강서구 우장산로 128, 스카이관광호텔 지하 1층 (화곡동)</t>
  </si>
  <si>
    <t>3150000-102-2007-00002</t>
  </si>
  <si>
    <t xml:space="preserve">서울특별시 강서구 화곡동 905-9번지 (지상 2층) </t>
  </si>
  <si>
    <t>서울특별시 강서구 강서로5나길 32, 2층 (화곡동, 1동)</t>
  </si>
  <si>
    <t>3150000-102-2008-00001</t>
  </si>
  <si>
    <t xml:space="preserve">서울특별시 강서구 화곡동 1117-13번지 (지하 1층) </t>
  </si>
  <si>
    <t>3150000-102-2008-00002</t>
  </si>
  <si>
    <t xml:space="preserve">서울특별시 강서구 화곡동 1110-3 (지상 2층) </t>
  </si>
  <si>
    <t>서울특별시 강서구 화곡로 354-10, 2층 (화곡동, 6동)</t>
  </si>
  <si>
    <t>3150000-102-2004-00003</t>
  </si>
  <si>
    <t>서울특별시 강서구 화곡동 903-17</t>
  </si>
  <si>
    <t>서울특별시 강서구 강서로7길 5, 2층 (화곡동)</t>
  </si>
  <si>
    <t>3150000-102-2015-00005</t>
  </si>
  <si>
    <t xml:space="preserve">서울특별시 강서구 화곡동 903-10번지 (지상 4층) </t>
  </si>
  <si>
    <t>서울특별시 강서구 곰달래로24길 27, 4층 (화곡동, 1동)</t>
  </si>
  <si>
    <t>3150000-102-2015-00006</t>
  </si>
  <si>
    <t xml:space="preserve">서울특별시 강서구 화곡동 903-10 (지하 1층) </t>
  </si>
  <si>
    <t>서울특별시 강서구 곰달래로24길 27, 지하 1층 (화곡동, 1동)</t>
  </si>
  <si>
    <t>3150000-102-2008-00003</t>
  </si>
  <si>
    <t>서울특별시 강서구 화곡동 1097-4 이지호텔 14층</t>
  </si>
  <si>
    <t>서울특별시 강서구 화곡로 327, 이지호텔 14층 (화곡동)</t>
  </si>
  <si>
    <t>3150000-102-2001-09114</t>
  </si>
  <si>
    <t xml:space="preserve">서울특별시 강서구 화곡동 935-19 (지하 1층) </t>
  </si>
  <si>
    <t>서울특별시 강서구 월정로 102, 지하 1층 (화곡동, 1동)</t>
  </si>
  <si>
    <t>3150000-102-2001-09113</t>
  </si>
  <si>
    <t xml:space="preserve">서울특별시 강서구 화곡동 1065-31번지 (지하 1층) </t>
  </si>
  <si>
    <t>서울특별시 강서구 강서로 171, 지하 1층 (화곡동, 3동)</t>
  </si>
  <si>
    <t>3150000-102-2001-09106</t>
  </si>
  <si>
    <t xml:space="preserve">서울특별시 강서구 화곡동 1105-2 (지하 1층) </t>
  </si>
  <si>
    <t>서울특별시 강서구 화곡로 319, 지하 1층 (화곡동, 6동)</t>
  </si>
  <si>
    <t>3150000-102-2001-09107</t>
  </si>
  <si>
    <t xml:space="preserve">서울특별시 강서구 화곡동 380-14번지 (지하 1층) </t>
  </si>
  <si>
    <t>서울특별시 강서구 화곡로20길 51, 지하 1층 (화곡동, 1동)</t>
  </si>
  <si>
    <t>3150000-102-2009-00001</t>
  </si>
  <si>
    <t xml:space="preserve">서울특별시 강서구 화곡동 1097-4 2층 </t>
  </si>
  <si>
    <t>서울특별시 강서구 화곡로 327, 2층 (화곡동, 6동)</t>
  </si>
  <si>
    <t>3150000-102-1989-00752</t>
  </si>
  <si>
    <t xml:space="preserve">서울특별시 강서구 공항동 53-58번지 (지하 1층) </t>
  </si>
  <si>
    <t>서울특별시 강서구 송정로 60, 지하 1층 (공항동)</t>
  </si>
  <si>
    <t>3150000-102-1989-00753</t>
  </si>
  <si>
    <t xml:space="preserve">서울특별시 강서구 방화동 580-153 (지하 1층) </t>
  </si>
  <si>
    <t>서울특별시 강서구 방화동로 99-1, 지하 1층 (방화동, 2동)</t>
  </si>
  <si>
    <t>3150000-102-2000-08677</t>
  </si>
  <si>
    <t xml:space="preserve">서울특별시 강서구 화곡동 1076-14 (지하 1층) </t>
  </si>
  <si>
    <t>서울특별시 강서구 강서로 154, 지하 1층 (화곡동, 본동)</t>
  </si>
  <si>
    <t>3150000-102-2000-08710</t>
  </si>
  <si>
    <t xml:space="preserve">서울특별시 강서구 화곡동 1076-17번지 </t>
  </si>
  <si>
    <t>3150000-102-2000-08700</t>
  </si>
  <si>
    <t xml:space="preserve">서울특별시 강서구 화곡동 1063-11 (지하 1층) </t>
  </si>
  <si>
    <t>서울특별시 강서구 화곡로 181, 지하 1층 (화곡동, 우장산동)</t>
  </si>
  <si>
    <t>3150000-102-2000-08706</t>
  </si>
  <si>
    <t xml:space="preserve">서울특별시 강서구 화곡동 935-15번지 (지하 1층) </t>
  </si>
  <si>
    <t>서울특별시 강서구 월정로 104, 지하 1층 (화곡동, 1동)</t>
  </si>
  <si>
    <t>3150000-102-2010-00004</t>
  </si>
  <si>
    <t xml:space="preserve">서울특별시 강서구 화곡동 899-5번지 외 3필지 (지하 1층) </t>
  </si>
  <si>
    <t>서울특별시 강서구 곰달래로24길 18, 지하 1층 (화곡동, 1동)</t>
  </si>
  <si>
    <t>3150000-102-2012-00005</t>
  </si>
  <si>
    <t xml:space="preserve">서울특별시 강서구 화곡동 1110-0번지 노스탈자호텔 (지하 1~2층) </t>
  </si>
  <si>
    <t>서울특별시 강서구 화곡로 354-3, 지하 1~2층 (화곡동, 6동 노스탈자호텔)</t>
  </si>
  <si>
    <t>3150000-102-2014-00001</t>
  </si>
  <si>
    <t>3150000-102-2014-00002</t>
  </si>
  <si>
    <t xml:space="preserve">서울특별시 강서구 화곡동 899-5 외 3필지 (지상 2층) </t>
  </si>
  <si>
    <t>서울특별시 강서구 곰달래로24길 18, 2층 (화곡동, 1동)</t>
  </si>
  <si>
    <t>3150000-102-2000-07913</t>
  </si>
  <si>
    <t xml:space="preserve">서울특별시 강서구 화곡동 73-49번지 </t>
  </si>
  <si>
    <t>3150000-102-2000-07872</t>
  </si>
  <si>
    <t xml:space="preserve">서울특별시 강서구 화곡동 981-11번지 </t>
  </si>
  <si>
    <t>3150000-102-2000-07860</t>
  </si>
  <si>
    <t xml:space="preserve">서울특별시 강서구 방화동 619-7번지 (지하 1층) </t>
  </si>
  <si>
    <t>3150000-102-2000-07861</t>
  </si>
  <si>
    <t xml:space="preserve">서울특별시 강서구 방화동 621-9 (지하 1층) </t>
  </si>
  <si>
    <t>서울특별시 강서구 개화동로31길 6, 지하 1층 (방화동, 2동)</t>
  </si>
  <si>
    <t>3150000-102-2000-08711</t>
  </si>
  <si>
    <t xml:space="preserve">서울특별시 강서구 화곡동 902-3번지 </t>
  </si>
  <si>
    <t>3150000-102-2000-07862</t>
  </si>
  <si>
    <t xml:space="preserve">서울특별시 강서구 공항동 50-1 외 2필지 (지하 1층) </t>
  </si>
  <si>
    <t>서울특별시 강서구 공항대로 20, 지하 1층 (공항동)</t>
  </si>
  <si>
    <t>3150000-102-2000-07917</t>
  </si>
  <si>
    <t xml:space="preserve">서울특별시 강서구 화곡동 1116-5번지 (지하 1층) </t>
  </si>
  <si>
    <t>3150000-102-2000-07866</t>
  </si>
  <si>
    <t xml:space="preserve">서울특별시 강서구 화곡동 998-6번지 (지하 1층) </t>
  </si>
  <si>
    <t>서울특별시 강서구 화곡로 305, 지하 1층 (화곡동, 6동)</t>
  </si>
  <si>
    <t>3150000-102-1999-07909</t>
  </si>
  <si>
    <t xml:space="preserve">서울특별시 강서구 화곡동 1076-1번지 </t>
  </si>
  <si>
    <t>3150000-102-1999-06823</t>
  </si>
  <si>
    <t xml:space="preserve">서울특별시 강서구 공항동 48-1번지 외 1필지 (73-7) </t>
  </si>
  <si>
    <t>3150000-102-1999-06825</t>
  </si>
  <si>
    <t xml:space="preserve">서울특별시 강서구 화곡동 899-5 외 3필지 남흥빌딩 (지하 1층) </t>
  </si>
  <si>
    <t>서울특별시 강서구 곰달래로24길 18, 지하 1층 (화곡동, 1동 남흥빌딩)</t>
  </si>
  <si>
    <t>3150000-102-1999-07660</t>
  </si>
  <si>
    <t xml:space="preserve">서울특별시 강서구 화곡동 29-57번지 태원빌딩 (지하 1층) </t>
  </si>
  <si>
    <t>서울특별시 강서구 까치산로 86, 지하 1층 (화곡동, 본동 태원빌딩)</t>
  </si>
  <si>
    <t>3150000-102-1999-07910</t>
  </si>
  <si>
    <t xml:space="preserve">서울특별시 강서구 화곡동 24-344번지 (지하 1층) </t>
  </si>
  <si>
    <t>3150000-102-1999-07400</t>
  </si>
  <si>
    <t xml:space="preserve">서울특별시 강서구 화곡동 1111-7번지 </t>
  </si>
  <si>
    <t>3150000-102-1999-07522</t>
  </si>
  <si>
    <t xml:space="preserve">서울특별시 강서구 화곡동 1117-7번지 </t>
  </si>
  <si>
    <t>3150000-102-1999-07523</t>
  </si>
  <si>
    <t xml:space="preserve">서울특별시 강서구 화곡동 1116-3번지 (지하 1층) </t>
  </si>
  <si>
    <t>서울특별시 강서구 화곡로 지하 330, 1층 (화곡동, 6동)</t>
  </si>
  <si>
    <t>3150000-102-1999-07541</t>
  </si>
  <si>
    <t xml:space="preserve">서울특별시 강서구 공항동 434-2 외 3필지 (지하 1층) </t>
  </si>
  <si>
    <t>서울특별시 강서구 공항대로 6, 지하 1층 (공항동)</t>
  </si>
  <si>
    <t>3150000-102-1999-07585</t>
  </si>
  <si>
    <t xml:space="preserve">서울특별시 강서구 화곡동 24-90번지 </t>
  </si>
  <si>
    <t>3150000-102-1999-07620</t>
  </si>
  <si>
    <t xml:space="preserve">서울특별시 강서구 방화동 621-24번지 </t>
  </si>
  <si>
    <t>3150000-102-2000-08724</t>
  </si>
  <si>
    <t xml:space="preserve">서울특별시 강서구 방화동 621-24번지 (지하 1층) </t>
  </si>
  <si>
    <t>서울특별시 강서구 개화동로 565, 지하 1층 (방화동, 2동)</t>
  </si>
  <si>
    <t>3150000-102-2000-08773</t>
  </si>
  <si>
    <t xml:space="preserve">서울특별시 강서구 화곡동 1105-10번지 </t>
  </si>
  <si>
    <t>3150000-102-2002-00004</t>
  </si>
  <si>
    <t xml:space="preserve">서울특별시 강서구 화곡동 1111-7번지 외 1필지 (지하 1~2층) </t>
  </si>
  <si>
    <t>서울특별시 강서구 화곡로 342 (화곡동,외 1필지 (지하 1~2층))</t>
  </si>
  <si>
    <t>3150000-102-2002-00005</t>
  </si>
  <si>
    <t xml:space="preserve">서울특별시 강서구 화곡동 921-20번지 </t>
  </si>
  <si>
    <t>3150000-102-2003-00001</t>
  </si>
  <si>
    <t xml:space="preserve">서울특별시 강서구 화곡동 1065-22번지 (지하 1층) </t>
  </si>
  <si>
    <t>서울특별시 강서구 강서로 173, 지하 1층 (화곡동, 3동)</t>
  </si>
  <si>
    <t>3150000-102-2004-00001</t>
  </si>
  <si>
    <t xml:space="preserve">서울특별시 강서구 외발산동 426번지 지하1층 </t>
  </si>
  <si>
    <t>3150000-102-1999-07677</t>
  </si>
  <si>
    <t xml:space="preserve">서울특별시 강서구 염창동 260-0번지 외 1필지 (지상 9층) </t>
  </si>
  <si>
    <t>서울특별시 강서구 공항대로 653-30 (염창동,외 1필지 (지상 9층))</t>
  </si>
  <si>
    <t>3150000-102-1999-07912</t>
  </si>
  <si>
    <t xml:space="preserve">서울특별시 강서구 화곡동 24-91번지 </t>
  </si>
  <si>
    <t>3150000-102-1999-07736</t>
  </si>
  <si>
    <t xml:space="preserve">서울특별시 강서구 화곡동 981-2번지 </t>
  </si>
  <si>
    <t>3150000-102-2000-08774</t>
  </si>
  <si>
    <t xml:space="preserve">서울특별시 강서구 화곡동 981-3번지 지하1층 </t>
  </si>
  <si>
    <t>서울특별시 강서구 화곡로 288, 지하 1층 (화곡동, 6동)</t>
  </si>
  <si>
    <t>3150000-102-2001-09091</t>
  </si>
  <si>
    <t xml:space="preserve">서울특별시 강서구 화곡동 937-12번지 외 1필지 (지하 1층) </t>
  </si>
  <si>
    <t>서울특별시 강서구 월정로18길 7, 지하 1층 (화곡동, 1동)</t>
  </si>
  <si>
    <t>3150000-102-2001-09105</t>
  </si>
  <si>
    <t xml:space="preserve">서울특별시 강서구 화곡동 901-26번지 </t>
  </si>
  <si>
    <t>3150000-102-2001-09109</t>
  </si>
  <si>
    <t xml:space="preserve">서울특별시 강서구 화곡동 1117-7번지 (지상 5층) </t>
  </si>
  <si>
    <t>서울특별시 강서구 공항대로46길 90, 5층 (화곡동, 6동)</t>
  </si>
  <si>
    <t>3150000-102-2002-00002</t>
  </si>
  <si>
    <t xml:space="preserve">서울특별시 강서구 화곡동 998-1 (지하 1층) </t>
  </si>
  <si>
    <t>서울특별시 강서구 화곡로 311, 지하 1층 (화곡동, 6동)</t>
  </si>
  <si>
    <t>3150000-102-1986-00735</t>
  </si>
  <si>
    <t>서울특별시 강서구 화곡동 1117-14 (지하 1층)</t>
  </si>
  <si>
    <t>서울특별시 강서구 화곡로 318, 지하 1층 (화곡동, 6동)</t>
  </si>
  <si>
    <t>3150000-102-1986-00734</t>
  </si>
  <si>
    <t>서울특별시 강서구 화곡동 1117 보성빌딩</t>
  </si>
  <si>
    <t>서울특별시 강서구 화곡로58길 8, 보성빌딩 지하1층 (화곡동)</t>
  </si>
  <si>
    <t>3150000-102-2016-00001</t>
  </si>
  <si>
    <t xml:space="preserve">서울특별시 강서구 화곡동 343-61 지하1층, 1동 </t>
  </si>
  <si>
    <t>서울특별시 강서구 강서로 33, 지하1층 (화곡동, 1동)</t>
  </si>
  <si>
    <t>3150000-102-1988-00806</t>
  </si>
  <si>
    <t xml:space="preserve">서울특별시 강서구 화곡동 1117-7 (지하 1층) </t>
  </si>
  <si>
    <t>서울특별시 강서구 공항대로46길 90, 지하 1층 (화곡동, 6동)</t>
  </si>
  <si>
    <t>3150000-102-1999-07735</t>
  </si>
  <si>
    <t xml:space="preserve">서울특별시 강서구 화곡동 1117-2 지하 1층 </t>
  </si>
  <si>
    <t>서울특별시 강서구 공항대로46길 82, 지하 1층 (화곡동, 6동)</t>
  </si>
  <si>
    <t>3150000-102-1999-07825</t>
  </si>
  <si>
    <t xml:space="preserve">서울특별시 강서구 화곡동 1117-1번지 (지상 1층) </t>
  </si>
  <si>
    <t>서울특별시 강서구 공항대로46길 78, 1층 (화곡동, 6동)</t>
  </si>
  <si>
    <t>3150000-102-2000-07858</t>
  </si>
  <si>
    <t>서울특별시 강서구 가양동 1479-4 씨드가양플라자 (지하 2층) 201호</t>
  </si>
  <si>
    <t>서울특별시 강서구 양천로57길 13, 지하 2층 201호 (가양동, 2동 씨드가양플라자 )</t>
  </si>
  <si>
    <t>3150000-102-2017-00002</t>
  </si>
  <si>
    <t>서울특별시 강서구 마곡동 795-6번지 뉴골든타워 (지하 1층) 101호</t>
  </si>
  <si>
    <t>서울특별시 강서구 마곡중앙6로 89, 지하 1층 101호 (마곡동, 가양 1동 뉴골든타워)</t>
  </si>
  <si>
    <t>3150000-102-2017-00003</t>
  </si>
  <si>
    <t>서울특별시 강서구 마곡동 795-6번지 뉴골든타워 (지하 1층) 102호</t>
  </si>
  <si>
    <t>서울특별시 강서구 마곡중앙6로 89, 지하 1층 102호 (마곡동, 가양 1동 뉴골든타워)</t>
  </si>
  <si>
    <t>3150000-102-2017-00004</t>
  </si>
  <si>
    <t>서울특별시 강서구 마곡동 795-6 뉴골든타워 (지하 1층) 102-1호</t>
  </si>
  <si>
    <t>서울특별시 강서구 마곡중앙6로 89, 지하 1층 102-1호 (마곡동, 가양 1동 뉴골든타워)</t>
  </si>
  <si>
    <t>3150000-102-2017-00005</t>
  </si>
  <si>
    <t>서울특별시 강서구 마곡동 795-6 뉴골든타워 (지하 1층) 103호</t>
  </si>
  <si>
    <t>서울특별시 강서구 마곡중앙6로 89, 지하 1층 103호 (마곡동, 가양 1동 뉴골든타워)</t>
  </si>
  <si>
    <t>3150000-102-2016-00002</t>
  </si>
  <si>
    <t>서울특별시 강서구 화곡동 901-16 지하 1층</t>
  </si>
  <si>
    <t>서울특별시 강서구 강서로7길 27, 지하 1층 (화곡동, 1동)</t>
  </si>
  <si>
    <t>3150000-102-2017-00008</t>
  </si>
  <si>
    <t>서울특별시 강서구 마곡동 795-6번지 뉴골든타워 (지상 6층) 604호</t>
  </si>
  <si>
    <t>서울특별시 강서구 마곡중앙6로 89, 6층 604호 (마곡동, 가양 1동 뉴골든타워)</t>
  </si>
  <si>
    <t>3150000-102-2017-00009</t>
  </si>
  <si>
    <t>서울특별시 강서구 마곡동 795-6번지 뉴골든타워 (지상 6층) 603호</t>
  </si>
  <si>
    <t>서울특별시 강서구 마곡중앙6로 89, 6층 603호 (마곡동, 가양 1동 뉴골든타워)</t>
  </si>
  <si>
    <t>3150000-102-1992-00807</t>
  </si>
  <si>
    <t>서울특별시 강서구 화곡동 898-16 지하 1층</t>
  </si>
  <si>
    <t>서울특별시 강서구 강서로 21, 지하 1층 (화곡동, 1동)</t>
  </si>
  <si>
    <t>3150000-102-2017-00001</t>
  </si>
  <si>
    <t>서울특별시 강서구 화곡동 1117-7 덕영빌딩 지하 2~지하 1중층</t>
  </si>
  <si>
    <t>서울특별시 강서구 공항대로46길 90, 덕영빌딩 지하 2~지하 1중층 (화곡동)</t>
  </si>
  <si>
    <t>3150000-102-1988-00736</t>
  </si>
  <si>
    <t xml:space="preserve">서울특별시 강서구 화곡동 1117-17 지하 1층 </t>
  </si>
  <si>
    <t>서울특별시 강서구 화곡로 324, 지하 1층 (화곡동)</t>
  </si>
  <si>
    <t>3150000-102-1989-00749</t>
  </si>
  <si>
    <t xml:space="preserve">서울특별시 강서구 화곡동 72-3번지 </t>
  </si>
  <si>
    <t>서울특별시 강서구 화곡로 248-5 (화곡동)</t>
  </si>
  <si>
    <t>3150000-102-1989-00751</t>
  </si>
  <si>
    <t xml:space="preserve">서울특별시 강서구 방화동 249-254 </t>
  </si>
  <si>
    <t>서울특별시 강서구 초원로13길 56 (방화동)</t>
  </si>
  <si>
    <t>3150000-102-1989-00759</t>
  </si>
  <si>
    <t xml:space="preserve">서울특별시 강서구 화곡동 24-106번지 </t>
  </si>
  <si>
    <t>서울특별시 강서구 화곡로42길 24 (화곡동, 본동)</t>
  </si>
  <si>
    <t>3150000-102-1989-00764</t>
  </si>
  <si>
    <t xml:space="preserve">서울특별시 강서구 화곡동 73-51번지 </t>
  </si>
  <si>
    <t>서울특별시 강서구 화곡로 252 (화곡동)</t>
  </si>
  <si>
    <t>3150000-102-1987-00743</t>
  </si>
  <si>
    <t xml:space="preserve">서울특별시 강서구 화곡동 981-5번지 </t>
  </si>
  <si>
    <t>3150000-102-1987-00737</t>
  </si>
  <si>
    <t xml:space="preserve">서울특별시 강서구 화곡동 987-3번지 (지하 1층) </t>
  </si>
  <si>
    <t>서울특별시 강서구 화곡로 295, 지하 1층 (화곡동, 6동)</t>
  </si>
  <si>
    <t>3150000-102-1988-00798</t>
  </si>
  <si>
    <t xml:space="preserve">서울특별시 강서구 화곡동 1105-0번지 외 1필지 (지하 1~2층) </t>
  </si>
  <si>
    <t>서울특별시 강서구 화곡로 323, 지하 1~2층 (화곡동, 6동)</t>
  </si>
  <si>
    <t>3150000-102-2010-00003</t>
  </si>
  <si>
    <t>서울특별시 강서구 화곡로 334, 지하 1층 (화곡동, 6동)</t>
  </si>
  <si>
    <t>3150000-102-1989-00742</t>
  </si>
  <si>
    <t xml:space="preserve">서울특별시 강서구 화곡동 981-13번지 </t>
  </si>
  <si>
    <t>3150000-102-1989-00740</t>
  </si>
  <si>
    <t xml:space="preserve">서울특별시 강서구 화곡동 1105-7번지 </t>
  </si>
  <si>
    <t>3150000-102-1989-00781</t>
  </si>
  <si>
    <t xml:space="preserve">서울특별시 강서구 염창동 260-1번지 </t>
  </si>
  <si>
    <t>3150000-102-1989-00795</t>
  </si>
  <si>
    <t xml:space="preserve">서울특별시 강서구 화곡동 1107-2번지 (지하 1층~2층) </t>
  </si>
  <si>
    <t>3150000-102-1990-00767</t>
  </si>
  <si>
    <t xml:space="preserve">서울특별시 강서구 화곡동 94-0 (지하 1층) </t>
  </si>
  <si>
    <t>서울특별시 강서구 화곡로 248, 지하 1층 (화곡동, 본동)</t>
  </si>
  <si>
    <t>3150000-102-2017-00011</t>
  </si>
  <si>
    <t>서울특별시 강서구 마곡동 795-6 뉴골든타워 6층 602호</t>
  </si>
  <si>
    <t>서울특별시 강서구 마곡중앙6로 89, 뉴골든타워 6층 602호 (마곡동)</t>
  </si>
  <si>
    <t>3150000-102-2017-00010</t>
  </si>
  <si>
    <t>서울특별시 강서구 마곡동 795-6 뉴골든타워 6층 603-1호</t>
  </si>
  <si>
    <t>서울특별시 강서구 마곡중앙6로 89, 6층 603-1호 (마곡동, 가양 1동 뉴골든타워)</t>
  </si>
  <si>
    <t>3150000-102-1993-00771</t>
  </si>
  <si>
    <t>서울특별시 강서구 화곡동 1066-1 (지하 1층)</t>
  </si>
  <si>
    <t>서울특별시 강서구 화곡로 137, 지하 1층 (화곡동, 3동)</t>
  </si>
  <si>
    <t>3150000-102-1990-00733</t>
  </si>
  <si>
    <t xml:space="preserve">서울특별시 강서구 화곡동 1097-5번지 (지하 1층) </t>
  </si>
  <si>
    <t>서울특별시 강서구 우장산로 127, 지하 1층 (화곡동, 6동)</t>
  </si>
  <si>
    <t>3150000-102-1991-00794</t>
  </si>
  <si>
    <t xml:space="preserve">서울특별시 강서구 방화동 612-18번지 </t>
  </si>
  <si>
    <t>3150000-102-1986-00790</t>
  </si>
  <si>
    <t>3150000-102-1986-00741</t>
  </si>
  <si>
    <t xml:space="preserve">서울특별시 강서구 화곡동 981-1번지 </t>
  </si>
  <si>
    <t>3150000-102-1986-00791</t>
  </si>
  <si>
    <t xml:space="preserve">서울특별시 강서구 공항동 45-38번지 </t>
  </si>
  <si>
    <t>3150000-102-1986-00805</t>
  </si>
  <si>
    <t xml:space="preserve">서울특별시 강서구 화곡동 1111-3번지 </t>
  </si>
  <si>
    <t>3150000-102-2008-00004</t>
  </si>
  <si>
    <t xml:space="preserve">서울특별시 강서구 화곡동 1105-10번지 (지하1층) </t>
  </si>
  <si>
    <t>서울특별시 강서구 우장산로16길 9 (화곡동,(지하1층))</t>
  </si>
  <si>
    <t>3150000-102-2000-07991</t>
  </si>
  <si>
    <t xml:space="preserve">서울특별시 강서구 화곡동 987-7번지 (지하 1층) </t>
  </si>
  <si>
    <t>서울특별시 강서구 화곡로 289, 지하 1층 (화곡동, 6동)</t>
  </si>
  <si>
    <t>3150000-102-2000-08699</t>
  </si>
  <si>
    <t xml:space="preserve">서울특별시 강서구 화곡동 998-5번지 </t>
  </si>
  <si>
    <t>3150000-102-2001-09110</t>
  </si>
  <si>
    <t xml:space="preserve">서울특별시 강서구 화곡동 1065-1번지 </t>
  </si>
  <si>
    <t>3150000-102-2001-09111</t>
  </si>
  <si>
    <t xml:space="preserve">서울특별시 강서구 화곡동 1107-0번지 (지하 1층) 101~104호 </t>
  </si>
  <si>
    <t>서울특별시 강서구 공항대로 426, 지하 1층 101~104호 (화곡동, 6동)</t>
  </si>
  <si>
    <t>3150000-102-2002-00003</t>
  </si>
  <si>
    <t xml:space="preserve">서울특별시 강서구 화곡동 1076-17번지 성지빌딩 (지하 1층) </t>
  </si>
  <si>
    <t>서울특별시 강서구 강서로 160, 지하 1층 (화곡동, 본동 성지빌딩)</t>
  </si>
  <si>
    <t>3150000-102-1987-00803</t>
  </si>
  <si>
    <t xml:space="preserve">서울특별시 강서구 화곡동 1097-7번지 </t>
  </si>
  <si>
    <t>3150000-102-1987-00760</t>
  </si>
  <si>
    <t xml:space="preserve">서울특별시 강서구 화곡동 987-5 (지하 1층) </t>
  </si>
  <si>
    <t>서울특별시 강서구 화곡로 293, 지하 1층 (화곡동, 6동)</t>
  </si>
  <si>
    <t>3150000-102-1988-00788</t>
  </si>
  <si>
    <t xml:space="preserve">서울특별시 강서구 화곡동 987-6 (지하 1층) </t>
  </si>
  <si>
    <t>서울특별시 강서구 화곡로 291, 지하 1층 (화곡동, 6동)</t>
  </si>
  <si>
    <t>3150000-102-1988-00792</t>
  </si>
  <si>
    <t xml:space="preserve">서울특별시 강서구 화곡동 1117-10 외 1필지 (지하 1층) </t>
  </si>
  <si>
    <t>서울특별시 강서구 화곡로 318-1, 지하 1층 (화곡동, 6동)</t>
  </si>
  <si>
    <t>3150000-102-1991-00800</t>
  </si>
  <si>
    <t xml:space="preserve">서울특별시 강서구 화곡동 1110-0번지 (지하 1~2층) </t>
  </si>
  <si>
    <t>3150000-102-1992-00799</t>
  </si>
  <si>
    <t xml:space="preserve">서울특별시 강서구 등촌동 505-2번지 외 5필지 호텔그린월드 (지하 2층) </t>
  </si>
  <si>
    <t>서울특별시 강서구 공항대로 516, 지하 2층 (등촌동, 2동 호텔그린월드)</t>
  </si>
  <si>
    <t>3150000-102-1992-00796</t>
  </si>
  <si>
    <t>3150000-102-1993-00732</t>
  </si>
  <si>
    <t xml:space="preserve">서울특별시 강서구 화곡동 998-7번지 (지하 1층) </t>
  </si>
  <si>
    <t>3150000-102-1999-07777</t>
  </si>
  <si>
    <t xml:space="preserve">서울특별시 강서구 화곡동 1116-3번지 (지상 7층) </t>
  </si>
  <si>
    <t>3150000-102-2000-07831</t>
  </si>
  <si>
    <t xml:space="preserve">서울특별시 강서구 화곡동 1097-9번지 (지하 1층) </t>
  </si>
  <si>
    <t>서울특별시 강서구 화곡로 329, 지하 1층 (화곡동, 6동)</t>
  </si>
  <si>
    <t>3150000-102-2000-07843</t>
  </si>
  <si>
    <t xml:space="preserve">서울특별시 강서구 화곡동 980-21번지 </t>
  </si>
  <si>
    <t>3150000-102-2000-07855</t>
  </si>
  <si>
    <t xml:space="preserve">서울특별시 강서구 화곡동 1105-0번지 외 1필지 (지하 2층) </t>
  </si>
  <si>
    <t>서울특별시 강서구 화곡로 323, 지하 2층 (화곡동, 6동)</t>
  </si>
  <si>
    <t>3150000-102-2000-07863</t>
  </si>
  <si>
    <t xml:space="preserve">서울특별시 강서구 화곡동 343-58번지 </t>
  </si>
  <si>
    <t>3150000-102-1988-00748</t>
  </si>
  <si>
    <t xml:space="preserve">서울특별시 강서구 화곡동 1107-3번지 </t>
  </si>
  <si>
    <t>3150000-102-1988-00770</t>
  </si>
  <si>
    <t xml:space="preserve">서울특별시 강서구 화곡동 24-43번지 (지하 1층) </t>
  </si>
  <si>
    <t>서울특별시 강서구 화곡로 248-18, 지하 1층 (화곡동, 본동)</t>
  </si>
  <si>
    <t>3150000-102-1989-00765</t>
  </si>
  <si>
    <t>3150000-102-1989-00744</t>
  </si>
  <si>
    <t xml:space="preserve">서울특별시 강서구 방화동 614-97번지 </t>
  </si>
  <si>
    <t>3150000-102-1989-00727</t>
  </si>
  <si>
    <t xml:space="preserve">서울특별시 강서구 화곡동 1105-3번지 (지하 1층) </t>
  </si>
  <si>
    <t>서울특별시 강서구 화곡로 317, 지하 1층 (화곡동, 6동)</t>
  </si>
  <si>
    <t>3150000-102-1993-00766</t>
  </si>
  <si>
    <t xml:space="preserve">서울특별시 강서구 화곡동 72-1번지 </t>
  </si>
  <si>
    <t>3150000-102-1994-00782</t>
  </si>
  <si>
    <t xml:space="preserve">서울특별시 강서구 화곡동 1117-11번지 </t>
  </si>
  <si>
    <t>3150000-102-1995-00756</t>
  </si>
  <si>
    <t xml:space="preserve">서울특별시 강서구 공항동 11-21번지 </t>
  </si>
  <si>
    <t>3150000-102-1996-00793</t>
  </si>
  <si>
    <t xml:space="preserve">서울특별시 강서구 화곡동 905-9번지 </t>
  </si>
  <si>
    <t>3150000-102-1977-00755</t>
  </si>
  <si>
    <t xml:space="preserve">서울특별시 강서구 화곡동 343-31번지 </t>
  </si>
  <si>
    <t>3150000-102-1978-00785</t>
  </si>
  <si>
    <t xml:space="preserve">서울특별시 강서구 화곡동 938-23번지 </t>
  </si>
  <si>
    <t>3150000-102-1984-00761</t>
  </si>
  <si>
    <t xml:space="preserve">서울특별시 강서구 화곡동 1116-3번지 </t>
  </si>
  <si>
    <t>3150000-102-1984-00784</t>
  </si>
  <si>
    <t xml:space="preserve">서울특별시 강서구 화곡동 1032-27번지 </t>
  </si>
  <si>
    <t>3150000-102-1985-00780</t>
  </si>
  <si>
    <t xml:space="preserve">서울특별시 강서구 화곡동 982-14번지 </t>
  </si>
  <si>
    <t>3150000-102-1985-00769</t>
  </si>
  <si>
    <t xml:space="preserve">서울특별시 강서구 화곡동 987-1번지 (지하 1층) </t>
  </si>
  <si>
    <t>서울특별시 강서구 화곡로 297, 지하 1층 (화곡동, 6동)</t>
  </si>
  <si>
    <t>3150000-102-1985-00776</t>
  </si>
  <si>
    <t>3150000-102-1985-00731</t>
  </si>
  <si>
    <t>서울특별시 강서구 화곡로 289, 지하 1층 (화곡동)</t>
  </si>
  <si>
    <t>3150000-102-1986-00768</t>
  </si>
  <si>
    <t xml:space="preserve">서울특별시 강서구 화곡동 24-65번지 (지하 1층) </t>
  </si>
  <si>
    <t>서울특별시 강서구 화곡로42길 3, 지하1층 (화곡동, 본동)</t>
  </si>
  <si>
    <t>3150000-102-1986-00804</t>
  </si>
  <si>
    <t xml:space="preserve">서울특별시 강서구 공항동 45-10번지 </t>
  </si>
  <si>
    <t>3150000-102-1980-00772</t>
  </si>
  <si>
    <t xml:space="preserve">서울특별시 강서구 염창동 283-14번지 </t>
  </si>
  <si>
    <t>서울특별시 강서구 공항대로 647 (염창동)</t>
  </si>
  <si>
    <t>3150000-102-1980-00726</t>
  </si>
  <si>
    <t xml:space="preserve">서울특별시 강서구 내발산동 667-2번지 </t>
  </si>
  <si>
    <t>3150000-102-1980-00754</t>
  </si>
  <si>
    <t xml:space="preserve">서울특별시 강서구 화곡동 898-1번지 </t>
  </si>
  <si>
    <t>3150000-102-1993-00778</t>
  </si>
  <si>
    <t xml:space="preserve">서울특별시 강서구 공항동 434-2번지 외3필지 </t>
  </si>
  <si>
    <t>3150000-102-2022-00006</t>
  </si>
  <si>
    <t xml:space="preserve">서울특별시 강서구 화곡동 1117-10 지하1층 </t>
  </si>
  <si>
    <t>서울특별시 강서구 화곡로 318-1, 지하1층 (화곡동)</t>
  </si>
  <si>
    <t>3150000-102-1979-00775</t>
  </si>
  <si>
    <t xml:space="preserve">서울특별시 강서구 화곡동 1070-8번지 </t>
  </si>
  <si>
    <t>3150000-102-2023-00002</t>
  </si>
  <si>
    <t xml:space="preserve">서울특별시 강서구 화곡동 936-3 2층 </t>
  </si>
  <si>
    <t>서울특별시 강서구 곰달래로16길 26, 2층 (화곡동)</t>
  </si>
  <si>
    <t>3160000-102-2014-00003</t>
  </si>
  <si>
    <t xml:space="preserve">서울특별시 구로구 오류동 55-50 </t>
  </si>
  <si>
    <t>서울특별시 구로구 경인로 216 (오류동)</t>
  </si>
  <si>
    <t>3160000-102-2014-00004</t>
  </si>
  <si>
    <t xml:space="preserve">서울특별시 구로구 오류동 33-55 2층 </t>
  </si>
  <si>
    <t>서울특별시 구로구 경인로 226, 2층 (오류동)</t>
  </si>
  <si>
    <t>3160000-102-2018-00001</t>
  </si>
  <si>
    <t xml:space="preserve">서울특별시 구로구 오류동 55-51번지 </t>
  </si>
  <si>
    <t>서울특별시 구로구 경인로 214, 지하1층 (오류동)</t>
  </si>
  <si>
    <t>3160000-102-2018-00002</t>
  </si>
  <si>
    <t xml:space="preserve">서울특별시 구로구 오류동 33-73 </t>
  </si>
  <si>
    <t>서울특별시 구로구 경인로 228, 지층 (오류동)</t>
  </si>
  <si>
    <t>3160000-102-1999-05976</t>
  </si>
  <si>
    <t xml:space="preserve">서울특별시 구로구 개봉동 403-175 </t>
  </si>
  <si>
    <t>서울특별시 구로구 개봉로 20 (개봉동)</t>
  </si>
  <si>
    <t>3160000-102-1999-08114</t>
  </si>
  <si>
    <t xml:space="preserve">서울특별시 구로구 오류동 6-6번지 지1층 </t>
  </si>
  <si>
    <t>서울특별시 구로구 경인로 179, 지1층 (오류동)</t>
  </si>
  <si>
    <t>3160000-102-1979-05980</t>
  </si>
  <si>
    <t xml:space="preserve">서울특별시 구로구 개봉동 403-141 </t>
  </si>
  <si>
    <t>서울특별시 구로구 개봉로 50 (개봉동)</t>
  </si>
  <si>
    <t>3160000-102-1979-05977</t>
  </si>
  <si>
    <t xml:space="preserve">서울특별시 구로구 개봉동 203-16번지 </t>
  </si>
  <si>
    <t>서울특별시 구로구 남부순환로95길 8-10 (개봉동)</t>
  </si>
  <si>
    <t>3160000-102-2000-08797</t>
  </si>
  <si>
    <t xml:space="preserve">서울특별시 구로구 오류동 6-17 지하1층 </t>
  </si>
  <si>
    <t>서울특별시 구로구 경인로 169 (오류동, 지하1층)</t>
  </si>
  <si>
    <t>3160000-102-2012-00002</t>
  </si>
  <si>
    <t xml:space="preserve">서울특별시 구로구 오류동 55-14 지하 </t>
  </si>
  <si>
    <t>서울특별시 구로구 경인로 208 (오류동)</t>
  </si>
  <si>
    <t>3160000-102-2013-00001</t>
  </si>
  <si>
    <t xml:space="preserve">서울특별시 구로구 오류동 52-7 지하1층 </t>
  </si>
  <si>
    <t>서울특별시 구로구 경인로20길 10 (오류동)</t>
  </si>
  <si>
    <t>3160000-102-1987-05983</t>
  </si>
  <si>
    <t xml:space="preserve">서울특별시 구로구 오류동 47-24번지 </t>
  </si>
  <si>
    <t>3160000-102-1987-05982</t>
  </si>
  <si>
    <t xml:space="preserve">서울특별시 구로구 오류동 47-24번지 ,25 </t>
  </si>
  <si>
    <t>3160000-102-1987-05975</t>
  </si>
  <si>
    <t xml:space="preserve">서울특별시 구로구 오류동 46-1번지 </t>
  </si>
  <si>
    <t>3160000-102-1989-05964</t>
  </si>
  <si>
    <t xml:space="preserve">서울특별시 구로구 오류동 31-280 ,282 </t>
  </si>
  <si>
    <t>서울특별시 구로구 경인로 233 (오류동,,282)</t>
  </si>
  <si>
    <t>3160000-102-1989-05985</t>
  </si>
  <si>
    <t>3160000-102-1989-05983</t>
  </si>
  <si>
    <t xml:space="preserve">서울특별시 구로구 오류동 10-8번지 </t>
  </si>
  <si>
    <t>3160000-102-1996-05967</t>
  </si>
  <si>
    <t xml:space="preserve">서울특별시 구로구 오류동 10-8번지 3층 </t>
  </si>
  <si>
    <t>3160000-102-1999-07709</t>
  </si>
  <si>
    <t>3160000-102-1999-07718</t>
  </si>
  <si>
    <t xml:space="preserve">서울특별시 구로구 구로동 43-1번지 </t>
  </si>
  <si>
    <t>3160000-102-1999-07944</t>
  </si>
  <si>
    <t xml:space="preserve">서울특별시 구로구 오류동 55-50번지 </t>
  </si>
  <si>
    <t>3160000-102-1979-05972</t>
  </si>
  <si>
    <t>서울특별시 구로구 개봉동 403-165</t>
  </si>
  <si>
    <t>서울특별시 구로구 개봉로 26 (개봉동)</t>
  </si>
  <si>
    <t>3160000-102-1999-08065</t>
  </si>
  <si>
    <t xml:space="preserve">서울특별시 구로구 오류동 6-17번지 유진빌딩 5층 </t>
  </si>
  <si>
    <t>3160000-102-1999-08100</t>
  </si>
  <si>
    <t xml:space="preserve">서울특별시 구로구 오류동 6-43 </t>
  </si>
  <si>
    <t>서울특별시 구로구 경인로 173-2 (오류동)</t>
  </si>
  <si>
    <t>3160000-102-1999-08127</t>
  </si>
  <si>
    <t>3160000-102-2000-08222</t>
  </si>
  <si>
    <t xml:space="preserve">서울특별시 구로구 오류동 33-40번지 </t>
  </si>
  <si>
    <t>서울특별시 구로구 경인로 234 (오류동)</t>
  </si>
  <si>
    <t>3160000-102-2000-08223</t>
  </si>
  <si>
    <t xml:space="preserve">서울특별시 구로구 오류동 6-44번지 </t>
  </si>
  <si>
    <t>3160000-102-2000-08253</t>
  </si>
  <si>
    <t xml:space="preserve">서울특별시 구로구 오류동 44-13번지 지하1층 </t>
  </si>
  <si>
    <t>서울특별시 구로구 경인로 176-9 (오류동)</t>
  </si>
  <si>
    <t>3160000-102-2000-08315</t>
  </si>
  <si>
    <t xml:space="preserve">서울특별시 구로구 오류동 51-31번지 (지상6층) </t>
  </si>
  <si>
    <t>3160000-102-2000-08789</t>
  </si>
  <si>
    <t xml:space="preserve">서울특별시 구로구 오류동 6-17번지 </t>
  </si>
  <si>
    <t>3160000-102-1977-05986</t>
  </si>
  <si>
    <t xml:space="preserve">서울특별시 구로구 구로동 808-40번지 ,41 </t>
  </si>
  <si>
    <t>서울특별시 구로구 구로동로 75-1 (구로동,,41)</t>
  </si>
  <si>
    <t>3160000-102-1977-05981</t>
  </si>
  <si>
    <t xml:space="preserve">서울특별시 구로구 개봉동 353-28 </t>
  </si>
  <si>
    <t>서울특별시 구로구 개봉로 125 (개봉동)</t>
  </si>
  <si>
    <t>3160000-102-1978-05970</t>
  </si>
  <si>
    <t xml:space="preserve">서울특별시 구로구 개봉동 299-11번지 </t>
  </si>
  <si>
    <t>3160000-102-1979-05979</t>
  </si>
  <si>
    <t xml:space="preserve">서울특별시 구로구 개봉동 403-227번지 </t>
  </si>
  <si>
    <t>3160000-102-1980-07873</t>
  </si>
  <si>
    <t xml:space="preserve">서울특별시 구로구 구로동 600-14번지 </t>
  </si>
  <si>
    <t>3160000-102-1980-05987</t>
  </si>
  <si>
    <t xml:space="preserve">서울특별시 구로구 고척동 52-201번지 </t>
  </si>
  <si>
    <t>3160000-102-1980-05974</t>
  </si>
  <si>
    <t xml:space="preserve">서울특별시 구로구 개봉동 157-3번지 </t>
  </si>
  <si>
    <t>서울특별시 구로구 경인로 319-7 (개봉동)</t>
  </si>
  <si>
    <t>3160000-102-1980-07872</t>
  </si>
  <si>
    <t xml:space="preserve">서울특별시 구로구 개봉동 403-204번지 ,44 </t>
  </si>
  <si>
    <t>서울특별시 구로구 개봉로 66 (개봉동,,44)</t>
  </si>
  <si>
    <t>3160000-102-1980-05978</t>
  </si>
  <si>
    <t xml:space="preserve">서울특별시 구로구 개봉동 203-8번지 </t>
  </si>
  <si>
    <t>서울특별시 구로구 남부순환로97길 3 (개봉동)</t>
  </si>
  <si>
    <t>3160000-102-2000-08796</t>
  </si>
  <si>
    <t xml:space="preserve">서울특별시 구로구 오류동 6-307번지 </t>
  </si>
  <si>
    <t>3160000-102-1980-05971</t>
  </si>
  <si>
    <t xml:space="preserve">서울특별시 구로구 고척동 52-240번지 </t>
  </si>
  <si>
    <t>서울특별시 구로구 경인로47길 44-1 (고척동)</t>
  </si>
  <si>
    <t>3160000-102-1983-05968</t>
  </si>
  <si>
    <t xml:space="preserve">서울특별시 구로구 오류동 36-5번지 </t>
  </si>
  <si>
    <t>3160000-102-2000-08816</t>
  </si>
  <si>
    <t xml:space="preserve">서울특별시 구로구 구로동 46-2번지 </t>
  </si>
  <si>
    <t>3160000-102-2012-00003</t>
  </si>
  <si>
    <t xml:space="preserve">서울특별시 구로구 오류동 54-5번지 지1 </t>
  </si>
  <si>
    <t>서울특별시 구로구 경인로20가길 5, 지1층 (오류동)</t>
  </si>
  <si>
    <t>3160000-102-2001-08844</t>
  </si>
  <si>
    <t xml:space="preserve">서울특별시 구로구 오류동 6-305번지 </t>
  </si>
  <si>
    <t>서울특별시 구로구 경인로 172 (오류동)</t>
  </si>
  <si>
    <t>3160000-102-2001-08838</t>
  </si>
  <si>
    <t xml:space="preserve">서울특별시 구로구 오류동 70-16번지 </t>
  </si>
  <si>
    <t>3160000-102-2001-08843</t>
  </si>
  <si>
    <t xml:space="preserve">서울특별시 구로구 오류동 10-8번지 대성프라자1층 </t>
  </si>
  <si>
    <t>3160000-102-2002-00001</t>
  </si>
  <si>
    <t xml:space="preserve">서울특별시 구로구 오류동 54-7번지 </t>
  </si>
  <si>
    <t>3160000-102-2004-00001</t>
  </si>
  <si>
    <t xml:space="preserve">서울특별시 구로구 개봉동 70-16번지 </t>
  </si>
  <si>
    <t>서울특별시 구로구 고척로18길 59-20 (개봉동)</t>
  </si>
  <si>
    <t>3160000-102-2006-00001</t>
  </si>
  <si>
    <t>3160000-102-2011-00003</t>
  </si>
  <si>
    <t xml:space="preserve">서울특별시 구로구 오류동 33-78번지 </t>
  </si>
  <si>
    <t>서울특별시 구로구 경인로 232, 2층 (오류동)</t>
  </si>
  <si>
    <t>3160000-102-1984-05966</t>
  </si>
  <si>
    <t xml:space="preserve">서울특별시 구로구 오류동 46-2번지 </t>
  </si>
  <si>
    <t>3160000-102-1984-05965</t>
  </si>
  <si>
    <t xml:space="preserve">서울특별시 구로구 오류동 48-1번지 </t>
  </si>
  <si>
    <t>3160000-102-2000-08163</t>
  </si>
  <si>
    <t xml:space="preserve">서울특별시 구로구 오류동 6-303번지 </t>
  </si>
  <si>
    <t>3160000-102-1985-05969</t>
  </si>
  <si>
    <t>서울특별시 구로구 경인로 232 (오류동)</t>
  </si>
  <si>
    <t>3160000-102-1986-05973</t>
  </si>
  <si>
    <t>3160000-102-2013-00002</t>
  </si>
  <si>
    <t xml:space="preserve">서울특별시 구로구 오류동 48-1번지 성진빌딩 지하1층 </t>
  </si>
  <si>
    <t>서울특별시 구로구 경인로 196 (오류동, 성진빌딩 지하1층)</t>
  </si>
  <si>
    <t>3160000-102-2005-00001</t>
  </si>
  <si>
    <t>서울특별시 구로구 오류동 38-1 204호</t>
  </si>
  <si>
    <t>서울특별시 구로구 경인로23길 8 (오류동,204호)</t>
  </si>
  <si>
    <t>3160000-102-2001-08842</t>
  </si>
  <si>
    <t xml:space="preserve">서울특별시 구로구 오류동 6-17 2층 6-45 </t>
  </si>
  <si>
    <t>서울특별시 구로구 경인로 169, 2층 (오류동)</t>
  </si>
  <si>
    <t>3160000-102-2001-08836</t>
  </si>
  <si>
    <t xml:space="preserve">서울특별시 구로구 오류동 44-13 </t>
  </si>
  <si>
    <t>3160000-102-2001-08837</t>
  </si>
  <si>
    <t xml:space="preserve">서울특별시 구로구 오류동 6-304 </t>
  </si>
  <si>
    <t>서울특별시 구로구 경인로 174 (오류동)</t>
  </si>
  <si>
    <t>3160000-102-2002-00002</t>
  </si>
  <si>
    <t xml:space="preserve">서울특별시 구로구 오류동 6-306 </t>
  </si>
  <si>
    <t>서울특별시 구로구 경인로 176-8 (오류동)</t>
  </si>
  <si>
    <t>3160000-102-2004-00002</t>
  </si>
  <si>
    <t>서울특별시 구로구 오류동 38-1 대서프라자 202호 202호</t>
  </si>
  <si>
    <t>서울특별시 구로구 경인로23길 8, 202호 (오류동, 대서프라자 202호)</t>
  </si>
  <si>
    <t>3160000-102-2008-00001</t>
  </si>
  <si>
    <t xml:space="preserve">서울특별시 구로구 오류동 55-14 지하1층 </t>
  </si>
  <si>
    <t>서울특별시 구로구 경인로 208 (오류동,(경인로 717) 지하1층)</t>
  </si>
  <si>
    <t>3160000-102-2011-00001</t>
  </si>
  <si>
    <t xml:space="preserve">서울특별시 구로구 오류동 54-5 </t>
  </si>
  <si>
    <t>서울특별시 구로구 경인로20가길 5 (오류동)</t>
  </si>
  <si>
    <t>3160000-102-2012-00001</t>
  </si>
  <si>
    <t xml:space="preserve">서울특별시 구로구 오류동 33-73 지하1층 </t>
  </si>
  <si>
    <t>서울특별시 구로구 경인로 228, 지하1층 (오류동)</t>
  </si>
  <si>
    <t>3160000-102-2023-00001</t>
  </si>
  <si>
    <t xml:space="preserve">서울특별시 구로구 오류동 55-14 </t>
  </si>
  <si>
    <t>서울특별시 구로구 경인로 208, 1호 3층 (오류동)</t>
  </si>
  <si>
    <t>3160000-102-2011-00002</t>
  </si>
  <si>
    <t>서울특별시 구로구 오류동 54-9 지하1층</t>
  </si>
  <si>
    <t>서울특별시 구로구 경인로20길 9 (오류동, 지하1층)</t>
  </si>
  <si>
    <t>3160000-102-2019-00001</t>
  </si>
  <si>
    <t xml:space="preserve">서울특별시 구로구 오류동 55-14번지 1호건물  지하1층 101호 </t>
  </si>
  <si>
    <t>서울특별시 구로구 경인로 208, 1호 건물 지하1층 101호 (오류동)</t>
  </si>
  <si>
    <t>3170000-102-2000-06232</t>
  </si>
  <si>
    <t>서울특별시 금천구 가산동 140-29 지하1층</t>
  </si>
  <si>
    <t>서울특별시 금천구 디지털로 206, 지하1층 (가산동)</t>
  </si>
  <si>
    <t>3160000-102-1986-05984</t>
  </si>
  <si>
    <t xml:space="preserve">서울특별시 구로구 오류동 52-4 </t>
  </si>
  <si>
    <t>서울특별시 구로구 경인로20나길 6 (오류동)</t>
  </si>
  <si>
    <t>3160000-102-1996-07829</t>
  </si>
  <si>
    <t xml:space="preserve">서울특별시 구로구 고척동 274-1 </t>
  </si>
  <si>
    <t>서울특별시 구로구 경인로35길 113-9 (고척동)</t>
  </si>
  <si>
    <t>3170000-102-1991-00878</t>
  </si>
  <si>
    <t>서울특별시 금천구 독산동 162-20</t>
  </si>
  <si>
    <t>서울특별시 금천구 가산로 34, 지하1층 (독산동)</t>
  </si>
  <si>
    <t>3160000-102-2014-00001</t>
  </si>
  <si>
    <t xml:space="preserve">서울특별시 구로구 오류동 54-5 지하1층 </t>
  </si>
  <si>
    <t>서울특별시 구로구 경인로20가길 5 (오류동, 지하1층)</t>
  </si>
  <si>
    <t>3160000-102-2014-00002</t>
  </si>
  <si>
    <t xml:space="preserve">서울특별시 구로구 오류동 50-16번지 </t>
  </si>
  <si>
    <t>서울특별시 구로구 경인로 198 (오류동)</t>
  </si>
  <si>
    <t>3170000-102-2024-00001</t>
  </si>
  <si>
    <t xml:space="preserve">서울특별시 금천구 시흥동 994-3 </t>
  </si>
  <si>
    <t>서울특별시 금천구 시흥대로 231, 2층 일부호 (시흥동)</t>
  </si>
  <si>
    <t>3170000-102-2000-06368</t>
  </si>
  <si>
    <t xml:space="preserve">서울특별시 금천구 가산동 141-8 지상1층 </t>
  </si>
  <si>
    <t>서울특별시 금천구 가산로 148 (가산동, 지상1층)</t>
  </si>
  <si>
    <t>3170000-102-2000-06393</t>
  </si>
  <si>
    <t xml:space="preserve">서울특별시 금천구 가산동 141-8 지하1층 </t>
  </si>
  <si>
    <t>서울특별시 금천구 가산로 148, 지하1층 (가산동)</t>
  </si>
  <si>
    <t>3170000-102-2000-06395</t>
  </si>
  <si>
    <t xml:space="preserve">서울특별시 금천구 가산동 140-8 지하1층 </t>
  </si>
  <si>
    <t>서울특별시 금천구 가산로 149 (가산동,지하1층)</t>
  </si>
  <si>
    <t>3170000-102-2000-06398</t>
  </si>
  <si>
    <t xml:space="preserve">서울특별시 금천구 독산동 1031-25 </t>
  </si>
  <si>
    <t>서울특별시 금천구 시흥대로 354, 지하1층 (독산동)</t>
  </si>
  <si>
    <t>3170000-102-2000-06404</t>
  </si>
  <si>
    <t xml:space="preserve">서울특별시 금천구 시흥동 882-47 지하1층 </t>
  </si>
  <si>
    <t>서울특별시 금천구 시흥대로 240, 지하1층 (시흥동)</t>
  </si>
  <si>
    <t>3170000-102-2000-06504</t>
  </si>
  <si>
    <t xml:space="preserve">서울특별시 금천구 가산동 140-2 지하1층 </t>
  </si>
  <si>
    <t>서울특별시 금천구 가산로 157 (가산동, 지하1층)</t>
  </si>
  <si>
    <t>3170000-102-2000-06609</t>
  </si>
  <si>
    <t xml:space="preserve">서울특별시 금천구 시흥동 999-42 지하1층 </t>
  </si>
  <si>
    <t>서울특별시 금천구 시흥대로 237 (시흥동, 지하1층)</t>
  </si>
  <si>
    <t>3160000-102-2013-00003</t>
  </si>
  <si>
    <t>서울특별시 구로구 오류동 48-1 성진빌딩 지하</t>
  </si>
  <si>
    <t>서울특별시 구로구 경인로 196 (오류동, 성진빌딩 지하)</t>
  </si>
  <si>
    <t>3170000-102-1999-05827</t>
  </si>
  <si>
    <t xml:space="preserve">서울특별시 금천구 시흥동 999-48 ,49 지하1층 </t>
  </si>
  <si>
    <t>서울특별시 금천구 금하로 619, 지하1층 (시흥동)</t>
  </si>
  <si>
    <t>3170000-102-2001-06871</t>
  </si>
  <si>
    <t>서울특별시 금천구 가산동 140-14</t>
  </si>
  <si>
    <t>서울특별시 금천구 가산로 147-18, 지하1층 (가산동)</t>
  </si>
  <si>
    <t>3170000-102-1986-00892</t>
  </si>
  <si>
    <t xml:space="preserve">서울특별시 금천구 시흥동 889-4 </t>
  </si>
  <si>
    <t>서울특별시 금천구 시흥대로52길 49, 지상2층 (시흥동)</t>
  </si>
  <si>
    <t>3170000-102-1999-05865</t>
  </si>
  <si>
    <t xml:space="preserve">서울특별시 금천구 시흥동 889-13 지하1층 (시흥대로 475) </t>
  </si>
  <si>
    <t>서울특별시 금천구 시흥대로 212 (시흥동,지하1층 (시흥대로 475))</t>
  </si>
  <si>
    <t>3170000-102-1999-05988</t>
  </si>
  <si>
    <t xml:space="preserve">서울특별시 금천구 시흥동 889-9 지하1층 </t>
  </si>
  <si>
    <t>서울특별시 금천구 시흥대로52길 39 (시흥동, 지하1층)</t>
  </si>
  <si>
    <t>3170000-102-1999-05999</t>
  </si>
  <si>
    <t xml:space="preserve">서울특별시 금천구 시흥동 889-19 지하1층 (시흥대로 479) </t>
  </si>
  <si>
    <t>서울특별시 금천구 시흥대로 208 (시흥동,지하1층 (시흥대로 479))</t>
  </si>
  <si>
    <t>3170000-102-1999-06149</t>
  </si>
  <si>
    <t xml:space="preserve">서울특별시 금천구 가산동 141-8 지상2층 (구로동길 265) </t>
  </si>
  <si>
    <t>서울특별시 금천구 가산로 148, 지상2층 (가산동)</t>
  </si>
  <si>
    <t>3170000-102-2010-00001</t>
  </si>
  <si>
    <t xml:space="preserve">서울특별시 금천구 시흥동 889-7 지상 2층 </t>
  </si>
  <si>
    <t>서울특별시 금천구 시흥대로52길 43 (시흥동,지상 2층)</t>
  </si>
  <si>
    <t>3170000-102-2010-00004</t>
  </si>
  <si>
    <t xml:space="preserve">서울특별시 금천구 가산동 140-6 지하1층 </t>
  </si>
  <si>
    <t>서울특별시 금천구 가산로 153 (가산동, 지하1층)</t>
  </si>
  <si>
    <t>3170000-102-2012-00001</t>
  </si>
  <si>
    <t xml:space="preserve">서울특별시 금천구 가산동 141-1 지하1층 </t>
  </si>
  <si>
    <t>서울특별시 금천구 남부순환로 1262 (가산동, 지하1층)</t>
  </si>
  <si>
    <t>3170000-102-2017-00001</t>
  </si>
  <si>
    <t xml:space="preserve">서울특별시 금천구 시흥동 883-18번지 지하1층 </t>
  </si>
  <si>
    <t>서울특별시 금천구 시흥대로 222, 지하1층 (시흥동)</t>
  </si>
  <si>
    <t>3170000-102-2002-00001</t>
  </si>
  <si>
    <t xml:space="preserve">서울특별시 금천구 시흥동 999-45 지하1층 </t>
  </si>
  <si>
    <t>서울특별시 금천구 금하로 617-2 (시흥동, 지하1층)</t>
  </si>
  <si>
    <t>3170000-102-2002-00002</t>
  </si>
  <si>
    <t xml:space="preserve">서울특별시 금천구 가산동 140-24 </t>
  </si>
  <si>
    <t>서울특별시 금천구 디지털로 208-3, 지상1층 (가산동)</t>
  </si>
  <si>
    <t>3170000-102-2003-00002</t>
  </si>
  <si>
    <t xml:space="preserve">서울특별시 금천구 시흥동 121-9번지 지하1층 </t>
  </si>
  <si>
    <t>서울특별시 금천구 시흥대로63길 3, 지하1층 (시흥동)</t>
  </si>
  <si>
    <t>3170000-102-2003-00006</t>
  </si>
  <si>
    <t xml:space="preserve">서울특별시 금천구 시흥동 889-14 지하1층 </t>
  </si>
  <si>
    <t>서울특별시 금천구 시흥대로52길 35 (시흥동, 지하1층)</t>
  </si>
  <si>
    <t>3170000-102-2003-00007</t>
  </si>
  <si>
    <t xml:space="preserve">서울특별시 금천구 시흥동 889-7 지하1층 </t>
  </si>
  <si>
    <t>서울특별시 금천구 시흥대로52길 43, 지하1층 (시흥동)</t>
  </si>
  <si>
    <t>3170000-102-2005-00001</t>
  </si>
  <si>
    <t xml:space="preserve">서울특별시 금천구 가산동 140-6 </t>
  </si>
  <si>
    <t>서울특별시 금천구 가산로 153, 지하1층 (가산동)</t>
  </si>
  <si>
    <t>3170000-102-2006-00001</t>
  </si>
  <si>
    <t xml:space="preserve">서울특별시 금천구 가산동 141-1 MIND관광호텔 지하1층 </t>
  </si>
  <si>
    <t>서울특별시 금천구 남부순환로 1262, 지하1층 (가산동, MIND관광호텔)</t>
  </si>
  <si>
    <t>3170000-102-2008-00001</t>
  </si>
  <si>
    <t xml:space="preserve">서울특별시 금천구 시흥동 883-15 </t>
  </si>
  <si>
    <t>서울특별시 금천구 시흥대로58길 5, 지하1층 (시흥동)</t>
  </si>
  <si>
    <t>3170000-102-1978-00918</t>
  </si>
  <si>
    <t xml:space="preserve">서울특별시 금천구 독산동 293-5 </t>
  </si>
  <si>
    <t>서울특별시 금천구 범안로 1209, 지상3층 (독산동)</t>
  </si>
  <si>
    <t>3170000-102-1978-00886</t>
  </si>
  <si>
    <t xml:space="preserve">서울특별시 금천구 독산동 959-12 지하1층 </t>
  </si>
  <si>
    <t>서울특별시 금천구 독산로 353, 지하1층 (독산동)</t>
  </si>
  <si>
    <t>3170000-102-1979-00889</t>
  </si>
  <si>
    <t xml:space="preserve">서울특별시 금천구 시흥동 885-0 지하1층 </t>
  </si>
  <si>
    <t>서울특별시 금천구 시흥대로52길 62 (시흥동, 지하1층)</t>
  </si>
  <si>
    <t>3170000-102-1980-06425</t>
  </si>
  <si>
    <t xml:space="preserve">서울특별시 금천구 시흥동 954-32 지하1층 </t>
  </si>
  <si>
    <t>서울특별시 금천구 시흥대로 78, 지하1층 (시흥동)</t>
  </si>
  <si>
    <t>3170000-102-1980-00890</t>
  </si>
  <si>
    <t xml:space="preserve">서울특별시 금천구 시흥동 124-1 지하1층 </t>
  </si>
  <si>
    <t>서울특별시 금천구 금하로 617 (시흥동, 지하1층)</t>
  </si>
  <si>
    <t>3170000-102-1980-00887</t>
  </si>
  <si>
    <t xml:space="preserve">서울특별시 금천구 독산동 1012-15 지하1층 (시흥대로 295) </t>
  </si>
  <si>
    <t>서울특별시 금천구 시흥대로 392 (독산동,지하1층 (시흥대로 295))</t>
  </si>
  <si>
    <t>3170000-102-1980-00885</t>
  </si>
  <si>
    <t xml:space="preserve">서울특별시 금천구 시흥동 122-4 지하1층 </t>
  </si>
  <si>
    <t>서울특별시 금천구 금하로 613, 지하1층 (시흥동)</t>
  </si>
  <si>
    <t>3170000-102-1980-00884</t>
  </si>
  <si>
    <t xml:space="preserve">서울특별시 금천구 시흥동 985-8 지하1층 (시흥대로 536) </t>
  </si>
  <si>
    <t>서울특별시 금천구 시흥대로 149 (시흥동,지하1층 (시흥대로 536))</t>
  </si>
  <si>
    <t>3170000-102-1980-00875</t>
  </si>
  <si>
    <t xml:space="preserve">서울특별시 금천구 시흥동 891 </t>
  </si>
  <si>
    <t>서울특별시 금천구 시흥대로52길 지하 24 (시흥동)</t>
  </si>
  <si>
    <t>3170000-102-1980-00895</t>
  </si>
  <si>
    <t xml:space="preserve">서울특별시 금천구 독산동 901-9 지하1층 (남부순환로 1432) </t>
  </si>
  <si>
    <t>서울특별시 금천구 남부순환로 1432 (독산동,지하1층 (남부순환로 1432))</t>
  </si>
  <si>
    <t>3170000-102-1973-00873</t>
  </si>
  <si>
    <t xml:space="preserve">서울특별시 금천구 시흥동 995-13 지하1층 (건영길 6) </t>
  </si>
  <si>
    <t>서울특별시 금천구 시흥대로59길 10 (시흥동,지하1층 (건영길 6))</t>
  </si>
  <si>
    <t>3170000-102-1978-00891</t>
  </si>
  <si>
    <t xml:space="preserve">서울특별시 금천구 독산동 951-4 </t>
  </si>
  <si>
    <t>서울특별시 금천구 남부순환로 1372, 지하1층 (독산동)</t>
  </si>
  <si>
    <t>3170000-102-1978-00868</t>
  </si>
  <si>
    <t xml:space="preserve">서울특별시 금천구 독산동 950-7 지하1층   (독산동길 3) </t>
  </si>
  <si>
    <t>서울특별시 금천구 독산로 364 (독산동,지하1층   (독산동길 3))</t>
  </si>
  <si>
    <t>3170000-102-1978-00869</t>
  </si>
  <si>
    <t xml:space="preserve">서울특별시 금천구 독산동 1035-5 지하1층 (독산역길 5) </t>
  </si>
  <si>
    <t>서울특별시 금천구 범안로 1252 (독산동,지하1층 (독산역길 5))</t>
  </si>
  <si>
    <t>3170000-102-2000-06580</t>
  </si>
  <si>
    <t xml:space="preserve">서울특별시 금천구 가산동 139-17 지하1층 </t>
  </si>
  <si>
    <t>서울특별시 금천구 디지털로 203, 지하1층 (가산동)</t>
  </si>
  <si>
    <t>3170000-102-2000-06206</t>
  </si>
  <si>
    <t xml:space="preserve">서울특별시 금천구 시흥동 995-4번지 </t>
  </si>
  <si>
    <t>3170000-102-2000-06270</t>
  </si>
  <si>
    <t xml:space="preserve">서울특별시 금천구 시흥동 883-13번지 지상2층 </t>
  </si>
  <si>
    <t>서울특별시 금천구 시흥대로52길 59 (시흥동, 지상2층)</t>
  </si>
  <si>
    <t>3170000-102-2000-06308</t>
  </si>
  <si>
    <t xml:space="preserve">서울특별시 금천구 가산동 141-6번지 </t>
  </si>
  <si>
    <t>3170000-102-2000-06394</t>
  </si>
  <si>
    <t xml:space="preserve">서울특별시 금천구 가산동 140-23번지 2층       (디지털단지로 263-3) </t>
  </si>
  <si>
    <t>3170000-102-2000-06420</t>
  </si>
  <si>
    <t xml:space="preserve">서울특별시 금천구 시흥동 993-4번지 2층 </t>
  </si>
  <si>
    <t>3170000-102-2000-06426</t>
  </si>
  <si>
    <t xml:space="preserve">서울특별시 금천구 가산동 140-6번지 (지상 1층) </t>
  </si>
  <si>
    <t>3170000-102-2000-06431</t>
  </si>
  <si>
    <t xml:space="preserve">서울특별시 금천구 시흥동 883-5번지 지상7층 (시흥대로 457) </t>
  </si>
  <si>
    <t>3170000-102-2000-06494</t>
  </si>
  <si>
    <t xml:space="preserve">서울특별시 금천구 가산동 141-1번지 ,19 (지하1층) </t>
  </si>
  <si>
    <t>3170000-102-2000-06505</t>
  </si>
  <si>
    <t>3170000-102-2000-06522</t>
  </si>
  <si>
    <t xml:space="preserve">서울특별시 금천구 시흥동 995-8번지 지하1층 (건영4길 6) </t>
  </si>
  <si>
    <t>3170000-102-2000-06544</t>
  </si>
  <si>
    <t xml:space="preserve">서울특별시 금천구 가산동 141-9번지 지하1층 (구로동길 263) </t>
  </si>
  <si>
    <t>서울특별시 금천구 가산로 150 (가산동,지하1층 (구로동길 263))</t>
  </si>
  <si>
    <t>3170000-102-2000-06611</t>
  </si>
  <si>
    <t xml:space="preserve">서울특별시 금천구 가산동 140-37번지 지하1층 </t>
  </si>
  <si>
    <t>3170000-102-2001-06643</t>
  </si>
  <si>
    <t xml:space="preserve">서울특별시 금천구 가산동 141-6번지 지상1층 </t>
  </si>
  <si>
    <t>3170000-102-2000-06253</t>
  </si>
  <si>
    <t xml:space="preserve">서울특별시 금천구 시흥동 992-32번지 지하1층 </t>
  </si>
  <si>
    <t>서울특별시 금천구 시흥대로59길 13, 지하1층 (시흥동)</t>
  </si>
  <si>
    <t>3170000-102-1990-00915</t>
  </si>
  <si>
    <t xml:space="preserve">서울특별시 금천구 시흥동 883-5번지 지상4층 (시흥대로 457) </t>
  </si>
  <si>
    <t>3170000-102-1999-05788</t>
  </si>
  <si>
    <t xml:space="preserve">서울특별시 금천구 시흥동 883-11번지 지상2층 (시흥대로 463) </t>
  </si>
  <si>
    <t>3170000-102-1999-05837</t>
  </si>
  <si>
    <t xml:space="preserve">서울특별시 금천구 시흥동 994-0번지 지하1층 (시흥대로 454) </t>
  </si>
  <si>
    <t>서울특별시 금천구 시흥대로 233 (시흥동,지하1층 (시흥대로 454))</t>
  </si>
  <si>
    <t>3170000-102-1999-05844</t>
  </si>
  <si>
    <t xml:space="preserve">서울특별시 금천구 가산동 140-80번지 </t>
  </si>
  <si>
    <t>3170000-102-1984-00866</t>
  </si>
  <si>
    <t xml:space="preserve">서울특별시 금천구 시흥동 994-0번지 </t>
  </si>
  <si>
    <t>3170000-102-1985-00893</t>
  </si>
  <si>
    <t xml:space="preserve">서울특별시 금천구 시흥동 883-17번지 </t>
  </si>
  <si>
    <t>3170000-102-1986-00876</t>
  </si>
  <si>
    <t xml:space="preserve">서울특별시 금천구 시흥동 993-4번지 </t>
  </si>
  <si>
    <t>3170000-102-1986-00896</t>
  </si>
  <si>
    <t xml:space="preserve">서울특별시 금천구 시흥동 889-13번지 </t>
  </si>
  <si>
    <t>3170000-102-1987-00898</t>
  </si>
  <si>
    <t xml:space="preserve">서울특별시 금천구 시흥동 882-61번지 </t>
  </si>
  <si>
    <t>3170000-102-1987-00871</t>
  </si>
  <si>
    <t xml:space="preserve">서울특별시 금천구 시흥동 882-61번지 지상5층 (금천로 210) </t>
  </si>
  <si>
    <t>3170000-102-1999-05883</t>
  </si>
  <si>
    <t xml:space="preserve">서울특별시 금천구 시흥동 888-1번지 </t>
  </si>
  <si>
    <t>3170000-102-1999-05890</t>
  </si>
  <si>
    <t xml:space="preserve">서울특별시 금천구 시흥동 882-50번지 </t>
  </si>
  <si>
    <t>3170000-102-1999-05891</t>
  </si>
  <si>
    <t xml:space="preserve">서울특별시 금천구 가산동 141-9번지 </t>
  </si>
  <si>
    <t>3170000-102-1999-06118</t>
  </si>
  <si>
    <t xml:space="preserve">서울특별시 금천구 가산동 140-9번지 지하1층 (구로동길 266) </t>
  </si>
  <si>
    <t>3170000-102-1999-06159</t>
  </si>
  <si>
    <t xml:space="preserve">서울특별시 금천구 독산동 1008-1번지 지하1층 (독산역길 37) </t>
  </si>
  <si>
    <t>서울특별시 금천구 시흥대로 367 (독산동,지하1층 (독산역길 37))</t>
  </si>
  <si>
    <t>3170000-102-1999-06174</t>
  </si>
  <si>
    <t xml:space="preserve">서울특별시 금천구 시흥동 889-14번지 </t>
  </si>
  <si>
    <t>3170000-102-2001-06742</t>
  </si>
  <si>
    <t xml:space="preserve">서울특별시 금천구 시흥동 882-61번지 지상3층 (금천로 210) </t>
  </si>
  <si>
    <t>3170000-102-2001-06828</t>
  </si>
  <si>
    <t xml:space="preserve">서울특별시 금천구 독산동 1031-18번지 (지하1층) </t>
  </si>
  <si>
    <t>3170000-102-2001-06877</t>
  </si>
  <si>
    <t xml:space="preserve">서울특별시 금천구 가산동 140-9번지 지상2층 (구로동길 266) </t>
  </si>
  <si>
    <t>서울특별시 금천구 가산로 147 (가산동,지상2층 (구로동길 266))</t>
  </si>
  <si>
    <t>3170000-102-2013-00001</t>
  </si>
  <si>
    <t xml:space="preserve">서울특별시 금천구 시흥동 994-11번지 지상2층 </t>
  </si>
  <si>
    <t>서울특별시 금천구 시흥대로 225, 지상2층 (시흥동)</t>
  </si>
  <si>
    <t>3170000-102-2015-00001</t>
  </si>
  <si>
    <t>3170000-102-2015-00002</t>
  </si>
  <si>
    <t xml:space="preserve">서울특별시 금천구 가산동 140-4 </t>
  </si>
  <si>
    <t>서울특별시 금천구 가산로 155-1, 지상2층 (가산동)</t>
  </si>
  <si>
    <t>3170000-102-2015-00003</t>
  </si>
  <si>
    <t xml:space="preserve">서울특별시 금천구 가산동 141-9 지상2층 </t>
  </si>
  <si>
    <t>서울특별시 금천구 가산로 150, 자상2층 (가산동)</t>
  </si>
  <si>
    <t>3170000-102-2009-00001</t>
  </si>
  <si>
    <t xml:space="preserve">서울특별시 금천구 시흥동 883-11번지 지상3층 </t>
  </si>
  <si>
    <t>서울특별시 금천구 시흥대로 224 (시흥동, 지상3층)</t>
  </si>
  <si>
    <t>3170000-102-2010-00002</t>
  </si>
  <si>
    <t xml:space="preserve">서울특별시 금천구 가산동 140-4번지 지상4층 </t>
  </si>
  <si>
    <t>서울특별시 금천구 가산로 155-1 (가산동, 지상4층)</t>
  </si>
  <si>
    <t>3170000-102-2010-00003</t>
  </si>
  <si>
    <t xml:space="preserve">서울특별시 금천구 가산동 140-6 지하2층 </t>
  </si>
  <si>
    <t>서울특별시 금천구 가산로 153 (가산동,지하2층)</t>
  </si>
  <si>
    <t>3170000-102-2016-00001</t>
  </si>
  <si>
    <t xml:space="preserve">서울특별시 금천구 가산동 140-4 지상3층 </t>
  </si>
  <si>
    <t>서울특별시 금천구 가산로 155-1, 지상3층 (가산동)</t>
  </si>
  <si>
    <t>3170000-102-2003-00001</t>
  </si>
  <si>
    <t xml:space="preserve">서울특별시 금천구 시흥동 889-6 </t>
  </si>
  <si>
    <t>서울특별시 금천구 시흥대로 216, 지하1층 (시흥동)</t>
  </si>
  <si>
    <t>3170000-102-2003-00003</t>
  </si>
  <si>
    <t xml:space="preserve">서울특별시 금천구 시흥동 994-1번지 지상2층 </t>
  </si>
  <si>
    <t>서울특별시 금천구 금하로 620 (시흥동, 지상2층)</t>
  </si>
  <si>
    <t>3170000-102-2003-00004</t>
  </si>
  <si>
    <t xml:space="preserve">서울특별시 금천구 시흥동 995-4번지 지하1층 (금천로 223) </t>
  </si>
  <si>
    <t>3170000-102-2003-00005</t>
  </si>
  <si>
    <t xml:space="preserve">서울특별시 금천구 시흥동 994-11번지 </t>
  </si>
  <si>
    <t>서울특별시 금천구 시흥대로 225, 지하1층 (시흥동)</t>
  </si>
  <si>
    <t>3170000-102-2003-00008</t>
  </si>
  <si>
    <t xml:space="preserve">서울특별시 금천구 시흥동 883-8번지 지상1층 (시흥대로 461) </t>
  </si>
  <si>
    <t>3170000-102-2004-00001</t>
  </si>
  <si>
    <t xml:space="preserve">서울특별시 금천구 가산동 141-9번지 지상2층 </t>
  </si>
  <si>
    <t>서울특별시 금천구 가산로 150 (가산동, 지상2층)</t>
  </si>
  <si>
    <t>3170000-102-2007-00001</t>
  </si>
  <si>
    <t xml:space="preserve">서울특별시 금천구 가산동 140-4번지 지상2층 </t>
  </si>
  <si>
    <t>서울특별시 금천구 가산로 155-1 (가산동, 지상2층)</t>
  </si>
  <si>
    <t>3170000-102-2007-00002</t>
  </si>
  <si>
    <t xml:space="preserve">서울특별시 금천구 가산동 140-4번지 지상3,4층 </t>
  </si>
  <si>
    <t>서울특별시 금천구 가산로 155-1 (가산동, 지상3,4층)</t>
  </si>
  <si>
    <t>3170000-102-1978-00877</t>
  </si>
  <si>
    <t xml:space="preserve">서울특별시 금천구 독산동 1022-124번지 지하1층 (독산동길 149) </t>
  </si>
  <si>
    <t>서울특별시 금천구 독산로70길 3 (독산동,지하1층 (독산동길 149))</t>
  </si>
  <si>
    <t>3170000-102-1980-00872</t>
  </si>
  <si>
    <t xml:space="preserve">서울특별시 금천구 시흥동 985-12번지 지하1층 (시흥대로542) </t>
  </si>
  <si>
    <t>3170000-102-1980-00867</t>
  </si>
  <si>
    <t xml:space="preserve">서울특별시 금천구 시흥동 883-11번지 </t>
  </si>
  <si>
    <t>3170000-102-1980-00874</t>
  </si>
  <si>
    <t xml:space="preserve">서울특별시 금천구 독산동 1030-8 지하1층 </t>
  </si>
  <si>
    <t>서울특별시 금천구 시흥대로 370 (독산동,지하1층)</t>
  </si>
  <si>
    <t>3170000-102-1980-00914</t>
  </si>
  <si>
    <t>3170000-102-1983-00916</t>
  </si>
  <si>
    <t>3170000-102-1978-00917</t>
  </si>
  <si>
    <t xml:space="preserve">서울특별시 금천구 독산동 959-23번지 지하1층 </t>
  </si>
  <si>
    <t>3170000-102-2008-00002</t>
  </si>
  <si>
    <t xml:space="preserve">서울특별시 금천구 시흥동 883-11번지 지상2층(시흥대로463) </t>
  </si>
  <si>
    <t>3170000-102-1990-00888</t>
  </si>
  <si>
    <t xml:space="preserve">서울특별시 금천구 시흥동 883-5번지 지하1층 </t>
  </si>
  <si>
    <t>3180000-102-1971-02763</t>
  </si>
  <si>
    <t xml:space="preserve">서울특별시 영등포구 영등포동5가 18-0번지 </t>
  </si>
  <si>
    <t>3180000-102-1971-02714</t>
  </si>
  <si>
    <t xml:space="preserve">서울특별시 영등포구 여의도동 44-35번지 제일빌딩 지하 101호,102호 </t>
  </si>
  <si>
    <t>서울특별시 영등포구 여의대방로 379 (여의도동,제일빌딩 지하 101호,102호)</t>
  </si>
  <si>
    <t>3180000-102-1971-02632</t>
  </si>
  <si>
    <t xml:space="preserve">서울특별시 영등포구 영등포동3가 15-4번지 ,5 </t>
  </si>
  <si>
    <t>3180000-102-1972-02692</t>
  </si>
  <si>
    <t xml:space="preserve">서울특별시 영등포구 영등포동3가 25-1번지 </t>
  </si>
  <si>
    <t>3180000-102-1980-02636</t>
  </si>
  <si>
    <t xml:space="preserve">서울특별시 영등포구 당산동6가 339-4번지 지하1층 </t>
  </si>
  <si>
    <t>서울특별시 영등포구 양평로 68 (당산동6가, 지하1층)</t>
  </si>
  <si>
    <t>3180000-102-1981-02705</t>
  </si>
  <si>
    <t xml:space="preserve">서울특별시 영등포구 여의도동 45-15번지 서린빌딩 지하3,7호 </t>
  </si>
  <si>
    <t>서울특별시 영등포구 여의대방로65길 17 (여의도동, 서린빌딩 지하3,7호)</t>
  </si>
  <si>
    <t>3180000-102-1981-02724</t>
  </si>
  <si>
    <t xml:space="preserve">서울특별시 영등포구 영등포동5가 19-0번지 2층 </t>
  </si>
  <si>
    <t>3180000-102-1983-02747</t>
  </si>
  <si>
    <t xml:space="preserve">서울특별시 영등포구 영등포동3가 23-8번지 </t>
  </si>
  <si>
    <t>3180000-102-1983-02674</t>
  </si>
  <si>
    <t xml:space="preserve">서울특별시 영등포구 영등포동3가 8-1번지 </t>
  </si>
  <si>
    <t>3180000-102-1983-02735</t>
  </si>
  <si>
    <t xml:space="preserve">서울특별시 영등포구 영등포동3가 16-3번지 </t>
  </si>
  <si>
    <t>3180000-102-2003-00004</t>
  </si>
  <si>
    <t xml:space="preserve">서울특별시 영등포구 문래동2가 21-6번지 외 25-1,25-2 </t>
  </si>
  <si>
    <t>서울특별시 영등포구 경인로 727 (문래동2가,외 25-1,25-2)</t>
  </si>
  <si>
    <t>3180000-102-2003-00008</t>
  </si>
  <si>
    <t xml:space="preserve">서울특별시 영등포구 여의도동 43-6번지 미원빌딩, 지하12 </t>
  </si>
  <si>
    <t>서울특별시 영등포구 국제금융로 70 (여의도동, 미원빌딩 지하 12)</t>
  </si>
  <si>
    <t>3180000-102-2003-00011</t>
  </si>
  <si>
    <t xml:space="preserve">서울특별시 영등포구 문래동2가 21-2번지 지하1층 </t>
  </si>
  <si>
    <t>서울특별시 영등포구 경인로 731 (문래동2가, 지하1층)</t>
  </si>
  <si>
    <t>3180000-102-2019-00003</t>
  </si>
  <si>
    <t xml:space="preserve">서울특별시 영등포구 여의도동 44-13번지 충무빌딩 </t>
  </si>
  <si>
    <t>서울특별시 영등포구 여의대방로69길 7, 충무빌딩 302호, 303호, 304호 (여의도동)</t>
  </si>
  <si>
    <t>3180000-102-2019-00004</t>
  </si>
  <si>
    <t xml:space="preserve">서울특별시 영등포구 여의도동 44-35 제일빌딩 </t>
  </si>
  <si>
    <t>서울특별시 영등포구 여의대방로 379, 제일빌딩 지하1층 001호,002호 (여의도동)</t>
  </si>
  <si>
    <t>3180000-102-1978-02727</t>
  </si>
  <si>
    <t xml:space="preserve">서울특별시 영등포구 영등포동3가 3-11번지 </t>
  </si>
  <si>
    <t>3180000-102-1986-02625</t>
  </si>
  <si>
    <t xml:space="preserve">서울특별시 영등포구 여의도동 45-18번지 가든빌딩지하105 </t>
  </si>
  <si>
    <t>서울특별시 영등포구 국제금융로8길 27-3 (여의도동, 가든빌딩지하105)</t>
  </si>
  <si>
    <t>3180000-102-1987-02723</t>
  </si>
  <si>
    <t xml:space="preserve">서울특별시 영등포구 영등포동2가 94-154번지 </t>
  </si>
  <si>
    <t>3180000-102-2020-00003</t>
  </si>
  <si>
    <t xml:space="preserve">서울특별시 영등포구 여의도동 44-13 충무빌딩 </t>
  </si>
  <si>
    <t>서울특별시 영등포구 여의대방로69길 7, 충무빌딩 3층 302,303,304호 (여의도동)</t>
  </si>
  <si>
    <t>3180000-102-2018-00003</t>
  </si>
  <si>
    <t>서울특별시 영등포구 여의도동 44-13 충무빌딩 305,306호</t>
  </si>
  <si>
    <t>서울특별시 영등포구 여의대방로69길 7, 충무빌딩 3층 305,306호 (여의도동)</t>
  </si>
  <si>
    <t>3180000-102-2005-00011</t>
  </si>
  <si>
    <t xml:space="preserve">서울특별시 영등포구 영등포동3가 21번지 1층 </t>
  </si>
  <si>
    <t>서울특별시 영등포구 영중로4길 13-1 (영등포동3가, 1층)</t>
  </si>
  <si>
    <t>3180000-102-2005-00012</t>
  </si>
  <si>
    <t xml:space="preserve">서울특별시 영등포구 영등포동3가 3-13번지 1층 </t>
  </si>
  <si>
    <t>서울특별시 영등포구 영등포로46길 3-1 (영등포동3가,1층)</t>
  </si>
  <si>
    <t>3180000-102-1999-12824</t>
  </si>
  <si>
    <t xml:space="preserve">서울특별시 영등포구 여의도동 35-5번지 여의도종합상가 329동 </t>
  </si>
  <si>
    <t>3180000-102-1999-12825</t>
  </si>
  <si>
    <t xml:space="preserve">서울특별시 영등포구 여의도동 44-25 지하1층 </t>
  </si>
  <si>
    <t>서울특별시 영등포구 여의대방로67길 21 (여의도동, 지하1층)</t>
  </si>
  <si>
    <t>3180000-102-2001-02649</t>
  </si>
  <si>
    <t xml:space="preserve">서울특별시 영등포구 여의도동 54-2번지 진주상가 지하1층 1,5,6,7,11,12호 </t>
  </si>
  <si>
    <t>서울특별시 영등포구 여의대방로 386, 지하1층 1,5,6,7,11,12호 (여의도동, 진주상가)</t>
  </si>
  <si>
    <t>3180000-102-2001-02647</t>
  </si>
  <si>
    <t xml:space="preserve">서울특별시 영등포구 여의도동 53-0번지 우정상가209호 </t>
  </si>
  <si>
    <t>3180000-102-2008-00004</t>
  </si>
  <si>
    <t xml:space="preserve">서울특별시 영등포구 영등포동3가 20번지 </t>
  </si>
  <si>
    <t>서울특별시 영등포구 영중로4길 9 (영등포동3가)</t>
  </si>
  <si>
    <t>3180000-102-2008-00006</t>
  </si>
  <si>
    <t xml:space="preserve">서울특별시 영등포구 영등포동3가 22-1번지 </t>
  </si>
  <si>
    <t>3180000-102-2008-00009</t>
  </si>
  <si>
    <t xml:space="preserve">서울특별시 영등포구 여의도동 43번지 지하1층 21, 22호 </t>
  </si>
  <si>
    <t>서울특별시 영등포구 국제금융로 70 (여의도동,지하1층 21, 22호)</t>
  </si>
  <si>
    <t>3180000-102-2001-02691</t>
  </si>
  <si>
    <t xml:space="preserve">서울특별시 영등포구 양평동1가 28-2 </t>
  </si>
  <si>
    <t>서울특별시 영등포구 영등포로 81-10 (양평동1가)</t>
  </si>
  <si>
    <t>3180000-102-2001-12228</t>
  </si>
  <si>
    <t xml:space="preserve">서울특별시 영등포구 여의도동 44-22번지 </t>
  </si>
  <si>
    <t>3180000-102-2001-14042</t>
  </si>
  <si>
    <t xml:space="preserve">서울특별시 영등포구 여의도동 44-35번지 제일빌딩 </t>
  </si>
  <si>
    <t>3180000-102-2001-13898</t>
  </si>
  <si>
    <t xml:space="preserve">서울특별시 영등포구 여의도동 43-3번지 </t>
  </si>
  <si>
    <t>3180000-102-2001-14041</t>
  </si>
  <si>
    <t xml:space="preserve">서울특별시 영등포구 여의도동 35-5번지 (214,215) </t>
  </si>
  <si>
    <t>3180000-102-2001-02628</t>
  </si>
  <si>
    <t xml:space="preserve">서울특별시 영등포구 여의도동 산 44-13번지 충무빌딩 지하4,5호 </t>
  </si>
  <si>
    <t>서울특별시 영등포구 여의대방로69길 7, 충무빌딩  지하4,5호 (여의도동)</t>
  </si>
  <si>
    <t>3180000-102-2001-02725</t>
  </si>
  <si>
    <t xml:space="preserve">서울특별시 영등포구 영등포동3가 7-26번지 </t>
  </si>
  <si>
    <t>3180000-102-2001-12053</t>
  </si>
  <si>
    <t xml:space="preserve">서울특별시 영등포구 여의도동 35-5번지 여의도종합상가3층 </t>
  </si>
  <si>
    <t>3180000-102-2000-13278</t>
  </si>
  <si>
    <t xml:space="preserve">서울특별시 영등포구 여의도동 35-5번지 </t>
  </si>
  <si>
    <t>3180000-102-2000-13283</t>
  </si>
  <si>
    <t xml:space="preserve">서울특별시 영등포구 여의도동 43-3번지 홍우빌딩227호 </t>
  </si>
  <si>
    <t>3180000-102-2000-13337</t>
  </si>
  <si>
    <t xml:space="preserve">서울특별시 영등포구 영등포동3가 17-3번지 </t>
  </si>
  <si>
    <t>3180000-102-2500-02587</t>
  </si>
  <si>
    <t xml:space="preserve">서울특별시 영등포구 당산동2가 28-1 </t>
  </si>
  <si>
    <t>서울특별시 영등포구 영등포로19길 3-1 (당산동2가)</t>
  </si>
  <si>
    <t>3180000-102-2000-13355</t>
  </si>
  <si>
    <t xml:space="preserve">서울특별시 영등포구 영등포동2가 94-119번지 한강탑오피스텔 지하 </t>
  </si>
  <si>
    <t>3180000-102-2004-00009</t>
  </si>
  <si>
    <t xml:space="preserve">서울특별시 영등포구 여의도동 36-2번지 여의도백화점 4층 </t>
  </si>
  <si>
    <t>3180000-102-2004-00010</t>
  </si>
  <si>
    <t xml:space="preserve">서울특별시 영등포구 영등포동2가 94-154 지1층 </t>
  </si>
  <si>
    <t>서울특별시 영등포구 버드나루로 23 (영등포동2가,지1층)</t>
  </si>
  <si>
    <t>3180000-102-1972-02710</t>
  </si>
  <si>
    <t xml:space="preserve">서울특별시 영등포구 영등포동3가 5-10번지 외1 </t>
  </si>
  <si>
    <t>서울특별시 영등포구 영등포로 228 (영등포동3가,외1)</t>
  </si>
  <si>
    <t>3180000-102-1974-02591</t>
  </si>
  <si>
    <t xml:space="preserve">서울특별시 영등포구 영등포동3가 27-9번지 </t>
  </si>
  <si>
    <t>3210000-102-2000-14890</t>
  </si>
  <si>
    <t xml:space="preserve">서울특별시 서초구 서초동 1308-26번지 ~29호 (2층) </t>
  </si>
  <si>
    <t>서울특별시 서초구 서초대로73길 42 (서초동,~29호 (2층))</t>
  </si>
  <si>
    <t>3180000-102-2010-00002</t>
  </si>
  <si>
    <t xml:space="preserve">서울특별시 영등포구 여의도동 44-23번지 하남빌딩 209,210호 </t>
  </si>
  <si>
    <t>서울특별시 영등포구 의사당대로1길 25 (여의도동,하남빌딩 209,210호)</t>
  </si>
  <si>
    <t>3180000-102-2010-00003</t>
  </si>
  <si>
    <t xml:space="preserve">서울특별시 영등포구 여의도동 44-6 스타빌딩 지하 </t>
  </si>
  <si>
    <t>서울특별시 영등포구 여의대방로67길 18 (여의도동,스타빌딩 지하)</t>
  </si>
  <si>
    <t>3180000-102-1999-12040</t>
  </si>
  <si>
    <t xml:space="preserve">서울특별시 영등포구 당산동6가 233-0번지 </t>
  </si>
  <si>
    <t>3180000-102-1999-12047</t>
  </si>
  <si>
    <t xml:space="preserve">서울특별시 영등포구 영등포동 423-44번지 </t>
  </si>
  <si>
    <t>3180000-102-2005-00016</t>
  </si>
  <si>
    <t xml:space="preserve">서울특별시 영등포구 영등포동3가 14-5번지 </t>
  </si>
  <si>
    <t>3180000-102-2001-02733</t>
  </si>
  <si>
    <t xml:space="preserve">서울특별시 영등포구 영등포동2가 94-139번지 지상5층 </t>
  </si>
  <si>
    <t>서울특별시 영등포구 버드나루로 30 (영등포동2가, 지상5층)</t>
  </si>
  <si>
    <t>3180000-102-2012-00005</t>
  </si>
  <si>
    <t xml:space="preserve">서울특별시 영등포구 영등포동3가 20-6번지 ,3층(전체) </t>
  </si>
  <si>
    <t>서울특별시 영등포구 영등포로42길 21-2 (영등포동3가)</t>
  </si>
  <si>
    <t>3180000-102-2012-00007</t>
  </si>
  <si>
    <t xml:space="preserve">서울특별시 영등포구 여의도동 44-22 호성빌딩 본관 지하1층 101호 </t>
  </si>
  <si>
    <t>서울특별시 영등포구 여의대방로65길 24 (여의도동)</t>
  </si>
  <si>
    <t>3180000-102-2008-00013</t>
  </si>
  <si>
    <t xml:space="preserve">서울특별시 영등포구 영등포동3가 21번지 </t>
  </si>
  <si>
    <t>3180000-102-1999-12087</t>
  </si>
  <si>
    <t xml:space="preserve">서울특별시 영등포구 영등포동3가 5-10번지 </t>
  </si>
  <si>
    <t>3180000-102-1999-12122</t>
  </si>
  <si>
    <t xml:space="preserve">서울특별시 영등포구 여의도동 35-5번지 종합상가2층 </t>
  </si>
  <si>
    <t>3180000-102-1999-12143</t>
  </si>
  <si>
    <t xml:space="preserve">서울특별시 영등포구 여의도동 44-12번지 </t>
  </si>
  <si>
    <t>서울특별시 영등포구 여의대방로67길 8 (여의도동)</t>
  </si>
  <si>
    <t>3180000-102-1999-12148</t>
  </si>
  <si>
    <t xml:space="preserve">서울특별시 영등포구 여의도동 35-5번지 종합상가324,325호 </t>
  </si>
  <si>
    <t>3180000-102-1999-12314</t>
  </si>
  <si>
    <t>3180000-102-1999-12390</t>
  </si>
  <si>
    <t xml:space="preserve">서울특별시 영등포구 여의도동 35-5번지 종합상가 3동 </t>
  </si>
  <si>
    <t>3180000-102-1999-12405</t>
  </si>
  <si>
    <t xml:space="preserve">서울특별시 영등포구 문래동2가 24-0번지 지하2층 </t>
  </si>
  <si>
    <t>3180000-102-1999-12471</t>
  </si>
  <si>
    <t xml:space="preserve">서울특별시 영등포구 영등포동3가 산 13-2번지 </t>
  </si>
  <si>
    <t>서울특별시 영등포구 영중로10길 40 (영등포동3가)</t>
  </si>
  <si>
    <t>3180000-102-1999-12483</t>
  </si>
  <si>
    <t xml:space="preserve">서울특별시 영등포구 여의도동 45-15번지 서린빌딩 지하5호 </t>
  </si>
  <si>
    <t>3180000-102-1999-12518</t>
  </si>
  <si>
    <t xml:space="preserve">서울특별시 영등포구 여의도동 43-0번지 미원빌딩지하 16동 </t>
  </si>
  <si>
    <t>3180000-102-1999-12544</t>
  </si>
  <si>
    <t xml:space="preserve">서울특별시 영등포구 여의도동 43-1번지 ,6 </t>
  </si>
  <si>
    <t>3180000-102-1999-12566</t>
  </si>
  <si>
    <t xml:space="preserve">서울특별시 영등포구 여의도동 44-34 지하1층 </t>
  </si>
  <si>
    <t>서울특별시 영등포구 여의대방로65길 10, 지하1층 (여의도동)</t>
  </si>
  <si>
    <t>3180000-102-1999-13004</t>
  </si>
  <si>
    <t xml:space="preserve">서울특별시 영등포구 문래동2가 21-6번지 외 25-1,2 </t>
  </si>
  <si>
    <t>3180000-102-1999-12706</t>
  </si>
  <si>
    <t xml:space="preserve">서울특별시 영등포구 영등포동3가 12-22번지 </t>
  </si>
  <si>
    <t>서울특별시 영등포구 영중로4길 38 (영등포동3가)</t>
  </si>
  <si>
    <t>3180000-102-1999-12734</t>
  </si>
  <si>
    <t xml:space="preserve">서울특별시 영등포구 여의도동 44-16번지 지하 1층동 </t>
  </si>
  <si>
    <t>서울특별시 영등포구 여의대방로67길 10, 1층동 (여의도동,지하)</t>
  </si>
  <si>
    <t>3180000-102-2012-00008</t>
  </si>
  <si>
    <t xml:space="preserve">서울특별시 영등포구 여의도동 44-35번지 지하1층 10호 </t>
  </si>
  <si>
    <t>서울특별시 영등포구 여의대방로 지하 379 (여의도동, 지하1층 10호)</t>
  </si>
  <si>
    <t>3180000-102-2013-00002</t>
  </si>
  <si>
    <t>서울특별시 영등포구 여의도동 45-18번지 가든빌딩 104호</t>
  </si>
  <si>
    <t>서울특별시 영등포구 국제금융로8길 27-3 (여의도동, 가든빌딩 104호)</t>
  </si>
  <si>
    <t>3180000-102-2013-00003</t>
  </si>
  <si>
    <t xml:space="preserve">서울특별시 영등포구 영등포동5가 18-65번지 외72필지 (지상3층) </t>
  </si>
  <si>
    <t>서울특별시 영등포구 영등포로 225 (영등포동5가, 외 72필지 (지상3층))</t>
  </si>
  <si>
    <t>3180000-102-2000-13502</t>
  </si>
  <si>
    <t xml:space="preserve">서울특별시 영등포구 여의도동 36-2번지 맨하탄빌딩지하1층42호 </t>
  </si>
  <si>
    <t>3180000-102-2000-13517</t>
  </si>
  <si>
    <t xml:space="preserve">서울특별시 영등포구 여의도동 35-5번지 종합상가 219,220 </t>
  </si>
  <si>
    <t>3180000-102-2000-02618</t>
  </si>
  <si>
    <t xml:space="preserve">서울특별시 영등포구 여의도동 44-21번지 중앙빌딩지하117 </t>
  </si>
  <si>
    <t>3180000-102-2000-02746</t>
  </si>
  <si>
    <t xml:space="preserve">서울특별시 영등포구 여의도동 44-2번지 </t>
  </si>
  <si>
    <t>3180000-102-2000-13725</t>
  </si>
  <si>
    <t xml:space="preserve">서울특별시 영등포구 여의도동 35-5번지 401 나호 </t>
  </si>
  <si>
    <t>3180000-102-2000-13759</t>
  </si>
  <si>
    <t xml:space="preserve">서울특별시 영등포구 여의도동 44-24번지 외1 지하1층 </t>
  </si>
  <si>
    <t>3180000-102-2013-00004</t>
  </si>
  <si>
    <t xml:space="preserve">서울특별시 영등포구 영등포동3가 16-1 외1필지(지하1,2층) </t>
  </si>
  <si>
    <t>서울특별시 영등포구 영중로10길 18 (영등포동3가, 외1필지(지하1,2층))</t>
  </si>
  <si>
    <t>3180000-102-2013-00005</t>
  </si>
  <si>
    <t xml:space="preserve">서울특별시 영등포구 여의도동 44-35번지 제일빌딩 지하1층(4,5,6-1,6-2,7,8,9호) </t>
  </si>
  <si>
    <t>서울특별시 영등포구 여의대방로 379 (여의도동, 제일빌딩 지하1층(4,5,6-1,6-2,7,8,9호))</t>
  </si>
  <si>
    <t>3180000-102-2000-13760</t>
  </si>
  <si>
    <t xml:space="preserve">서울특별시 영등포구 여의도동 44-24번지 외1지하1층 </t>
  </si>
  <si>
    <t>3180000-102-2000-14044</t>
  </si>
  <si>
    <t xml:space="preserve">서울특별시 영등포구 여의도동 35-5번지 4층 402 </t>
  </si>
  <si>
    <t>3180000-102-2010-00001</t>
  </si>
  <si>
    <t xml:space="preserve">서울특별시 영등포구 여의도동 36-4번지 (지하1층) </t>
  </si>
  <si>
    <t>서울특별시 영등포구 국제금융로8길 34 (여의도동,(지하1층))</t>
  </si>
  <si>
    <t>3180000-102-1984-02611</t>
  </si>
  <si>
    <t xml:space="preserve">서울특별시 영등포구 여의도동 44-21번지 중앙빌딩 212동 </t>
  </si>
  <si>
    <t>서울특별시 영등포구 국제금융로8길 19, 212동 (여의도동,중앙빌딩)</t>
  </si>
  <si>
    <t>3180000-102-1984-02655</t>
  </si>
  <si>
    <t xml:space="preserve">서울특별시 영등포구 영등포동3가 3-20번지 </t>
  </si>
  <si>
    <t>3180000-102-1984-02641</t>
  </si>
  <si>
    <t>서울특별시 영등포구 여의도동 45-18번지 가든빌딩 자하동 102호</t>
  </si>
  <si>
    <t>3180000-102-1984-02765</t>
  </si>
  <si>
    <t>3180000-102-2003-00012</t>
  </si>
  <si>
    <t xml:space="preserve">서울특별시 영등포구 여의도동 44-14번지 경도상가 지하1층 B-2호 </t>
  </si>
  <si>
    <t>서울특별시 영등포구 여의대방로 383 (여의도동, 경도상가 지하1층 B-2호)</t>
  </si>
  <si>
    <t>3180000-102-2003-00013</t>
  </si>
  <si>
    <t xml:space="preserve">서울특별시 영등포구 여의도동 43번지 미원빌딩 지13호 </t>
  </si>
  <si>
    <t>서울특별시 영등포구 국제금융로 70 (여의도동,미원빌딩 지13호)</t>
  </si>
  <si>
    <t>3180000-102-2003-00014</t>
  </si>
  <si>
    <t xml:space="preserve">서울특별시 영등포구 영등포동3가 14-7번지 (2층) </t>
  </si>
  <si>
    <t>3180000-102-2003-00015</t>
  </si>
  <si>
    <t xml:space="preserve">서울특별시 영등포구 영등포동3가 21-3번지 </t>
  </si>
  <si>
    <t>3180000-102-2004-00002</t>
  </si>
  <si>
    <t xml:space="preserve">서울특별시 영등포구 영등포동3가 13-6번지 지하1층 </t>
  </si>
  <si>
    <t>3180000-102-2004-00003</t>
  </si>
  <si>
    <t xml:space="preserve">서울특별시 영등포구 영등포동3가 7-25번지 </t>
  </si>
  <si>
    <t>3180000-102-2004-00004</t>
  </si>
  <si>
    <t xml:space="preserve">서울특별시 영등포구 여의도동 44-24 호성빌딩 지하1층 </t>
  </si>
  <si>
    <t>서울특별시 영등포구 여의대방로65길 20, 지하1층 (여의도동, 호성빌딩)</t>
  </si>
  <si>
    <t>3180000-102-2004-00005</t>
  </si>
  <si>
    <t xml:space="preserve">서울특별시 영등포구 여의도동 44-24번지 (44-28)호성빌딩지하2층 </t>
  </si>
  <si>
    <t>3180000-102-2005-00018</t>
  </si>
  <si>
    <t xml:space="preserve">서울특별시 영등포구 영등포동3가 16번지 </t>
  </si>
  <si>
    <t>3180000-102-2006-00002</t>
  </si>
  <si>
    <t xml:space="preserve">서울특별시 영등포구 영등포동3가 16-3 2층 </t>
  </si>
  <si>
    <t>서울특별시 영등포구 영중로10길 22 (영등포동3가,2층)</t>
  </si>
  <si>
    <t>3180000-102-2006-00003</t>
  </si>
  <si>
    <t xml:space="preserve">서울특별시 영등포구 영등포동3가 6-10번지 지하1층 </t>
  </si>
  <si>
    <t>서울특별시 영등포구 영등포로 220-1 (영등포동3가,지하1층)</t>
  </si>
  <si>
    <t>3180000-102-2014-00005</t>
  </si>
  <si>
    <t xml:space="preserve">서울특별시 영등포구 영등포동4가 432-14번지 지하1층 </t>
  </si>
  <si>
    <t>서울특별시 영등포구 영중로 5 (영등포동4가)</t>
  </si>
  <si>
    <t>3210000-102-2000-14922</t>
  </si>
  <si>
    <t xml:space="preserve">서울특별시 서초구 서초동 1303-15번지 </t>
  </si>
  <si>
    <t>3180000-102-2014-00006</t>
  </si>
  <si>
    <t xml:space="preserve">서울특별시 영등포구 여의도동 43번지 지하1층 B14호 </t>
  </si>
  <si>
    <t>서울특별시 영등포구 국제금융로 70 (여의도동, 지하1층 B14호)</t>
  </si>
  <si>
    <t>3180000-102-2015-00001</t>
  </si>
  <si>
    <t xml:space="preserve">서울특별시 영등포구 여의도동 44-13번지 충무빌딩 3층 301~304,307호 </t>
  </si>
  <si>
    <t>서울특별시 영등포구 여의대방로69길 7, 3층 301~304,307호 (여의도동, 충무빌딩)</t>
  </si>
  <si>
    <t>3180000-102-2015-00002</t>
  </si>
  <si>
    <t xml:space="preserve">서울특별시 영등포구 영등포동4가 432-14 </t>
  </si>
  <si>
    <t>서울특별시 영등포구 영중로 5, 지하1층 (영등포동4가, 시온빌딩)</t>
  </si>
  <si>
    <t>3180000-102-2015-00003</t>
  </si>
  <si>
    <t>서울특별시 영등포구 여의도동 44-16번지 지하5,6호</t>
  </si>
  <si>
    <t>서울특별시 영등포구 여의대방로67길 10, 지하층 5,6호 (여의도동)</t>
  </si>
  <si>
    <t>3180000-102-2015-00004</t>
  </si>
  <si>
    <t xml:space="preserve">서울특별시 영등포구 여의도동 35-5번지 여의도종합상가 505(가)호 </t>
  </si>
  <si>
    <t>서울특별시 영등포구 여의나루로 42 (여의도동, 여의도종합상가 505(가)호)</t>
  </si>
  <si>
    <t>3180000-102-2015-00005</t>
  </si>
  <si>
    <t>서울특별시 영등포구 여의도동 35-5번지 여의도 종합상가 505(나)호</t>
  </si>
  <si>
    <t>서울특별시 영등포구 여의나루로 42 (여의도동, 여의도종합상가 505(나)호)</t>
  </si>
  <si>
    <t>3180000-102-2016-00001</t>
  </si>
  <si>
    <t xml:space="preserve">서울특별시 영등포구 영등포동3가 3-11 지하1층 </t>
  </si>
  <si>
    <t>서울특별시 영등포구 영중로10길 25 (영등포동3가, 지하1층)</t>
  </si>
  <si>
    <t>3180000-102-2001-02644</t>
  </si>
  <si>
    <t xml:space="preserve">서울특별시 영등포구 여의도동 44-14번지 </t>
  </si>
  <si>
    <t>3180000-102-2001-02657</t>
  </si>
  <si>
    <t xml:space="preserve">서울특별시 영등포구 여의도동 44-12번지 고려빌딩지하 </t>
  </si>
  <si>
    <t>서울특별시 영등포구 여의대방로67길 8 (여의도동,고려빌딩지하)</t>
  </si>
  <si>
    <t>3180000-102-2001-14094</t>
  </si>
  <si>
    <t xml:space="preserve">서울특별시 영등포구 여의도동 36-4번지 오륜빌딩지하5.6.7.8호 </t>
  </si>
  <si>
    <t>서울특별시 영등포구 국제금융로8길 34 (여의도동,오륜빌딩지하5.6.7.8호)</t>
  </si>
  <si>
    <t>3180000-102-2001-14119</t>
  </si>
  <si>
    <t xml:space="preserve">서울특별시 영등포구 여의도동 44-21번지 외1 </t>
  </si>
  <si>
    <t>3180000-102-2001-02694</t>
  </si>
  <si>
    <t xml:space="preserve">서울특별시 영등포구 여의도동 35-5번지 여의도종합상가303-307 </t>
  </si>
  <si>
    <t>3180000-102-2001-14120</t>
  </si>
  <si>
    <t xml:space="preserve">서울특별시 영등포구 여의도동 44-21 중앙빌딩 </t>
  </si>
  <si>
    <t>서울특별시 영등포구 국제금융로8길 19, 중앙빌딩 지하02호 (여의도동)</t>
  </si>
  <si>
    <t>3180000-102-2001-14136</t>
  </si>
  <si>
    <t xml:space="preserve">서울특별시 영등포구 여의도동 44-14번지 경도빌딩지하2-2호 </t>
  </si>
  <si>
    <t>3180000-102-2008-00014</t>
  </si>
  <si>
    <t xml:space="preserve">서울특별시 영등포구 여의도동 44-21번지 중앙빌딩  지하 117호 </t>
  </si>
  <si>
    <t>3180000-102-2009-00003</t>
  </si>
  <si>
    <t xml:space="preserve">서울특별시 영등포구 영등포동3가 17-3번지 지하1층 </t>
  </si>
  <si>
    <t>서울특별시 영등포구 영등포로46길 8-3 (영등포동3가,지하1층)</t>
  </si>
  <si>
    <t>3180000-102-2009-00004</t>
  </si>
  <si>
    <t xml:space="preserve">서울특별시 영등포구 영등포동3가 23-8번지 (2층) </t>
  </si>
  <si>
    <t>서울특별시 영등포구 영중로4길 25 (영등포동3가)</t>
  </si>
  <si>
    <t>3180000-102-2009-00006</t>
  </si>
  <si>
    <t xml:space="preserve">서울특별시 영등포구 영등포동3가 1-9번지 (1층) </t>
  </si>
  <si>
    <t>3180000-102-2009-00007</t>
  </si>
  <si>
    <t xml:space="preserve">서울특별시 영등포구 영등포동3가 3-10 (지상1층) </t>
  </si>
  <si>
    <t>서울특별시 영등포구 영중로10길 27 (영등포동3가,(지상1층))</t>
  </si>
  <si>
    <t>3180000-102-2001-02643</t>
  </si>
  <si>
    <t xml:space="preserve">서울특별시 영등포구 여의도동 36-2번지 여의도백화점지하101 </t>
  </si>
  <si>
    <t>3180000-102-2001-13899</t>
  </si>
  <si>
    <t xml:space="preserve">서울특별시 영등포구 여의도동 44-24번지 호성빌딩지하2층 </t>
  </si>
  <si>
    <t>3180000-102-2001-13936</t>
  </si>
  <si>
    <t>3180000-102-2001-13937</t>
  </si>
  <si>
    <t>3180000-102-2001-14040</t>
  </si>
  <si>
    <t xml:space="preserve">서울특별시 영등포구 신길동 69-9번지 </t>
  </si>
  <si>
    <t>3180000-102-2001-14039</t>
  </si>
  <si>
    <t xml:space="preserve">서울특별시 영등포구 신길동 69-28 지하1층 </t>
  </si>
  <si>
    <t>서울특별시 영등포구 영등포로 396, 지하1층 (신길동)</t>
  </si>
  <si>
    <t>3180000-102-2001-02728</t>
  </si>
  <si>
    <t xml:space="preserve">서울특별시 영등포구 여의도동 35-2번지 백상빌딩지하 </t>
  </si>
  <si>
    <t>3180000-102-2001-14080</t>
  </si>
  <si>
    <t xml:space="preserve">서울특별시 영등포구 여의도동 35-5번지 여의도종합상가411,412호 </t>
  </si>
  <si>
    <t>3180000-102-2001-02703</t>
  </si>
  <si>
    <t>3180000-102-2004-00007</t>
  </si>
  <si>
    <t xml:space="preserve">서울특별시 영등포구 양평동4가 29-1 지하1층 </t>
  </si>
  <si>
    <t>서울특별시 영등포구 선유로 258 (양평동4가, 지하1층)</t>
  </si>
  <si>
    <t>3180000-102-1999-12886</t>
  </si>
  <si>
    <t xml:space="preserve">서울특별시 영등포구 여의도동 44-35번지 </t>
  </si>
  <si>
    <t>서울특별시 영등포구 여의대방로 379 (여의도동)</t>
  </si>
  <si>
    <t>3180000-102-1999-12899</t>
  </si>
  <si>
    <t xml:space="preserve">서울특별시 영등포구 영등포동2가 94-144번지 지하1층 </t>
  </si>
  <si>
    <t>서울특별시 영등포구 버드나루로 31, 지하1층 (영등포동2가)</t>
  </si>
  <si>
    <t>3180000-102-1999-12956</t>
  </si>
  <si>
    <t>3180000-102-1999-02721</t>
  </si>
  <si>
    <t xml:space="preserve">서울특별시 영등포구 양평동4가 153-30 지하1층 </t>
  </si>
  <si>
    <t>서울특별시 영등포구 양평로 94 (양평동4가, 지하1층)</t>
  </si>
  <si>
    <t>3180000-102-1976-02687</t>
  </si>
  <si>
    <t xml:space="preserve">서울특별시 영등포구 여의도동 45-11번지 신한 지하동 </t>
  </si>
  <si>
    <t>3180000-102-1976-02760</t>
  </si>
  <si>
    <t xml:space="preserve">서울특별시 영등포구 영등포동3가 3-4번지 </t>
  </si>
  <si>
    <t>3180000-102-1977-02661</t>
  </si>
  <si>
    <t xml:space="preserve">서울특별시 영등포구 영등포동3가 23-11번지 </t>
  </si>
  <si>
    <t>3180000-102-1977-02676</t>
  </si>
  <si>
    <t xml:space="preserve">서울특별시 영등포구 여의도동 44-23번지 ,27,29 하남빌딩209,210호 </t>
  </si>
  <si>
    <t>3180000-102-2004-00011</t>
  </si>
  <si>
    <t>서울특별시 영등포구 국제금융로 78 (여의도동,홍우빌딩227호)</t>
  </si>
  <si>
    <t>3180000-102-2000-02624</t>
  </si>
  <si>
    <t xml:space="preserve">서울특별시 영등포구 여의도동 43-1번지 유성빌딩 지하 </t>
  </si>
  <si>
    <t>서울특별시 영등포구 여의대방로69길 28 (여의도동, 유성빌딩 지하)</t>
  </si>
  <si>
    <t>3180000-102-1977-02700</t>
  </si>
  <si>
    <t>서울특별시 영등포구 여의도동 44-21번지 중앙빌딩 지동 2호</t>
  </si>
  <si>
    <t>3180000-102-1977-02686</t>
  </si>
  <si>
    <t xml:space="preserve">서울특별시 영등포구 여의도동 44-13번지 </t>
  </si>
  <si>
    <t>3180000-102-1978-00253</t>
  </si>
  <si>
    <t xml:space="preserve">서울특별시 영등포구 영등포동 423-19번지 </t>
  </si>
  <si>
    <t>3180000-102-1978-02726</t>
  </si>
  <si>
    <t xml:space="preserve">서울특별시 영등포구 양평동4가 29-1번지 </t>
  </si>
  <si>
    <t>3180000-102-2001-14043</t>
  </si>
  <si>
    <t xml:space="preserve">서울특별시 영등포구 여의도동 36-2번지 맨하탄빌딩 지하1층43호 </t>
  </si>
  <si>
    <t>3180000-102-2005-00003</t>
  </si>
  <si>
    <t xml:space="preserve">서울특별시 영등포구 여의도동 44-35번지 제일빌딩1층 120,121,124,125,126호 </t>
  </si>
  <si>
    <t>서울특별시 영등포구 여의대방로 379 (여의도동,제일빌딩1층 120,121,124,125,126호)</t>
  </si>
  <si>
    <t>3180000-102-2005-00005</t>
  </si>
  <si>
    <t xml:space="preserve">서울특별시 영등포구 영등포동3가 3-10 </t>
  </si>
  <si>
    <t>서울특별시 영등포구 영중로10길 27 (영등포동3가)</t>
  </si>
  <si>
    <t>3180000-102-2005-00008</t>
  </si>
  <si>
    <t xml:space="preserve">서울특별시 영등포구 영등포동3가 10-40번지 </t>
  </si>
  <si>
    <t>서울특별시 영등포구 영중로4길 16-1 (영등포동3가)</t>
  </si>
  <si>
    <t>3180000-102-2005-00009</t>
  </si>
  <si>
    <t xml:space="preserve">서울특별시 영등포구 영등포동3가 5-10 </t>
  </si>
  <si>
    <t>서울특별시 영등포구 영등포로 228 (영등포동3가)</t>
  </si>
  <si>
    <t>3180000-102-2000-13149</t>
  </si>
  <si>
    <t>3180000-102-2000-13155</t>
  </si>
  <si>
    <t xml:space="preserve">서울특별시 영등포구 여의도동 43-0번지 미원빌딩 219.218 </t>
  </si>
  <si>
    <t>3180000-102-2000-13251</t>
  </si>
  <si>
    <t xml:space="preserve">서울특별시 영등포구 영등포동3가 17-11번지 지하1층 </t>
  </si>
  <si>
    <t>서울특별시 영등포구 영등포로42길 9-1 (영등포동3가, 지하1층)</t>
  </si>
  <si>
    <t>3180000-102-2000-13256</t>
  </si>
  <si>
    <t>3180000-102-2011-00004</t>
  </si>
  <si>
    <t xml:space="preserve">서울특별시 영등포구 여의도동 43-1 유성빌딩3층 308,309,310호 </t>
  </si>
  <si>
    <t>서울특별시 영등포구 여의대방로69길 28 (여의도동,유성빌딩3층 308,309,310호)</t>
  </si>
  <si>
    <t>3180000-102-2011-00005</t>
  </si>
  <si>
    <t xml:space="preserve">서울특별시 영등포구 여의도동 11-11 한서리버파크 지상1층 104호중일부,105호 </t>
  </si>
  <si>
    <t>서울특별시 영등포구 여의서로 43 (여의도동,한서리버파크 지상1층 104호중일부,105호)</t>
  </si>
  <si>
    <t>3180000-102-2001-14143</t>
  </si>
  <si>
    <t xml:space="preserve">서울특별시 영등포구 여의도동 15-13번지 4층 </t>
  </si>
  <si>
    <t>3180000-102-2001-14144</t>
  </si>
  <si>
    <t xml:space="preserve">서울특별시 영등포구 여의도동 15-13번지 3층 </t>
  </si>
  <si>
    <t>3180000-102-2002-00002</t>
  </si>
  <si>
    <t xml:space="preserve">서울특별시 영등포구 여의도동 15-13번지 13층 </t>
  </si>
  <si>
    <t>3180000-102-2002-00003</t>
  </si>
  <si>
    <t xml:space="preserve">서울특별시 영등포구 신길동 1377번지 </t>
  </si>
  <si>
    <t>3180000-102-2002-00004</t>
  </si>
  <si>
    <t xml:space="preserve">서울특별시 영등포구 여의도동 43번지 미원빌딩314,315호 </t>
  </si>
  <si>
    <t>3180000-102-1978-02608</t>
  </si>
  <si>
    <t xml:space="preserve">서울특별시 영등포구 여의도동 13-3번지 </t>
  </si>
  <si>
    <t>서울특별시 영등포구 국회대로76길 16 (여의도동)</t>
  </si>
  <si>
    <t>3180000-102-1978-02744</t>
  </si>
  <si>
    <t xml:space="preserve">서울특별시 영등포구 여의도동 13-3번지 지하1,2층 </t>
  </si>
  <si>
    <t>서울특별시 영등포구 국회대로76길 16 (여의도동,지하1,2층)</t>
  </si>
  <si>
    <t>3180000-102-2002-00008</t>
  </si>
  <si>
    <t xml:space="preserve">서울특별시 영등포구 여의도동 44-35번지 제일빌딩지하15,16호 </t>
  </si>
  <si>
    <t>3180000-102-2002-00009</t>
  </si>
  <si>
    <t xml:space="preserve">서울특별시 영등포구 영등포동3가 3-11 </t>
  </si>
  <si>
    <t>서울특별시 영등포구 영중로10길 25 (영등포동3가)</t>
  </si>
  <si>
    <t>3180000-102-2002-00010</t>
  </si>
  <si>
    <t xml:space="preserve">서울특별시 영등포구 여의도동 46-1번지 유창빌딩지하1층 </t>
  </si>
  <si>
    <t>3180000-102-2002-00011</t>
  </si>
  <si>
    <t xml:space="preserve">서울특별시 영등포구 여의도동 43번지 미원빌딩307호 </t>
  </si>
  <si>
    <t>3180000-102-1978-02619</t>
  </si>
  <si>
    <t xml:space="preserve">서울특별시 영등포구 당산동5가 산 32-2번지 </t>
  </si>
  <si>
    <t>3180000-102-1979-02688</t>
  </si>
  <si>
    <t>3180000-102-1980-13168</t>
  </si>
  <si>
    <t xml:space="preserve">서울특별시 영등포구 대림동 990-4번지 </t>
  </si>
  <si>
    <t>3180000-102-2002-00013</t>
  </si>
  <si>
    <t xml:space="preserve">서울특별시 영등포구 영등포동3가 17-12 </t>
  </si>
  <si>
    <t>3180000-102-2002-00014</t>
  </si>
  <si>
    <t xml:space="preserve">서울특별시 영등포구 영등포동3가 23-12번지 지하1층 </t>
  </si>
  <si>
    <t>서울특별시 영등포구 영중로6길 23-2 (영등포동3가,지하1층)</t>
  </si>
  <si>
    <t>3180000-102-2002-00015</t>
  </si>
  <si>
    <t xml:space="preserve">서울특별시 영등포구 영등포동3가 3-12번지 </t>
  </si>
  <si>
    <t>서울특별시 영등포구 영중로10길 23 (영등포동3가)</t>
  </si>
  <si>
    <t>3180000-102-2002-00016</t>
  </si>
  <si>
    <t xml:space="preserve">서울특별시 영등포구 영등포동2가 94-139번지 </t>
  </si>
  <si>
    <t>서울특별시 영등포구 버드나루로 30 (영등포동2가)</t>
  </si>
  <si>
    <t>3180000-102-2002-00017</t>
  </si>
  <si>
    <t>3180000-102-1980-02613</t>
  </si>
  <si>
    <t xml:space="preserve">서울특별시 영등포구 여의도동 43-0번지 미원빌딩314,315 </t>
  </si>
  <si>
    <t>3180000-102-1980-02670</t>
  </si>
  <si>
    <t>서울특별시 영등포구 여의도동 44-32번지 에리트 지하동 3호</t>
  </si>
  <si>
    <t>서울특별시 영등포구 여의대방로65길 12, 지하동 3호 (여의도동,에리트)</t>
  </si>
  <si>
    <t>3180000-102-1980-02689</t>
  </si>
  <si>
    <t xml:space="preserve">서울특별시 영등포구 영등포동2가 434-7번지 </t>
  </si>
  <si>
    <t>서울특별시 영등포구 국회대로54길 43 (영등포동2가)</t>
  </si>
  <si>
    <t>3180000-102-2011-00006</t>
  </si>
  <si>
    <t xml:space="preserve">서울특별시 영등포구 여의도동 44-16번지 지하1층 5,6호 </t>
  </si>
  <si>
    <t>서울특별시 영등포구 여의대방로67길 10 (여의도동,지하1층 5,6호)</t>
  </si>
  <si>
    <t>3180000-102-2011-00010</t>
  </si>
  <si>
    <t xml:space="preserve">서울특별시 영등포구 여의도동 46-1번지 (지하1층) </t>
  </si>
  <si>
    <t>서울특별시 영등포구 여의대방로65길 13 (여의도동,(지하1층))</t>
  </si>
  <si>
    <t>3180000-102-2012-00002</t>
  </si>
  <si>
    <t>서울특별시 영등포구 여의도동 43번지 지15호</t>
  </si>
  <si>
    <t>서울특별시 영등포구 국제금융로 70, 지15호 (여의도동)</t>
  </si>
  <si>
    <t>3180000-102-2012-00004</t>
  </si>
  <si>
    <t xml:space="preserve">서울특별시 영등포구 여의도동 45-20번지 </t>
  </si>
  <si>
    <t>서울특별시 영등포구 국제금융로8길 27-9, 3층 301호 (여의도동, 동북빌딩 )</t>
  </si>
  <si>
    <t>3180000-102-2001-14145</t>
  </si>
  <si>
    <t xml:space="preserve">서울특별시 영등포구 영등포동1가 139-5번지 </t>
  </si>
  <si>
    <t>서울특별시 영등포구 경인로 872 (영등포동1가)</t>
  </si>
  <si>
    <t>3180000-102-2001-02662</t>
  </si>
  <si>
    <t xml:space="preserve">서울특별시 영등포구 여의도동 43-3번지 홍우빌딩 </t>
  </si>
  <si>
    <t>3180000-102-2001-14147</t>
  </si>
  <si>
    <t xml:space="preserve">서울특별시 영등포구 여의도동 44-13번지 충무빌딩지하10,11,12호 </t>
  </si>
  <si>
    <t>3180000-102-2001-02652</t>
  </si>
  <si>
    <t xml:space="preserve">서울특별시 영등포구 여의도동 43-1 지하1층 </t>
  </si>
  <si>
    <t>서울특별시 영등포구 여의대방로69길 28 (여의도동, 지하1층)</t>
  </si>
  <si>
    <t>3180000-102-2001-02677</t>
  </si>
  <si>
    <t xml:space="preserve">서울특별시 영등포구 여의도동 45-3번지 </t>
  </si>
  <si>
    <t>3180000-102-2001-14127</t>
  </si>
  <si>
    <t xml:space="preserve">서울특별시 영등포구 문래동2가 24번지 지하2층 </t>
  </si>
  <si>
    <t>3180000-102-2001-14128</t>
  </si>
  <si>
    <t xml:space="preserve">서울특별시 영등포구 신길동 65-52 </t>
  </si>
  <si>
    <t>서울특별시 영등포구 영등포로 385 (신길동)</t>
  </si>
  <si>
    <t>3180000-102-2001-14129</t>
  </si>
  <si>
    <t xml:space="preserve">서울특별시 영등포구 여의도동 43번지 미원빌딩지1 </t>
  </si>
  <si>
    <t>서울특별시 영등포구 국제금융로 70 (여의도동,미원빌딩지1)</t>
  </si>
  <si>
    <t>3180000-102-2001-14133</t>
  </si>
  <si>
    <t xml:space="preserve">서울특별시 영등포구 영등포동3가 13번지 </t>
  </si>
  <si>
    <t>3180000-102-2003-00001</t>
  </si>
  <si>
    <t xml:space="preserve">서울특별시 영등포구 영등포동3가 3-4번지 (3층) </t>
  </si>
  <si>
    <t>3180000-102-2003-00002</t>
  </si>
  <si>
    <t>3180000-102-2003-00003</t>
  </si>
  <si>
    <t xml:space="preserve">서울특별시 영등포구 여의도동 36-4번지 오륜빌딩지하1층 </t>
  </si>
  <si>
    <t>3180000-102-2001-14134</t>
  </si>
  <si>
    <t>서울특별시 영등포구 국제금융로8길 27-8 (여의도동)</t>
  </si>
  <si>
    <t>3180000-102-2001-14138</t>
  </si>
  <si>
    <t>3180000-102-2001-14139</t>
  </si>
  <si>
    <t xml:space="preserve">서울특별시 영등포구 영등포동3가 23-0번지 </t>
  </si>
  <si>
    <t>3180000-102-2010-00005</t>
  </si>
  <si>
    <t xml:space="preserve">서울특별시 영등포구 영등포동3가 8-1번지 성남빌딩 A동 지하1층 </t>
  </si>
  <si>
    <t>3180000-102-2010-00006</t>
  </si>
  <si>
    <t xml:space="preserve">서울특별시 영등포구 영등포동1가 143-3번지 </t>
  </si>
  <si>
    <t>3180000-102-2010-00009</t>
  </si>
  <si>
    <t xml:space="preserve">서울특별시 영등포구 여의도동 44-16번지 지하1층 5호,6호 </t>
  </si>
  <si>
    <t>3180000-102-2010-00011</t>
  </si>
  <si>
    <t xml:space="preserve">서울특별시 영등포구 영등포동3가 7-25번지 델리타운 201호,205호,206호 </t>
  </si>
  <si>
    <t>서울특별시 영등포구 영중로10길 6 (영등포동3가,델리타운 201호,205호,206호)</t>
  </si>
  <si>
    <t>3180000-102-1983-02642</t>
  </si>
  <si>
    <t xml:space="preserve">서울특별시 영등포구 여의도동 43-13번지 충무빌딩 303.304 </t>
  </si>
  <si>
    <t>서울특별시 영등포구 여의대방로69길 7 (여의도동, 충무빌딩 303.304)</t>
  </si>
  <si>
    <t>3180000-102-1983-02682</t>
  </si>
  <si>
    <t xml:space="preserve">서울특별시 영등포구 영등포동3가 16-1번지 ,5 </t>
  </si>
  <si>
    <t>서울특별시 영등포구 영중로10길 18 (영등포동3가,,5)</t>
  </si>
  <si>
    <t>3180000-102-1983-02741</t>
  </si>
  <si>
    <t>3180000-102-1983-02621</t>
  </si>
  <si>
    <t xml:space="preserve">서울특별시 영등포구 영등포동2가 94-117번지 </t>
  </si>
  <si>
    <t>3180000-102-1984-02736</t>
  </si>
  <si>
    <t xml:space="preserve">서울특별시 영등포구 영등포동3가 3-8번지 </t>
  </si>
  <si>
    <t>3180000-102-1984-02766</t>
  </si>
  <si>
    <t xml:space="preserve">서울특별시 영등포구 영등포동2가 329-4번지 </t>
  </si>
  <si>
    <t>3180000-102-1984-02653</t>
  </si>
  <si>
    <t xml:space="preserve">서울특별시 영등포구 영등포동3가 20-3번지 </t>
  </si>
  <si>
    <t>3180000-102-1984-02646</t>
  </si>
  <si>
    <t>서울특별시 영등포구 여의도동 44-13 충무빌딩, 지하1층 6,7,8,9호</t>
  </si>
  <si>
    <t>서울특별시 영등포구 여의대방로69길 7, 충무빌딩 지하1층 6호,7호,8호,9호 (여의도동)</t>
  </si>
  <si>
    <t>3180000-102-1984-02739</t>
  </si>
  <si>
    <t xml:space="preserve">서울특별시 영등포구 영등포동5가 18-65번지 </t>
  </si>
  <si>
    <t>3180000-102-1984-02732</t>
  </si>
  <si>
    <t xml:space="preserve">서울특별시 영등포구 영등포동3가 1-6번지 </t>
  </si>
  <si>
    <t>3180000-102-1984-02767</t>
  </si>
  <si>
    <t>3180000-102-1984-02610</t>
  </si>
  <si>
    <t xml:space="preserve">서울특별시 영등포구 여의도동 45-3번지 유도회관 지하동 </t>
  </si>
  <si>
    <t>3180000-102-1984-02708</t>
  </si>
  <si>
    <t xml:space="preserve">서울특별시 영등포구 여의도동 44-13번지 15호 충무빌딩 305,306호 </t>
  </si>
  <si>
    <t>서울특별시 영등포구 여의대방로69길 7 (여의도동, 15호 충무빌딩 305,306호)</t>
  </si>
  <si>
    <t>3180000-102-1989-02627</t>
  </si>
  <si>
    <t xml:space="preserve">서울특별시 영등포구 여의도동 44-27번지 하남빌딩지하104,105호 </t>
  </si>
  <si>
    <t>3180000-102-1989-02590</t>
  </si>
  <si>
    <t xml:space="preserve">서울특별시 영등포구 여의도동 43-3번지 홍우빌딩 213동 </t>
  </si>
  <si>
    <t>3180000-102-1986-02616</t>
  </si>
  <si>
    <t>3180000-102-1986-02626</t>
  </si>
  <si>
    <t xml:space="preserve">서울특별시 영등포구 영등포동3가 12-16번지 </t>
  </si>
  <si>
    <t>3180000-102-1986-02630</t>
  </si>
  <si>
    <t xml:space="preserve">서울특별시 영등포구 여의도동 44-13번지 충무빌딩지하6,7동 </t>
  </si>
  <si>
    <t>서울특별시 영등포구 여의대방로69길 7 (여의도동, 충무빌딩지하6,7동)</t>
  </si>
  <si>
    <t>3180000-102-1985-02701</t>
  </si>
  <si>
    <t xml:space="preserve">서울특별시 영등포구 여의도동 44-32번지 지하101,102호 </t>
  </si>
  <si>
    <t>서울특별시 영등포구 여의대방로65길 지하 12 (여의도동, 지하101,102호)</t>
  </si>
  <si>
    <t>3180000-102-1985-02671</t>
  </si>
  <si>
    <t xml:space="preserve">서울특별시 영등포구 여의도동 36-4번지 오륜지하1층1,2호 </t>
  </si>
  <si>
    <t>3180000-102-1985-02680</t>
  </si>
  <si>
    <t xml:space="preserve">서울특별시 영등포구 영등포동3가 16-2번지 </t>
  </si>
  <si>
    <t>3180000-102-1985-02681</t>
  </si>
  <si>
    <t xml:space="preserve">서울특별시 영등포구 여의도동 35-5 여의도종합상가232,233 </t>
  </si>
  <si>
    <t>서울특별시 영등포구 여의나루로 42 (여의도동, 여의도종합상가232,233)</t>
  </si>
  <si>
    <t>3180000-102-1985-02697</t>
  </si>
  <si>
    <t xml:space="preserve">서울특별시 영등포구 영등포동3가 23-6번지 </t>
  </si>
  <si>
    <t>3180000-102-1985-02666</t>
  </si>
  <si>
    <t xml:space="preserve">서울특별시 영등포구 영등포동3가 11-13번지 </t>
  </si>
  <si>
    <t>3180000-102-1985-02656</t>
  </si>
  <si>
    <t xml:space="preserve">서울특별시 영등포구 여의도동 54-6번지 영창상가 지하104호 </t>
  </si>
  <si>
    <t>3180000-102-1985-02673</t>
  </si>
  <si>
    <t xml:space="preserve">서울특별시 영등포구 영등포동3가 3-9번지 </t>
  </si>
  <si>
    <t>3180000-102-1985-02592</t>
  </si>
  <si>
    <t>서울특별시 영등포구 여의도동 43-0번지 미원    4동    1호</t>
  </si>
  <si>
    <t>3180000-102-1985-02715</t>
  </si>
  <si>
    <t>3180000-102-1986-02704</t>
  </si>
  <si>
    <t xml:space="preserve">서울특별시 영등포구 여의도동 25-2번지 경호빌딩 지하101,102호 </t>
  </si>
  <si>
    <t>3180000-102-1986-02675</t>
  </si>
  <si>
    <t xml:space="preserve">서울특별시 영등포구 여의도동 45-18번지 가든빌딩 지하101호 </t>
  </si>
  <si>
    <t>3180000-102-1986-02593</t>
  </si>
  <si>
    <t xml:space="preserve">서울특별시 영등포구 영등포동3가 21-8번지 ,9 </t>
  </si>
  <si>
    <t>서울특별시 영등포구 영중로6길 16 (영등포동3가,,9)</t>
  </si>
  <si>
    <t>3180000-102-1986-02645</t>
  </si>
  <si>
    <t xml:space="preserve">서울특별시 영등포구 영등포동3가 14-1번지 </t>
  </si>
  <si>
    <t>3180000-102-1986-02690</t>
  </si>
  <si>
    <t>3180000-102-1986-02640</t>
  </si>
  <si>
    <t xml:space="preserve">서울특별시 영등포구 여의도동 44-14번지 경도상가지하1층 </t>
  </si>
  <si>
    <t>3180000-102-1986-02712</t>
  </si>
  <si>
    <t xml:space="preserve">서울특별시 영등포구 여의도동 44-13번지 충무빌딩지하1층 </t>
  </si>
  <si>
    <t>3180000-102-1986-02720</t>
  </si>
  <si>
    <t xml:space="preserve">서울특별시 영등포구 영등포동3가 16-1번지 </t>
  </si>
  <si>
    <t>3180000-102-1986-02635</t>
  </si>
  <si>
    <t xml:space="preserve">서울특별시 영등포구 여의도동 44-35번지 제일지하1층 </t>
  </si>
  <si>
    <t>3180000-102-1989-02678</t>
  </si>
  <si>
    <t xml:space="preserve">서울특별시 영등포구 여의도동 45-11 신한빌딩 지하1층 </t>
  </si>
  <si>
    <t>서울특별시 영등포구 국제금융로8길 25 (여의도동,신한빌딩 지하1층)</t>
  </si>
  <si>
    <t>3180000-102-1989-02743</t>
  </si>
  <si>
    <t xml:space="preserve">서울특별시 영등포구 여의도동 10-3번지 </t>
  </si>
  <si>
    <t>서울특별시 영등포구 은행로 62 (여의도동)</t>
  </si>
  <si>
    <t>3180000-102-1989-02639</t>
  </si>
  <si>
    <t xml:space="preserve">서울특별시 영등포구 영등포동3가 26-0번지 </t>
  </si>
  <si>
    <t>3180000-102-1989-02606</t>
  </si>
  <si>
    <t xml:space="preserve">서울특별시 영등포구 여의도동 43-2번지 </t>
  </si>
  <si>
    <t>3180000-102-1990-02588</t>
  </si>
  <si>
    <t xml:space="preserve">서울특별시 영등포구 영등포동3가 13-2번지 </t>
  </si>
  <si>
    <t>3180000-102-1990-02651</t>
  </si>
  <si>
    <t xml:space="preserve">서울특별시 영등포구 여의도동 44-32번지 </t>
  </si>
  <si>
    <t>3180000-102-1990-02707</t>
  </si>
  <si>
    <t xml:space="preserve">서울특별시 영등포구 영등포동3가 7-11번지 ,19호 </t>
  </si>
  <si>
    <t>3180000-102-1993-02668</t>
  </si>
  <si>
    <t>3180000-102-1986-02716</t>
  </si>
  <si>
    <t xml:space="preserve">서울특별시 영등포구 신길동 65-82 </t>
  </si>
  <si>
    <t>서울특별시 영등포구 영등포로 383 (신길동)</t>
  </si>
  <si>
    <t>3180000-102-1986-02709</t>
  </si>
  <si>
    <t xml:space="preserve">서울특별시 영등포구 여의도동 44-11번지 </t>
  </si>
  <si>
    <t>3180000-102-1986-02695</t>
  </si>
  <si>
    <t xml:space="preserve">서울특별시 영등포구 당산동5가 11-1번지 </t>
  </si>
  <si>
    <t>3180000-102-1986-02685</t>
  </si>
  <si>
    <t xml:space="preserve">서울특별시 영등포구 당산동5가 16-1번지 </t>
  </si>
  <si>
    <t>3180000-102-1986-02633</t>
  </si>
  <si>
    <t xml:space="preserve">서울특별시 영등포구 영등포동3가 20-0번지 </t>
  </si>
  <si>
    <t>3180000-102-1986-02722</t>
  </si>
  <si>
    <t>3180000-102-1986-02665</t>
  </si>
  <si>
    <t>서울특별시 영등포구 여의도동 44-2번지 태양빌딩 (208-218변경)동 220호</t>
  </si>
  <si>
    <t>서울특별시 영등포구 여의대방로67길 22 (208-218변경)동 220호 (여의도동,태양빌딩)</t>
  </si>
  <si>
    <t>3180000-102-1986-02711</t>
  </si>
  <si>
    <t>3180000-102-1986-02731</t>
  </si>
  <si>
    <t>3180000-102-1986-02719</t>
  </si>
  <si>
    <t xml:space="preserve">서울특별시 영등포구 영등포동3가 3-10번지 </t>
  </si>
  <si>
    <t>3180000-102-1986-02634</t>
  </si>
  <si>
    <t>3180000-102-1986-02734</t>
  </si>
  <si>
    <t xml:space="preserve">서울특별시 영등포구 영등포동3가 7-11번지 </t>
  </si>
  <si>
    <t>3180000-102-1986-12166</t>
  </si>
  <si>
    <t xml:space="preserve">서울특별시 영등포구 여의도동 36-4번지 </t>
  </si>
  <si>
    <t>3180000-102-1987-02738</t>
  </si>
  <si>
    <t>3180000-102-2006-00004</t>
  </si>
  <si>
    <t xml:space="preserve">서울특별시 영등포구 영등포동3가 5-3번지 </t>
  </si>
  <si>
    <t>서울특별시 영등포구 영중로10길 7 (영등포동3가)</t>
  </si>
  <si>
    <t>3180000-102-2006-00007</t>
  </si>
  <si>
    <t xml:space="preserve">서울특별시 영등포구 여의도동 44-35번지 지하3호 </t>
  </si>
  <si>
    <t>서울특별시 영등포구 여의대방로 379 (여의도동, 지하3호)</t>
  </si>
  <si>
    <t>3180000-102-2006-00009</t>
  </si>
  <si>
    <t xml:space="preserve">서울특별시 영등포구 영등포동3가 12-17번지 12-18 </t>
  </si>
  <si>
    <t>3180000-102-2007-00001</t>
  </si>
  <si>
    <t xml:space="preserve">서울특별시 영등포구 영등포동3가 11-16번지 </t>
  </si>
  <si>
    <t>서울특별시 영등포구 영중로4길 24 (영등포동3가)</t>
  </si>
  <si>
    <t>3180000-102-1999-13001</t>
  </si>
  <si>
    <t xml:space="preserve">서울특별시 영등포구 여의도동 45-5번지 대우오피스텔101,102,103 </t>
  </si>
  <si>
    <t>3180000-102-1999-13003</t>
  </si>
  <si>
    <t xml:space="preserve">서울특별시 영등포구 여의도동 44-26번지 중앙빌딩지하2호 </t>
  </si>
  <si>
    <t>3180000-102-1999-12709</t>
  </si>
  <si>
    <t xml:space="preserve">서울특별시 영등포구 문래동2가 21-6번지 (25-1,2) </t>
  </si>
  <si>
    <t>서울특별시 영등포구 경인로 727 (문래동2가,(25-1,2))</t>
  </si>
  <si>
    <t>3180000-102-2010-00014</t>
  </si>
  <si>
    <t>서울특별시 영등포구 여의도동 44-14 지하1층 2호</t>
  </si>
  <si>
    <t>서울특별시 영등포구 여의대방로 383, 지하1층 2호 (여의도동)</t>
  </si>
  <si>
    <t>3180000-102-2010-00015</t>
  </si>
  <si>
    <t xml:space="preserve">서울특별시 영등포구 여의도동 35-2번지 지하2층 10호 </t>
  </si>
  <si>
    <t>서울특별시 영등포구 국제금융로6길 30 (여의도동,지하2층 10호)</t>
  </si>
  <si>
    <t>3180000-102-2011-00001</t>
  </si>
  <si>
    <t xml:space="preserve">서울특별시 영등포구 영등포동3가 26 지상1층 </t>
  </si>
  <si>
    <t>3180000-102-2011-00002</t>
  </si>
  <si>
    <t xml:space="preserve">서울특별시 영등포구 영등포동3가 26 지하1층 </t>
  </si>
  <si>
    <t>3180000-102-2007-00002</t>
  </si>
  <si>
    <t>3180000-102-2007-00003</t>
  </si>
  <si>
    <t xml:space="preserve">서울특별시 영등포구 여의도동 44-32번지 지하105,106 </t>
  </si>
  <si>
    <t>서울특별시 영등포구 여의대방로65길 지하 12, 1층 105,106호 (여의도동)</t>
  </si>
  <si>
    <t>3180000-102-2000-02607</t>
  </si>
  <si>
    <t>3180000-102-2000-13050</t>
  </si>
  <si>
    <t xml:space="preserve">서울특별시 영등포구 영등포동5가 37-2번지 </t>
  </si>
  <si>
    <t>3180000-102-2000-13065</t>
  </si>
  <si>
    <t xml:space="preserve">서울특별시 영등포구 여의도동 45-5번지 지하8호 </t>
  </si>
  <si>
    <t>3180000-102-2000-02761</t>
  </si>
  <si>
    <t>3180000-102-2000-02713</t>
  </si>
  <si>
    <t xml:space="preserve">서울특별시 영등포구 여의도동 53-0번지 </t>
  </si>
  <si>
    <t>3180000-102-2022-00004</t>
  </si>
  <si>
    <t xml:space="preserve">서울특별시 영등포구 여의도동 43-1 유성빌딩 </t>
  </si>
  <si>
    <t>서울특별시 영등포구 여의대방로69길 28, 유성빌딩 지1층 1호 (여의도동)</t>
  </si>
  <si>
    <t>3180000-102-1993-02672</t>
  </si>
  <si>
    <t xml:space="preserve">서울특별시 영등포구 영등포동3가 6-3 </t>
  </si>
  <si>
    <t>서울특별시 영등포구 영중로10길 3-1 (영등포동3가)</t>
  </si>
  <si>
    <t>3180000-102-1994-02706</t>
  </si>
  <si>
    <t>서울특별시 영등포구 여의도동 35-5번지 종합상가 402호</t>
  </si>
  <si>
    <t>3180000-102-1996-02745</t>
  </si>
  <si>
    <t>3180000-102-1996-02614</t>
  </si>
  <si>
    <t xml:space="preserve">서울특별시 영등포구 여의도동 45-15번지 서림빌딩 지하6호 </t>
  </si>
  <si>
    <t>3180000-102-1996-02683</t>
  </si>
  <si>
    <t xml:space="preserve">서울특별시 영등포구 여의도동 45-3번지 유도회관지하2층 </t>
  </si>
  <si>
    <t>3180000-102-1996-02762</t>
  </si>
  <si>
    <t xml:space="preserve">서울특별시 영등포구 영등포동5가 19-0번지 </t>
  </si>
  <si>
    <t>3180000-102-1996-02679</t>
  </si>
  <si>
    <t xml:space="preserve">서울특별시 영등포구 여의도동 43-0번지 미원빌딩지하112 </t>
  </si>
  <si>
    <t>3180000-102-1996-02615</t>
  </si>
  <si>
    <t xml:space="preserve">서울특별시 영등포구 당산동6가 224-0번지 </t>
  </si>
  <si>
    <t>서울특별시 영등포구 양평로 32 (당산동6가)</t>
  </si>
  <si>
    <t>3180000-102-1997-02631</t>
  </si>
  <si>
    <t>3180000-102-1997-02605</t>
  </si>
  <si>
    <t xml:space="preserve">서울특별시 영등포구 여의도동 44-23번지 27.29 </t>
  </si>
  <si>
    <t>3180000-102-1998-02684</t>
  </si>
  <si>
    <t xml:space="preserve">서울특별시 영등포구 영등포동3가 17번지 2층 </t>
  </si>
  <si>
    <t>서울특별시 영등포구 영등포로42길 9 (영등포동3가, 2층)</t>
  </si>
  <si>
    <t>3180000-102-1998-02659</t>
  </si>
  <si>
    <t xml:space="preserve">서울특별시 영등포구 양평동4가 98-5번지 지하1층 </t>
  </si>
  <si>
    <t>서울특별시 영등포구 양평로 115 (양평동4가,지하1층)</t>
  </si>
  <si>
    <t>3180000-102-1998-02717</t>
  </si>
  <si>
    <t>서울특별시 영등포구 여의대방로 379 (여의도동,제일빌딩)</t>
  </si>
  <si>
    <t>3180000-102-1987-02742</t>
  </si>
  <si>
    <t xml:space="preserve">서울특별시 영등포구 영등포동3가 1-1번지 </t>
  </si>
  <si>
    <t>3180000-102-1987-02740</t>
  </si>
  <si>
    <t xml:space="preserve">서울특별시 영등포구 영등포동3가 23-4번지 </t>
  </si>
  <si>
    <t>3180000-102-1987-02667</t>
  </si>
  <si>
    <t>3180000-102-1987-02638</t>
  </si>
  <si>
    <t xml:space="preserve">서울특별시 영등포구 영등포동3가 10-38번지 </t>
  </si>
  <si>
    <t>3180000-102-1988-02663</t>
  </si>
  <si>
    <t>3180000-102-1989-02664</t>
  </si>
  <si>
    <t xml:space="preserve">서울특별시 영등포구 여의도동 35-0번지 한국노총지하 </t>
  </si>
  <si>
    <t>서울특별시 영등포구 국제금융로6길 26 (여의도동,한국노총지하)</t>
  </si>
  <si>
    <t>3180000-102-2001-14077</t>
  </si>
  <si>
    <t xml:space="preserve">서울특별시 영등포구 영등포동3가 14-0 2층 </t>
  </si>
  <si>
    <t>서울특별시 영등포구 영중로10길 32 (영등포동3가, 2층)</t>
  </si>
  <si>
    <t>3180000-102-1984-02699</t>
  </si>
  <si>
    <t xml:space="preserve">서울특별시 영등포구 여의도동 14-11 대하빌딩 지하1층 B10~11호 </t>
  </si>
  <si>
    <t>서울특별시 영등포구 국회대로70길 19 (여의도동, 대하빌딩 지하1층 B10~11호)</t>
  </si>
  <si>
    <t>3180000-102-2014-00001</t>
  </si>
  <si>
    <t xml:space="preserve">서울특별시 영등포구 영등포동3가 4-7번지 외1필지 지하1층 일부 </t>
  </si>
  <si>
    <t>서울특별시 영등포구 영등포로46길 4, 지하1층 (영등포동3가, 일부)</t>
  </si>
  <si>
    <t>3180000-102-2014-00002</t>
  </si>
  <si>
    <t xml:space="preserve">서울특별시 영등포구 영등포동3가 4-7번지 </t>
  </si>
  <si>
    <t>서울특별시 영등포구 영등포로46길 4, 지하1층 (영등포동3가)</t>
  </si>
  <si>
    <t>3180000-102-2014-00003</t>
  </si>
  <si>
    <t xml:space="preserve">서울특별시 영등포구 양평동1가 9-28번지 지하2층 </t>
  </si>
  <si>
    <t>서울특별시 영등포구 선유로 88-6 (양평동1가, 지하2층)</t>
  </si>
  <si>
    <t>3180000-102-2014-00004</t>
  </si>
  <si>
    <t>서울특별시 영등포구 여의도동 44-13 지하1층 003호</t>
  </si>
  <si>
    <t>서울특별시 영등포구 여의대방로69길 7, 지하1층 003호 (여의도동)</t>
  </si>
  <si>
    <t>3180000-102-2005-00001</t>
  </si>
  <si>
    <t xml:space="preserve">서울특별시 영등포구 영등포동3가 14-4번지 지하1층(전부) </t>
  </si>
  <si>
    <t>서울특별시 영등포구 영중로10길 36 (영등포동3가, 지하1층(전부))</t>
  </si>
  <si>
    <t>3180000-102-1977-02654</t>
  </si>
  <si>
    <t xml:space="preserve">서울특별시 영등포구 대림동 909-18번지 지하1층 </t>
  </si>
  <si>
    <t>서울특별시 영등포구 디지털로 463, 지하1층 (대림동)</t>
  </si>
  <si>
    <t>3180000-102-1978-02609</t>
  </si>
  <si>
    <t xml:space="preserve">서울특별시 영등포구 당산동1가 85-0 지하1 </t>
  </si>
  <si>
    <t>서울특별시 영등포구 영등포로 169-1, 지하1층 (당산동1가)</t>
  </si>
  <si>
    <t>3180000-102-2005-00004</t>
  </si>
  <si>
    <t xml:space="preserve">서울특별시 영등포구 영등포동3가 10-37 </t>
  </si>
  <si>
    <t>서울특별시 영등포구 영중로4길 12 (영등포동3가)</t>
  </si>
  <si>
    <t>3180000-102-2005-00007</t>
  </si>
  <si>
    <t xml:space="preserve">서울특별시 영등포구 영등포동3가 10-24 </t>
  </si>
  <si>
    <t>서울특별시 영등포구 영중로4길 6 (영등포동3가)</t>
  </si>
  <si>
    <t>3180000-102-2005-00010</t>
  </si>
  <si>
    <t xml:space="preserve">서울특별시 영등포구 영등포동3가 15-7번지 </t>
  </si>
  <si>
    <t>서울특별시 영등포구 영중로10길 28, 지하1층 (영등포동3가)</t>
  </si>
  <si>
    <t>3180000-102-2005-00013</t>
  </si>
  <si>
    <t xml:space="preserve">서울특별시 영등포구 영등포동3가 3-13번지 지하 </t>
  </si>
  <si>
    <t>서울특별시 영등포구 영등포로46길 3-1 (영등포동3가,지하)</t>
  </si>
  <si>
    <t>3180000-102-2005-00014</t>
  </si>
  <si>
    <t xml:space="preserve">서울특별시 영등포구 영등포동3가 23-8 </t>
  </si>
  <si>
    <t>서울특별시 영등포구 영중로4길 25, 지하층 (영등포동3가)</t>
  </si>
  <si>
    <t>3180000-102-2005-00015</t>
  </si>
  <si>
    <t xml:space="preserve">서울특별시 영등포구 영등포동3가 15-5번지 </t>
  </si>
  <si>
    <t>서울특별시 영등포구 영중로10길 32-2 (영등포동3가)</t>
  </si>
  <si>
    <t>3180000-102-1999-12753</t>
  </si>
  <si>
    <t xml:space="preserve">서울특별시 영등포구 영등포동5가 2-0 지하1층 </t>
  </si>
  <si>
    <t>서울특별시 영등포구 영등포로 237-1 (영등포동5가, 지하1층)</t>
  </si>
  <si>
    <t>3180000-102-2001-14126</t>
  </si>
  <si>
    <t xml:space="preserve">서울특별시 영등포구 영등포동3가 3-8 지하1층 </t>
  </si>
  <si>
    <t>서울특별시 영등포구 영중로10길 33 (영등포동3가, 지하1층)</t>
  </si>
  <si>
    <t>3180000-102-2001-02629</t>
  </si>
  <si>
    <t xml:space="preserve">서울특별시 영등포구 영등포동4가 145-1 </t>
  </si>
  <si>
    <t>서울특별시 영등포구 영등포로 198 (영등포동4가)</t>
  </si>
  <si>
    <t>3180000-102-2008-00003</t>
  </si>
  <si>
    <t xml:space="preserve">서울특별시 영등포구 영등포동3가 7-52 </t>
  </si>
  <si>
    <t>서울특별시 영등포구 영중로10길 10-1 (영등포동3가)</t>
  </si>
  <si>
    <t>3180000-102-1978-02622</t>
  </si>
  <si>
    <t>서울특별시 영등포구 여의도동 53-0 우정빌딩204호</t>
  </si>
  <si>
    <t>서울특별시 영등포구 여의대방로 394 (여의도동,우정빌딩204호)</t>
  </si>
  <si>
    <t>3180000-102-2008-00005</t>
  </si>
  <si>
    <t xml:space="preserve">서울특별시 영등포구 양평동4가 27-3 지하1층 </t>
  </si>
  <si>
    <t>서울특별시 영등포구 양평로 75 (양평동4가, 지하1층)</t>
  </si>
  <si>
    <t>3180000-102-2008-00007</t>
  </si>
  <si>
    <t xml:space="preserve">서울특별시 영등포구 영등포동3가 14-2번지 지하1층 </t>
  </si>
  <si>
    <t>서울특별시 영등포구 영중로10길 34-1 (영등포동3가, 지하1층)</t>
  </si>
  <si>
    <t>3180000-102-2008-00008</t>
  </si>
  <si>
    <t xml:space="preserve">서울특별시 영등포구 영등포동3가 23-1 2층 </t>
  </si>
  <si>
    <t>서울특별시 영등포구 영등포로50길 8-3 (영등포동3가, 2층)</t>
  </si>
  <si>
    <t>3180000-102-2001-13896</t>
  </si>
  <si>
    <t xml:space="preserve">서울특별시 영등포구 영등포동3가 13-3번지 지하1층 </t>
  </si>
  <si>
    <t>서울특별시 영등포구 영중로10길 42 (영등포동3가, 지하1층)</t>
  </si>
  <si>
    <t>3180000-102-2000-02730</t>
  </si>
  <si>
    <t xml:space="preserve">서울특별시 영등포구 당산동5가 33-9번지 지하1층 </t>
  </si>
  <si>
    <t>서울특별시 영등포구 양평로 61 (당산동5가, 지하1층)</t>
  </si>
  <si>
    <t>3180000-102-2004-00008</t>
  </si>
  <si>
    <t xml:space="preserve">서울특별시 영등포구 여의도동 45-15 서린빌딩 지하1층6호 </t>
  </si>
  <si>
    <t>서울특별시 영등포구 여의대방로65길 17 (여의도동,서린빌딩 지하1층6호)</t>
  </si>
  <si>
    <t>3180000-102-2010-00004</t>
  </si>
  <si>
    <t>서울특별시 영등포구 영등포동3가 7-25 델리타운 B01호</t>
  </si>
  <si>
    <t>서울특별시 영등포구 영중로10길 6, B01호 (영등포동3가,델리타운)</t>
  </si>
  <si>
    <t>3180000-102-2005-00017</t>
  </si>
  <si>
    <t xml:space="preserve">서울특별시 영등포구 영등포동3가 15-4번지 </t>
  </si>
  <si>
    <t>서울특별시 영등포구 영중로10길 30 (영등포동3가)</t>
  </si>
  <si>
    <t>3180000-102-2012-00006</t>
  </si>
  <si>
    <t xml:space="preserve">서울특별시 영등포구 여의도동 45-15 (서린빌딩 지하105호) </t>
  </si>
  <si>
    <t>서울특별시 영등포구 여의대방로65길 17 (여의도동, 서린빌딩 지하105호)</t>
  </si>
  <si>
    <t>3180000-102-2008-00010</t>
  </si>
  <si>
    <t>3180000-102-2008-00011</t>
  </si>
  <si>
    <t>서울특별시 영등포구 영등포로50길 8-4 (영등포동3가)</t>
  </si>
  <si>
    <t>3180000-102-2013-00001</t>
  </si>
  <si>
    <t xml:space="preserve">서울특별시 영등포구 영등포동3가 14-3번지 2층 </t>
  </si>
  <si>
    <t>서울특별시 영등포구 영중로10길 34-2, 2층 (영등포동3가)</t>
  </si>
  <si>
    <t>3180000-102-2000-13472</t>
  </si>
  <si>
    <t xml:space="preserve">서울특별시 영등포구 영등포동3가 13-1번지 </t>
  </si>
  <si>
    <t>3180000-102-2000-13473</t>
  </si>
  <si>
    <t xml:space="preserve">서울특별시 영등포구 신길동 69-6번지 지하1층 </t>
  </si>
  <si>
    <t>서울특별시 영등포구 영등포로 397-1 (신길동, 지하1층)</t>
  </si>
  <si>
    <t>3180000-102-2008-00012</t>
  </si>
  <si>
    <t>서울특별시 영등포구 영등포동3가 11-13</t>
  </si>
  <si>
    <t>서울특별시 영등포구 영중로4길 22-1 (영등포동3가)</t>
  </si>
  <si>
    <t>3180000-102-2000-13280</t>
  </si>
  <si>
    <t>서울특별시 영등포구 영등포동3가 17-4</t>
  </si>
  <si>
    <t>서울특별시 영등포구 영등포로46길 8 (영등포동3가)</t>
  </si>
  <si>
    <t>3180000-102-2000-13541</t>
  </si>
  <si>
    <t>서울특별시 영등포구 여의도동 35-5 331,332호</t>
  </si>
  <si>
    <t>서울특별시 영등포구 여의나루로 42, 331,332호 (여의도동)</t>
  </si>
  <si>
    <t>3180000-102-2000-13547</t>
  </si>
  <si>
    <t xml:space="preserve">서울특별시 영등포구 여의도동 35-2 백상빌딩 </t>
  </si>
  <si>
    <t>서울특별시 영등포구 국제금융로6길 30 (여의도동,백상빌딩)</t>
  </si>
  <si>
    <t>3180000-102-2000-13872</t>
  </si>
  <si>
    <t xml:space="preserve">서울특별시 영등포구 당산동6가 233-0 2층 </t>
  </si>
  <si>
    <t>서울특별시 영등포구 양평로 28, 2층 (당산동6가)</t>
  </si>
  <si>
    <t>3180000-102-2009-00008</t>
  </si>
  <si>
    <t xml:space="preserve">서울특별시 영등포구 영등포동3가 22-1 2층 </t>
  </si>
  <si>
    <t>서울특별시 영등포구 영중로4길 21, 2층 (영등포동3가)</t>
  </si>
  <si>
    <t>3180000-102-2003-00005</t>
  </si>
  <si>
    <t xml:space="preserve">서울특별시 영등포구 영등포동3가 17-9 스카이모텔 </t>
  </si>
  <si>
    <t>서울특별시 영등포구 영중로8길 13, 스카이모텔 지하1층 (영등포동3가)</t>
  </si>
  <si>
    <t>3180000-102-2003-00006</t>
  </si>
  <si>
    <t xml:space="preserve">서울특별시 영등포구 당산동6가 338-4 (지1층) </t>
  </si>
  <si>
    <t>서울특별시 영등포구 양평로 64-1 (당산동6가,(지1층))</t>
  </si>
  <si>
    <t>3180000-102-2003-00007</t>
  </si>
  <si>
    <t xml:space="preserve">서울특별시 영등포구 여의도동 45-20 동북빌딩 205,206호 </t>
  </si>
  <si>
    <t>서울특별시 영등포구 국제금융로8길 27-9 (여의도동, 동북빌딩 205,206호)</t>
  </si>
  <si>
    <t>3180000-102-2003-00009</t>
  </si>
  <si>
    <t xml:space="preserve">서울특별시 영등포구 영등포동3가 17-6 </t>
  </si>
  <si>
    <t>서울특별시 영등포구 영중로8길 17 (영등포동3가)</t>
  </si>
  <si>
    <t>3180000-102-2003-00010</t>
  </si>
  <si>
    <t xml:space="preserve">서울특별시 영등포구 여의도동 44-13번지 충무빌딩 지하4,5호 </t>
  </si>
  <si>
    <t>서울특별시 영등포구 여의대방로69길 지하 7, 4,5호 (여의도동, 충무빌딩)</t>
  </si>
  <si>
    <t>3180000-102-2019-00002</t>
  </si>
  <si>
    <t>서울특별시 영등포구 여의도동 43-3번지 홍우빌딩(지하1층) 제비1호</t>
  </si>
  <si>
    <t>서울특별시 영등포구 국제금융로 78, 홍우빌딩 지하1층 제비1호 (여의도동)</t>
  </si>
  <si>
    <t>3180000-102-2024-00002</t>
  </si>
  <si>
    <t>서울특별시 영등포구 여의도동 46-1 유창빌딩 b1호</t>
  </si>
  <si>
    <t>서울특별시 영등포구 여의대방로65길 13, 유창빌딩 지하층 b1호 (여의도동)</t>
  </si>
  <si>
    <t>3180000-102-2020-00001</t>
  </si>
  <si>
    <t>서울특별시 영등포구 국제금융로8길 19, 중앙빌딩 지하1층 B117호 (여의도동)</t>
  </si>
  <si>
    <t>3180000-102-2001-14137</t>
  </si>
  <si>
    <t xml:space="preserve">서울특별시 영등포구 당산동6가 338-5 </t>
  </si>
  <si>
    <t>서울특별시 영등포구 양평로 66 (당산동6가)</t>
  </si>
  <si>
    <t>3180000-102-2021-00004</t>
  </si>
  <si>
    <t xml:space="preserve">서울특별시 영등포구 여의도동 44-6 스타빌딩지하1층4-2호 </t>
  </si>
  <si>
    <t>서울특별시 영등포구 여의대방로67길 18, 스타빌딩 (여의도동)</t>
  </si>
  <si>
    <t>3180000-102-2021-00005</t>
  </si>
  <si>
    <t>3180000-102-2021-00006</t>
  </si>
  <si>
    <t>서울특별시 영등포구 여의도동 44-13 충무빌딩 213,214호</t>
  </si>
  <si>
    <t>3180000-102-2018-00002</t>
  </si>
  <si>
    <t>서울특별시 영등포구 여의도동 45-14 동북빌딩(지하1층) B102호</t>
  </si>
  <si>
    <t>서울특별시 영등포구 국제금융로8길 27-9, 동북빌딩 B102호 (여의도동)</t>
  </si>
  <si>
    <t>3180000-102-2021-00001</t>
  </si>
  <si>
    <t xml:space="preserve">서울특별시 영등포구 영등포동3가 8-1 성남빌딩 2층 </t>
  </si>
  <si>
    <t>서울특별시 영등포구 영중로8길 6, 성남빌딩 2층 (영등포동3가)</t>
  </si>
  <si>
    <t>3180000-102-2021-00002</t>
  </si>
  <si>
    <t>서울특별시 영등포구 여의대방로 379, 제일빌딩 지하1층 001,002호 (여의도동)</t>
  </si>
  <si>
    <t>3180000-102-2021-00003</t>
  </si>
  <si>
    <t xml:space="preserve">서울특별시 영등포구 여의도동 44-24 </t>
  </si>
  <si>
    <t>서울특별시 영등포구 여의대방로65길 20, 지하1층 102호 (여의도동)</t>
  </si>
  <si>
    <t>3180000-102-2022-00005</t>
  </si>
  <si>
    <t xml:space="preserve">서울특별시 영등포구 영등포동3가 15-3 </t>
  </si>
  <si>
    <t>서울특별시 영등포구 영중로10길 28-1, 3층 (영등포동3가)</t>
  </si>
  <si>
    <t>3180000-102-2022-00002</t>
  </si>
  <si>
    <t>서울특별시 영등포구 여의대방로69길 28, 유성빌딩 지1층 2호 (여의도동)</t>
  </si>
  <si>
    <t>3180000-102-2022-00003</t>
  </si>
  <si>
    <t>서울특별시 영등포구 여의대방로69길 28, 유성빌딩 지1층 8호 (여의도동)</t>
  </si>
  <si>
    <t>3180000-102-2023-00001</t>
  </si>
  <si>
    <t xml:space="preserve">서울특별시 영등포구 영등포동3가 15-4 </t>
  </si>
  <si>
    <t>서울특별시 영등포구 영중로10길 30, 2,3층 (영등포동3가)</t>
  </si>
  <si>
    <t>3180000-102-1993-02669</t>
  </si>
  <si>
    <t xml:space="preserve">서울특별시 영등포구 영등포동3가 9-23 지하1층 </t>
  </si>
  <si>
    <t>서울특별시 영등포구 영중로4길 3-1 (영등포동3가,지하1층)</t>
  </si>
  <si>
    <t>3180000-102-1997-02702</t>
  </si>
  <si>
    <t xml:space="preserve">서울특별시 영등포구 여의도동 44-35번지 지하13호 </t>
  </si>
  <si>
    <t>서울특별시 영등포구 여의대방로 379 (여의도동,지하13호)</t>
  </si>
  <si>
    <t>3180000-102-1998-02737</t>
  </si>
  <si>
    <t xml:space="preserve">서울특별시 영등포구 영등포동3가 16-2 지하1층 </t>
  </si>
  <si>
    <t>서울특별시 영등포구 영중로10길 20, 지하1층 (영등포동3가)</t>
  </si>
  <si>
    <t>3180000-102-1987-02764</t>
  </si>
  <si>
    <t xml:space="preserve">서울특별시 영등포구 영등포동3가 8-1번지 지하1~2층 </t>
  </si>
  <si>
    <t>서울특별시 영등포구 영중로8길 6 (영등포동3가, 지하1~2층)</t>
  </si>
  <si>
    <t>3180000-102-1988-02620</t>
  </si>
  <si>
    <t xml:space="preserve">서울특별시 영등포구 여의도동 44-14 </t>
  </si>
  <si>
    <t>서울특별시 영등포구 여의대방로 383 (여의도동)</t>
  </si>
  <si>
    <t>3180000-102-1985-02617</t>
  </si>
  <si>
    <t xml:space="preserve">서울특별시 영등포구 영등포동3가 21-19 지하1층(일부) </t>
  </si>
  <si>
    <t>3180000-102-1985-02718</t>
  </si>
  <si>
    <t xml:space="preserve">서울특별시 영등포구 영등포동3가 3-7 </t>
  </si>
  <si>
    <t>서울특별시 영등포구 영중로10길 35 (영등포동3가)</t>
  </si>
  <si>
    <t>3180000-102-1986-02650</t>
  </si>
  <si>
    <t xml:space="preserve">서울특별시 영등포구 양평동4가 27-4번지 지하1층 </t>
  </si>
  <si>
    <t>서울특별시 영등포구 양평로 77 (양평동4가, 지하1층)</t>
  </si>
  <si>
    <t>3180000-102-2006-00005</t>
  </si>
  <si>
    <t xml:space="preserve">서울특별시 영등포구 영등포동3가 25-1 </t>
  </si>
  <si>
    <t>서울특별시 영등포구 영중로8길 19, 지하1층 (영등포동3가)</t>
  </si>
  <si>
    <t>3180000-102-2007-00004</t>
  </si>
  <si>
    <t>서울특별시 영등포구 영등포동3가 20-2</t>
  </si>
  <si>
    <t>서울특별시 영등포구 영중로4길 7 (영등포동3가)</t>
  </si>
  <si>
    <t>3180000-102-2010-00013</t>
  </si>
  <si>
    <t>서울특별시 영등포구 영등포동3가 10-28 지하1층</t>
  </si>
  <si>
    <t>서울특별시 영등포구 영중로4길 8 (영등포동3가, 지하1층)</t>
  </si>
  <si>
    <t>3180000-102-2010-00012</t>
  </si>
  <si>
    <t>서울특별시 영등포구 영중로4길 8, 지하1층 (영등포동3가)</t>
  </si>
  <si>
    <t>3180000-102-2006-00006</t>
  </si>
  <si>
    <t xml:space="preserve">서울특별시 영등포구 영등포동3가 11-8번지 2층 </t>
  </si>
  <si>
    <t>서울특별시 영등포구 영중로4길 18 (영등포동3가,2층)</t>
  </si>
  <si>
    <t>3180000-102-2007-00005</t>
  </si>
  <si>
    <t>서울특별시 영등포구 영등포동3가 14-7</t>
  </si>
  <si>
    <t>서울특별시 영등포구 영중로10길 32-1 (영등포동3가)</t>
  </si>
  <si>
    <t>3180000-102-2006-00008</t>
  </si>
  <si>
    <t xml:space="preserve">서울특별시 영등포구 영등포동3가 5-6번지 외1필지 </t>
  </si>
  <si>
    <t>서울특별시 영등포구 영등포로 226-1 (영등포동3가,외1필지)</t>
  </si>
  <si>
    <t>3180000-102-2006-00010</t>
  </si>
  <si>
    <t xml:space="preserve">서울특별시 영등포구 영등포동3가 25 지하1층 </t>
  </si>
  <si>
    <t>서울특별시 영등포구 영등포로46길 7 (영등포동3가,지하1층)</t>
  </si>
  <si>
    <t>3180000-102-1999-12986</t>
  </si>
  <si>
    <t xml:space="preserve">서울특별시 영등포구 당산동5가 32-1 </t>
  </si>
  <si>
    <t>서울특별시 영등포구 양평로 51 (당산동5가)</t>
  </si>
  <si>
    <t>3180000-102-1999-02612</t>
  </si>
  <si>
    <t xml:space="preserve">서울특별시 영등포구 당산동2가 60-0번지 지하1층 </t>
  </si>
  <si>
    <t>서울특별시 영등포구 선유동1로 6-7, 지하1층 (당산동2가)</t>
  </si>
  <si>
    <t>3180000-102-2007-00006</t>
  </si>
  <si>
    <t xml:space="preserve">서울특별시 영등포구 영등포동3가 22-1 지상2층 </t>
  </si>
  <si>
    <t>3180000-102-2007-00007</t>
  </si>
  <si>
    <t xml:space="preserve">서울특별시 영등포구 여의도동 44-13 충무빌딩10호,11호(지하1층) </t>
  </si>
  <si>
    <t>서울특별시 영등포구 여의대방로69길 7 (여의도동, 충무빌딩10호,11호(지하1층))</t>
  </si>
  <si>
    <t>3180000-102-2000-13158</t>
  </si>
  <si>
    <t xml:space="preserve">서울특별시 영등포구 영등포동5가 18-1번지 4층 </t>
  </si>
  <si>
    <t>서울특별시 영등포구 영등포로 225 (영등포동5가, 4층)</t>
  </si>
  <si>
    <t>3180000-102-2000-02698</t>
  </si>
  <si>
    <t xml:space="preserve">서울특별시 영등포구 영등포동5가 24-0번지 </t>
  </si>
  <si>
    <t>서울특별시 영등포구 영등포로37길 4 (영등포동5가)</t>
  </si>
  <si>
    <t>3180000-102-2000-13244</t>
  </si>
  <si>
    <t xml:space="preserve">서울특별시 영등포구 영등포동3가 13-10 지하1층 </t>
  </si>
  <si>
    <t>서울특별시 영등포구 영중로4길 29 (영등포동3가, 지하1층)</t>
  </si>
  <si>
    <t>3180000-102-2011-00003</t>
  </si>
  <si>
    <t xml:space="preserve">서울특별시 영등포구 영등포동3가 23-9 지하1층(전체) </t>
  </si>
  <si>
    <t>서울특별시 영등포구 영중로6길 27-1 (영등포동3가,지하1층(전체))</t>
  </si>
  <si>
    <t>3180000-102-2008-00001</t>
  </si>
  <si>
    <t>서울특별시 영등포구 영중로10길 28-1 (영등포동3가)</t>
  </si>
  <si>
    <t>3180000-102-2002-00007</t>
  </si>
  <si>
    <t>서울특별시 영등포구 영등포동3가 13-2</t>
  </si>
  <si>
    <t>3180000-102-2008-00002</t>
  </si>
  <si>
    <t xml:space="preserve">서울특별시 영등포구 영등포동3가 13-11 지하1층 </t>
  </si>
  <si>
    <t>서울특별시 영등포구 영등포로50길 11 (영등포동3가, 지하1층)</t>
  </si>
  <si>
    <t>3180000-102-2001-14142</t>
  </si>
  <si>
    <t xml:space="preserve">서울특별시 영등포구 양평동4가 27-2 지하1층 </t>
  </si>
  <si>
    <t>서울특별시 영등포구 양평로 73, 지하1층 (양평동4가)</t>
  </si>
  <si>
    <t>3180000-102-2002-00001</t>
  </si>
  <si>
    <t xml:space="preserve">서울특별시 영등포구 영등포동3가 21-2 </t>
  </si>
  <si>
    <t>서울특별시 영등포구 영중로4길 9-2, 지하1층 (영등포동3가)</t>
  </si>
  <si>
    <t>3180000-102-2002-00006</t>
  </si>
  <si>
    <t xml:space="preserve">서울특별시 영등포구 신길동 95-62 지하1층 </t>
  </si>
  <si>
    <t>서울특별시 영등포구 영등포로 370 (신길동, 지하1층)</t>
  </si>
  <si>
    <t>3180000-102-2002-00005</t>
  </si>
  <si>
    <t xml:space="preserve">서울특별시 영등포구 영등포동3가 23-5 지하1층 </t>
  </si>
  <si>
    <t>서울특별시 영등포구 영등포로50길 12, 지하1층 (영등포동3가)</t>
  </si>
  <si>
    <t>3180000-102-2002-00012</t>
  </si>
  <si>
    <t xml:space="preserve">서울특별시 영등포구 당산동5가 33-8 대영빌딩 </t>
  </si>
  <si>
    <t>서울특별시 영등포구 양평로 59, 대영빌딩 지하1층 B-1, B-2호 (당산동5가)</t>
  </si>
  <si>
    <t>3180000-102-1978-02729</t>
  </si>
  <si>
    <t xml:space="preserve">서울특별시 영등포구 신길동 116-1 </t>
  </si>
  <si>
    <t>서울특별시 영등포구 도신로60길 1, 지하1층 (신길동)</t>
  </si>
  <si>
    <t>3180000-102-1979-02637</t>
  </si>
  <si>
    <t xml:space="preserve">서울특별시 영등포구 문래동1가 58-15번지 </t>
  </si>
  <si>
    <t>서울특별시 영등포구 경인로 728 (문래동1가)</t>
  </si>
  <si>
    <t>3180000-102-1980-02648</t>
  </si>
  <si>
    <t xml:space="preserve">서울특별시 영등포구 당산동2가 147-1 지하1층 </t>
  </si>
  <si>
    <t>서울특별시 영등포구 선유동1로 20, 지하1층 (당산동2가)</t>
  </si>
  <si>
    <t>3180000-102-1980-02623</t>
  </si>
  <si>
    <t xml:space="preserve">서울특별시 영등포구 대림동 990-6번지 </t>
  </si>
  <si>
    <t>서울특별시 영등포구 시흥대로177길 2 (대림동)</t>
  </si>
  <si>
    <t>3180000-102-2011-00007</t>
  </si>
  <si>
    <t xml:space="preserve">서울특별시 영등포구 여의도동 43번지 미원빌딩 316,317호 </t>
  </si>
  <si>
    <t>서울특별시 영등포구 국제금융로 공중 70, 3층 316,317호 (여의도동, 미원빌딩)</t>
  </si>
  <si>
    <t>3180000-102-2011-00008</t>
  </si>
  <si>
    <t xml:space="preserve">서울특별시 영등포구 여의도동 46-1 지하1층 </t>
  </si>
  <si>
    <t>서울특별시 영등포구 여의대방로65길 13 (여의도동,지하1층)</t>
  </si>
  <si>
    <t>3180000-102-2011-00009</t>
  </si>
  <si>
    <t xml:space="preserve">서울특별시 영등포구 영등포동3가 17-5 ,2층 </t>
  </si>
  <si>
    <t>서울특별시 영등포구 영등포로46길 10 (영등포동3가,,2층)</t>
  </si>
  <si>
    <t>3180000-102-2012-00003</t>
  </si>
  <si>
    <t xml:space="preserve">서울특별시 영등포구 영등포동3가 21-3번지 (지하1층) </t>
  </si>
  <si>
    <t>서울특별시 영등포구 영중로4길 9-4 (영등포동3가)</t>
  </si>
  <si>
    <t>3180000-102-2001-02589</t>
  </si>
  <si>
    <t xml:space="preserve">서울특별시 영등포구 영등포동8가 81-5 지하1층 </t>
  </si>
  <si>
    <t>서울특별시 영등포구 영중로42길 5 (영등포동8가, 지하1층)</t>
  </si>
  <si>
    <t>3180000-102-2001-14130</t>
  </si>
  <si>
    <t xml:space="preserve">서울특별시 영등포구 신길동 449-6 지하1층 </t>
  </si>
  <si>
    <t>서울특별시 영등포구 영등포로 406 (신길동, 지하1층)</t>
  </si>
  <si>
    <t>3180000-102-2001-14132</t>
  </si>
  <si>
    <t>서울특별시 영등포구 여의도동 43-3번지 홍우빌딩 2호</t>
  </si>
  <si>
    <t>서울특별시 영등포구 국제금융로 78, 홍우빌딩 지하1층 2호 (여의도동)</t>
  </si>
  <si>
    <t>3180000-102-2001-14135</t>
  </si>
  <si>
    <t xml:space="preserve">서울특별시 영등포구 신길동 449-22 신성빌딩 </t>
  </si>
  <si>
    <t>서울특별시 영등포구 영등포로 400, 신성빌딩 지하1층 (신길동)</t>
  </si>
  <si>
    <t>3180000-102-2019-00001</t>
  </si>
  <si>
    <t>서울특별시 영등포구 여의도동 44-23 하남빌딩 지하13호</t>
  </si>
  <si>
    <t>서울특별시 영등포구 의사당대로1길 25, 하남빌딩 지하1층 지하13호 (여의도동)</t>
  </si>
  <si>
    <t>3180000-102-2010-00007</t>
  </si>
  <si>
    <t xml:space="preserve">서울특별시 영등포구 영등포동3가 14-2 2층 </t>
  </si>
  <si>
    <t>서울특별시 영등포구 영중로10길 34-1 (영등포동3가,2층)</t>
  </si>
  <si>
    <t>3180000-102-2010-00008</t>
  </si>
  <si>
    <t xml:space="preserve">서울특별시 영등포구 영등포동3가 13-7 지하1층 </t>
  </si>
  <si>
    <t>3180000-102-2010-00010</t>
  </si>
  <si>
    <t>서울특별시 영등포구 여의도동 44-13번지 지하1층 12호</t>
  </si>
  <si>
    <t>서울특별시 영등포구 여의대방로69길 7, 12호 (여의도동,지하1층)</t>
  </si>
  <si>
    <t>3180000-102-2004-00001</t>
  </si>
  <si>
    <t>3180000-102-2004-00006</t>
  </si>
  <si>
    <t xml:space="preserve">서울특별시 영등포구 여의도동 44-6번지 스타빌딩 4층 </t>
  </si>
  <si>
    <t>서울특별시 영등포구 여의대방로67길 18 (여의도동,스타빌딩 4층)</t>
  </si>
  <si>
    <t>3180000-102-2006-00001</t>
  </si>
  <si>
    <t xml:space="preserve">서울특별시 영등포구 영등포동3가 12-19 </t>
  </si>
  <si>
    <t>서울특별시 영등포구 영중로4길 32 (영등포동3가)</t>
  </si>
  <si>
    <t>3180000-102-2012-00001</t>
  </si>
  <si>
    <t>서울특별시 영등포구 영등포동3가 16</t>
  </si>
  <si>
    <t>서울특별시 영등포구 영중로10길 16, 지하1층 (영등포동3가)</t>
  </si>
  <si>
    <t>3180000-102-2015-00006</t>
  </si>
  <si>
    <t xml:space="preserve">서울특별시 영등포구 여의도동 44-32 에리트빌팅 지하101,102,103호 </t>
  </si>
  <si>
    <t>서울특별시 영등포구 여의대방로65길 12 (여의도동, 에리트빌딩 지하101,102,103호)</t>
  </si>
  <si>
    <t>3180000-102-2017-00001</t>
  </si>
  <si>
    <t xml:space="preserve">서울특별시 영등포구 여의도동 45-15 서린빌딩, 지하1층 3호7호 </t>
  </si>
  <si>
    <t>서울특별시 영등포구 여의대방로65길 17 (여의도동, 서린빌딩, 지하1층 3호7호)</t>
  </si>
  <si>
    <t>3180000-102-2017-00002</t>
  </si>
  <si>
    <t xml:space="preserve">서울특별시 영등포구 여의도동 44-16번지 외교빌딩 지하1층3호 </t>
  </si>
  <si>
    <t>서울특별시 영등포구 여의대방로67길 10 (여의도동, 외교빌딩 지하1층3호)</t>
  </si>
  <si>
    <t>3180000-102-2018-00001</t>
  </si>
  <si>
    <t>서울특별시 영등포구 영등포로42길 9-1, 지하1층 (영등포동3가)</t>
  </si>
  <si>
    <t>3180000-102-2001-02693</t>
  </si>
  <si>
    <t xml:space="preserve">서울특별시 영등포구 여의도동 35-2 백상빌딩 지하13~15호 </t>
  </si>
  <si>
    <t>서울특별시 영등포구 국제금융로6길 30 (여의도동,백상빌딩 지하13~15호)</t>
  </si>
  <si>
    <t>3180000-102-2009-00001</t>
  </si>
  <si>
    <t xml:space="preserve">서울특별시 영등포구 영등포동3가 13 지하1층 </t>
  </si>
  <si>
    <t>서울특별시 영등포구 영등포로50길 5 (영등포동3가,지하1층)</t>
  </si>
  <si>
    <t>3180000-102-2001-02658</t>
  </si>
  <si>
    <t xml:space="preserve">서울특별시 영등포구 여의도동 35-2번지 백상빌딩 008호 </t>
  </si>
  <si>
    <t>서울특별시 영등포구 국제금융로6길 30 (여의도동,백상빌딩 008호)</t>
  </si>
  <si>
    <t>3190000-102-2002-00004</t>
  </si>
  <si>
    <t xml:space="preserve">서울특별시 동작구 노량진동 35-1 </t>
  </si>
  <si>
    <t>서울특별시 동작구 노량진로8길 33 (노량진동)</t>
  </si>
  <si>
    <t>3190000-102-2002-00005</t>
  </si>
  <si>
    <t xml:space="preserve">서울특별시 동작구 사당동 147-77번지 </t>
  </si>
  <si>
    <t>서울특별시 동작구 동작대로27가길 46-3 (사당동)</t>
  </si>
  <si>
    <t>3190000-102-2002-00002</t>
  </si>
  <si>
    <t xml:space="preserve">서울특별시 동작구 상도동 365-1번지 지하1층 </t>
  </si>
  <si>
    <t>서울특별시 동작구 상도로 179 (상도동, 지하1층)</t>
  </si>
  <si>
    <t>3190000-102-2018-00001</t>
  </si>
  <si>
    <t xml:space="preserve">서울특별시 동작구 노량진동 60-29 리바트가구 </t>
  </si>
  <si>
    <t>서울특별시 동작구 노량진로 125, 2층,3층 (노량진동)</t>
  </si>
  <si>
    <t>3180000-102-2009-00005</t>
  </si>
  <si>
    <t>서울특별시 영등포구 영등포동3가 14-7 (2층)</t>
  </si>
  <si>
    <t>서울특별시 영등포구 영중로10길 32-1 (영등포동3가,(2층))</t>
  </si>
  <si>
    <t>3180000-102-2009-00002</t>
  </si>
  <si>
    <t>서울특별시 영등포구 영등포동3가 3-4 지하1층</t>
  </si>
  <si>
    <t>서울특별시 영등포구 영등포로 248 (영등포동3가,지하1층)</t>
  </si>
  <si>
    <t>3180000-102-2001-14140</t>
  </si>
  <si>
    <t>서울특별시 영등포구 영등포동3가 23-1 지하1층 전체</t>
  </si>
  <si>
    <t>서울특별시 영등포구 영등포로50길 8-3, 지하1층 전체 (영등포동3가)</t>
  </si>
  <si>
    <t>3190000-102-2002-00003</t>
  </si>
  <si>
    <t>서울특별시 동작구 사당동 1019-38 삼산빌딩</t>
  </si>
  <si>
    <t>서울특별시 동작구 동작대로 55, 삼산빌딩 지하1층 (사당동)</t>
  </si>
  <si>
    <t>3190000-102-2000-07634</t>
  </si>
  <si>
    <t xml:space="preserve">서울특별시 동작구 사당동 144-7 </t>
  </si>
  <si>
    <t>서울특별시 동작구 동작대로25길 37 (사당동)</t>
  </si>
  <si>
    <t>3190000-102-2000-07635</t>
  </si>
  <si>
    <t xml:space="preserve">서울특별시 동작구 노량진동 28-7 </t>
  </si>
  <si>
    <t>서울특별시 동작구 노량진로 90 (노량진동)</t>
  </si>
  <si>
    <t>3190000-102-2000-07644</t>
  </si>
  <si>
    <t xml:space="preserve">서울특별시 동작구 사당동 147-76 </t>
  </si>
  <si>
    <t>서울특별시 동작구 사당로 303 (사당동)</t>
  </si>
  <si>
    <t>3210000-102-2000-14966</t>
  </si>
  <si>
    <t xml:space="preserve">서울특별시 서초구 잠원동 21-2번지 </t>
  </si>
  <si>
    <t>서울특별시 서초구 강남대로 601 (잠원동)</t>
  </si>
  <si>
    <t>3190000-102-2000-07694</t>
  </si>
  <si>
    <t xml:space="preserve">서울특별시 동작구 사당동 147-75번지 </t>
  </si>
  <si>
    <t>서울특별시 동작구 동작대로27가길 45 (사당동)</t>
  </si>
  <si>
    <t>3190000-102-1973-01869</t>
  </si>
  <si>
    <t xml:space="preserve">서울특별시 동작구 상도동 365-1 </t>
  </si>
  <si>
    <t>서울특별시 동작구 상도로 179 (상도동)</t>
  </si>
  <si>
    <t>3190000-102-1975-01855</t>
  </si>
  <si>
    <t xml:space="preserve">서울특별시 동작구 사당동 321-114번지 </t>
  </si>
  <si>
    <t>서울특별시 동작구 사당로 252 (사당동)</t>
  </si>
  <si>
    <t>3190000-102-1980-00779</t>
  </si>
  <si>
    <t xml:space="preserve">서울특별시 동작구 상도동 328-13 </t>
  </si>
  <si>
    <t>서울특별시 동작구 상도로 95-1 (상도동)</t>
  </si>
  <si>
    <t>3190000-102-1989-01875</t>
  </si>
  <si>
    <t xml:space="preserve">서울특별시 동작구 흑석동 107번지 </t>
  </si>
  <si>
    <t>서울특별시 동작구 흑석로 124-1, 지하1층 (흑석동)</t>
  </si>
  <si>
    <t>3190000-102-1993-01881</t>
  </si>
  <si>
    <t xml:space="preserve">서울특별시 동작구 사당동 1031-37 </t>
  </si>
  <si>
    <t>서울특별시 동작구 동작대로7길 5 (사당동)</t>
  </si>
  <si>
    <t>3190000-102-1993-01850</t>
  </si>
  <si>
    <t xml:space="preserve">서울특별시 동작구 노량진동 231-115번지 </t>
  </si>
  <si>
    <t>서울특별시 동작구 장승배기로 135 (노량진동)</t>
  </si>
  <si>
    <t>3190000-102-1994-01882</t>
  </si>
  <si>
    <t xml:space="preserve">서울특별시 동작구 사당동 133-4 </t>
  </si>
  <si>
    <t>서울특별시 동작구 동작대로27길 6 (사당동)</t>
  </si>
  <si>
    <t>3190000-102-1999-07311</t>
  </si>
  <si>
    <t xml:space="preserve">서울특별시 동작구 사당동 148-12 </t>
  </si>
  <si>
    <t>서울특별시 동작구 사당로 293 (사당동)</t>
  </si>
  <si>
    <t>3190000-102-1999-01853</t>
  </si>
  <si>
    <t xml:space="preserve">서울특별시 동작구 상도동 329-4번지 </t>
  </si>
  <si>
    <t>서울특별시 동작구 상도로 99 (상도동)</t>
  </si>
  <si>
    <t>3190000-102-1999-07424</t>
  </si>
  <si>
    <t xml:space="preserve">서울특별시 동작구 노량진동 31-13번지 </t>
  </si>
  <si>
    <t>서울특별시 동작구 노량진로8길 27 (노량진동)</t>
  </si>
  <si>
    <t>3190000-102-1999-07453</t>
  </si>
  <si>
    <t xml:space="preserve">서울특별시 동작구 사당동 147-102 </t>
  </si>
  <si>
    <t>서울특별시 동작구 사당로 307 (사당동)</t>
  </si>
  <si>
    <t>3190000-102-1999-07492</t>
  </si>
  <si>
    <t xml:space="preserve">서울특별시 동작구 노량진동 39-26번지 </t>
  </si>
  <si>
    <t>서울특별시 동작구 노량진로8길 49 (노량진동)</t>
  </si>
  <si>
    <t>3190000-102-1994-01854</t>
  </si>
  <si>
    <t>서울특별시 동작구 상도동 369-6 ,13호</t>
  </si>
  <si>
    <t>서울특별시 동작구 장승배기로10길 9 (상도동,,13호)</t>
  </si>
  <si>
    <t>3190000-102-1999-07519</t>
  </si>
  <si>
    <t xml:space="preserve">서울특별시 동작구 사당동 1031-25번지 </t>
  </si>
  <si>
    <t>서울특별시 동작구 동작대로3길 8 (사당동)</t>
  </si>
  <si>
    <t>3190000-102-1999-07539</t>
  </si>
  <si>
    <t xml:space="preserve">서울특별시 동작구 사당동 1030-18 </t>
  </si>
  <si>
    <t>서울특별시 동작구 동작대로7길 4 (사당동)</t>
  </si>
  <si>
    <t>3190000-102-2000-07611</t>
  </si>
  <si>
    <t xml:space="preserve">서울특별시 동작구 사당동 148-10번지 </t>
  </si>
  <si>
    <t>서울특별시 동작구 사당로 287 (사당동)</t>
  </si>
  <si>
    <t>3190000-102-2000-07625</t>
  </si>
  <si>
    <t xml:space="preserve">서울특별시 동작구 사당동 1019-55번지 </t>
  </si>
  <si>
    <t>서울특별시 동작구 동작대로 45 (사당동)</t>
  </si>
  <si>
    <t>3190000-102-2000-07620</t>
  </si>
  <si>
    <t xml:space="preserve">서울특별시 동작구 사당동 1031-26 </t>
  </si>
  <si>
    <t>서울특별시 동작구 동작대로3길 6 (사당동)</t>
  </si>
  <si>
    <t>3190000-102-1999-07216</t>
  </si>
  <si>
    <t xml:space="preserve">서울특별시 동작구 노량진동 36-5번지 지하1층 </t>
  </si>
  <si>
    <t>서울특별시 동작구 노량진로8길 35, 지하1층 (노량진동)</t>
  </si>
  <si>
    <t>3190000-102-1994-01865</t>
  </si>
  <si>
    <t xml:space="preserve">서울특별시 동작구 사당동 1031-39번지 </t>
  </si>
  <si>
    <t>서울특별시 동작구 동작대로 39 (사당동)</t>
  </si>
  <si>
    <t>3190000-102-1994-01866</t>
  </si>
  <si>
    <t xml:space="preserve">서울특별시 동작구 신대방동 347-13번지 </t>
  </si>
  <si>
    <t>서울특별시 동작구 보라매로 106 (신대방동)</t>
  </si>
  <si>
    <t>3190000-102-1994-01874</t>
  </si>
  <si>
    <t xml:space="preserve">서울특별시 동작구 상도동 348-170번지 </t>
  </si>
  <si>
    <t>서울특별시 동작구 상도로 105 (상도동)</t>
  </si>
  <si>
    <t>3190000-102-1994-01857</t>
  </si>
  <si>
    <t xml:space="preserve">서울특별시 동작구 신대방동 607-26번지 </t>
  </si>
  <si>
    <t>서울특별시 동작구 시흥대로 654 (신대방동)</t>
  </si>
  <si>
    <t>3190000-102-1994-01861</t>
  </si>
  <si>
    <t xml:space="preserve">서울특별시 동작구 사당동 1003-39번지 </t>
  </si>
  <si>
    <t>서울특별시 동작구 사당로 286 (사당동)</t>
  </si>
  <si>
    <t>3190000-102-1994-01870</t>
  </si>
  <si>
    <t xml:space="preserve">서울특별시 동작구 사당동 147-99번지 </t>
  </si>
  <si>
    <t>서울특별시 동작구 동작대로 105 (사당동)</t>
  </si>
  <si>
    <t>3190000-102-1999-07215</t>
  </si>
  <si>
    <t xml:space="preserve">서울특별시 동작구 사당동 147-100 </t>
  </si>
  <si>
    <t>서울특별시 동작구 동작대로 103 (사당동)</t>
  </si>
  <si>
    <t>3190000-102-2018-00002</t>
  </si>
  <si>
    <t xml:space="preserve">서울특별시 동작구 사당동 144-3번지 </t>
  </si>
  <si>
    <t>서울특별시 동작구 동작대로27가길 46-5, 지하1층 (사당동)</t>
  </si>
  <si>
    <t>3190000-102-2000-07601</t>
  </si>
  <si>
    <t xml:space="preserve">서울특별시 동작구 사당동 135-8번지 </t>
  </si>
  <si>
    <t>3190000-102-2000-07632</t>
  </si>
  <si>
    <t>서울특별시 동작구 동작대로27가길 46-5 (사당동)</t>
  </si>
  <si>
    <t>3190000-102-1994-01873</t>
  </si>
  <si>
    <t xml:space="preserve">서울특별시 동작구 상도동 328-7번지 </t>
  </si>
  <si>
    <t>서울특별시 동작구 상도로 93 (상도동)</t>
  </si>
  <si>
    <t>3190000-102-1994-01864</t>
  </si>
  <si>
    <t xml:space="preserve">서울특별시 동작구 사당동 147-48번지 </t>
  </si>
  <si>
    <t>서울특별시 동작구 사당로 308 (사당동)</t>
  </si>
  <si>
    <t>3190000-102-1994-01897</t>
  </si>
  <si>
    <t xml:space="preserve">서울특별시 동작구 상도동 183-17 </t>
  </si>
  <si>
    <t>서울특별시 동작구 상도로 166 (상도동)</t>
  </si>
  <si>
    <t>3190000-102-1994-01867</t>
  </si>
  <si>
    <t xml:space="preserve">서울특별시 동작구 사당동 135-3번지 </t>
  </si>
  <si>
    <t>3190000-102-1994-01858</t>
  </si>
  <si>
    <t xml:space="preserve">서울특별시 동작구 노량진동 231-75번지 </t>
  </si>
  <si>
    <t>3190000-102-1994-01859</t>
  </si>
  <si>
    <t xml:space="preserve">서울특별시 동작구 신대방동 355-8번지 </t>
  </si>
  <si>
    <t>서울특별시 동작구 여의대방로24길 130 (신대방동)</t>
  </si>
  <si>
    <t>3190000-102-1994-01860</t>
  </si>
  <si>
    <t xml:space="preserve">서울특별시 동작구 사당동 252-23번지 </t>
  </si>
  <si>
    <t>3190000-102-1994-01862</t>
  </si>
  <si>
    <t xml:space="preserve">서울특별시 동작구 상도동 325-8번지 </t>
  </si>
  <si>
    <t>서울특별시 동작구 상도로 92 (상도동)</t>
  </si>
  <si>
    <t>3190000-102-1994-01879</t>
  </si>
  <si>
    <t xml:space="preserve">서울특별시 동작구 신대방동 349-3번지 </t>
  </si>
  <si>
    <t>서울특별시 동작구 여의대방로22길 136 (신대방동)</t>
  </si>
  <si>
    <t>3190000-102-1999-07104</t>
  </si>
  <si>
    <t xml:space="preserve">서울특별시 동작구 노량진동 266-4번지 </t>
  </si>
  <si>
    <t>3190000-102-1999-07110</t>
  </si>
  <si>
    <t xml:space="preserve">서울특별시 동작구 노량진동 29-6번지 </t>
  </si>
  <si>
    <t>3190000-102-2000-07833</t>
  </si>
  <si>
    <t xml:space="preserve">서울특별시 동작구 사당동 1007-3번지 </t>
  </si>
  <si>
    <t>3190000-102-2001-08119</t>
  </si>
  <si>
    <t xml:space="preserve">서울특별시 동작구 사당동 1031-28번지 </t>
  </si>
  <si>
    <t>서울특별시 동작구 동작대로 25 (사당동)</t>
  </si>
  <si>
    <t>3190000-102-2001-08187</t>
  </si>
  <si>
    <t xml:space="preserve">서울특별시 동작구 사당동 1031-30 </t>
  </si>
  <si>
    <t>서울특별시 동작구 동작대로 29 (사당동)</t>
  </si>
  <si>
    <t>3190000-102-2000-07793</t>
  </si>
  <si>
    <t xml:space="preserve">서울특별시 동작구 사당동 149-3번지 </t>
  </si>
  <si>
    <t>3190000-102-2000-07818</t>
  </si>
  <si>
    <t xml:space="preserve">서울특별시 동작구 노량진동 141-0번지 </t>
  </si>
  <si>
    <t>3190000-102-2000-07883</t>
  </si>
  <si>
    <t xml:space="preserve">서울특별시 동작구 사당동 144-18번지 </t>
  </si>
  <si>
    <t>3190000-102-2000-07970</t>
  </si>
  <si>
    <t xml:space="preserve">서울특별시 동작구 사당동 134-2번지 </t>
  </si>
  <si>
    <t>3190000-102-2000-07983</t>
  </si>
  <si>
    <t>3190000-102-2001-08244</t>
  </si>
  <si>
    <t xml:space="preserve">서울특별시 동작구 사당동 147-110번지 </t>
  </si>
  <si>
    <t>3190000-102-2001-08246</t>
  </si>
  <si>
    <t xml:space="preserve">서울특별시 동작구 노량진동 40-34번지 </t>
  </si>
  <si>
    <t>3190000-102-2001-08247</t>
  </si>
  <si>
    <t xml:space="preserve">서울특별시 동작구 노량진동 31-15번지 </t>
  </si>
  <si>
    <t>3190000-102-2002-00001</t>
  </si>
  <si>
    <t xml:space="preserve">서울특별시 동작구 노량진동 34-2번지 </t>
  </si>
  <si>
    <t>3190000-102-2008-00001</t>
  </si>
  <si>
    <t>3190000-102-2010-00001</t>
  </si>
  <si>
    <t xml:space="preserve">서울특별시 동작구 노량진동 72-3 외5필지 A호 </t>
  </si>
  <si>
    <t>서울특별시 동작구 노량진로 148-3 (노량진동,외5필지 A호)</t>
  </si>
  <si>
    <t>3190000-102-2012-00001</t>
  </si>
  <si>
    <t xml:space="preserve">서울특별시 동작구 노량진동 70-15번지 지하1층 </t>
  </si>
  <si>
    <t>서울특별시 동작구 노량진로 152 (노량진동, 지하1층)</t>
  </si>
  <si>
    <t>3190000-102-2000-07689</t>
  </si>
  <si>
    <t xml:space="preserve">서울특별시 동작구 노량진동 148-87번지 </t>
  </si>
  <si>
    <t>3190000-102-2000-07737</t>
  </si>
  <si>
    <t xml:space="preserve">서울특별시 동작구 사당동 1042-7번지 </t>
  </si>
  <si>
    <t>3190000-102-2000-07776</t>
  </si>
  <si>
    <t xml:space="preserve">서울특별시 동작구 사당동 1019-42 </t>
  </si>
  <si>
    <t>서울특별시 동작구 동작대로 53 (사당동)</t>
  </si>
  <si>
    <t>3190000-102-1971-01899</t>
  </si>
  <si>
    <t xml:space="preserve">서울특별시 동작구 노량진동 45-31번지 </t>
  </si>
  <si>
    <t>3190000-102-1973-01901</t>
  </si>
  <si>
    <t xml:space="preserve">서울특별시 동작구 노량진동 27-11번지 </t>
  </si>
  <si>
    <t>서울특별시 동작구 노량진로 92 (노량진동)</t>
  </si>
  <si>
    <t>3190000-102-1973-01900</t>
  </si>
  <si>
    <t xml:space="preserve">서울특별시 동작구 노량진동 312-6번지 </t>
  </si>
  <si>
    <t>3190000-102-1975-01871</t>
  </si>
  <si>
    <t xml:space="preserve">서울특별시 동작구 노량진동 60-15번지 </t>
  </si>
  <si>
    <t>3190000-102-1977-01898</t>
  </si>
  <si>
    <t xml:space="preserve">서울특별시 동작구 사당동 135-1번지 </t>
  </si>
  <si>
    <t>3190000-102-1978-01868</t>
  </si>
  <si>
    <t xml:space="preserve">서울특별시 동작구 신대방동 607-28 </t>
  </si>
  <si>
    <t>서울특별시 동작구 시흥대로 646, 지하1층 (신대방동)</t>
  </si>
  <si>
    <t>3190000-102-1984-01876</t>
  </si>
  <si>
    <t>3190000-102-1986-01877</t>
  </si>
  <si>
    <t xml:space="preserve">서울특별시 동작구 사당동 1019-46번지 </t>
  </si>
  <si>
    <t>서울특별시 동작구 동작대로 49 (사당동)</t>
  </si>
  <si>
    <t>3190000-102-1986-01878</t>
  </si>
  <si>
    <t xml:space="preserve">서울특별시 동작구 노량진동 60-20번지 </t>
  </si>
  <si>
    <t>3190000-102-1987-01851</t>
  </si>
  <si>
    <t xml:space="preserve">서울특별시 동작구 노량진동 198번지 </t>
  </si>
  <si>
    <t>3190000-102-1988-01872</t>
  </si>
  <si>
    <t xml:space="preserve">서울특별시 동작구 노량진동 307-15번지 </t>
  </si>
  <si>
    <t>3190000-102-1988-01880</t>
  </si>
  <si>
    <t xml:space="preserve">서울특별시 동작구 사당동 1031-36번지 </t>
  </si>
  <si>
    <t>3190000-102-1988-01848</t>
  </si>
  <si>
    <t xml:space="preserve">서울특별시 동작구 사당동 1007-50번지 </t>
  </si>
  <si>
    <t>3190000-102-1989-01856</t>
  </si>
  <si>
    <t xml:space="preserve">서울특별시 동작구 사당동 147-4번지 </t>
  </si>
  <si>
    <t>3190000-102-1991-01863</t>
  </si>
  <si>
    <t xml:space="preserve">서울특별시 동작구 상도동 186-5번지 </t>
  </si>
  <si>
    <t>3190000-102-1993-01849</t>
  </si>
  <si>
    <t xml:space="preserve">서울특별시 동작구 사당동 1031-27번지 </t>
  </si>
  <si>
    <t>3190000-102-1999-07371</t>
  </si>
  <si>
    <t xml:space="preserve">서울특별시 동작구 대방동 336-5번지 </t>
  </si>
  <si>
    <t>3190000-102-1999-07260</t>
  </si>
  <si>
    <t xml:space="preserve">서울특별시 동작구 노량진동 72-16번지 </t>
  </si>
  <si>
    <t>3190000-102-1999-07315</t>
  </si>
  <si>
    <t xml:space="preserve">서울특별시 동작구 사당동 147-28번지 </t>
  </si>
  <si>
    <t>3190000-102-1999-07374</t>
  </si>
  <si>
    <t>서울특별시 동작구 사당로 295 (사당동)</t>
  </si>
  <si>
    <t>3190000-102-1999-07419</t>
  </si>
  <si>
    <t xml:space="preserve">서울특별시 동작구 노량진동 35-1번지 </t>
  </si>
  <si>
    <t>3190000-102-1999-01852</t>
  </si>
  <si>
    <t xml:space="preserve">서울특별시 동작구 사당동 1042-19번지 </t>
  </si>
  <si>
    <t>3190000-102-1999-07425</t>
  </si>
  <si>
    <t>3190000-102-1999-07440</t>
  </si>
  <si>
    <t xml:space="preserve">서울특별시 동작구 사당동 147-41번지 </t>
  </si>
  <si>
    <t>서울특별시 동작구 동작대로27가길 48 (사당동)</t>
  </si>
  <si>
    <t>3190000-102-1999-07478</t>
  </si>
  <si>
    <t>3190000-102-2000-07587</t>
  </si>
  <si>
    <t xml:space="preserve">서울특별시 동작구 노량진동 41-9번지 </t>
  </si>
  <si>
    <t>3190000-102-2000-07591</t>
  </si>
  <si>
    <t xml:space="preserve">서울특별시 동작구 사당동 1008-20번지 </t>
  </si>
  <si>
    <t>3190000-102-2000-07837</t>
  </si>
  <si>
    <t xml:space="preserve">서울특별시 동작구 대방동 407-25번지 </t>
  </si>
  <si>
    <t>서울특별시 동작구 여의대방로24길 121 (대방동)</t>
  </si>
  <si>
    <t>3190000-102-2000-07863</t>
  </si>
  <si>
    <t xml:space="preserve">서울특별시 동작구 노량진동 72-3번지 </t>
  </si>
  <si>
    <t>서울특별시 동작구 노량진로 148-3 (노량진동)</t>
  </si>
  <si>
    <t>3190000-102-2000-08020</t>
  </si>
  <si>
    <t xml:space="preserve">서울특별시 동작구 노량진동 40-33번지 </t>
  </si>
  <si>
    <t>서울특별시 동작구 노량진로 106-3 (노량진동)</t>
  </si>
  <si>
    <t>3190000-102-2001-08245</t>
  </si>
  <si>
    <t xml:space="preserve">서울특별시 동작구 사당동 147-101 </t>
  </si>
  <si>
    <t>서울특별시 동작구 동작대로 101 (사당동)</t>
  </si>
  <si>
    <t>3190000-102-2001-08248</t>
  </si>
  <si>
    <t xml:space="preserve">서울특별시 동작구 사당동 145-28번지 </t>
  </si>
  <si>
    <t>서울특별시 동작구 동작대로27가길 31 (사당동)</t>
  </si>
  <si>
    <t>3200000-102-2000-10502</t>
  </si>
  <si>
    <t xml:space="preserve">서울특별시 관악구 신림동 1423-19 </t>
  </si>
  <si>
    <t>서울특별시 관악구 봉천로12길 63 (신림동)</t>
  </si>
  <si>
    <t>3200000-102-2000-10539</t>
  </si>
  <si>
    <t xml:space="preserve">서울특별시 관악구 신림동 1431-23 지하1층 </t>
  </si>
  <si>
    <t>서울특별시 관악구 신림동1길 25-3 (신림동,지하1층)</t>
  </si>
  <si>
    <t>3200000-102-2000-07734</t>
  </si>
  <si>
    <t xml:space="preserve">서울특별시 관악구 신림동 529-7 </t>
  </si>
  <si>
    <t>서울특별시 관악구 난곡로66길 7 (신림동)</t>
  </si>
  <si>
    <t>3200000-102-2000-10587</t>
  </si>
  <si>
    <t xml:space="preserve">서울특별시 관악구 봉천동 1599-1 </t>
  </si>
  <si>
    <t>서울특별시 관악구 남부순환로226길 12 (봉천동)</t>
  </si>
  <si>
    <t>3200000-102-2000-10592</t>
  </si>
  <si>
    <t xml:space="preserve">서울특별시 관악구 신림동 1431-1 </t>
  </si>
  <si>
    <t>서울특별시 관악구 신림로 373, 지하1층 (신림동)</t>
  </si>
  <si>
    <t>3200000-102-2000-10626</t>
  </si>
  <si>
    <t xml:space="preserve">서울특별시 관악구 봉천동 62-33 </t>
  </si>
  <si>
    <t>서울특별시 관악구 관악로 208-4, 지하1층 (봉천동)</t>
  </si>
  <si>
    <t>3200000-102-2000-10641</t>
  </si>
  <si>
    <t xml:space="preserve">서울특별시 관악구 신림동 1421-61 </t>
  </si>
  <si>
    <t>서울특별시 관악구 신림로66길 10 (신림동)</t>
  </si>
  <si>
    <t>3200000-102-2001-07814</t>
  </si>
  <si>
    <t xml:space="preserve">서울특별시 관악구 봉천동 859-34 </t>
  </si>
  <si>
    <t>서울특별시 관악구 봉천로 473 (봉천동)</t>
  </si>
  <si>
    <t>3200000-102-2001-11187</t>
  </si>
  <si>
    <t xml:space="preserve">서울특별시 관악구 봉천동 62-19번지 </t>
  </si>
  <si>
    <t>서울특별시 관악구 관악로 208-40 (봉천동)</t>
  </si>
  <si>
    <t>3200000-102-1999-09225</t>
  </si>
  <si>
    <t xml:space="preserve">서울특별시 관악구 신림동 1423-4 </t>
  </si>
  <si>
    <t>서울특별시 관악구 봉천로12길 49 (신림동)</t>
  </si>
  <si>
    <t>3200000-102-1999-09211</t>
  </si>
  <si>
    <t xml:space="preserve">서울특별시 관악구 남현동 1060-4 지하1층 </t>
  </si>
  <si>
    <t>서울특별시 관악구 남부순환로 2082-29, 지하1층 (남현동)</t>
  </si>
  <si>
    <t>3200000-102-1999-07747</t>
  </si>
  <si>
    <t xml:space="preserve">서울특별시 관악구 신림동 1431-7 </t>
  </si>
  <si>
    <t>서울특별시 관악구 신림로 365, 지하1층 (신림동)</t>
  </si>
  <si>
    <t>3200000-102-1999-07820</t>
  </si>
  <si>
    <t>서울특별시 관악구 신림동 1425-8</t>
  </si>
  <si>
    <t>서울특별시 관악구 봉천로12길 42 (신림동)</t>
  </si>
  <si>
    <t>3200000-102-2001-07751</t>
  </si>
  <si>
    <t>서울특별시 관악구 봉천동 927-1</t>
  </si>
  <si>
    <t>서울특별시 관악구 남부순환로 1740 (봉천동)</t>
  </si>
  <si>
    <t>3200000-102-2001-10870</t>
  </si>
  <si>
    <t>서울특별시 관악구 신림동 1422-11</t>
  </si>
  <si>
    <t>서울특별시 관악구 남부순환로 1631-1 (신림동)</t>
  </si>
  <si>
    <t>3200000-102-2001-10822</t>
  </si>
  <si>
    <t>서울특별시 관악구 신림동 530-31 지하1층</t>
  </si>
  <si>
    <t>서울특별시 관악구 난곡로 323 (신림동,지하1층)</t>
  </si>
  <si>
    <t>3200000-102-1999-10046</t>
  </si>
  <si>
    <t xml:space="preserve">서울특별시 관악구 신림동 538-1번지 </t>
  </si>
  <si>
    <t>서울특별시 관악구 난곡로 317 (신림동)</t>
  </si>
  <si>
    <t>3200000-102-2013-00006</t>
  </si>
  <si>
    <t xml:space="preserve">서울특별시 관악구 신림동 1433-32 </t>
  </si>
  <si>
    <t>서울특별시 관악구 남부순환로 1599-4, 지하1층 (신림동)</t>
  </si>
  <si>
    <t>3200000-102-2013-00007</t>
  </si>
  <si>
    <t xml:space="preserve">서울특별시 관악구 신림동 1424-5번지 </t>
  </si>
  <si>
    <t>서울특별시 관악구 봉천로12길 54, 2층 (신림동)</t>
  </si>
  <si>
    <t>3200000-102-2014-00001</t>
  </si>
  <si>
    <t xml:space="preserve">서울특별시 관악구 신림동 1639-23 </t>
  </si>
  <si>
    <t>서울특별시 관악구 남부순환로 1596, 나동 지하1층 (신림동)</t>
  </si>
  <si>
    <t>3200000-102-2014-00004</t>
  </si>
  <si>
    <t xml:space="preserve">서울특별시 관악구 신림동 1433-102 </t>
  </si>
  <si>
    <t>서울특별시 관악구 남부순환로 1591, 지하1층 (신림동)</t>
  </si>
  <si>
    <t>3200000-102-2014-00008</t>
  </si>
  <si>
    <t xml:space="preserve">서울특별시 관악구 신림동 1424-11 </t>
  </si>
  <si>
    <t>서울특별시 관악구 신림로 356, 3층 (신림동)</t>
  </si>
  <si>
    <t>3200000-102-1978-07839</t>
  </si>
  <si>
    <t xml:space="preserve">서울특별시 관악구 봉천동 1674-20 </t>
  </si>
  <si>
    <t>서울특별시 관악구 남부순환로 1881 (봉천동)</t>
  </si>
  <si>
    <t>3200000-102-2015-00004</t>
  </si>
  <si>
    <t xml:space="preserve">서울특별시 관악구 봉천동 854-2번지 </t>
  </si>
  <si>
    <t>서울특별시 관악구 남부순환로224길 13, 지하1층 (봉천동)</t>
  </si>
  <si>
    <t>3200000-102-2016-00003</t>
  </si>
  <si>
    <t xml:space="preserve">서울특별시 관악구 신림동 1432-68번지 </t>
  </si>
  <si>
    <t>서울특별시 관악구 신림로67길 5, 지하1층 (신림동)</t>
  </si>
  <si>
    <t>3200000-102-2016-00004</t>
  </si>
  <si>
    <t xml:space="preserve">서울특별시 관악구 신림동 1640-38 </t>
  </si>
  <si>
    <t>서울특별시 관악구 신림로59길 12 (신림동)</t>
  </si>
  <si>
    <t>3200000-102-1978-07760</t>
  </si>
  <si>
    <t xml:space="preserve">서울특별시 관악구 신림동 1669-8 지하1층 </t>
  </si>
  <si>
    <t>서울특별시 관악구 남부순환로 1387 (신림동,지하1층)</t>
  </si>
  <si>
    <t>3200000-102-2002-00001</t>
  </si>
  <si>
    <t xml:space="preserve">서울특별시 관악구 신림동 1474-23 </t>
  </si>
  <si>
    <t>서울특별시 관악구 남부순환로 1474, 지하1층 (신림동)</t>
  </si>
  <si>
    <t>3200000-102-2002-00002</t>
  </si>
  <si>
    <t xml:space="preserve">서울특별시 관악구 신림동 1423-28 </t>
  </si>
  <si>
    <t>서울특별시 관악구 봉천로12길 69, 지하1층 (신림동)</t>
  </si>
  <si>
    <t>3200000-102-2002-00003</t>
  </si>
  <si>
    <t xml:space="preserve">서울특별시 관악구 신림동 1425-13 </t>
  </si>
  <si>
    <t>서울특별시 관악구 신림로 362, 지하1층 (신림동)</t>
  </si>
  <si>
    <t>3200000-102-2013-00005</t>
  </si>
  <si>
    <t>서울특별시 관악구 신림동 1639-21</t>
  </si>
  <si>
    <t>서울특별시 관악구 남부순환로 1594-6, 3층 (신림동)</t>
  </si>
  <si>
    <t>3200000-102-2017-00001</t>
  </si>
  <si>
    <t>서울특별시 관악구 신림동 1432-76</t>
  </si>
  <si>
    <t>서울특별시 관악구 신림로 351, 지하1층 (신림동)</t>
  </si>
  <si>
    <t>3200000-102-2016-00001</t>
  </si>
  <si>
    <t>서울특별시 관악구 신림동 1432-86</t>
  </si>
  <si>
    <t>서울특별시 관악구 신림로65길 10, 지하1층 (신림동)</t>
  </si>
  <si>
    <t>3200000-102-2002-00004</t>
  </si>
  <si>
    <t xml:space="preserve">서울특별시 관악구 신림동 1433-114 지하1층 </t>
  </si>
  <si>
    <t>서울특별시 관악구 남부순환로 1589 (신림동,지하1층)</t>
  </si>
  <si>
    <t>3200000-102-2002-00005</t>
  </si>
  <si>
    <t xml:space="preserve">서울특별시 관악구 신림동 1422-3번지 </t>
  </si>
  <si>
    <t>서울특별시 관악구 남부순환로185길 5 (신림동)</t>
  </si>
  <si>
    <t>3200000-102-1999-09579</t>
  </si>
  <si>
    <t xml:space="preserve">서울특별시 관악구 신림동 1431-41번지 </t>
  </si>
  <si>
    <t>서울특별시 관악구 신림동길 3 (신림동)</t>
  </si>
  <si>
    <t>3200000-102-1999-09526</t>
  </si>
  <si>
    <t xml:space="preserve">서울특별시 관악구 신림동 1431-4 </t>
  </si>
  <si>
    <t>서울특별시 관악구 신림로 367, 지하1층 (신림동)</t>
  </si>
  <si>
    <t>3200000-102-1980-07823</t>
  </si>
  <si>
    <t xml:space="preserve">서울특별시 관악구 신림동 1568-1번지 </t>
  </si>
  <si>
    <t>서울특별시 관악구 난곡로 302, 지하1층 (신림동)</t>
  </si>
  <si>
    <t>3200000-102-2004-00001</t>
  </si>
  <si>
    <t xml:space="preserve">서울특별시 관악구 신림동 1474-27번지 지하1층 </t>
  </si>
  <si>
    <t>서울특별시 관악구 난곡로63길 6, 지하1층 (신림동)</t>
  </si>
  <si>
    <t>3200000-102-2004-00002</t>
  </si>
  <si>
    <t xml:space="preserve">서울특별시 관악구 신림동 1425-17 </t>
  </si>
  <si>
    <t>서울특별시 관악구 신림로 366, 지하1층 (신림동)</t>
  </si>
  <si>
    <t>3200000-102-2004-00004</t>
  </si>
  <si>
    <t xml:space="preserve">서울특별시 관악구 신림동 1422-5 </t>
  </si>
  <si>
    <t>서울특별시 관악구 신림로 340, 14,15층 (신림동)</t>
  </si>
  <si>
    <t>3200000-102-2004-00005</t>
  </si>
  <si>
    <t xml:space="preserve">서울특별시 관악구 신림동 1432-70 </t>
  </si>
  <si>
    <t>서울특별시 관악구 신림로 357 (신림동)</t>
  </si>
  <si>
    <t>3200000-102-2005-00001</t>
  </si>
  <si>
    <t xml:space="preserve">서울특별시 관악구 봉천동 851-19 </t>
  </si>
  <si>
    <t>서울특별시 관악구 관악로 196 (봉천동)</t>
  </si>
  <si>
    <t>3200000-102-2005-00002</t>
  </si>
  <si>
    <t xml:space="preserve">서울특별시 관악구 신림동 1431-10 </t>
  </si>
  <si>
    <t>서울특별시 관악구 신림로 363-1 (신림동)</t>
  </si>
  <si>
    <t>3200000-102-1999-09254</t>
  </si>
  <si>
    <t xml:space="preserve">서울특별시 관악구 남현동 1061-14번지 </t>
  </si>
  <si>
    <t>서울특별시 관악구 남현1길 68-18 (남현동)</t>
  </si>
  <si>
    <t>3200000-102-1999-07733</t>
  </si>
  <si>
    <t xml:space="preserve">서울특별시 관악구 신림동 1433-86번지 </t>
  </si>
  <si>
    <t>서울특별시 관악구 남부순환로 1597 (신림동)</t>
  </si>
  <si>
    <t>3200000-102-1999-09234</t>
  </si>
  <si>
    <t xml:space="preserve">서울특별시 관악구 신림동 1431-3 </t>
  </si>
  <si>
    <t>서울특별시 관악구 신림로 369 (신림동)</t>
  </si>
  <si>
    <t>3200000-102-2005-00003</t>
  </si>
  <si>
    <t>서울특별시 관악구 봉천동 855-1</t>
  </si>
  <si>
    <t>서울특별시 관악구 관악로14길 14, 지하1층 (봉천동)</t>
  </si>
  <si>
    <t>3200000-102-2004-00007</t>
  </si>
  <si>
    <t>서울특별시 관악구 신림동 1422-20</t>
  </si>
  <si>
    <t>서울특별시 관악구 남부순환로181길 6 (신림동, 지하1층)</t>
  </si>
  <si>
    <t>3200000-102-1986-07804</t>
  </si>
  <si>
    <t>서울특별시 관악구 신림동 1425-3 지하1층</t>
  </si>
  <si>
    <t>서울특별시 관악구 신림로70길 6, 지하1층 (신림동)</t>
  </si>
  <si>
    <t>3200000-102-1999-09243</t>
  </si>
  <si>
    <t xml:space="preserve">서울특별시 관악구 남현동 1061-9번지 ,10 </t>
  </si>
  <si>
    <t>서울특별시 관악구 남현1길 68-10 (남현동,,10)</t>
  </si>
  <si>
    <t>3200000-102-1980-07815</t>
  </si>
  <si>
    <t xml:space="preserve">서울특별시 관악구 신림동 1641-10 </t>
  </si>
  <si>
    <t>서울특별시 관악구 신림로 322-1 (신림동)</t>
  </si>
  <si>
    <t>3200000-102-1980-07763</t>
  </si>
  <si>
    <t xml:space="preserve">서울특별시 관악구 신림동 1668-15 지하1층 </t>
  </si>
  <si>
    <t>서울특별시 관악구 남부순환로 1377 (신림동,지하1층)</t>
  </si>
  <si>
    <t>3200000-102-2006-00001</t>
  </si>
  <si>
    <t xml:space="preserve">서울특별시 관악구 신림동 1431-20 지상2층 </t>
  </si>
  <si>
    <t>서울특별시 관악구 신림로67길 8 (신림동,지상2층)</t>
  </si>
  <si>
    <t>3200000-102-2006-00002</t>
  </si>
  <si>
    <t xml:space="preserve">서울특별시 관악구 봉천동 863-4번지 </t>
  </si>
  <si>
    <t>서울특별시 관악구 관악로 157 (봉천동)</t>
  </si>
  <si>
    <t>3200000-102-2006-00004</t>
  </si>
  <si>
    <t xml:space="preserve">서울특별시 관악구 신림동 1422-17 </t>
  </si>
  <si>
    <t>서울특별시 관악구 남부순환로 1627 (신림동)</t>
  </si>
  <si>
    <t>3200000-102-2007-00001</t>
  </si>
  <si>
    <t xml:space="preserve">서울특별시 관악구 신림동 1639-8 </t>
  </si>
  <si>
    <t>서울특별시 관악구 남부순환로 1592, 지하1층 (신림동)</t>
  </si>
  <si>
    <t>3200000-102-2013-00002</t>
  </si>
  <si>
    <t xml:space="preserve">서울특별시 관악구 신림동 1655 </t>
  </si>
  <si>
    <t>서울특별시 관악구 시흥대로 570, 지하1층 (신림동)</t>
  </si>
  <si>
    <t>3200000-102-2013-00003</t>
  </si>
  <si>
    <t xml:space="preserve">서울특별시 관악구 신림동 1433-104 </t>
  </si>
  <si>
    <t>서울특별시 관악구 남부순환로 1591-6, 지하1층 (신림동)</t>
  </si>
  <si>
    <t>3200000-102-2003-00015</t>
  </si>
  <si>
    <t xml:space="preserve">서울특별시 관악구 남현동 1061-59 </t>
  </si>
  <si>
    <t>서울특별시 관악구 과천대로 953 (남현동)</t>
  </si>
  <si>
    <t>3200000-102-2001-07790</t>
  </si>
  <si>
    <t>서울특별시 관악구 신림로 369, 지하1층 (신림동)</t>
  </si>
  <si>
    <t>3200000-102-2001-07792</t>
  </si>
  <si>
    <t xml:space="preserve">서울특별시 관악구 신림동 1428-5번지 </t>
  </si>
  <si>
    <t>서울특별시 관악구 봉천로 248 (신림동)</t>
  </si>
  <si>
    <t>3200000-102-2001-11090</t>
  </si>
  <si>
    <t xml:space="preserve">서울특별시 관악구 남현동 1061-3 </t>
  </si>
  <si>
    <t>서울특별시 관악구 남현1길 68-6 (남현동)</t>
  </si>
  <si>
    <t>3200000-102-1976-00001</t>
  </si>
  <si>
    <t xml:space="preserve">서울특별시 관악구 신림동 1429-16 </t>
  </si>
  <si>
    <t>서울특별시 관악구 신림로 387, 지하1층 (신림동)</t>
  </si>
  <si>
    <t>3200000-102-1977-07808</t>
  </si>
  <si>
    <t xml:space="preserve">서울특별시 관악구 봉천동 859-1 </t>
  </si>
  <si>
    <t>서울특별시 관악구 중앙1가길 1 (봉천동)</t>
  </si>
  <si>
    <t>3200000-102-2006-00003</t>
  </si>
  <si>
    <t>서울특별시 관악구 신림동 1655-4 지하1층</t>
  </si>
  <si>
    <t>서울특별시 관악구 조원로2길 8 (신림동,지하1층)</t>
  </si>
  <si>
    <t>3200000-102-2013-00004</t>
  </si>
  <si>
    <t>서울특별시 관악구 남부순환로 1594-6, 4층 (신림동)</t>
  </si>
  <si>
    <t>3200000-102-1977-07833</t>
  </si>
  <si>
    <t xml:space="preserve">서울특별시 관악구 신림동 1429-1번지 지하1층 </t>
  </si>
  <si>
    <t>서울특별시 관악구 신림로 391 (신림동,지하1층)</t>
  </si>
  <si>
    <t>3200000-102-1977-07812</t>
  </si>
  <si>
    <t xml:space="preserve">서울특별시 관악구 봉천동 858-1번지 </t>
  </si>
  <si>
    <t>서울특별시 관악구 봉천로 482, 지하1층 (봉천동)</t>
  </si>
  <si>
    <t>3200000-102-2012-00011</t>
  </si>
  <si>
    <t xml:space="preserve">서울특별시 관악구 신림동 1640-31 </t>
  </si>
  <si>
    <t>서울특별시 관악구 신림로59길 14, 4층 (신림동)</t>
  </si>
  <si>
    <t>3200000-102-2015-00001</t>
  </si>
  <si>
    <t xml:space="preserve">서울특별시 관악구 신림동 1640-30 </t>
  </si>
  <si>
    <t>서울특별시 관악구 남부순환로176길 11, 2층 (신림동)</t>
  </si>
  <si>
    <t>3200000-102-2015-00002</t>
  </si>
  <si>
    <t xml:space="preserve">서울특별시 관악구 신림동 1433-88번지 </t>
  </si>
  <si>
    <t>서울특별시 관악구 남부순환로 1595, 지하1층 (신림동)</t>
  </si>
  <si>
    <t>3200000-102-2015-00003</t>
  </si>
  <si>
    <t xml:space="preserve">서울특별시 관악구 신림동 1424-19번지 지하1층 </t>
  </si>
  <si>
    <t>서울특별시 관악구 신림로 354, 지하1층 (신림동)</t>
  </si>
  <si>
    <t>3200000-102-2023-00004</t>
  </si>
  <si>
    <t xml:space="preserve">서울특별시 관악구 신림동 538-1 </t>
  </si>
  <si>
    <t>3200000-102-2019-00001</t>
  </si>
  <si>
    <t xml:space="preserve">서울특별시 관악구 신림동 1425-9 </t>
  </si>
  <si>
    <t>서울특별시 관악구 신림로68길 9, 2층 (신림동)</t>
  </si>
  <si>
    <t>3200000-102-2019-00005</t>
  </si>
  <si>
    <t>서울특별시 관악구 남부순환로176길 11, 지하1층 (신림동)</t>
  </si>
  <si>
    <t>3200000-102-2019-00004</t>
  </si>
  <si>
    <t>서울특별시 관악구 신림로 356, 지하1층 1호 (신림동)</t>
  </si>
  <si>
    <t>3200000-102-2019-00003</t>
  </si>
  <si>
    <t xml:space="preserve">서울특별시 관악구 신림동 1432-73 </t>
  </si>
  <si>
    <t>서울특별시 관악구 신림로 353, 지하1층 (신림동)</t>
  </si>
  <si>
    <t>3200000-102-2019-00002</t>
  </si>
  <si>
    <t xml:space="preserve">서울특별시 관악구 신림동 1432-73번지 </t>
  </si>
  <si>
    <t>3200000-102-1977-07777</t>
  </si>
  <si>
    <t>서울특별시 관악구 남현동 1061-17</t>
  </si>
  <si>
    <t>서울특별시 관악구 과천대로 941, 지하1층 (남현동)</t>
  </si>
  <si>
    <t>3200000-102-2000-07758</t>
  </si>
  <si>
    <t>서울특별시 관악구 신림동 1669-11</t>
  </si>
  <si>
    <t>3200000-102-2022-00002</t>
  </si>
  <si>
    <t>서울특별시 관악구 신림동 1431-18</t>
  </si>
  <si>
    <t>서울특별시 관악구 신림동1길 25-6, 지하1층 (신림동)</t>
  </si>
  <si>
    <t>3200000-102-2023-00003</t>
  </si>
  <si>
    <t>서울특별시 관악구 신림동 1639-33</t>
  </si>
  <si>
    <t>서울특별시 관악구 남부순환로176길 20, 지층 (신림동)</t>
  </si>
  <si>
    <t>3200000-102-2019-00006</t>
  </si>
  <si>
    <t>서울특별시 관악구 신림로 356, 지하1층 (신림동)</t>
  </si>
  <si>
    <t>3200000-102-2022-00001</t>
  </si>
  <si>
    <t xml:space="preserve">서울특별시 관악구 신림동 1639-1 신림빌딩 </t>
  </si>
  <si>
    <t>서울특별시 관악구 남부순환로 1588, 신림빌딩 3층 (신림동)</t>
  </si>
  <si>
    <t>3200000-102-2024-00005</t>
  </si>
  <si>
    <t xml:space="preserve">서울특별시 관악구 신림동 1432-79 WD호텔 </t>
  </si>
  <si>
    <t>서울특별시 관악구 신림로 349, WD호텔 (신림동)</t>
  </si>
  <si>
    <t>3200000-102-2024-00006</t>
  </si>
  <si>
    <t>서울특별시 관악구 신림로 349, WD호텔(을) 3층 (신림동)</t>
  </si>
  <si>
    <t>3200000-102-2024-00007</t>
  </si>
  <si>
    <t>3200000-102-2024-00004</t>
  </si>
  <si>
    <t xml:space="preserve">서울특별시 관악구 신림동 1432-79 갑 </t>
  </si>
  <si>
    <t>서울특별시 관악구 신림로 349, 지하1층 (신림동)</t>
  </si>
  <si>
    <t>3200000-102-2024-00001</t>
  </si>
  <si>
    <t xml:space="preserve">서울특별시 관악구 신림동 1655-23 </t>
  </si>
  <si>
    <t>서울특별시 관악구 시흥대로 552-1, 지하1층 3호 (신림동)</t>
  </si>
  <si>
    <t>3200000-102-2024-00002</t>
  </si>
  <si>
    <t>서울특별시 관악구 시흥대로 552-1, 지하1층 2호 (신림동)</t>
  </si>
  <si>
    <t>3200000-102-2024-00003</t>
  </si>
  <si>
    <t>서울특별시 관악구 시흥대로 552-1, 지하1층 1호 (신림동)</t>
  </si>
  <si>
    <t>3200000-102-2001-10975</t>
  </si>
  <si>
    <t xml:space="preserve">서울특별시 관악구 신림동 1433-44 </t>
  </si>
  <si>
    <t>서울특별시 관악구 남부순환로 1605 (신림동)</t>
  </si>
  <si>
    <t>3200000-102-2001-11185</t>
  </si>
  <si>
    <t xml:space="preserve">서울특별시 관악구 신림동 530-4 지상1층 </t>
  </si>
  <si>
    <t>서울특별시 관악구 조원로18길 29 (신림동,지상1층)</t>
  </si>
  <si>
    <t>3200000-102-2001-07806</t>
  </si>
  <si>
    <t xml:space="preserve">서울특별시 관악구 신림동 1421-63번지 </t>
  </si>
  <si>
    <t>서울특별시 관악구 신림로64길 9 (신림동)</t>
  </si>
  <si>
    <t>3200000-102-2001-07803</t>
  </si>
  <si>
    <t xml:space="preserve">서울특별시 관악구 봉천동 894-16번지 </t>
  </si>
  <si>
    <t>서울특별시 관악구 청룡길 9 (봉천동)</t>
  </si>
  <si>
    <t>3200000-102-2023-00002</t>
  </si>
  <si>
    <t>서울특별시 관악구 신림동 1640-28</t>
  </si>
  <si>
    <t>서울특별시 관악구 남부순환로 1600-8, 금성빌딩 4층 (신림동)</t>
  </si>
  <si>
    <t>3200000-102-2009-00008</t>
  </si>
  <si>
    <t>서울특별시 관악구 신림로67길 5 (신림동)</t>
  </si>
  <si>
    <t>3200000-102-2009-00010</t>
  </si>
  <si>
    <t xml:space="preserve">서울특별시 관악구 봉천동 868-2번지 </t>
  </si>
  <si>
    <t>서울특별시 관악구 남부순환로220길 16 (봉천동)</t>
  </si>
  <si>
    <t>3200000-102-2009-00009</t>
  </si>
  <si>
    <t>서울특별시 관악구 신림동 1423-22</t>
  </si>
  <si>
    <t>서울특별시 관악구 신림로66길 13 (신림동)</t>
  </si>
  <si>
    <t>3200000-102-2009-00012</t>
  </si>
  <si>
    <t>서울특별시 관악구 신림로 363-1, 3층 (신림동)</t>
  </si>
  <si>
    <t>3200000-102-2010-00001</t>
  </si>
  <si>
    <t xml:space="preserve">서울특별시 관악구 신림동 1640-40번지 </t>
  </si>
  <si>
    <t>서울특별시 관악구 신림로59길 10, 지하1층 (신림동)</t>
  </si>
  <si>
    <t>3200000-102-2010-00002</t>
  </si>
  <si>
    <t xml:space="preserve">서울특별시 관악구 봉천동 861-11 </t>
  </si>
  <si>
    <t>서울특별시 관악구 관악로 185 (봉천동, 지하1층)</t>
  </si>
  <si>
    <t>3200000-102-2010-00003</t>
  </si>
  <si>
    <t>서울특별시 관악구 신림로 353 (신림동)</t>
  </si>
  <si>
    <t>3200000-102-2010-00004</t>
  </si>
  <si>
    <t xml:space="preserve">서울특별시 관악구 신림동 1432-68 </t>
  </si>
  <si>
    <t>3200000-102-2010-00005</t>
  </si>
  <si>
    <t xml:space="preserve">서울특별시 관악구 신림동 1432-64번지 </t>
  </si>
  <si>
    <t>서울특별시 관악구 신림로67길 9, 지상2층 (신림동)</t>
  </si>
  <si>
    <t>3200000-102-2010-00006</t>
  </si>
  <si>
    <t xml:space="preserve">서울특별시 관악구 신림동 1431-16 </t>
  </si>
  <si>
    <t>서울특별시 관악구 신림로 359, 지하1층 (신림동)</t>
  </si>
  <si>
    <t>3200000-102-2002-00010</t>
  </si>
  <si>
    <t>3200000-102-2002-00014</t>
  </si>
  <si>
    <t xml:space="preserve">서울특별시 관악구 봉천동 33-3 지하1층 </t>
  </si>
  <si>
    <t>서울특별시 관악구 관악로 222 (봉천동,지하1층)</t>
  </si>
  <si>
    <t>3200000-102-2002-00013</t>
  </si>
  <si>
    <t>서울특별시 관악구 신림동 1425-13</t>
  </si>
  <si>
    <t>서울특별시 관악구 신림로 362, 3층 (신림동)</t>
  </si>
  <si>
    <t>3200000-102-2002-00016</t>
  </si>
  <si>
    <t xml:space="preserve">서울특별시 관악구 봉천동 852-6번지 지하1층 </t>
  </si>
  <si>
    <t>서울특별시 관악구 남부순환로 1829-6 (봉천동,지하1층)</t>
  </si>
  <si>
    <t>3200000-102-2003-00001</t>
  </si>
  <si>
    <t xml:space="preserve">서울특별시 관악구 신림동 1433-36 </t>
  </si>
  <si>
    <t>서울특별시 관악구 신림로63길 9, 지하1층 (신림동)</t>
  </si>
  <si>
    <t>3200000-102-2010-00009</t>
  </si>
  <si>
    <t>서울특별시 관악구 신림동 1639-21 (지상2층)</t>
  </si>
  <si>
    <t>서울특별시 관악구 남부순환로 1594-6 (신림동,(지상2층))</t>
  </si>
  <si>
    <t>3200000-102-2010-00010</t>
  </si>
  <si>
    <t>서울특별시 관악구 신림동 527-5</t>
  </si>
  <si>
    <t>서울특별시 관악구 난곡로66길 12, 지하1층 (신림동)</t>
  </si>
  <si>
    <t>3200000-102-2010-00008</t>
  </si>
  <si>
    <t>서울특별시 관악구 신림로 356, 3층 3호 (신림동)</t>
  </si>
  <si>
    <t>3200000-102-2009-00013</t>
  </si>
  <si>
    <t>서울특별시 관악구 신림동 1638-17 지하1층</t>
  </si>
  <si>
    <t>서울특별시 관악구 신림로 317, 지하1층 (신림동)</t>
  </si>
  <si>
    <t>3200000-102-2011-00005</t>
  </si>
  <si>
    <t xml:space="preserve">서울특별시 관악구 신림동 1639-19 지하1층 </t>
  </si>
  <si>
    <t>서울특별시 관악구 남부순환로 1594-1, 지하1층 (신림동)</t>
  </si>
  <si>
    <t>3200000-102-2001-11102</t>
  </si>
  <si>
    <t xml:space="preserve">서울특별시 관악구 신림동 1639-64 </t>
  </si>
  <si>
    <t>서울특별시 관악구 신림로59길 28, 지하1층 (신림동)</t>
  </si>
  <si>
    <t>3200000-102-2023-00001</t>
  </si>
  <si>
    <t xml:space="preserve">서울특별시 관악구 봉천동 851-30 </t>
  </si>
  <si>
    <t>서울특별시 관악구 관악로 192, 지층 (봉천동)</t>
  </si>
  <si>
    <t>3200000-102-2000-10155</t>
  </si>
  <si>
    <t xml:space="preserve">서울특별시 관악구 신림동 1639-1번지 </t>
  </si>
  <si>
    <t>서울특별시 관악구 남부순환로 1588 (신림동)</t>
  </si>
  <si>
    <t>3200000-102-2000-10212</t>
  </si>
  <si>
    <t xml:space="preserve">서울특별시 관악구 신림동 1474-18번지 </t>
  </si>
  <si>
    <t>서울특별시 관악구 남부순환로 1472 (신림동)</t>
  </si>
  <si>
    <t>3200000-102-2008-00011</t>
  </si>
  <si>
    <t xml:space="preserve">서울특별시 관악구 신림동 1669-11 지하1층 </t>
  </si>
  <si>
    <t>서울특별시 관악구 조원중앙로 6 (신림동,지하1층)</t>
  </si>
  <si>
    <t>3200000-102-2000-07744</t>
  </si>
  <si>
    <t>3200000-102-2000-10305</t>
  </si>
  <si>
    <t xml:space="preserve">서울특별시 관악구 신림동 1422-42 </t>
  </si>
  <si>
    <t>서울특별시 관악구 남부순환로 1615, 지하1층 (신림동)</t>
  </si>
  <si>
    <t>3200000-102-2000-10363</t>
  </si>
  <si>
    <t xml:space="preserve">서울특별시 관악구 신림동 527-7번지 </t>
  </si>
  <si>
    <t>서울특별시 관악구 난곡로66길 6 (신림동)</t>
  </si>
  <si>
    <t>3200000-102-2001-07834</t>
  </si>
  <si>
    <t xml:space="preserve">서울특별시 관악구 신림동 1430-5번지 </t>
  </si>
  <si>
    <t>서울특별시 관악구 신림로 381 (신림동)</t>
  </si>
  <si>
    <t>3200000-102-2001-07796</t>
  </si>
  <si>
    <t xml:space="preserve">서울특별시 관악구 봉천동 1673-16번지 </t>
  </si>
  <si>
    <t>서울특별시 관악구 남부순환로 1869 (봉천동)</t>
  </si>
  <si>
    <t>3200000-102-2022-00005</t>
  </si>
  <si>
    <t xml:space="preserve">서울특별시 관악구 신림동 1431-2 </t>
  </si>
  <si>
    <t>서울특별시 관악구 신림로 371, 지하1층 (신림동)</t>
  </si>
  <si>
    <t>3200000-102-2021-00001</t>
  </si>
  <si>
    <t>서울특별시 관악구 남부순환로 1588, 신림빌딩 3층 302호 (신림동)</t>
  </si>
  <si>
    <t>3200000-102-2022-00003</t>
  </si>
  <si>
    <t xml:space="preserve">서울특별시 관악구 신림동 1640-29 제일빌딩 </t>
  </si>
  <si>
    <t>서울특별시 관악구 남부순환로176길 9, 제일빌딩 2층 (신림동)</t>
  </si>
  <si>
    <t>3200000-102-2000-10226</t>
  </si>
  <si>
    <t>서울특별시 관악구 남현동 1061-11 가호</t>
  </si>
  <si>
    <t>서울특별시 관악구 남현1길 68-14 (남현동,가호)</t>
  </si>
  <si>
    <t>3200000-102-2011-00001</t>
  </si>
  <si>
    <t>서울특별시 관악구 신림동 1431-7</t>
  </si>
  <si>
    <t>3200000-102-2000-10523</t>
  </si>
  <si>
    <t>서울특별시 관악구 신림동1길 25-6, 1층 (신림동)</t>
  </si>
  <si>
    <t>3200000-102-1999-09670</t>
  </si>
  <si>
    <t>서울특별시 관악구 신림로68길 9, 지하1층 (신림동)</t>
  </si>
  <si>
    <t>3200000-102-1999-11111</t>
  </si>
  <si>
    <t xml:space="preserve">서울특별시 관악구 신림동 1421-41번지 48,49지하1층 </t>
  </si>
  <si>
    <t>서울특별시 관악구 신림로66길 20 (신림동,48,49지하1층)</t>
  </si>
  <si>
    <t>3200000-102-1999-09467</t>
  </si>
  <si>
    <t xml:space="preserve">서울특별시 관악구 신림동 1432-50 지하1층 </t>
  </si>
  <si>
    <t>서울특별시 관악구 신림로67길 14 (신림동,지하1층)</t>
  </si>
  <si>
    <t>3200000-102-1999-09428</t>
  </si>
  <si>
    <t xml:space="preserve">서울특별시 관악구 신림동 1431-19번지 </t>
  </si>
  <si>
    <t>서울특별시 관악구 신림로67길 6 (신림동)</t>
  </si>
  <si>
    <t>3200000-102-1999-09293</t>
  </si>
  <si>
    <t xml:space="preserve">서울특별시 관악구 남현동 1062-15 </t>
  </si>
  <si>
    <t>서울특별시 관악구 남현1길 58, 지하2층 (남현동)</t>
  </si>
  <si>
    <t>3200000-102-1999-09267</t>
  </si>
  <si>
    <t xml:space="preserve">서울특별시 관악구 신림동 527-4 지하1층 </t>
  </si>
  <si>
    <t>서울특별시 관악구 난곡로66길 8 (신림동,지하1층)</t>
  </si>
  <si>
    <t>3200000-102-2002-00011</t>
  </si>
  <si>
    <t xml:space="preserve">서울특별시 관악구 봉천동 851-3번지 </t>
  </si>
  <si>
    <t>서울특별시 관악구 관악로 204 (봉천동)</t>
  </si>
  <si>
    <t>3200000-102-1999-09268</t>
  </si>
  <si>
    <t xml:space="preserve">서울특별시 관악구 신림동 527-9번지 </t>
  </si>
  <si>
    <t>서울특별시 관악구 남부순환로 1481 (신림동)</t>
  </si>
  <si>
    <t>3200000-102-2000-10070</t>
  </si>
  <si>
    <t xml:space="preserve">서울특별시 관악구 남현동 1061-16번지 </t>
  </si>
  <si>
    <t>서울특별시 관악구 남현1길 68-22, 지하1층 (남현동)</t>
  </si>
  <si>
    <t>3200000-102-2003-00010</t>
  </si>
  <si>
    <t xml:space="preserve">서울특별시 관악구 남현동 1061-25 지하1층 </t>
  </si>
  <si>
    <t>서울특별시 관악구 과천대로 949 (남현동,지하1층)</t>
  </si>
  <si>
    <t>3200000-102-2003-00013</t>
  </si>
  <si>
    <t xml:space="preserve">서울특별시 관악구 남현동 1061-25 </t>
  </si>
  <si>
    <t>서울특별시 관악구 과천대로 949, 지하1층 (남현동)</t>
  </si>
  <si>
    <t>3200000-102-2000-10083</t>
  </si>
  <si>
    <t xml:space="preserve">서울특별시 관악구 신림동 1432-176 정우빌딩 </t>
  </si>
  <si>
    <t>서울특별시 관악구 신림동길 7, 정우빌딩 지하1층 (신림동)</t>
  </si>
  <si>
    <t>3200000-102-2000-07826</t>
  </si>
  <si>
    <t xml:space="preserve">서울특별시 관악구 신림동 1431-12 </t>
  </si>
  <si>
    <t>서울특별시 관악구 신림로 363, 지하1층 (신림동)</t>
  </si>
  <si>
    <t>3200000-102-2011-00006</t>
  </si>
  <si>
    <t xml:space="preserve">서울특별시 관악구 신림동 537-33번지 지상2층 </t>
  </si>
  <si>
    <t>서울특별시 관악구 난곡로65길 2 (신림동,지상2층)</t>
  </si>
  <si>
    <t>3200000-102-2000-10140</t>
  </si>
  <si>
    <t>서울특별시 관악구 신림동 527-11</t>
  </si>
  <si>
    <t>서울특별시 관악구 난곡로66길 14 (신림동)</t>
  </si>
  <si>
    <t>3200000-102-2000-07769</t>
  </si>
  <si>
    <t>서울특별시 관악구 신림동 538-35</t>
  </si>
  <si>
    <t>서울특별시 관악구 난곡로65길 3 (신림동, 지하1층)</t>
  </si>
  <si>
    <t>3200000-102-1999-09324</t>
  </si>
  <si>
    <t>서울특별시 관악구 신림동 538-2 지하1층</t>
  </si>
  <si>
    <t>서울특별시 관악구 남부순환로 1471 (신림동,지하1층)</t>
  </si>
  <si>
    <t>3200000-102-2011-00007</t>
  </si>
  <si>
    <t xml:space="preserve">서울특별시 관악구 남현동 1061-9 </t>
  </si>
  <si>
    <t>서울특별시 관악구 남현1길 68-10, 지하1층 (남현동)</t>
  </si>
  <si>
    <t>3200000-102-2011-00009</t>
  </si>
  <si>
    <t xml:space="preserve">서울특별시 관악구 신림동 1640-13 지상3층 </t>
  </si>
  <si>
    <t>서울특별시 관악구 신림로 329 (신림동,지상3층)</t>
  </si>
  <si>
    <t>3200000-102-2012-00004</t>
  </si>
  <si>
    <t xml:space="preserve">서울특별시 관악구 신림동 1640-2 </t>
  </si>
  <si>
    <t>서울특별시 관악구 남부순환로 1600 (신림동)</t>
  </si>
  <si>
    <t>3200000-102-2012-00006</t>
  </si>
  <si>
    <t xml:space="preserve">서울특별시 관악구 봉천동 861-4번지 </t>
  </si>
  <si>
    <t>서울특별시 관악구 관악로 183 (봉천동)</t>
  </si>
  <si>
    <t>3200000-102-2000-10450</t>
  </si>
  <si>
    <t xml:space="preserve">서울특별시 관악구 신림동 1639-59번지 </t>
  </si>
  <si>
    <t>서울특별시 관악구 관천로 34 (신림동)</t>
  </si>
  <si>
    <t>3200000-102-2000-10471</t>
  </si>
  <si>
    <t xml:space="preserve">서울특별시 관악구 신림동 1639-52번지 </t>
  </si>
  <si>
    <t>3200000-102-2000-10472</t>
  </si>
  <si>
    <t xml:space="preserve">서울특별시 관악구 봉천동 868-8번지 </t>
  </si>
  <si>
    <t>3200000-102-2000-10511</t>
  </si>
  <si>
    <t xml:space="preserve">서울특별시 관악구 신림동 1433-49번지 </t>
  </si>
  <si>
    <t>3200000-102-2000-10888</t>
  </si>
  <si>
    <t xml:space="preserve">서울특별시 관악구 신림동 1639-57번지 </t>
  </si>
  <si>
    <t>3200000-102-2000-10560</t>
  </si>
  <si>
    <t xml:space="preserve">서울특별시 관악구 신림동 1422-36번지 </t>
  </si>
  <si>
    <t>3200000-102-2000-10607</t>
  </si>
  <si>
    <t xml:space="preserve">서울특별시 관악구 남현동 1061-15 </t>
  </si>
  <si>
    <t>3200000-102-2000-10623</t>
  </si>
  <si>
    <t xml:space="preserve">서울특별시 관악구 신림동 1425-7번지 지상1층 </t>
  </si>
  <si>
    <t>서울특별시 관악구 봉천로12길 40 (신림동,지상1층)</t>
  </si>
  <si>
    <t>3200000-102-2000-10682</t>
  </si>
  <si>
    <t xml:space="preserve">서울특별시 관악구 신림동 1643-0번지 </t>
  </si>
  <si>
    <t>3200000-102-2000-11287</t>
  </si>
  <si>
    <t xml:space="preserve">서울특별시 관악구 신림동 1433-104번지 </t>
  </si>
  <si>
    <t>서울특별시 관악구 남부순환로 1591-6 (신림동)</t>
  </si>
  <si>
    <t>3200000-102-2000-07770</t>
  </si>
  <si>
    <t xml:space="preserve">서울특별시 관악구 신림동 1474-1번지 </t>
  </si>
  <si>
    <t>3200000-102-2000-10689</t>
  </si>
  <si>
    <t xml:space="preserve">서울특별시 관악구 남현동 1060-3번지 </t>
  </si>
  <si>
    <t>3200000-102-2012-00008</t>
  </si>
  <si>
    <t>서울특별시 관악구 신림동 1431-4</t>
  </si>
  <si>
    <t>서울특별시 관악구 신림로 367, 3층 (신림동)</t>
  </si>
  <si>
    <t>3200000-102-2012-00009</t>
  </si>
  <si>
    <t>서울특별시 관악구 신림동 1643</t>
  </si>
  <si>
    <t>서울특별시 관악구 시흥대로 578, 지하1층 (신림동)</t>
  </si>
  <si>
    <t>3200000-102-2000-11289</t>
  </si>
  <si>
    <t xml:space="preserve">서울특별시 관악구 신림동 1422-17번지 </t>
  </si>
  <si>
    <t>3200000-102-2001-11116</t>
  </si>
  <si>
    <t xml:space="preserve">서울특별시 관악구 봉천동 854-13번지 </t>
  </si>
  <si>
    <t>서울특별시 관악구 관악로14길 11 (봉천동)</t>
  </si>
  <si>
    <t>3200000-102-2001-07797</t>
  </si>
  <si>
    <t xml:space="preserve">서울특별시 관악구 봉천동 1600-1번지 </t>
  </si>
  <si>
    <t>3200000-102-2001-07795</t>
  </si>
  <si>
    <t xml:space="preserve">서울특별시 관악구 봉천동 855-11번지 </t>
  </si>
  <si>
    <t>3200000-102-1999-09217</t>
  </si>
  <si>
    <t>3200000-102-2000-10050</t>
  </si>
  <si>
    <t xml:space="preserve">서울특별시 관악구 신림동 1639-58번지 </t>
  </si>
  <si>
    <t>3200000-102-2014-00002</t>
  </si>
  <si>
    <t xml:space="preserve">서울특별시 관악구 신림동 1655-23번지 지상2층 </t>
  </si>
  <si>
    <t>서울특별시 관악구 시흥대로 552-1, 2층 (신림동)</t>
  </si>
  <si>
    <t>3200000-102-2014-00003</t>
  </si>
  <si>
    <t xml:space="preserve">서울특별시 관악구 신림동 1431-30번지 1층 </t>
  </si>
  <si>
    <t>서울특별시 관악구 신림동길 3-12, 지상1층 (신림동)</t>
  </si>
  <si>
    <t>3200000-102-2014-00005</t>
  </si>
  <si>
    <t xml:space="preserve">서울특별시 관악구 신림동 1638-19번지 </t>
  </si>
  <si>
    <t>서울특별시 관악구 신림로 321, 지하1층 (신림동)</t>
  </si>
  <si>
    <t>3200000-102-2014-00006</t>
  </si>
  <si>
    <t xml:space="preserve">서울특별시 관악구 신림동 1640-28 </t>
  </si>
  <si>
    <t>서울특별시 관악구 남부순환로 1600-8, 4층 (신림동)</t>
  </si>
  <si>
    <t>3200000-102-2014-00007</t>
  </si>
  <si>
    <t>서울특별시 관악구 남부순환로 1600-8, 5층 (신림동)</t>
  </si>
  <si>
    <t>3200000-102-1984-07850</t>
  </si>
  <si>
    <t xml:space="preserve">서울특별시 관악구 봉천동 30-3번지 </t>
  </si>
  <si>
    <t>3200000-102-1984-07776</t>
  </si>
  <si>
    <t xml:space="preserve">서울특별시 관악구 봉천동 32-4번지 (지하1층) </t>
  </si>
  <si>
    <t>서울특별시 관악구 관악로 220 (봉천동,(지하1층))</t>
  </si>
  <si>
    <t>3200000-102-2016-00002</t>
  </si>
  <si>
    <t xml:space="preserve">서울특별시 관악구 신림동 1639-30 </t>
  </si>
  <si>
    <t>서울특별시 관악구 남부순환로176길 12, 2층 (신림동)</t>
  </si>
  <si>
    <t>3200000-102-1978-07821</t>
  </si>
  <si>
    <t xml:space="preserve">서울특별시 관악구 신림동 527-11번지 </t>
  </si>
  <si>
    <t>3200000-102-1978-07836</t>
  </si>
  <si>
    <t xml:space="preserve">서울특별시 관악구 신림동 82-2번지 </t>
  </si>
  <si>
    <t>3200000-102-1978-07793</t>
  </si>
  <si>
    <t xml:space="preserve">서울특별시 관악구 신림동 1655-13 </t>
  </si>
  <si>
    <t>서울특별시 관악구 시흥대로 562 (신림동, 지하1층)</t>
  </si>
  <si>
    <t>3200000-102-1986-07800</t>
  </si>
  <si>
    <t xml:space="preserve">서울특별시 관악구 신림동 1640-1번지 </t>
  </si>
  <si>
    <t>3240000-102-2001-12659</t>
  </si>
  <si>
    <t xml:space="preserve">서울특별시 강동구 길동 459-3번지 3층 </t>
  </si>
  <si>
    <t>3200000-102-1986-07759</t>
  </si>
  <si>
    <t xml:space="preserve">서울특별시 관악구 봉천동 858-12번지 </t>
  </si>
  <si>
    <t>서울특별시 관악구 관악로 186 (봉천동)</t>
  </si>
  <si>
    <t>3200000-102-1984-07847</t>
  </si>
  <si>
    <t xml:space="preserve">서울특별시 관악구 봉천동 852-7번지 </t>
  </si>
  <si>
    <t>3200000-102-1984-07845</t>
  </si>
  <si>
    <t>3200000-102-1984-07768</t>
  </si>
  <si>
    <t xml:space="preserve">서울특별시 관악구 신림동 1422-28번지 </t>
  </si>
  <si>
    <t>3200000-102-1984-07853</t>
  </si>
  <si>
    <t xml:space="preserve">서울특별시 관악구 신림동 1640-44번지 </t>
  </si>
  <si>
    <t>3200000-102-2022-00004</t>
  </si>
  <si>
    <t>3200000-102-2023-00005</t>
  </si>
  <si>
    <t xml:space="preserve">서울특별시 관악구 신림동 1639-5 SU모텔 </t>
  </si>
  <si>
    <t>서울특별시 관악구 관천로 42, SU모텔 (신림동)</t>
  </si>
  <si>
    <t>3200000-102-2023-00006</t>
  </si>
  <si>
    <t xml:space="preserve">서울특별시 관악구 신림동 1433-51 </t>
  </si>
  <si>
    <t>서울특별시 관악구 남부순환로 1599-3 (신림동)</t>
  </si>
  <si>
    <t>3200000-102-2007-00004</t>
  </si>
  <si>
    <t xml:space="preserve">서울특별시 관악구 봉천동 857-5 외 1필지 지하1층 </t>
  </si>
  <si>
    <t>서울특별시 관악구 관악로 174 (봉천동,외 1필지 지하1층)</t>
  </si>
  <si>
    <t>3200000-102-2008-00001</t>
  </si>
  <si>
    <t xml:space="preserve">서울특별시 관악구 신림동 1432-77 </t>
  </si>
  <si>
    <t>서울특별시 관악구 신림로 355, 지상2층 (신림동)</t>
  </si>
  <si>
    <t>3200000-102-2008-00003</t>
  </si>
  <si>
    <t xml:space="preserve">서울특별시 관악구 신림동 1431-1번지 지상2층 </t>
  </si>
  <si>
    <t>서울특별시 관악구 신림로 373, 지상2층 (신림동)</t>
  </si>
  <si>
    <t>3200000-102-2008-00005</t>
  </si>
  <si>
    <t xml:space="preserve">서울특별시 관악구 신림동 1431-4 외1필지 지상3층 </t>
  </si>
  <si>
    <t>서울특별시 관악구 신림로 367 (신림동,외1필지 지상3층)</t>
  </si>
  <si>
    <t>3200000-102-2008-00007</t>
  </si>
  <si>
    <t xml:space="preserve">서울특별시 관악구 신림동 1431-15 3층 </t>
  </si>
  <si>
    <t>서울특별시 관악구 신림로 361 (신림동,3층)</t>
  </si>
  <si>
    <t>3200000-102-2008-00008</t>
  </si>
  <si>
    <t xml:space="preserve">서울특별시 관악구 신림동 1432-73 지상4층 </t>
  </si>
  <si>
    <t>서울특별시 관악구 신림로 353 (신림동,지상4층)</t>
  </si>
  <si>
    <t>3200000-102-2008-00012</t>
  </si>
  <si>
    <t>서울특별시 관악구 신림동 1421-29 지하1층</t>
  </si>
  <si>
    <t>서울특별시 관악구 신림로 344 (신림동,지하1층)</t>
  </si>
  <si>
    <t>3200000-102-1984-07842</t>
  </si>
  <si>
    <t>서울특별시 관악구 신림동 1655-17 지하1층</t>
  </si>
  <si>
    <t>3200000-102-2007-00005</t>
  </si>
  <si>
    <t>서울특별시 관악구 신림동 1431-15</t>
  </si>
  <si>
    <t>서울특별시 관악구 신림로 361, 지하1층 (신림동)</t>
  </si>
  <si>
    <t>3200000-102-2009-00001</t>
  </si>
  <si>
    <t xml:space="preserve">서울특별시 관악구 신림동 1640-31 지하1층 </t>
  </si>
  <si>
    <t>서울특별시 관악구 신림로59길 14, 지하1층 (신림동)</t>
  </si>
  <si>
    <t>3200000-102-2009-00003</t>
  </si>
  <si>
    <t xml:space="preserve">서울특별시 관악구 신림동 1433-48 </t>
  </si>
  <si>
    <t>서울특별시 관악구 남부순환로 1601-1, 지하1층 (신림동)</t>
  </si>
  <si>
    <t>3200000-102-2009-00004</t>
  </si>
  <si>
    <t xml:space="preserve">서울특별시 관악구 신림동 1569-4번지 </t>
  </si>
  <si>
    <t>서울특별시 관악구 난곡로 306 (신림동)</t>
  </si>
  <si>
    <t>3200000-102-2001-11323</t>
  </si>
  <si>
    <t xml:space="preserve">서울특별시 관악구 봉천동 858-7번지 </t>
  </si>
  <si>
    <t>서울특별시 관악구 남부순환로 1827 (봉천동)</t>
  </si>
  <si>
    <t>3200000-102-2001-11336</t>
  </si>
  <si>
    <t xml:space="preserve">서울특별시 관악구 남현동 1059-9번지 </t>
  </si>
  <si>
    <t>서울특별시 관악구 남현1길 19 (남현동)</t>
  </si>
  <si>
    <t>3200000-102-2001-11338</t>
  </si>
  <si>
    <t xml:space="preserve">서울특별시 관악구 신림동 527-10 </t>
  </si>
  <si>
    <t>서울특별시 관악구 남부순환로 1483, 지하1층 (신림동)</t>
  </si>
  <si>
    <t>3200000-102-2001-11340</t>
  </si>
  <si>
    <t xml:space="preserve">서울특별시 관악구 신림동 1638-15번지 </t>
  </si>
  <si>
    <t>서울특별시 관악구 신원로 39, 지하1층 (신림동)</t>
  </si>
  <si>
    <t>3200000-102-2001-11342</t>
  </si>
  <si>
    <t xml:space="preserve">서울특별시 관악구 신림동 1639-16 </t>
  </si>
  <si>
    <t>서울특별시 관악구 남부순환로 1592-5 (신림동)</t>
  </si>
  <si>
    <t>3200000-102-2001-11343</t>
  </si>
  <si>
    <t xml:space="preserve">서울특별시 관악구 신림동 530-29번지 </t>
  </si>
  <si>
    <t>서울특별시 관악구 난곡로 325 (신림동, 지하1층)</t>
  </si>
  <si>
    <t>3200000-102-2017-00002</t>
  </si>
  <si>
    <t xml:space="preserve">서울특별시 관악구 신림동 1638-3 </t>
  </si>
  <si>
    <t>서울특별시 관악구 신림로59길 17, 지하1층 (신림동)</t>
  </si>
  <si>
    <t>3200000-102-2017-00003</t>
  </si>
  <si>
    <t xml:space="preserve">서울특별시 관악구 신림동 1639-17 지하1층 </t>
  </si>
  <si>
    <t>서울특별시 관악구 남부순환로 1594, 지하1층 (신림동)</t>
  </si>
  <si>
    <t>3200000-102-2017-00004</t>
  </si>
  <si>
    <t xml:space="preserve">서울특별시 관악구 신림동 1425-29번지 </t>
  </si>
  <si>
    <t>서울특별시 관악구 봉천로12길 34, 지하1층 (신림동)</t>
  </si>
  <si>
    <t>3200000-102-2017-00005</t>
  </si>
  <si>
    <t xml:space="preserve">서울특별시 관악구 신림동 1640-6 </t>
  </si>
  <si>
    <t>서울특별시 관악구 남부순환로 1604, 지하1층 (신림동)</t>
  </si>
  <si>
    <t>3200000-102-2009-00006</t>
  </si>
  <si>
    <t xml:space="preserve">서울특별시 관악구 신림동 1640-31번지 지상2층 </t>
  </si>
  <si>
    <t>서울특별시 관악구 신림로59길 14 (신림동,지상2층)</t>
  </si>
  <si>
    <t>3200000-102-2009-00007</t>
  </si>
  <si>
    <t xml:space="preserve">서울특별시 관악구 신림동 1432-76 지상6층 </t>
  </si>
  <si>
    <t>서울특별시 관악구 신림로 351 (신림동,지상6층)</t>
  </si>
  <si>
    <t>3200000-102-1989-07778</t>
  </si>
  <si>
    <t xml:space="preserve">서울특별시 관악구 신림동 1425-22번지 </t>
  </si>
  <si>
    <t>3200000-102-2009-00005</t>
  </si>
  <si>
    <t>서울특별시 관악구 신림로59길 14 (신림동, 지하2층)</t>
  </si>
  <si>
    <t>3200000-102-1989-07782</t>
  </si>
  <si>
    <t xml:space="preserve">서울특별시 관악구 신림동 1422-18번지 </t>
  </si>
  <si>
    <t>3200000-102-1989-07743</t>
  </si>
  <si>
    <t xml:space="preserve">서울특별시 관악구 신림동 1640-2번지 </t>
  </si>
  <si>
    <t>3200000-102-1989-07741</t>
  </si>
  <si>
    <t xml:space="preserve">서울특별시 관악구 신림동 1641-2번지 </t>
  </si>
  <si>
    <t>3200000-102-1989-07807</t>
  </si>
  <si>
    <t xml:space="preserve">서울특별시 관악구 봉천동 856-7번지 </t>
  </si>
  <si>
    <t>3200000-102-1989-07798</t>
  </si>
  <si>
    <t xml:space="preserve">서울특별시 관악구 봉천동 1599-6번지 </t>
  </si>
  <si>
    <t>3200000-102-1993-07745</t>
  </si>
  <si>
    <t xml:space="preserve">서울특별시 관악구 봉천동 866-2번지 </t>
  </si>
  <si>
    <t>3200000-102-1999-09833</t>
  </si>
  <si>
    <t xml:space="preserve">서울특별시 관악구 신림동 529-4번지 </t>
  </si>
  <si>
    <t>3200000-102-1999-09810</t>
  </si>
  <si>
    <t xml:space="preserve">서울특별시 관악구 신림동 1423-6 </t>
  </si>
  <si>
    <t>서울특별시 관악구 봉천로12길 55 (신림동)</t>
  </si>
  <si>
    <t>3200000-102-1999-09692</t>
  </si>
  <si>
    <t xml:space="preserve">서울특별시 관악구 신림동 1423-22번지 </t>
  </si>
  <si>
    <t>3200000-102-1999-09591</t>
  </si>
  <si>
    <t xml:space="preserve">서울특별시 관악구 봉천동 33-3번지 </t>
  </si>
  <si>
    <t>3200000-102-1999-09483</t>
  </si>
  <si>
    <t xml:space="preserve">서울특별시 관악구 신림동 1639-4번지 </t>
  </si>
  <si>
    <t>서울특별시 관악구 관천로 44 (신림동)</t>
  </si>
  <si>
    <t>3200000-102-1999-09478</t>
  </si>
  <si>
    <t xml:space="preserve">서울특별시 관악구 신림동 1422-27번지 </t>
  </si>
  <si>
    <t>3200000-102-1999-09409</t>
  </si>
  <si>
    <t>3200000-102-1999-09411</t>
  </si>
  <si>
    <t xml:space="preserve">서울특별시 관악구 신림동 1431-2번지 </t>
  </si>
  <si>
    <t>3200000-102-1999-09344</t>
  </si>
  <si>
    <t xml:space="preserve">서울특별시 관악구 신림동 1641-1번지 </t>
  </si>
  <si>
    <t>3200000-102-1999-09281</t>
  </si>
  <si>
    <t xml:space="preserve">서울특별시 관악구 신림동 1431-30번지 </t>
  </si>
  <si>
    <t>서울특별시 관악구 신림동길 3-12 (신림동)</t>
  </si>
  <si>
    <t>3200000-102-1999-09287</t>
  </si>
  <si>
    <t xml:space="preserve">서울특별시 관악구 신림동 1423-33번지 </t>
  </si>
  <si>
    <t>서울특별시 관악구 신림로66길 15 (신림동)</t>
  </si>
  <si>
    <t>3200000-102-1986-07822</t>
  </si>
  <si>
    <t>3200000-102-1999-09271</t>
  </si>
  <si>
    <t xml:space="preserve">서울특별시 관악구 신림동 537-33번지 </t>
  </si>
  <si>
    <t>3200000-102-2000-10052</t>
  </si>
  <si>
    <t>3200000-102-2000-10053</t>
  </si>
  <si>
    <t xml:space="preserve">서울특별시 관악구 남현동 1061-2번지 지하1층 </t>
  </si>
  <si>
    <t>3200000-102-2000-10067</t>
  </si>
  <si>
    <t xml:space="preserve">서울특별시 관악구 신림동 1432-67번지 </t>
  </si>
  <si>
    <t>서울특별시 관악구 신림로67길 3-8 (신림동)</t>
  </si>
  <si>
    <t>3200000-102-2003-00004</t>
  </si>
  <si>
    <t xml:space="preserve">서울특별시 관악구 신림동 1425-29번지 지하1층 </t>
  </si>
  <si>
    <t>3200000-102-2003-00005</t>
  </si>
  <si>
    <t xml:space="preserve">서울특별시 관악구 신림동 1639-6번지 </t>
  </si>
  <si>
    <t>서울특별시 관악구 남부순환로 1590-6 (신림동)</t>
  </si>
  <si>
    <t>3200000-102-2003-00006</t>
  </si>
  <si>
    <t xml:space="preserve">서울특별시 관악구 봉천동 856-5번지 지하1층 </t>
  </si>
  <si>
    <t>3200000-102-2003-00007</t>
  </si>
  <si>
    <t xml:space="preserve">서울특별시 관악구 신림동 1638-7번지 지상2층 </t>
  </si>
  <si>
    <t>3200000-102-2003-00008</t>
  </si>
  <si>
    <t xml:space="preserve">서울특별시 관악구 신림동 1638-6번지 지상2층 </t>
  </si>
  <si>
    <t>3200000-102-2003-00009</t>
  </si>
  <si>
    <t xml:space="preserve">서울특별시 관악구 신림동 1639-57번지 지하1층 </t>
  </si>
  <si>
    <t>3200000-102-2003-00011</t>
  </si>
  <si>
    <t xml:space="preserve">서울특별시 관악구 봉천동 857-1번지 지하1층 </t>
  </si>
  <si>
    <t>서울특별시 관악구 남부순환로 1830, 지하1층 (봉천동)</t>
  </si>
  <si>
    <t>3200000-102-2003-00012</t>
  </si>
  <si>
    <t xml:space="preserve">서울특별시 관악구 신림동 1638-7번지 </t>
  </si>
  <si>
    <t>3200000-102-2003-00014</t>
  </si>
  <si>
    <t>서울특별시 관악구 남부순환로220길 28 (봉천동)</t>
  </si>
  <si>
    <t>3200000-102-2000-10087</t>
  </si>
  <si>
    <t xml:space="preserve">서울특별시 관악구 봉천동 868-25번지 </t>
  </si>
  <si>
    <t>3200000-102-2000-10088</t>
  </si>
  <si>
    <t xml:space="preserve">서울특별시 관악구 신림동 1474-15번지 </t>
  </si>
  <si>
    <t>서울특별시 관악구 남부순환로 1466 (신림동)</t>
  </si>
  <si>
    <t>3200000-102-2000-10091</t>
  </si>
  <si>
    <t xml:space="preserve">서울특별시 관악구 봉천동 62-33번지 </t>
  </si>
  <si>
    <t>3200000-102-2000-11160</t>
  </si>
  <si>
    <t>3200000-102-2000-10093</t>
  </si>
  <si>
    <t xml:space="preserve">서울특별시 관악구 신림동 1569-12번지 </t>
  </si>
  <si>
    <t>서울특별시 관악구 남부순환로 1486, 지하1층 (신림동)</t>
  </si>
  <si>
    <t>3200000-102-2000-09766</t>
  </si>
  <si>
    <t>3200000-102-2000-10100</t>
  </si>
  <si>
    <t xml:space="preserve">서울특별시 관악구 신림동 1639-53번지 </t>
  </si>
  <si>
    <t>3200000-102-2000-10132</t>
  </si>
  <si>
    <t xml:space="preserve">서울특별시 관악구 신림동 1423-3번지 </t>
  </si>
  <si>
    <t>3200000-102-2000-10137</t>
  </si>
  <si>
    <t>3200000-102-2011-00008</t>
  </si>
  <si>
    <t xml:space="preserve">서울특별시 관악구 신림동 1639-57 지하1층 </t>
  </si>
  <si>
    <t>서울특별시 관악구 관천로 36-1 (신림동,지하1층)</t>
  </si>
  <si>
    <t>3200000-102-2011-00010</t>
  </si>
  <si>
    <t xml:space="preserve">서울특별시 관악구 신림동 1638-1번지 지하1층 </t>
  </si>
  <si>
    <t>서울특별시 관악구 신원로 35, 지하1층 (신림동)</t>
  </si>
  <si>
    <t>3200000-102-2011-00011</t>
  </si>
  <si>
    <t>3200000-102-2011-00012</t>
  </si>
  <si>
    <t>서울특별시 관악구 신림로64길 20 (신림동)</t>
  </si>
  <si>
    <t>3200000-102-2011-00013</t>
  </si>
  <si>
    <t xml:space="preserve">서울특별시 관악구 신림동 1640-6번지 지하1층 </t>
  </si>
  <si>
    <t>서울특별시 관악구 남부순환로 지하 1604, 지하1층 (신림동)</t>
  </si>
  <si>
    <t>3200000-102-2012-00002</t>
  </si>
  <si>
    <t xml:space="preserve">서울특별시 관악구 신림동 1655-21번지 </t>
  </si>
  <si>
    <t>서울특별시 관악구 시흥대로 554 (신림동)</t>
  </si>
  <si>
    <t>3200000-102-2012-00003</t>
  </si>
  <si>
    <t>3200000-102-2012-00005</t>
  </si>
  <si>
    <t xml:space="preserve">서울특별시 관악구 신림동 1431-1번지 </t>
  </si>
  <si>
    <t>서울특별시 관악구 신림로 373 (신림동)</t>
  </si>
  <si>
    <t>3200000-102-2021-00002</t>
  </si>
  <si>
    <t>서울특별시 관악구 신림로 349, WD호텔 지하1층 (신림동)</t>
  </si>
  <si>
    <t>3200000-102-2001-07780</t>
  </si>
  <si>
    <t xml:space="preserve">서울특별시 관악구 신림동 1526-2 </t>
  </si>
  <si>
    <t>서울특별시 관악구 호암로 599 (신림동)</t>
  </si>
  <si>
    <t>3200000-102-2001-07794</t>
  </si>
  <si>
    <t xml:space="preserve">서울특별시 관악구 신림동 1639-57번지 1층 </t>
  </si>
  <si>
    <t>3200000-102-2001-11188</t>
  </si>
  <si>
    <t xml:space="preserve">서울특별시 관악구 신림동 1641-3번지 </t>
  </si>
  <si>
    <t>3200000-102-2001-07799</t>
  </si>
  <si>
    <t xml:space="preserve">서울특별시 관악구 봉천동 868-2번지 지하1층 </t>
  </si>
  <si>
    <t>서울특별시 관악구 남부순환로220길 16 (봉천동,지하1층)</t>
  </si>
  <si>
    <t>3200000-102-2000-07784</t>
  </si>
  <si>
    <t xml:space="preserve">서울특별시 관악구 신림동 1569-10번지 </t>
  </si>
  <si>
    <t>서울특별시 관악구 남부순환로 1482 (신림동)</t>
  </si>
  <si>
    <t>3200000-102-2001-10254</t>
  </si>
  <si>
    <t xml:space="preserve">서울특별시 관악구 봉천동 896-28번지 </t>
  </si>
  <si>
    <t>3200000-102-2001-07824</t>
  </si>
  <si>
    <t xml:space="preserve">서울특별시 관악구 신림동 1513-2번지 </t>
  </si>
  <si>
    <t>서울특별시 관악구 호암로 605 (신림동)</t>
  </si>
  <si>
    <t>3200000-102-2001-10792</t>
  </si>
  <si>
    <t xml:space="preserve">서울특별시 관악구 신림동 1655-23번지 </t>
  </si>
  <si>
    <t>3200000-102-2001-10844</t>
  </si>
  <si>
    <t xml:space="preserve">서울특별시 관악구 봉천동 858-6번지 </t>
  </si>
  <si>
    <t>서울특별시 관악구 남부순환로 1829-5 (봉천동)</t>
  </si>
  <si>
    <t>3200000-102-2001-07755</t>
  </si>
  <si>
    <t>3200000-102-2000-10391</t>
  </si>
  <si>
    <t xml:space="preserve">서울특별시 관악구 신림동 1433-90번지 </t>
  </si>
  <si>
    <t>서울특별시 관악구 남부순환로 1593-8 (신림동)</t>
  </si>
  <si>
    <t>3200000-102-2000-10400</t>
  </si>
  <si>
    <t>3200000-102-2000-10404</t>
  </si>
  <si>
    <t xml:space="preserve">서울특별시 관악구 신림동 1425-15 </t>
  </si>
  <si>
    <t>서울특별시 관악구 신림로 364 (신림동)</t>
  </si>
  <si>
    <t>3200000-102-2000-10900</t>
  </si>
  <si>
    <t xml:space="preserve">서울특별시 관악구 신림동 1655-9 </t>
  </si>
  <si>
    <t>서울특별시 관악구 시흥대로 566, 지하1층 (신림동)</t>
  </si>
  <si>
    <t>3200000-102-2004-00006</t>
  </si>
  <si>
    <t xml:space="preserve">서울특별시 관악구 봉천동 864-3번지 지하1층 </t>
  </si>
  <si>
    <t>서울특별시 관악구 남부순환로220길 45, 지하1층 (봉천동)</t>
  </si>
  <si>
    <t>3200000-102-1999-07750</t>
  </si>
  <si>
    <t xml:space="preserve">서울특별시 관악구 봉천동 62-2번지 </t>
  </si>
  <si>
    <t>3200000-102-1980-07764</t>
  </si>
  <si>
    <t xml:space="preserve">서울특별시 관악구 신림동 1433-44번지 </t>
  </si>
  <si>
    <t>3200000-102-1980-07809</t>
  </si>
  <si>
    <t xml:space="preserve">서울특별시 관악구 봉천동 952-20번지 </t>
  </si>
  <si>
    <t>3200000-102-2005-00004</t>
  </si>
  <si>
    <t xml:space="preserve">서울특별시 관악구 신림동 1640-2번지 지상4층 </t>
  </si>
  <si>
    <t>3200000-102-2005-00005</t>
  </si>
  <si>
    <t xml:space="preserve">서울특별시 관악구 신림동 1640-13 지상4층 </t>
  </si>
  <si>
    <t>서울특별시 관악구 신림로 329 (신림동,지상4층)</t>
  </si>
  <si>
    <t>3200000-102-2005-00006</t>
  </si>
  <si>
    <t xml:space="preserve">서울특별시 관악구 봉천동 868-1번지 </t>
  </si>
  <si>
    <t>서울특별시 관악구 관악로17길 3 (봉천동)</t>
  </si>
  <si>
    <t>3200000-102-2006-00005</t>
  </si>
  <si>
    <t>3200000-102-2006-00006</t>
  </si>
  <si>
    <t xml:space="preserve">서울특별시 관악구 봉천동 852-2번지 지하1층 </t>
  </si>
  <si>
    <t>3200000-102-1984-07827</t>
  </si>
  <si>
    <t xml:space="preserve">서울특별시 관악구 신림동 1431-5번지 </t>
  </si>
  <si>
    <t>3200000-102-1984-07832</t>
  </si>
  <si>
    <t xml:space="preserve">서울특별시 관악구 신림동 1641-8번지 </t>
  </si>
  <si>
    <t>3200000-102-1984-07789</t>
  </si>
  <si>
    <t xml:space="preserve">서울특별시 관악구 신림동 1433-120번지 </t>
  </si>
  <si>
    <t>서울특별시 관악구 남부순환로 1587 (신림동)</t>
  </si>
  <si>
    <t>3200000-102-1984-07762</t>
  </si>
  <si>
    <t xml:space="preserve">서울특별시 관악구 신림동 1640-9번지 </t>
  </si>
  <si>
    <t>3200000-102-1985-07772</t>
  </si>
  <si>
    <t xml:space="preserve">서울특별시 관악구 봉천동 856-2번지 </t>
  </si>
  <si>
    <t>3200000-102-1985-07735</t>
  </si>
  <si>
    <t xml:space="preserve">서울특별시 관악구 신림동 1424-11번지 </t>
  </si>
  <si>
    <t>3200000-102-1985-07771</t>
  </si>
  <si>
    <t>3200000-102-1985-07837</t>
  </si>
  <si>
    <t>3200000-102-1985-07752</t>
  </si>
  <si>
    <t>3200000-102-1985-07785</t>
  </si>
  <si>
    <t xml:space="preserve">서울특별시 관악구 봉천동 881-36번지 </t>
  </si>
  <si>
    <t>3200000-102-1985-07753</t>
  </si>
  <si>
    <t xml:space="preserve">서울특별시 관악구 신림동 1638-1번지 </t>
  </si>
  <si>
    <t>3200000-102-1985-09239</t>
  </si>
  <si>
    <t xml:space="preserve">서울특별시 관악구 신림동 1424-22 지하1층 </t>
  </si>
  <si>
    <t>서울특별시 관악구 신림로 352, 지하1층 (신림동)</t>
  </si>
  <si>
    <t>3200000-102-1985-07828</t>
  </si>
  <si>
    <t xml:space="preserve">서울특별시 관악구 봉천동 853-3번지 </t>
  </si>
  <si>
    <t>3200000-102-1985-07754</t>
  </si>
  <si>
    <t>3200000-102-1986-07748</t>
  </si>
  <si>
    <t xml:space="preserve">서울특별시 관악구 신림동 1426-7번지 </t>
  </si>
  <si>
    <t>3200000-102-1986-07843</t>
  </si>
  <si>
    <t xml:space="preserve">서울특별시 관악구 신림동 1433-8번지 </t>
  </si>
  <si>
    <t>3200000-102-1984-07773</t>
  </si>
  <si>
    <t xml:space="preserve">서울특별시 관악구 신림동 1433-78번지 </t>
  </si>
  <si>
    <t>3200000-102-1986-07831</t>
  </si>
  <si>
    <t xml:space="preserve">서울특별시 관악구 봉천동 869-3번지 </t>
  </si>
  <si>
    <t>3200000-102-1986-07846</t>
  </si>
  <si>
    <t xml:space="preserve">서울특별시 관악구 봉천동 852-4번지 </t>
  </si>
  <si>
    <t>3200000-102-1986-07848</t>
  </si>
  <si>
    <t xml:space="preserve">서울특별시 관악구 봉천동 30-26번지 </t>
  </si>
  <si>
    <t>3200000-102-1986-07849</t>
  </si>
  <si>
    <t>3200000-102-1986-07852</t>
  </si>
  <si>
    <t xml:space="preserve">서울특별시 관악구 봉천동 26번지 </t>
  </si>
  <si>
    <t>3200000-102-2001-07775</t>
  </si>
  <si>
    <t xml:space="preserve">서울특별시 관악구 신림동 1433-33 </t>
  </si>
  <si>
    <t>서울특별시 관악구 신림로63길 17 (신림동)</t>
  </si>
  <si>
    <t>3200000-102-2001-07749</t>
  </si>
  <si>
    <t>3200000-102-2001-11006</t>
  </si>
  <si>
    <t xml:space="preserve">서울특별시 관악구 봉천동 32-8번지 </t>
  </si>
  <si>
    <t>3200000-102-2001-11034</t>
  </si>
  <si>
    <t xml:space="preserve">서울특별시 관악구 신림동 1641-11번지 </t>
  </si>
  <si>
    <t>3200000-102-2001-11186</t>
  </si>
  <si>
    <t>3200000-102-2001-07779</t>
  </si>
  <si>
    <t xml:space="preserve">서울특별시 관악구 봉천동 853-4번지 </t>
  </si>
  <si>
    <t>서울특별시 관악구 남부순환로 1832 (봉천동)</t>
  </si>
  <si>
    <t>3200000-102-2001-09495</t>
  </si>
  <si>
    <t>서울특별시 관악구 남부순환로224길 13 (봉천동, 지하1층)</t>
  </si>
  <si>
    <t>3200000-102-2001-11184</t>
  </si>
  <si>
    <t xml:space="preserve">서울특별시 관악구 봉천동 869-12번지 </t>
  </si>
  <si>
    <t>3200000-102-2001-07840</t>
  </si>
  <si>
    <t xml:space="preserve">서울특별시 관악구 봉천동 1601-1번지 </t>
  </si>
  <si>
    <t>3200000-102-2001-07819</t>
  </si>
  <si>
    <t xml:space="preserve">서울특별시 관악구 봉천동 866-1번지 </t>
  </si>
  <si>
    <t>서울특별시 관악구 관악로15길 17 (봉천동, 성우빌딩2층)</t>
  </si>
  <si>
    <t>3200000-102-2001-11096</t>
  </si>
  <si>
    <t>서울특별시 관악구 시흥대로 552-1, 지하1층 (신림동)</t>
  </si>
  <si>
    <t>3200000-102-2001-11183</t>
  </si>
  <si>
    <t xml:space="preserve">서울특별시 관악구 신림동 527-5번지 </t>
  </si>
  <si>
    <t>3200000-102-2001-11182</t>
  </si>
  <si>
    <t>3200000-102-2001-11079</t>
  </si>
  <si>
    <t xml:space="preserve">서울특별시 관악구 신림동 1423-10번지 </t>
  </si>
  <si>
    <t>서울특별시 관악구 봉천로12길 59 (신림동)</t>
  </si>
  <si>
    <t>3200000-102-2001-07791</t>
  </si>
  <si>
    <t xml:space="preserve">서울특별시 관악구 봉천동 863-10 </t>
  </si>
  <si>
    <t>서울특별시 관악구 관악로15길 11 (봉천동)</t>
  </si>
  <si>
    <t>3200000-102-1977-07756</t>
  </si>
  <si>
    <t>3200000-102-1977-11037</t>
  </si>
  <si>
    <t xml:space="preserve">서울특별시 관악구 신림동 1428-1번지 </t>
  </si>
  <si>
    <t>서울특별시 관악구 신림로 386 (신림동)</t>
  </si>
  <si>
    <t>3200000-102-1978-07835</t>
  </si>
  <si>
    <t xml:space="preserve">서울특별시 관악구 신림동 1425-25 </t>
  </si>
  <si>
    <t>서울특별시 관악구 신림로 372 (신림동)</t>
  </si>
  <si>
    <t>3200000-102-1984-07736</t>
  </si>
  <si>
    <t>3200000-102-1979-07786</t>
  </si>
  <si>
    <t xml:space="preserve">서울특별시 관악구 봉천동 896-1번지 </t>
  </si>
  <si>
    <t>3200000-102-1979-07738</t>
  </si>
  <si>
    <t>3200000-102-1979-07737</t>
  </si>
  <si>
    <t xml:space="preserve">서울특별시 관악구 신림동 1643-4번지 </t>
  </si>
  <si>
    <t>3200000-102-1979-07788</t>
  </si>
  <si>
    <t>3200000-102-2002-00006</t>
  </si>
  <si>
    <t xml:space="preserve">서울특별시 관악구 신림동 1433-122번지 </t>
  </si>
  <si>
    <t>3200000-102-2002-00007</t>
  </si>
  <si>
    <t xml:space="preserve">서울특별시 관악구 신림동 1422-4번지 지하1층 </t>
  </si>
  <si>
    <t>3200000-102-2002-00008</t>
  </si>
  <si>
    <t xml:space="preserve">서울특별시 관악구 신림동 1422-4번지 </t>
  </si>
  <si>
    <t>3200000-102-2002-00009</t>
  </si>
  <si>
    <t xml:space="preserve">서울특별시 관악구 봉천동 855-1번지 지하1층 </t>
  </si>
  <si>
    <t>3200000-102-1986-07767</t>
  </si>
  <si>
    <t>서울특별시 관악구 관악로24길 14 (봉천동)</t>
  </si>
  <si>
    <t>3200000-102-1987-07739</t>
  </si>
  <si>
    <t>3200000-102-1987-07761</t>
  </si>
  <si>
    <t xml:space="preserve">서울특별시 관악구 신림동 1639-8번지 ,9,10 </t>
  </si>
  <si>
    <t>3200000-102-1988-07746</t>
  </si>
  <si>
    <t xml:space="preserve">서울특별시 관악구 신림동 1423-4번지 </t>
  </si>
  <si>
    <t>3200000-102-1989-07805</t>
  </si>
  <si>
    <t>3200000-102-1989-07825</t>
  </si>
  <si>
    <t xml:space="preserve">서울특별시 관악구 신림동 1421-55번지 </t>
  </si>
  <si>
    <t>3200000-102-2012-00010</t>
  </si>
  <si>
    <t xml:space="preserve">서울특별시 관악구 신림동 1639-50번지 </t>
  </si>
  <si>
    <t>서울특별시 관악구 남부순환로 1590-7, 지하1층 (신림동)</t>
  </si>
  <si>
    <t>3200000-102-2013-00001</t>
  </si>
  <si>
    <t xml:space="preserve">서울특별시 관악구 신림동 1422-6 </t>
  </si>
  <si>
    <t>서울특별시 관악구 남부순환로 1633, 지하1층 (신림동)</t>
  </si>
  <si>
    <t>3200000-102-2007-00002</t>
  </si>
  <si>
    <t xml:space="preserve">서울특별시 관악구 신림동 529-4번지 지하1층 </t>
  </si>
  <si>
    <t>서울특별시 관악구 난곡로 324, 지하1층 (신림동)</t>
  </si>
  <si>
    <t>3200000-102-2007-00003</t>
  </si>
  <si>
    <t>3200000-102-2008-00002</t>
  </si>
  <si>
    <t xml:space="preserve">서울특별시 관악구 신림동 1433-34번지 외2필지 지하1층 </t>
  </si>
  <si>
    <t>서울특별시 관악구 남부순환로 1603 (신림동,외2필지 지하1층)</t>
  </si>
  <si>
    <t>3200000-102-2008-00004</t>
  </si>
  <si>
    <t>서울특별시 관악구 시흥대로 554, 지하1층 (신림동)</t>
  </si>
  <si>
    <t>3200000-102-2008-00006</t>
  </si>
  <si>
    <t xml:space="preserve">서울특별시 관악구 신림동 537-33번지 2층 </t>
  </si>
  <si>
    <t>3200000-102-2008-00009</t>
  </si>
  <si>
    <t xml:space="preserve">서울특별시 관악구 신림동 1643번지 지하1층 </t>
  </si>
  <si>
    <t>3200000-102-2008-00010</t>
  </si>
  <si>
    <t xml:space="preserve">서울특별시 관악구 봉천동 851-6번지 </t>
  </si>
  <si>
    <t>서울특별시 관악구 관악로 200 (봉천동)</t>
  </si>
  <si>
    <t>3200000-102-2009-00002</t>
  </si>
  <si>
    <t xml:space="preserve">서울특별시 관악구 신림동 1433-34 </t>
  </si>
  <si>
    <t>서울특별시 관악구 남부순환로 1603, 지하1층 (신림동)</t>
  </si>
  <si>
    <t>3200000-102-2001-07774</t>
  </si>
  <si>
    <t xml:space="preserve">서울특별시 관악구 봉천동 852-2번지 ,7 </t>
  </si>
  <si>
    <t>3200000-102-2001-07818</t>
  </si>
  <si>
    <t xml:space="preserve">서울특별시 관악구 신림동 1568-4번지 </t>
  </si>
  <si>
    <t>3200000-102-2001-11335</t>
  </si>
  <si>
    <t xml:space="preserve">서울특별시 관악구 신림동 1643-5번지 </t>
  </si>
  <si>
    <t>3200000-102-2001-11341</t>
  </si>
  <si>
    <t>3200000-102-2001-11344</t>
  </si>
  <si>
    <t xml:space="preserve">서울특별시 관악구 봉천동 856-7번지 지하 </t>
  </si>
  <si>
    <t>3200000-102-2001-11345</t>
  </si>
  <si>
    <t xml:space="preserve">서울특별시 관악구 신림동 1421-55번지 지하1층 </t>
  </si>
  <si>
    <t>3200000-102-2018-00001</t>
  </si>
  <si>
    <t xml:space="preserve">서울특별시 관악구 신림동 1432-79 </t>
  </si>
  <si>
    <t>서울특별시 관악구 신림로 349, WD호텔 3층 (신림동)</t>
  </si>
  <si>
    <t>3200000-102-2009-00011</t>
  </si>
  <si>
    <t>서울특별시 관악구 신림로64길 11, 지상1층 (신림동)</t>
  </si>
  <si>
    <t>3200000-102-2011-00002</t>
  </si>
  <si>
    <t xml:space="preserve">서울특별시 관악구 신림동 1655-17번지 </t>
  </si>
  <si>
    <t>서울특별시 관악구 시흥대로 558-1 (신림동)</t>
  </si>
  <si>
    <t>3200000-102-2002-00012</t>
  </si>
  <si>
    <t xml:space="preserve">서울특별시 관악구 봉천동 869-6번지 </t>
  </si>
  <si>
    <t>3200000-102-2002-00017</t>
  </si>
  <si>
    <t xml:space="preserve">서울특별시 관악구 신림동 1433-38번지 </t>
  </si>
  <si>
    <t>3200000-102-2002-00018</t>
  </si>
  <si>
    <t>3200000-102-2003-00002</t>
  </si>
  <si>
    <t xml:space="preserve">서울특별시 관악구 봉천동 852-2번지 ,7  지하 </t>
  </si>
  <si>
    <t>3200000-102-2003-00003</t>
  </si>
  <si>
    <t xml:space="preserve">서울특별시 관악구 봉천동 868-3번지 </t>
  </si>
  <si>
    <t>3200000-102-2002-00019</t>
  </si>
  <si>
    <t xml:space="preserve">서울특별시 관악구 신림동 1433-122번지 지하1층 </t>
  </si>
  <si>
    <t>서울특별시 관악구 남부순환로 1585-6 (신림동,지하1층)</t>
  </si>
  <si>
    <t>3200000-102-2011-00003</t>
  </si>
  <si>
    <t>3200000-102-2011-00004</t>
  </si>
  <si>
    <t>3200000-102-2000-10534</t>
  </si>
  <si>
    <t>3200000-102-2000-10390</t>
  </si>
  <si>
    <t xml:space="preserve">서울특별시 관악구 신림동 1433-48번지 </t>
  </si>
  <si>
    <t>3200000-102-1986-07813</t>
  </si>
  <si>
    <t>3200000-102-1984-07854</t>
  </si>
  <si>
    <t xml:space="preserve">서울특별시 관악구 신림동 1655-17번지 지하 1층 </t>
  </si>
  <si>
    <t>서울특별시 관악구 시흥대로 558-1 (신림동,지하 1층)</t>
  </si>
  <si>
    <t>3200000-102-1999-09659</t>
  </si>
  <si>
    <t>3200000-102-2000-10148</t>
  </si>
  <si>
    <t xml:space="preserve">서울특별시 관악구 남현동 1061-11 남현빌딩 </t>
  </si>
  <si>
    <t>서울특별시 관악구 남현1길 68-14, 남현빌딩 지하1층 (남현동)</t>
  </si>
  <si>
    <t>3200000-102-2000-10154</t>
  </si>
  <si>
    <t xml:space="preserve">서울특별시 관악구 신림동 1423-28번지 </t>
  </si>
  <si>
    <t>3200000-102-2000-10178</t>
  </si>
  <si>
    <t xml:space="preserve">서울특별시 관악구 신림동 1639-5번지 </t>
  </si>
  <si>
    <t>3200000-102-2000-07742</t>
  </si>
  <si>
    <t xml:space="preserve">서울특별시 관악구 신림동 1422-10번지 외 1필지 </t>
  </si>
  <si>
    <t>서울특별시 관악구 남부순환로 1631 (신림동,외 1필지)</t>
  </si>
  <si>
    <t>3200000-102-2000-10215</t>
  </si>
  <si>
    <t>3200000-102-2000-10235</t>
  </si>
  <si>
    <t>3200000-102-2000-10255</t>
  </si>
  <si>
    <t xml:space="preserve">서울특별시 관악구 봉천동 857-2번지 </t>
  </si>
  <si>
    <t>서울특별시 관악구 남부순환로224길 4 (봉천동)</t>
  </si>
  <si>
    <t>3200000-102-2000-10297</t>
  </si>
  <si>
    <t xml:space="preserve">서울특별시 관악구 남현동 1059-10번지 </t>
  </si>
  <si>
    <t>서울특별시 관악구 남현1길 23 (남현동)</t>
  </si>
  <si>
    <t>3200000-102-2000-10334</t>
  </si>
  <si>
    <t xml:space="preserve">서울특별시 관악구 신림동 1655-4번지 </t>
  </si>
  <si>
    <t>3200000-102-2000-07781</t>
  </si>
  <si>
    <t>3200000-102-2000-10351</t>
  </si>
  <si>
    <t xml:space="preserve">서울특별시 관악구 신림동 1568-6번지 </t>
  </si>
  <si>
    <t>3200000-102-2000-10356</t>
  </si>
  <si>
    <t xml:space="preserve">서울특별시 관악구 신림동 529-8번지 </t>
  </si>
  <si>
    <t>3200000-102-2000-10360</t>
  </si>
  <si>
    <t xml:space="preserve">서울특별시 관악구 신림동 1431-18번지 </t>
  </si>
  <si>
    <t>3200000-102-2000-07783</t>
  </si>
  <si>
    <t xml:space="preserve">서울특별시 관악구 봉천동 862-2번지 </t>
  </si>
  <si>
    <t>3200000-102-2000-07766</t>
  </si>
  <si>
    <t xml:space="preserve">서울특별시 관악구 봉천동 1656-22번지 </t>
  </si>
  <si>
    <t>3200000-102-2001-10877</t>
  </si>
  <si>
    <t>서울특별시 관악구 관천로 38 (신림동)</t>
  </si>
  <si>
    <t>3200000-102-2001-07810</t>
  </si>
  <si>
    <t xml:space="preserve">서울특별시 관악구 신림동 1421-51번지 </t>
  </si>
  <si>
    <t>서울특별시 관악구 신림로66길 16 (신림동)</t>
  </si>
  <si>
    <t>3200000-102-2012-00007</t>
  </si>
  <si>
    <t>서울특별시 관악구 신림동 1421-29번지 에스케이허브그린 B01호</t>
  </si>
  <si>
    <t>서울특별시 관악구 신림로 344, 지하층 제비01호 (신림동)</t>
  </si>
  <si>
    <t>3200000-102-1986-07841</t>
  </si>
  <si>
    <t xml:space="preserve">서울특별시 관악구 신림동 1421-64번지 </t>
  </si>
  <si>
    <t>3200000-102-1986-07801</t>
  </si>
  <si>
    <t xml:space="preserve">서울특별시 관악구 신림동 1433-37번지 </t>
  </si>
  <si>
    <t>서울특별시 관악구 신림로63길 7 (신림동)</t>
  </si>
  <si>
    <t>3200000-102-1986-07757</t>
  </si>
  <si>
    <t xml:space="preserve">서울특별시 관악구 봉천동 56-125번지 </t>
  </si>
  <si>
    <t>3200000-102-1999-09571</t>
  </si>
  <si>
    <t xml:space="preserve">서울특별시 관악구 신림동 1425-1번지 </t>
  </si>
  <si>
    <t>서울특별시 관악구 봉천로12길 24, 지하1층 (신림동)</t>
  </si>
  <si>
    <t>3200000-102-1980-07802</t>
  </si>
  <si>
    <t xml:space="preserve">서울특별시 관악구 봉천동 894-3번지 </t>
  </si>
  <si>
    <t>3200000-102-1980-07765</t>
  </si>
  <si>
    <t xml:space="preserve">서울특별시 관악구 봉천동 894-13번지 </t>
  </si>
  <si>
    <t>3200000-102-1982-07829</t>
  </si>
  <si>
    <t>3200000-102-1983-07854</t>
  </si>
  <si>
    <t>3200000-102-1983-07817</t>
  </si>
  <si>
    <t xml:space="preserve">서울특별시 관악구 신림동 1639-5 </t>
  </si>
  <si>
    <t>서울특별시 관악구 관천로 42, 지하1층 (신림동)</t>
  </si>
  <si>
    <t>3200000-102-1983-07851</t>
  </si>
  <si>
    <t>3200000-102-1983-07855</t>
  </si>
  <si>
    <t xml:space="preserve">서울특별시 관악구 봉천동 48-7번지 </t>
  </si>
  <si>
    <t>3200000-102-1983-07830</t>
  </si>
  <si>
    <t>3200000-102-1984-07816</t>
  </si>
  <si>
    <t>3200000-102-2004-00003</t>
  </si>
  <si>
    <t xml:space="preserve">서울특별시 관악구 신림동 1425-15번지 외1필지  지상8층 </t>
  </si>
  <si>
    <t>3210000-102-2000-15097</t>
  </si>
  <si>
    <t xml:space="preserve">서울특별시 서초구 서초동 1588-8 지하1층 </t>
  </si>
  <si>
    <t>서울특별시 서초구 효령로55길 15, 지하1층 (서초동)</t>
  </si>
  <si>
    <t>3210000-102-1983-14772</t>
  </si>
  <si>
    <t xml:space="preserve">서울특별시 서초구 방배동 768-1번지 지하1층 </t>
  </si>
  <si>
    <t>서울특별시 서초구 방배중앙로27길 9, 지하1층 (방배동)</t>
  </si>
  <si>
    <t>3210000-102-2000-14883</t>
  </si>
  <si>
    <t>서울특별시 서초구 서초동 1308-22</t>
  </si>
  <si>
    <t>서울특별시 서초구 서초대로75길 35 (서초동)</t>
  </si>
  <si>
    <t>3210000-102-2007-00001</t>
  </si>
  <si>
    <t xml:space="preserve">서울특별시 서초구 서초동 1595-2 지하1층 </t>
  </si>
  <si>
    <t>서울특별시 서초구 반포대로18길 56, 지하1층 (서초동)</t>
  </si>
  <si>
    <t>3210000-102-2011-00003</t>
  </si>
  <si>
    <t xml:space="preserve">서울특별시 서초구 서초동 1589-4 2층 </t>
  </si>
  <si>
    <t>서울특별시 서초구 반포대로12길 29 (2)층 (서초동)</t>
  </si>
  <si>
    <t>3210000-102-2012-00003</t>
  </si>
  <si>
    <t xml:space="preserve">서울특별시 서초구 서초동 1330-12 </t>
  </si>
  <si>
    <t>서울특별시 서초구 서초대로78길 지하 52 (서초동)</t>
  </si>
  <si>
    <t>3210000-102-2014-00003</t>
  </si>
  <si>
    <t xml:space="preserve">서울특별시 서초구 서초동 1303-36 (3층~5층) </t>
  </si>
  <si>
    <t>서울특별시 서초구 서초대로77길 58 (서초동)</t>
  </si>
  <si>
    <t>3210000-102-1980-06334</t>
  </si>
  <si>
    <t xml:space="preserve">서울특별시 서초구 반포동 747-14 지하1층 </t>
  </si>
  <si>
    <t>서울특별시 서초구 사평대로 369 (반포동, 지하1층)</t>
  </si>
  <si>
    <t>3210000-102-1982-06483</t>
  </si>
  <si>
    <t xml:space="preserve">서울특별시 서초구 잠원동 6-1 리버사이드호텔 </t>
  </si>
  <si>
    <t>서울특별시 서초구 강남대로107길 6, 리버사이드호텔 지하1?2층 (잠원동)</t>
  </si>
  <si>
    <t>3210000-102-1982-06377</t>
  </si>
  <si>
    <t xml:space="preserve">서울특별시 서초구 잠원동 12-21 </t>
  </si>
  <si>
    <t>서울특별시 서초구 강남대로 615 (잠원동)</t>
  </si>
  <si>
    <t>3210000-102-2001-15965</t>
  </si>
  <si>
    <t xml:space="preserve">서울특별시 서초구 서초동 1588-12 </t>
  </si>
  <si>
    <t>서울특별시 서초구 반포대로12길 49 (서초동)</t>
  </si>
  <si>
    <t>3210000-102-2001-16068</t>
  </si>
  <si>
    <t xml:space="preserve">서울특별시 서초구 서초동 1600-1번지 </t>
  </si>
  <si>
    <t>서울특별시 서초구 서초중앙로5길 10-24 (서초동)</t>
  </si>
  <si>
    <t>3210000-102-1980-06391</t>
  </si>
  <si>
    <t>서울특별시 서초구 방배동 836-3 지층 2호</t>
  </si>
  <si>
    <t>서울특별시 서초구 방배로 195, 지층 제2호 (방배동)</t>
  </si>
  <si>
    <t>3210000-102-2001-16069</t>
  </si>
  <si>
    <t xml:space="preserve">서울특별시 서초구 서초동 1574-7 </t>
  </si>
  <si>
    <t>서울특별시 서초구 반포대로28길 93 (서초동)</t>
  </si>
  <si>
    <t>3210000-102-1978-06389</t>
  </si>
  <si>
    <t xml:space="preserve">서울특별시 서초구 방배동 811-16 </t>
  </si>
  <si>
    <t>서울특별시 서초구 방배로 200 (방배동)</t>
  </si>
  <si>
    <t>3210000-102-1986-06444</t>
  </si>
  <si>
    <t xml:space="preserve">서울특별시 서초구 서초동 1589-4 지하1층 </t>
  </si>
  <si>
    <t>서울특별시 서초구 반포대로12길 29 (지하1)층 (서초동)</t>
  </si>
  <si>
    <t>3210000-102-2001-15760</t>
  </si>
  <si>
    <t>서울특별시 서초구 서초동 1588-7 지103호</t>
  </si>
  <si>
    <t>서울특별시 서초구 효령로53길 18, 석탑오피스텔 지하1층 (서초동)</t>
  </si>
  <si>
    <t>3210000-102-1978-06388</t>
  </si>
  <si>
    <t xml:space="preserve">서울특별시 서초구 방배동 875-1 (지하1층) </t>
  </si>
  <si>
    <t>서울특별시 서초구 방배로 170 (방배동,(지하1층))</t>
  </si>
  <si>
    <t>3210000-102-1993-06422</t>
  </si>
  <si>
    <t xml:space="preserve">서울특별시 서초구 잠원동 21-3 ,4호 (지하 1층) </t>
  </si>
  <si>
    <t>서울특별시 서초구 강남대로 597 (잠원동)</t>
  </si>
  <si>
    <t>3210000-102-1999-14162</t>
  </si>
  <si>
    <t xml:space="preserve">서울특별시 서초구 서초동 1692-2번지 </t>
  </si>
  <si>
    <t>서울특별시 서초구 서초중앙로24길 10 (서초동)</t>
  </si>
  <si>
    <t>3210000-102-1999-14418</t>
  </si>
  <si>
    <t xml:space="preserve">서울특별시 서초구 서초동 1692-7번지 지하1층 </t>
  </si>
  <si>
    <t>서울특별시 서초구 서초대로 309, 지하1층 (서초동)</t>
  </si>
  <si>
    <t>3210000-102-2010-00003</t>
  </si>
  <si>
    <t xml:space="preserve">서울특별시 서초구 서초동 1588-3번지 지하1층 </t>
  </si>
  <si>
    <t>서울특별시 서초구 효령로55길 27 (서초동,지하1층)</t>
  </si>
  <si>
    <t>3210000-102-2010-00004</t>
  </si>
  <si>
    <t xml:space="preserve">서울특별시 서초구 서초동 1574-15 </t>
  </si>
  <si>
    <t>서울특별시 서초구 서초중앙로 117 (서초동)</t>
  </si>
  <si>
    <t>3210000-102-2007-00002</t>
  </si>
  <si>
    <t xml:space="preserve">서울특별시 서초구 서초동 1306-8 </t>
  </si>
  <si>
    <t>서울특별시 서초구 강남대로 415 (서초동)</t>
  </si>
  <si>
    <t>3240000-102-2008-00002</t>
  </si>
  <si>
    <t xml:space="preserve">서울특별시 강동구 길동 457-1번지 1층 </t>
  </si>
  <si>
    <t>3210000-102-2009-00001</t>
  </si>
  <si>
    <t>서울특별시 서초구 잠원동 18-5 외4필지 지하2,3층</t>
  </si>
  <si>
    <t>서울특별시 서초구 나루터로 64 (잠원동,외4필지 지하2,3층)</t>
  </si>
  <si>
    <t>3210000-102-2010-00002</t>
  </si>
  <si>
    <t>서울특별시 서초구 서초동 1309-5 지하 1</t>
  </si>
  <si>
    <t>서울특별시 서초구 서초대로73길 50 (서초동,지하 1)</t>
  </si>
  <si>
    <t>3210000-102-1982-06385</t>
  </si>
  <si>
    <t>서울특별시 서초구 서초동 1308 ,1호</t>
  </si>
  <si>
    <t>서울특별시 서초구 강남대로69길 11, 지하1층 (서초동)</t>
  </si>
  <si>
    <t>3210000-102-1992-06351</t>
  </si>
  <si>
    <t xml:space="preserve">서울특별시 서초구 서초동 1589-4 (지하2층) </t>
  </si>
  <si>
    <t>서울특별시 서초구 반포대로12길 29 (지하2)층 (서초동)</t>
  </si>
  <si>
    <t>3210000-102-2023-00002</t>
  </si>
  <si>
    <t xml:space="preserve">서울특별시 서초구 서초동 1303-36 트라이랜드빌딩 2층 </t>
  </si>
  <si>
    <t>서울특별시 서초구 서초대로77길 58, 트라이랜드빌딩 2층 (서초동)</t>
  </si>
  <si>
    <t>3210000-102-2023-00001</t>
  </si>
  <si>
    <t xml:space="preserve">서울특별시 서초구 서초동 1303-36 트라이랜드빌딩 7층 </t>
  </si>
  <si>
    <t>서울특별시 서초구 서초대로77길 58, 트라이랜드빌딩 7층 (서초동)</t>
  </si>
  <si>
    <t>3210000-102-2000-15113</t>
  </si>
  <si>
    <t xml:space="preserve">서울특별시 서초구 서초동 1694-22 </t>
  </si>
  <si>
    <t>서울특별시 서초구 서초중앙로24길 3 (서초동)</t>
  </si>
  <si>
    <t>3210000-102-2000-15117</t>
  </si>
  <si>
    <t xml:space="preserve">서울특별시 서초구 서초동 1574-12번지 </t>
  </si>
  <si>
    <t>서울특별시 서초구 서초중앙로 123 (서초동)</t>
  </si>
  <si>
    <t>3210000-102-2000-15125</t>
  </si>
  <si>
    <t xml:space="preserve">서울특별시 서초구 서초동 1337-8번지 </t>
  </si>
  <si>
    <t>3210000-102-2000-15126</t>
  </si>
  <si>
    <t xml:space="preserve">서울특별시 서초구 서초동 1572-8번지 </t>
  </si>
  <si>
    <t>서울특별시 서초구 반포대로30길 지하 73 (서초동)</t>
  </si>
  <si>
    <t>3210000-102-2000-15538</t>
  </si>
  <si>
    <t xml:space="preserve">서울특별시 서초구 서초동 1573-13번지 지하2층 </t>
  </si>
  <si>
    <t>서울특별시 서초구 반포대로30길 83 (서초동,지하2층)</t>
  </si>
  <si>
    <t>3210000-102-2000-15539</t>
  </si>
  <si>
    <t xml:space="preserve">서울특별시 서초구 서초동 1601-3번지 </t>
  </si>
  <si>
    <t>3210000-102-2000-15162</t>
  </si>
  <si>
    <t xml:space="preserve">서울특별시 서초구 서초동 1318-4번지 </t>
  </si>
  <si>
    <t>3210000-102-2001-15540</t>
  </si>
  <si>
    <t xml:space="preserve">서울특별시 서초구 서초동 1337-23번지 지상2층 </t>
  </si>
  <si>
    <t>3210000-102-2001-15541</t>
  </si>
  <si>
    <t xml:space="preserve">서울특별시 서초구 서초동 1337-23번지 지상4층 </t>
  </si>
  <si>
    <t>3210000-102-2001-15542</t>
  </si>
  <si>
    <t xml:space="preserve">서울특별시 서초구 서초동 1337-23번지 지상3층 </t>
  </si>
  <si>
    <t>3210000-102-2001-15551</t>
  </si>
  <si>
    <t xml:space="preserve">서울특별시 서초구 서초동 1339-1번지 지하1층 </t>
  </si>
  <si>
    <t>3210000-102-2001-16078</t>
  </si>
  <si>
    <t xml:space="preserve">서울특별시 서초구 서초동 1330-14번지 </t>
  </si>
  <si>
    <t>서울특별시 서초구 서초대로78길 48 (서초동)</t>
  </si>
  <si>
    <t>3210000-102-2000-14882</t>
  </si>
  <si>
    <t xml:space="preserve">서울특별시 서초구 양재동 12-4번지 </t>
  </si>
  <si>
    <t>3210000-102-2000-14886</t>
  </si>
  <si>
    <t>서울특별시 서초구 반포동 19-3번지 센트럴시티 비동 43호</t>
  </si>
  <si>
    <t>3210000-102-1999-14487</t>
  </si>
  <si>
    <t xml:space="preserve">서울특별시 서초구 서초동 1309-11번지 2층 </t>
  </si>
  <si>
    <t>3210000-102-1999-14500</t>
  </si>
  <si>
    <t xml:space="preserve">서울특별시 서초구 서초동 1309-11번지 </t>
  </si>
  <si>
    <t>3210000-102-1999-14568</t>
  </si>
  <si>
    <t xml:space="preserve">서울특별시 서초구 서초동 1337-17번지 (지상1층) </t>
  </si>
  <si>
    <t>3210000-102-1999-14570</t>
  </si>
  <si>
    <t xml:space="preserve">서울특별시 서초구 서초동 1588-8번지 (지하1층 108,115) </t>
  </si>
  <si>
    <t>3210000-102-1990-06449</t>
  </si>
  <si>
    <t xml:space="preserve">서울특별시 서초구 잠원동 6-1번지 </t>
  </si>
  <si>
    <t>3210000-102-1990-06403</t>
  </si>
  <si>
    <t xml:space="preserve">서울특별시 서초구 서초동 1330-11번지 </t>
  </si>
  <si>
    <t>3210000-102-1990-06406</t>
  </si>
  <si>
    <t xml:space="preserve">서울특별시 서초구 서초동 1339-1번지 </t>
  </si>
  <si>
    <t>3210000-102-1990-06367</t>
  </si>
  <si>
    <t xml:space="preserve">서울특별시 서초구 서초동 1337-24번지 </t>
  </si>
  <si>
    <t>3210000-102-1998-06430</t>
  </si>
  <si>
    <t xml:space="preserve">서울특별시 서초구 서초동 1303-13번지 지하1,2호 지상1층 102 </t>
  </si>
  <si>
    <t>3210000-102-1998-06429</t>
  </si>
  <si>
    <t xml:space="preserve">서울특별시 서초구 방배동 750-8번지 </t>
  </si>
  <si>
    <t>3210000-102-1988-06345</t>
  </si>
  <si>
    <t>3210000-102-1988-06460</t>
  </si>
  <si>
    <t xml:space="preserve">서울특별시 서초구 서초동 1337-18번지 ,19 </t>
  </si>
  <si>
    <t>3210000-102-1988-06410</t>
  </si>
  <si>
    <t xml:space="preserve">서울특별시 서초구 서초동 1337-21번지 </t>
  </si>
  <si>
    <t>서울특별시 서초구 효령로79길 24 (서초동)</t>
  </si>
  <si>
    <t>3210000-102-1988-06451</t>
  </si>
  <si>
    <t xml:space="preserve">서울특별시 서초구 서초동 1594-3번지 </t>
  </si>
  <si>
    <t>3210000-102-1988-06464</t>
  </si>
  <si>
    <t xml:space="preserve">서울특별시 서초구 서초동 1337-14번지 15 </t>
  </si>
  <si>
    <t>3210000-102-1988-06357</t>
  </si>
  <si>
    <t>3210000-102-1988-06349</t>
  </si>
  <si>
    <t xml:space="preserve">서울특별시 서초구 서초동 1337-21번지 영우빌딩 </t>
  </si>
  <si>
    <t>3210000-102-1985-06337</t>
  </si>
  <si>
    <t xml:space="preserve">서울특별시 서초구 서초동 1330-12번지 </t>
  </si>
  <si>
    <t>3210000-102-1985-06442</t>
  </si>
  <si>
    <t xml:space="preserve">서울특별시 서초구 서초동 1303-36번지 </t>
  </si>
  <si>
    <t>3210000-102-1985-06428</t>
  </si>
  <si>
    <t xml:space="preserve">서울특별시 서초구 서초동 1317-7번지 </t>
  </si>
  <si>
    <t>3210000-102-1985-06457</t>
  </si>
  <si>
    <t xml:space="preserve">서울특별시 서초구 서초동 1304-0번지 </t>
  </si>
  <si>
    <t>3210000-102-2001-15576</t>
  </si>
  <si>
    <t xml:space="preserve">서울특별시 서초구 잠원동 6-1번지 지상2층 </t>
  </si>
  <si>
    <t>3210000-102-2001-15577</t>
  </si>
  <si>
    <t xml:space="preserve">서울특별시 서초구 서초동 1318-8번지 </t>
  </si>
  <si>
    <t>3210000-102-2001-16072</t>
  </si>
  <si>
    <t xml:space="preserve">서울특별시 서초구 서초동 1327-13번지 </t>
  </si>
  <si>
    <t>3210000-102-2001-15631</t>
  </si>
  <si>
    <t xml:space="preserve">서울특별시 서초구 서초동 1338-10번지 </t>
  </si>
  <si>
    <t>서울특별시 서초구 강남대로51길 5 (서초동)</t>
  </si>
  <si>
    <t>3210000-102-2001-15635</t>
  </si>
  <si>
    <t xml:space="preserve">서울특별시 서초구 서초동 1303-38번지 </t>
  </si>
  <si>
    <t>3210000-102-1983-06486</t>
  </si>
  <si>
    <t xml:space="preserve">서울특별시 서초구 서초동 1330-16번지 </t>
  </si>
  <si>
    <t>3210000-102-1983-06386</t>
  </si>
  <si>
    <t xml:space="preserve">서울특별시 서초구 서초동 1309-6 </t>
  </si>
  <si>
    <t>서울특별시 서초구 강남대로69길 10 (서초동)</t>
  </si>
  <si>
    <t>3210000-102-1983-06479</t>
  </si>
  <si>
    <t xml:space="preserve">서울특별시 서초구 반포동 19-4번지 </t>
  </si>
  <si>
    <t>3210000-102-1984-06432</t>
  </si>
  <si>
    <t xml:space="preserve">서울특별시 서초구 잠원동 12-6번지 </t>
  </si>
  <si>
    <t>3210000-102-1984-06383</t>
  </si>
  <si>
    <t xml:space="preserve">서울특별시 서초구 서초동 26-3번지 </t>
  </si>
  <si>
    <t>3210000-102-1984-06374</t>
  </si>
  <si>
    <t xml:space="preserve">서울특별시 서초구 반포동 707-4번지 </t>
  </si>
  <si>
    <t>3210000-102-1984-06467</t>
  </si>
  <si>
    <t xml:space="preserve">서울특별시 서초구 서초동 1309-4번지 </t>
  </si>
  <si>
    <t>3210000-102-1984-06330</t>
  </si>
  <si>
    <t xml:space="preserve">서울특별시 서초구 서초동 1317-20번지 </t>
  </si>
  <si>
    <t>3210000-102-1999-14572</t>
  </si>
  <si>
    <t xml:space="preserve">서울특별시 서초구 방배동 444-6번지 지하1층 </t>
  </si>
  <si>
    <t>서울특별시 서초구 방배천로 5-2, 지하1층 (방배동)</t>
  </si>
  <si>
    <t>3210000-102-2000-14627</t>
  </si>
  <si>
    <t xml:space="preserve">서울특별시 서초구 서초동 1672-12번지 </t>
  </si>
  <si>
    <t>3210000-102-2000-14637</t>
  </si>
  <si>
    <t xml:space="preserve">서울특별시 서초구 반포동 748-12번지 </t>
  </si>
  <si>
    <t>3210000-102-2000-14640</t>
  </si>
  <si>
    <t xml:space="preserve">서울특별시 서초구 반포동 723-2번지 </t>
  </si>
  <si>
    <t>3210000-102-2000-14679</t>
  </si>
  <si>
    <t xml:space="preserve">서울특별시 서초구 서초동 1605-3 </t>
  </si>
  <si>
    <t>서울특별시 서초구 효령로 345 (서초동)</t>
  </si>
  <si>
    <t>3210000-102-2000-14695</t>
  </si>
  <si>
    <t xml:space="preserve">서울특별시 서초구 서초동 1337-0번지 지하1층 </t>
  </si>
  <si>
    <t>3210000-102-2000-14725</t>
  </si>
  <si>
    <t xml:space="preserve">서울특별시 서초구 서초동 1574-1번지 (지하 1층) </t>
  </si>
  <si>
    <t>서울특별시 서초구 반포대로30길 82 (서초동)</t>
  </si>
  <si>
    <t>3210000-102-2000-14796</t>
  </si>
  <si>
    <t xml:space="preserve">서울특별시 서초구 서초동 1589-12번지 </t>
  </si>
  <si>
    <t>서울특별시 서초구 반포대로14길 42 (서초동)</t>
  </si>
  <si>
    <t>3210000-102-2000-14797</t>
  </si>
  <si>
    <t xml:space="preserve">서울특별시 서초구 서초동 1595-6번지 </t>
  </si>
  <si>
    <t>3210000-102-2000-14811</t>
  </si>
  <si>
    <t xml:space="preserve">서울특별시 서초구 서초동 1553-12번지 </t>
  </si>
  <si>
    <t>3210000-102-2000-14838</t>
  </si>
  <si>
    <t xml:space="preserve">서울특별시 서초구 서초동 1694-13번지 </t>
  </si>
  <si>
    <t>3210000-102-2000-14843</t>
  </si>
  <si>
    <t xml:space="preserve">서울특별시 서초구 서초동 1329-10번지 </t>
  </si>
  <si>
    <t>서울특별시 서초구 강남대로 337 (서초동)</t>
  </si>
  <si>
    <t>3210000-102-2000-14844</t>
  </si>
  <si>
    <t xml:space="preserve">서울특별시 서초구 서초동 1589-13번지 </t>
  </si>
  <si>
    <t>3210000-102-2000-14847</t>
  </si>
  <si>
    <t xml:space="preserve">서울특별시 서초구 서초동 1691-8번지 </t>
  </si>
  <si>
    <t>3210000-102-2000-14854</t>
  </si>
  <si>
    <t xml:space="preserve">서울특별시 서초구 서초동 1303-10번지 </t>
  </si>
  <si>
    <t>3210000-102-2000-14639</t>
  </si>
  <si>
    <t xml:space="preserve">서울특별시 서초구 방배동 444-9 </t>
  </si>
  <si>
    <t>서울특별시 서초구 동작대로 10 (방배동)</t>
  </si>
  <si>
    <t>3210000-102-2002-00002</t>
  </si>
  <si>
    <t xml:space="preserve">서울특별시 서초구 서초동 1601-9번지 </t>
  </si>
  <si>
    <t>3210000-102-2002-00003</t>
  </si>
  <si>
    <t xml:space="preserve">서울특별시 서초구 잠원동 20-3,4번지 (지하1층) </t>
  </si>
  <si>
    <t>3210000-102-2002-00005</t>
  </si>
  <si>
    <t xml:space="preserve">서울특별시 서초구 잠원동 6-1번지 (지하1층) </t>
  </si>
  <si>
    <t>3210000-102-2011-00001</t>
  </si>
  <si>
    <t xml:space="preserve">서울특별시 서초구 서초동 1306-1번지 </t>
  </si>
  <si>
    <t>서울특별시 서초구 강남대로65길 1 (서초동)</t>
  </si>
  <si>
    <t>3210000-102-1976-06481</t>
  </si>
  <si>
    <t xml:space="preserve">서울특별시 서초구 잠원동 20-3번지 </t>
  </si>
  <si>
    <t>3210000-102-1976-06440</t>
  </si>
  <si>
    <t xml:space="preserve">서울특별시 서초구 잠원동 12-5번지 </t>
  </si>
  <si>
    <t>3210000-102-1976-06435</t>
  </si>
  <si>
    <t xml:space="preserve">서울특별시 서초구 잠원동 21-7번지 </t>
  </si>
  <si>
    <t>3210000-102-1976-06333</t>
  </si>
  <si>
    <t>3210000-102-1978-06455</t>
  </si>
  <si>
    <t xml:space="preserve">서울특별시 서초구 반포동 707-5번지 </t>
  </si>
  <si>
    <t>3210000-102-1978-06390</t>
  </si>
  <si>
    <t xml:space="preserve">서울특별시 서초구 방배동 810-22번지 </t>
  </si>
  <si>
    <t>3210000-102-1979-06412</t>
  </si>
  <si>
    <t xml:space="preserve">서울특별시 서초구 반포동 722-3번지 </t>
  </si>
  <si>
    <t>3210000-102-1979-06373</t>
  </si>
  <si>
    <t xml:space="preserve">서울특별시 서초구 반포동 745번지 201호 </t>
  </si>
  <si>
    <t>3210000-102-1979-06418</t>
  </si>
  <si>
    <t xml:space="preserve">서울특별시 서초구 방배동 936-10 </t>
  </si>
  <si>
    <t>서울특별시 서초구 방배로 147 (방배동)</t>
  </si>
  <si>
    <t>3210000-102-1979-06360</t>
  </si>
  <si>
    <t xml:space="preserve">서울특별시 서초구 서초동 1303-12번지 </t>
  </si>
  <si>
    <t>3210000-102-1979-06332</t>
  </si>
  <si>
    <t xml:space="preserve">서울특별시 서초구 반포동 723-26번지 </t>
  </si>
  <si>
    <t>3210000-102-1979-06343</t>
  </si>
  <si>
    <t xml:space="preserve">서울특별시 서초구 방배동 751-8번지 </t>
  </si>
  <si>
    <t>3210000-102-1979-06405</t>
  </si>
  <si>
    <t xml:space="preserve">서울특별시 서초구 반포동 701-6번지 </t>
  </si>
  <si>
    <t>3210000-102-2011-00002</t>
  </si>
  <si>
    <t xml:space="preserve">서울특별시 서초구 서초동 1337-18번지 </t>
  </si>
  <si>
    <t>서울특별시 서초구 효령로79길 28 (서초동)</t>
  </si>
  <si>
    <t>3210000-102-2011-00004</t>
  </si>
  <si>
    <t xml:space="preserve">서울특별시 서초구 서초동 1600-9번지 (지하1층 일부) </t>
  </si>
  <si>
    <t>서울특별시 서초구 서초중앙로5길 10-8 (서초동, 지하1층일부)</t>
  </si>
  <si>
    <t>3210000-102-2012-00001</t>
  </si>
  <si>
    <t xml:space="preserve">서울특별시 서초구 서초동 1589-11번지 지하1층 </t>
  </si>
  <si>
    <t>서울특별시 서초구 반포대로14길 40, 지하1층 (서초동)</t>
  </si>
  <si>
    <t>3210000-102-2012-00002</t>
  </si>
  <si>
    <t xml:space="preserve">서울특별시 서초구 서초동 1591-11번지 지하2층 </t>
  </si>
  <si>
    <t>서울특별시 서초구 반포대로16길 30 (서초동)</t>
  </si>
  <si>
    <t>3210000-102-2013-00002</t>
  </si>
  <si>
    <t xml:space="preserve">서울특별시 서초구 서초동 1318-2번지 </t>
  </si>
  <si>
    <t>서울특별시 서초구 강남대로 405 (서초동)</t>
  </si>
  <si>
    <t>3210000-102-1980-06454</t>
  </si>
  <si>
    <t xml:space="preserve">서울특별시 서초구 반포동 723-23번지 지하1층 </t>
  </si>
  <si>
    <t>서울특별시 서초구 강남대로 511 (반포동)</t>
  </si>
  <si>
    <t>3210000-102-1980-06331</t>
  </si>
  <si>
    <t xml:space="preserve">서울특별시 서초구 잠원동 19-7번지 </t>
  </si>
  <si>
    <t>3210000-102-1981-06361</t>
  </si>
  <si>
    <t>3210000-102-1981-06417</t>
  </si>
  <si>
    <t xml:space="preserve">서울특별시 서초구 잠원동 8-28번지 </t>
  </si>
  <si>
    <t>3210000-102-1981-06404</t>
  </si>
  <si>
    <t xml:space="preserve">서울특별시 서초구 서초동 1308-5번지 </t>
  </si>
  <si>
    <t>3210000-102-1982-06448</t>
  </si>
  <si>
    <t>3210000-102-1984-06447</t>
  </si>
  <si>
    <t xml:space="preserve">서울특별시 서초구 서초동 1317-9번지 10 </t>
  </si>
  <si>
    <t>3210000-102-1984-14132</t>
  </si>
  <si>
    <t>3210000-102-1984-06350</t>
  </si>
  <si>
    <t xml:space="preserve">서울특별시 서초구 서초동 1596-1 (지하층) </t>
  </si>
  <si>
    <t>서울특별시 서초구 사임당로 14 (서초동,(지하층))</t>
  </si>
  <si>
    <t>3210000-102-1985-06358</t>
  </si>
  <si>
    <t xml:space="preserve">서울특별시 서초구 잠원동 36-13번지 </t>
  </si>
  <si>
    <t>3210000-102-1985-06395</t>
  </si>
  <si>
    <t xml:space="preserve">서울특별시 서초구 서초동 1303-8번지 </t>
  </si>
  <si>
    <t>3210000-102-1974-06414</t>
  </si>
  <si>
    <t xml:space="preserve">서울특별시 서초구 잠원동 12-22번지 </t>
  </si>
  <si>
    <t>3210000-102-1975-06359</t>
  </si>
  <si>
    <t xml:space="preserve">서울특별시 서초구 반포동 748-1번지 </t>
  </si>
  <si>
    <t>3210000-102-1975-06427</t>
  </si>
  <si>
    <t xml:space="preserve">서울특별시 서초구 반포동 722-21번지 </t>
  </si>
  <si>
    <t>3210000-102-2001-15958</t>
  </si>
  <si>
    <t xml:space="preserve">서울특별시 서초구 서초동 1309-8번지 </t>
  </si>
  <si>
    <t>서울특별시 서초구 강남대로69길 8 (서초동)</t>
  </si>
  <si>
    <t>3210000-102-2001-16025</t>
  </si>
  <si>
    <t xml:space="preserve">서울특별시 서초구 서초동 1657-2 </t>
  </si>
  <si>
    <t>서울특별시 서초구 서초중앙로 124 (서초동)</t>
  </si>
  <si>
    <t>3210000-102-2001-16070</t>
  </si>
  <si>
    <t xml:space="preserve">서울특별시 서초구 양재동 11-41번지 </t>
  </si>
  <si>
    <t>3210000-102-2001-16080</t>
  </si>
  <si>
    <t>3210000-102-2001-16073</t>
  </si>
  <si>
    <t xml:space="preserve">서울특별시 서초구 서초동 1574-3 </t>
  </si>
  <si>
    <t>서울특별시 서초구 반포대로30길 86 (서초동)</t>
  </si>
  <si>
    <t>3210000-102-2001-16074</t>
  </si>
  <si>
    <t xml:space="preserve">서울특별시 서초구 서초동 1574-15번지 </t>
  </si>
  <si>
    <t>3210000-102-2001-16075</t>
  </si>
  <si>
    <t xml:space="preserve">서울특별시 서초구 양재동 11-5번지 </t>
  </si>
  <si>
    <t>3210000-102-2001-16076</t>
  </si>
  <si>
    <t>3210000-102-2001-16077</t>
  </si>
  <si>
    <t xml:space="preserve">서울특별시 서초구 잠원동 6-1번지 지하2층 </t>
  </si>
  <si>
    <t>3210000-102-2001-16079</t>
  </si>
  <si>
    <t xml:space="preserve">서울특별시 서초구 서초동 1554-11번지 </t>
  </si>
  <si>
    <t>3210000-102-2002-00001</t>
  </si>
  <si>
    <t xml:space="preserve">서울특별시 서초구 서초동 1303-9번지 (지하1층) </t>
  </si>
  <si>
    <t>3210000-102-1978-14246</t>
  </si>
  <si>
    <t xml:space="preserve">서울특별시 서초구 방배동 924-12번지 </t>
  </si>
  <si>
    <t>서울특별시 서초구 방배로 109 (방배동)</t>
  </si>
  <si>
    <t>3210000-102-2000-14855</t>
  </si>
  <si>
    <t xml:space="preserve">서울특별시 서초구 서초동 1306-8번지 </t>
  </si>
  <si>
    <t>3210000-102-2000-14856</t>
  </si>
  <si>
    <t xml:space="preserve">서울특별시 서초구 방배동 445-4번지 </t>
  </si>
  <si>
    <t>3210000-102-2000-14859</t>
  </si>
  <si>
    <t xml:space="preserve">서울특별시 서초구 잠원동 6-1번지 지하1층 </t>
  </si>
  <si>
    <t>3210000-102-2000-14863</t>
  </si>
  <si>
    <t xml:space="preserve">서울특별시 서초구 서초동 1338-11번지 </t>
  </si>
  <si>
    <t>3210000-102-2000-14865</t>
  </si>
  <si>
    <t xml:space="preserve">서울특별시 서초구 잠원동 6-1번지 지상 13층 </t>
  </si>
  <si>
    <t>3210000-102-2000-14866</t>
  </si>
  <si>
    <t xml:space="preserve">서울특별시 서초구 서초동 1338-8번지 1층 </t>
  </si>
  <si>
    <t>서울특별시 서초구 효령로79길 1 (서초동,1층)</t>
  </si>
  <si>
    <t>3210000-102-2000-14980</t>
  </si>
  <si>
    <t xml:space="preserve">서울특별시 서초구 서초동 1330-13 </t>
  </si>
  <si>
    <t>서울특별시 서초구 서초대로78길 50 (서초동)</t>
  </si>
  <si>
    <t>3210000-102-2000-15540</t>
  </si>
  <si>
    <t xml:space="preserve">서울특별시 서초구 양재동 12-7번지 </t>
  </si>
  <si>
    <t>3210000-102-2000-15014</t>
  </si>
  <si>
    <t xml:space="preserve">서울특별시 서초구 서초동 1308-6번지 </t>
  </si>
  <si>
    <t>3210000-102-2000-15036</t>
  </si>
  <si>
    <t xml:space="preserve">서울특별시 서초구 서초동 1327-11번지 지하1층 </t>
  </si>
  <si>
    <t>3210000-102-2000-15045</t>
  </si>
  <si>
    <t xml:space="preserve">서울특별시 서초구 서초동 1588-1번지 지하 </t>
  </si>
  <si>
    <t>3210000-102-2000-15087</t>
  </si>
  <si>
    <t>3210000-102-1982-06453</t>
  </si>
  <si>
    <t>3210000-102-1982-06384</t>
  </si>
  <si>
    <t xml:space="preserve">서울특별시 서초구 서초동 1597-6번지 (지하 1층) </t>
  </si>
  <si>
    <t>서울특별시 서초구 사임당로 34 (서초동)</t>
  </si>
  <si>
    <t>3210000-102-1982-06480</t>
  </si>
  <si>
    <t xml:space="preserve">서울특별시 서초구 반포동 63-1번지 </t>
  </si>
  <si>
    <t>3210000-102-1982-06371</t>
  </si>
  <si>
    <t xml:space="preserve">서울특별시 서초구 서초동 1338-22번지 </t>
  </si>
  <si>
    <t>3210000-102-1983-06482</t>
  </si>
  <si>
    <t xml:space="preserve">서울특별시 서초구 반포동 19-1번지 </t>
  </si>
  <si>
    <t>서울특별시 서초구 신반포로 162 (반포동)</t>
  </si>
  <si>
    <t>3210000-102-1983-06458</t>
  </si>
  <si>
    <t>서울특별시 서초구 서초대로78길 56 (서초동)</t>
  </si>
  <si>
    <t>3210000-102-1983-06446</t>
  </si>
  <si>
    <t xml:space="preserve">서울특별시 서초구 서초동 1307-22번지 ,23,25 (지하1층) </t>
  </si>
  <si>
    <t>3210000-102-1983-06379</t>
  </si>
  <si>
    <t xml:space="preserve">서울특별시 서초구 서초동 1337-0번지 </t>
  </si>
  <si>
    <t>3210000-102-1983-14773</t>
  </si>
  <si>
    <t>3210000-102-1985-06370</t>
  </si>
  <si>
    <t xml:space="preserve">서울특별시 서초구 서초동 1337-22번지 </t>
  </si>
  <si>
    <t>3210000-102-1985-06425</t>
  </si>
  <si>
    <t xml:space="preserve">서울특별시 서초구 서초동 1330-5번지 </t>
  </si>
  <si>
    <t>3210000-102-1985-06382</t>
  </si>
  <si>
    <t>3210000-102-1986-06378</t>
  </si>
  <si>
    <t xml:space="preserve">서울특별시 서초구 서초동 1337-13번지 </t>
  </si>
  <si>
    <t>3210000-102-1986-06341</t>
  </si>
  <si>
    <t>3210000-102-1986-06394</t>
  </si>
  <si>
    <t xml:space="preserve">서울특별시 서초구 서초동 1338-16번지 </t>
  </si>
  <si>
    <t>3210000-102-1986-06415</t>
  </si>
  <si>
    <t xml:space="preserve">서울특별시 서초구 잠원동 12-21번지 </t>
  </si>
  <si>
    <t>3210000-102-1986-06438</t>
  </si>
  <si>
    <t xml:space="preserve">서울특별시 서초구 서초동 1602-10번지 지하 2층 </t>
  </si>
  <si>
    <t>서울특별시 서초구 효령로 289 (지하2)층 (서초동)</t>
  </si>
  <si>
    <t>3210000-102-1986-06434</t>
  </si>
  <si>
    <t xml:space="preserve">서울특별시 서초구 서초동 1330-10번지 </t>
  </si>
  <si>
    <t>3210000-102-1986-06329</t>
  </si>
  <si>
    <t>3210000-102-1987-06466</t>
  </si>
  <si>
    <t>3210000-102-1987-06396</t>
  </si>
  <si>
    <t>3210000-102-1987-06364</t>
  </si>
  <si>
    <t>3210000-102-1987-06346</t>
  </si>
  <si>
    <t xml:space="preserve">서울특별시 서초구 내곡동 11-1번지 </t>
  </si>
  <si>
    <t>3210000-102-1987-06420</t>
  </si>
  <si>
    <t>3210000-102-1988-06372</t>
  </si>
  <si>
    <t xml:space="preserve">서울특별시 서초구 서초동 1329-4번지 </t>
  </si>
  <si>
    <t>3210000-102-1990-06375</t>
  </si>
  <si>
    <t xml:space="preserve">서울특별시 서초구 반포동 747-12번지 </t>
  </si>
  <si>
    <t>3210000-102-1990-06356</t>
  </si>
  <si>
    <t>3210000-102-1990-06368</t>
  </si>
  <si>
    <t xml:space="preserve">서울특별시 서초구 서초동 1601-10번지 </t>
  </si>
  <si>
    <t>서울특별시 서초구 서초중앙로5길 12 (서초동)</t>
  </si>
  <si>
    <t>3210000-102-1990-06407</t>
  </si>
  <si>
    <t xml:space="preserve">서울특별시 서초구 서초동 1317-23번지 ,24 </t>
  </si>
  <si>
    <t>3210000-102-1990-06445</t>
  </si>
  <si>
    <t xml:space="preserve">서울특별시 서초구 서초동 1308-29번지 지하1층 </t>
  </si>
  <si>
    <t>3210000-102-2001-15639</t>
  </si>
  <si>
    <t xml:space="preserve">서울특별시 서초구 서초동 1303-37번지 </t>
  </si>
  <si>
    <t>3210000-102-2001-15741</t>
  </si>
  <si>
    <t xml:space="preserve">서울특별시 서초구 서초동 1303-40번지 </t>
  </si>
  <si>
    <t>3210000-102-2001-15743</t>
  </si>
  <si>
    <t xml:space="preserve">서울특별시 서초구 서초동 1657-3 (지하 1층) </t>
  </si>
  <si>
    <t>서울특별시 서초구 서초중앙로 122 (서초동)</t>
  </si>
  <si>
    <t>3210000-102-2001-15865</t>
  </si>
  <si>
    <t xml:space="preserve">서울특별시 서초구 양재동 11-32번지 </t>
  </si>
  <si>
    <t>3210000-102-2001-15939</t>
  </si>
  <si>
    <t>3210000-102-1990-06365</t>
  </si>
  <si>
    <t xml:space="preserve">서울특별시 서초구 서초동 1330-20 지층1호 </t>
  </si>
  <si>
    <t>서울특별시 서초구 강남대로53길 7 (서초동,지층1호)</t>
  </si>
  <si>
    <t>3210000-102-1990-06441</t>
  </si>
  <si>
    <t xml:space="preserve">서울특별시 서초구 서초동 1317-3 </t>
  </si>
  <si>
    <t>서울특별시 서초구 강남대로61길 7 (서초동)</t>
  </si>
  <si>
    <t>3210000-102-1991-06398</t>
  </si>
  <si>
    <t xml:space="preserve">서울특별시 서초구 서초동 1337-11 </t>
  </si>
  <si>
    <t>서울특별시 서초구 효령로79길 23 (서초동)</t>
  </si>
  <si>
    <t>3210000-102-1991-06353</t>
  </si>
  <si>
    <t xml:space="preserve">서울특별시 서초구 서초동 1308-1번지 </t>
  </si>
  <si>
    <t>3210000-102-1991-06462</t>
  </si>
  <si>
    <t xml:space="preserve">서울특별시 서초구 서초동 1308-13번지 </t>
  </si>
  <si>
    <t>3210000-102-1991-06456</t>
  </si>
  <si>
    <t xml:space="preserve">서울특별시 서초구 서초동 1309-5번지 </t>
  </si>
  <si>
    <t>3210000-102-1991-06485</t>
  </si>
  <si>
    <t xml:space="preserve">서울특별시 서초구 서초동 1329-6번지 </t>
  </si>
  <si>
    <t>3210000-102-1991-06392</t>
  </si>
  <si>
    <t xml:space="preserve">서울특별시 서초구 서초동 1330-20번지 나호 3층 </t>
  </si>
  <si>
    <t>서울특별시 서초구 강남대로53길 7 (서초동,나호 3층)</t>
  </si>
  <si>
    <t>3210000-102-1991-06459</t>
  </si>
  <si>
    <t xml:space="preserve">서울특별시 서초구 서초동 1337-17 지하1층 </t>
  </si>
  <si>
    <t>서울특별시 서초구 사임당로 180, 지하1층 (서초동)</t>
  </si>
  <si>
    <t>3210000-102-1991-06354</t>
  </si>
  <si>
    <t xml:space="preserve">서울특별시 서초구 서초동 1309-0번지 </t>
  </si>
  <si>
    <t>3210000-102-1991-06387</t>
  </si>
  <si>
    <t xml:space="preserve">서울특별시 서초구 서초동 1309-2번지 </t>
  </si>
  <si>
    <t>3210000-102-1991-06421</t>
  </si>
  <si>
    <t xml:space="preserve">서울특별시 서초구 서초동 1307-27번지 </t>
  </si>
  <si>
    <t>3210000-102-1991-06413</t>
  </si>
  <si>
    <t>3210000-102-1984-06423</t>
  </si>
  <si>
    <t>3210000-102-1985-06411</t>
  </si>
  <si>
    <t xml:space="preserve">서울특별시 서초구 반포동 748-2번지 ,3 (지하1층) </t>
  </si>
  <si>
    <t>3210000-102-1985-06439</t>
  </si>
  <si>
    <t>3210000-102-1985-06426</t>
  </si>
  <si>
    <t xml:space="preserve">서울특별시 서초구 서초동 1600-3번지 </t>
  </si>
  <si>
    <t>3210000-102-1985-06468</t>
  </si>
  <si>
    <t>3210000-102-1985-06401</t>
  </si>
  <si>
    <t xml:space="preserve">서울특별시 서초구 서초동 1582-8번지 </t>
  </si>
  <si>
    <t>3210000-102-1985-06424</t>
  </si>
  <si>
    <t xml:space="preserve">서울특별시 서초구 내곡동 1111-11번지 </t>
  </si>
  <si>
    <t>3210000-102-2007-00003</t>
  </si>
  <si>
    <t xml:space="preserve">서울특별시 서초구 서초동 1318-4번지 (건물대장상 지하 2층) </t>
  </si>
  <si>
    <t>서울특별시 서초구 강남대로 403 (서초동)</t>
  </si>
  <si>
    <t>3210000-102-2008-00001</t>
  </si>
  <si>
    <t xml:space="preserve">서울특별시 서초구 서초동 1601-1번지 지하1층 B07, B08호 </t>
  </si>
  <si>
    <t>3210000-102-2008-00002</t>
  </si>
  <si>
    <t>서울특별시 서초구 효령로55길 57 (서초동)</t>
  </si>
  <si>
    <t>3210000-102-2008-00003</t>
  </si>
  <si>
    <t xml:space="preserve">서울특별시 서초구 서초동 1600-9번지 지하1층 </t>
  </si>
  <si>
    <t>3210000-102-2003-00002</t>
  </si>
  <si>
    <t xml:space="preserve">서울특별시 서초구 서초동 1307-20번지 ,27(지하1층) </t>
  </si>
  <si>
    <t>3210000-102-2004-00001</t>
  </si>
  <si>
    <t xml:space="preserve">서울특별시 서초구 서초동 1676-4번지 (지하1층) </t>
  </si>
  <si>
    <t>3210000-102-2004-00003</t>
  </si>
  <si>
    <t xml:space="preserve">서울특별시 서초구 반포동 19-4번지 2층 </t>
  </si>
  <si>
    <t>3210000-102-2004-00004</t>
  </si>
  <si>
    <t>서울특별시 서초구 서초동 1588-1번지 지하1층 105호</t>
  </si>
  <si>
    <t>서울특별시 서초구 반포대로14길 54, 지하1층 105호 (서초동)</t>
  </si>
  <si>
    <t>3210000-102-2006-00001</t>
  </si>
  <si>
    <t>3210000-102-1992-06393</t>
  </si>
  <si>
    <t>3210000-102-1993-06362</t>
  </si>
  <si>
    <t xml:space="preserve">서울특별시 서초구 서초동 1309-9번지 ,10 </t>
  </si>
  <si>
    <t>3210000-102-1993-06400</t>
  </si>
  <si>
    <t>3210000-102-1993-06397</t>
  </si>
  <si>
    <t xml:space="preserve">서울특별시 서초구 서초동 1585-18번지 지하1층 </t>
  </si>
  <si>
    <t>서울특별시 서초구 효령로 259, 지하1층 (서초동)</t>
  </si>
  <si>
    <t>3210000-102-1995-06338</t>
  </si>
  <si>
    <t xml:space="preserve">서울특별시 서초구 잠원동 12-22번지 3층동 </t>
  </si>
  <si>
    <t>3210000-102-1995-06339</t>
  </si>
  <si>
    <t>3210000-102-2002-00004</t>
  </si>
  <si>
    <t xml:space="preserve">서울특별시 서초구 서초동 1339-1번지 1층 </t>
  </si>
  <si>
    <t>3210000-102-2002-00006</t>
  </si>
  <si>
    <t>3210000-102-2002-00007</t>
  </si>
  <si>
    <t xml:space="preserve">서울특별시 서초구 서초동 1588-3 지하2층 </t>
  </si>
  <si>
    <t>서울특별시 서초구 효령로55길 27 (서초동,지하2층)</t>
  </si>
  <si>
    <t>3210000-102-1999-00059</t>
  </si>
  <si>
    <t xml:space="preserve">서울특별시 서초구 서초동 1337-36번지 지하 1층 </t>
  </si>
  <si>
    <t>3210000-102-1999-00037</t>
  </si>
  <si>
    <t>3210000-102-1999-00012</t>
  </si>
  <si>
    <t xml:space="preserve">서울특별시 서초구 서초동 1330-10번지 (지하3,4호) </t>
  </si>
  <si>
    <t>3210000-102-1999-14183</t>
  </si>
  <si>
    <t xml:space="preserve">서울특별시 서초구 서초동 1304-5번지 </t>
  </si>
  <si>
    <t>3210000-102-1999-14189</t>
  </si>
  <si>
    <t xml:space="preserve">서울특별시 서초구 서초동 1676-4번지 </t>
  </si>
  <si>
    <t>3210000-102-1999-14188</t>
  </si>
  <si>
    <t xml:space="preserve">서울특별시 서초구 서초동 1588-1번지 (지하1층105호) </t>
  </si>
  <si>
    <t>3210000-102-1999-14284</t>
  </si>
  <si>
    <t xml:space="preserve">서울특별시 서초구 서초동 1338-16번지 지상2층 </t>
  </si>
  <si>
    <t>3210000-102-1999-14297</t>
  </si>
  <si>
    <t xml:space="preserve">서울특별시 서초구 서초동 1594-3번지 (지하 1층) </t>
  </si>
  <si>
    <t>서울특별시 서초구 효령로55길 39 (서초동)</t>
  </si>
  <si>
    <t>3210000-102-1999-14294</t>
  </si>
  <si>
    <t xml:space="preserve">서울특별시 서초구 반포동 748-4번지 </t>
  </si>
  <si>
    <t>3210000-102-1999-06452</t>
  </si>
  <si>
    <t xml:space="preserve">서울특별시 서초구 서초동 1337-14번지 </t>
  </si>
  <si>
    <t>3210000-102-1999-06348</t>
  </si>
  <si>
    <t xml:space="preserve">서울특별시 서초구 서초동 1303-14번지 </t>
  </si>
  <si>
    <t>서울특별시 서초구 사평대로56길 11-5 (서초동)</t>
  </si>
  <si>
    <t>3210000-102-1999-06419</t>
  </si>
  <si>
    <t xml:space="preserve">서울특별시 서초구 서초동 1303-7번지 지하1층 </t>
  </si>
  <si>
    <t>서울특별시 서초구 사평대로56길 3 (서초동,지하1층)</t>
  </si>
  <si>
    <t>3210000-102-1999-14443</t>
  </si>
  <si>
    <t xml:space="preserve">서울특별시 서초구 서초동 1582-6번지 ,7 </t>
  </si>
  <si>
    <t>3210000-102-2003-00001</t>
  </si>
  <si>
    <t xml:space="preserve">서울특별시 서초구 서초동 1588-1번지 지하1층 105호 </t>
  </si>
  <si>
    <t>3210000-102-2009-00002</t>
  </si>
  <si>
    <t xml:space="preserve">서울특별시 서초구 서초동 1329-6번지 지하1층 </t>
  </si>
  <si>
    <t>3210000-102-2009-00003</t>
  </si>
  <si>
    <t xml:space="preserve">서울특별시 서초구 서초동 1304-4번지 지하1층 </t>
  </si>
  <si>
    <t>3210000-102-2010-00001</t>
  </si>
  <si>
    <t>3210000-102-1989-06431</t>
  </si>
  <si>
    <t xml:space="preserve">서울특별시 서초구 서초동 1337-17번지 </t>
  </si>
  <si>
    <t>3210000-102-1989-06355</t>
  </si>
  <si>
    <t>3210000-102-1989-06352</t>
  </si>
  <si>
    <t xml:space="preserve">서울특별시 서초구 내곡동 111번지 </t>
  </si>
  <si>
    <t>3210000-102-1989-06408</t>
  </si>
  <si>
    <t xml:space="preserve">서울특별시 서초구 서초동 1337-25번지 </t>
  </si>
  <si>
    <t>3210000-102-1989-06470</t>
  </si>
  <si>
    <t xml:space="preserve">서울특별시 서초구 서초동 1309-8번지 (지하1층) </t>
  </si>
  <si>
    <t>3210000-102-1989-06344</t>
  </si>
  <si>
    <t xml:space="preserve">서울특별시 서초구 서초동 1589-11번지 </t>
  </si>
  <si>
    <t>3210000-102-1989-06409</t>
  </si>
  <si>
    <t>3210000-102-1989-06469</t>
  </si>
  <si>
    <t>3210000-102-1989-06347</t>
  </si>
  <si>
    <t>3210000-102-1990-06472</t>
  </si>
  <si>
    <t>3210000-102-2014-00002</t>
  </si>
  <si>
    <t xml:space="preserve">서울특별시 서초구 서초동 1306번지 (지하 1층) </t>
  </si>
  <si>
    <t>3210000-102-1989-06366</t>
  </si>
  <si>
    <t xml:space="preserve">서울특별시 서초구 서초동 1338-8번지 (지하1층) </t>
  </si>
  <si>
    <t>서울특별시 서초구 효령로79길 1 (서초동,(지하1층))</t>
  </si>
  <si>
    <t>3210000-102-1989-06471</t>
  </si>
  <si>
    <t>3210000-102-1989-06416</t>
  </si>
  <si>
    <t xml:space="preserve">서울특별시 서초구 서초동 1602-6번지 </t>
  </si>
  <si>
    <t>3210000-102-2015-00001</t>
  </si>
  <si>
    <t xml:space="preserve">서울특별시 서초구 서초동 1589-12 </t>
  </si>
  <si>
    <t>3210000-102-2016-00001</t>
  </si>
  <si>
    <t xml:space="preserve">서울특별시 서초구 서초동 1307-20번지 </t>
  </si>
  <si>
    <t>서울특별시 서초구 서초대로77길 25 (서초동)</t>
  </si>
  <si>
    <t>3210000-102-2017-00001</t>
  </si>
  <si>
    <t xml:space="preserve">서울특별시 서초구 서초동 1309-8 지하1층, 지하2층 </t>
  </si>
  <si>
    <t>서울특별시 서초구 강남대로69길 8, 지하1층,지하2층층 (서초동)</t>
  </si>
  <si>
    <t>3210000-102-2018-00001</t>
  </si>
  <si>
    <t xml:space="preserve">서울특별시 서초구 서초동 1337-18 호텔 비발디 1,2층 </t>
  </si>
  <si>
    <t>서울특별시 서초구 효령로79길 28, 호텔 비발디 1, 2층 (서초동)</t>
  </si>
  <si>
    <t>3210000-102-2018-00002</t>
  </si>
  <si>
    <t xml:space="preserve">서울특별시 서초구 서초동 1337-18 호텔 비발디 </t>
  </si>
  <si>
    <t>서울특별시 서초구 효령로79길 28, 호텔 비발디 3층 (서초동)</t>
  </si>
  <si>
    <t>3210000-102-2019-00001</t>
  </si>
  <si>
    <t>서울특별시 서초구 서초동 1588-1 지하1층 105호</t>
  </si>
  <si>
    <t>3210000-102-2014-00001</t>
  </si>
  <si>
    <t xml:space="preserve">서울특별시 서초구 서초동 1338-8번지 </t>
  </si>
  <si>
    <t>서울특별시 서초구 효령로79길 1 (서초동)</t>
  </si>
  <si>
    <t>3210000-102-1988-06437</t>
  </si>
  <si>
    <t xml:space="preserve">서울특별시 서초구 서초동 1588-5번지 </t>
  </si>
  <si>
    <t>3210000-102-1978-14247</t>
  </si>
  <si>
    <t xml:space="preserve">서울특별시 서초구 방배동 761-4번지 </t>
  </si>
  <si>
    <t>3210000-102-1978-06336</t>
  </si>
  <si>
    <t xml:space="preserve">서울특별시 서초구 서초동 1302-52번지 </t>
  </si>
  <si>
    <t>3210000-102-1978-06342</t>
  </si>
  <si>
    <t>3210000-102-1949-06335</t>
  </si>
  <si>
    <t xml:space="preserve">서울특별시 서초구 반포동 746-9번지 </t>
  </si>
  <si>
    <t>서울특별시 서초구 사평대로 349 (반포동)</t>
  </si>
  <si>
    <t>3210000-102-1979-06430</t>
  </si>
  <si>
    <t xml:space="preserve">서울특별시 서초구 방배동 761-2번지 </t>
  </si>
  <si>
    <t>3210000-102-1979-06478</t>
  </si>
  <si>
    <t xml:space="preserve">서울특별시 서초구 잠원동 21-3번지 </t>
  </si>
  <si>
    <t>3210000-102-1982-06340</t>
  </si>
  <si>
    <t>3210000-102-1999-14908</t>
  </si>
  <si>
    <t xml:space="preserve">서울특별시 서초구 서초동 1303-3 지하1층 </t>
  </si>
  <si>
    <t>서울특별시 서초구 사평대로 368, 지하1층 (서초동)</t>
  </si>
  <si>
    <t>3210000-102-1999-00387</t>
  </si>
  <si>
    <t>3210000-102-1999-00383</t>
  </si>
  <si>
    <t xml:space="preserve">서울특별시 서초구 잠원동 12-25번지 (지층) </t>
  </si>
  <si>
    <t>3210000-102-1999-00245</t>
  </si>
  <si>
    <t xml:space="preserve">서울특별시 서초구 서초동 1592-10번지 (지하1층) </t>
  </si>
  <si>
    <t>3210000-102-1999-00171</t>
  </si>
  <si>
    <t>3210000-102-1999-00148</t>
  </si>
  <si>
    <t xml:space="preserve">서울특별시 서초구 서초동 1338-13번지 </t>
  </si>
  <si>
    <t>3210000-102-1999-00153</t>
  </si>
  <si>
    <t xml:space="preserve">서울특별시 서초구 서초동 1589-8번지 지하 1층 </t>
  </si>
  <si>
    <t>3210000-102-1999-00120</t>
  </si>
  <si>
    <t>3210000-102-1999-00094</t>
  </si>
  <si>
    <t xml:space="preserve">서울특별시 서초구 서초동 1329-4번지 우남빌딩 지하 1층, 지하2층 </t>
  </si>
  <si>
    <t>3220000-102-2010-00012</t>
  </si>
  <si>
    <t xml:space="preserve">서울특별시 강남구 역삼동 606-28번지 </t>
  </si>
  <si>
    <t>서울특별시 강남구 논현로 561 (역삼동)</t>
  </si>
  <si>
    <t>3220000-102-1990-04328</t>
  </si>
  <si>
    <t xml:space="preserve">서울특별시 강남구 역삼동 677-21번지 </t>
  </si>
  <si>
    <t>3220000-102-1990-04407</t>
  </si>
  <si>
    <t xml:space="preserve">서울특별시 강남구 삼성동 37-22번지 </t>
  </si>
  <si>
    <t>3220000-102-1990-04235</t>
  </si>
  <si>
    <t xml:space="preserve">서울특별시 강남구 역삼동 648-17번지 </t>
  </si>
  <si>
    <t>서울특별시 강남구 테헤란로 129 (역삼동)</t>
  </si>
  <si>
    <t>3220000-102-2001-23859</t>
  </si>
  <si>
    <t xml:space="preserve">서울특별시 강남구 논현동 200-6번지 지상3층 </t>
  </si>
  <si>
    <t>3220000-102-2000-22070</t>
  </si>
  <si>
    <t xml:space="preserve">서울특별시 강남구 논현동 91-7 </t>
  </si>
  <si>
    <t>서울특별시 강남구 도산대로 312 (논현동)</t>
  </si>
  <si>
    <t>3220000-102-2011-00001</t>
  </si>
  <si>
    <t xml:space="preserve">서울특별시 강남구 논현동 236-8번지 지하2층 </t>
  </si>
  <si>
    <t>서울특별시 강남구 봉은사로 223, 지하2층 (논현동)</t>
  </si>
  <si>
    <t>3220000-102-2011-00002</t>
  </si>
  <si>
    <t xml:space="preserve">서울특별시 강남구 삼성동 143-26 지하1층,지상2층,지상3층 </t>
  </si>
  <si>
    <t>서울특별시 강남구 테헤란로77길 11-3, 지하1층,지상2-3층 (삼성동)</t>
  </si>
  <si>
    <t>3220000-102-2011-00004</t>
  </si>
  <si>
    <t xml:space="preserve">서울특별시 강남구 삼성동 143-1번지 지하1층 </t>
  </si>
  <si>
    <t>3220000-102-2011-00006</t>
  </si>
  <si>
    <t xml:space="preserve">서울특별시 강남구 청담동 52-3 호텔프리마 지상11층 </t>
  </si>
  <si>
    <t>서울특별시 강남구 도산대로 536 (청담동,호텔프리마 지상11층)</t>
  </si>
  <si>
    <t>3220000-102-2011-00007</t>
  </si>
  <si>
    <t xml:space="preserve">서울특별시 강남구 논현동 236-8번지 </t>
  </si>
  <si>
    <t>서울특별시 강남구 봉은사로 223 (논현동)</t>
  </si>
  <si>
    <t>3220000-102-2001-23867</t>
  </si>
  <si>
    <t xml:space="preserve">서울특별시 강남구 삼성동 142-22번지 </t>
  </si>
  <si>
    <t>서울특별시 강남구 테헤란로69길 9 (삼성동)</t>
  </si>
  <si>
    <t>3220000-102-2001-23868</t>
  </si>
  <si>
    <t xml:space="preserve">서울특별시 강남구 삼성동 143-27번지 지상1층 </t>
  </si>
  <si>
    <t>3220000-102-2012-00003</t>
  </si>
  <si>
    <t xml:space="preserve">서울특별시 강남구 논현동 236-8번지 지하1층 </t>
  </si>
  <si>
    <t>서울특별시 강남구 봉은사로 223, 지하1층 (논현동)</t>
  </si>
  <si>
    <t>3220000-102-2000-22207</t>
  </si>
  <si>
    <t xml:space="preserve">서울특별시 강남구 논현동 152-0 (지하2층,지하2중층) </t>
  </si>
  <si>
    <t>서울특별시 강남구 논현로 645 (논현동,(지하2층,지하2중층))</t>
  </si>
  <si>
    <t>3220000-102-2007-00002</t>
  </si>
  <si>
    <t xml:space="preserve">서울특별시 강남구 역삼동 823-6번지 지하1층 </t>
  </si>
  <si>
    <t>3220000-102-2007-00003</t>
  </si>
  <si>
    <t xml:space="preserve">서울특별시 강남구 신사동 587-1 선샤인호텔 별관3층 </t>
  </si>
  <si>
    <t>서울특별시 강남구 도산대로 205 (신사동,선샤인호텔 별관3층)</t>
  </si>
  <si>
    <t>3220000-102-2007-00007</t>
  </si>
  <si>
    <t xml:space="preserve">서울특별시 강남구 역삼동 677-21번지 2층,3층 </t>
  </si>
  <si>
    <t>3220000-102-2007-00008</t>
  </si>
  <si>
    <t xml:space="preserve">서울특별시 강남구 역삼동 677-21번지 4층 </t>
  </si>
  <si>
    <t>3220000-102-1999-04384</t>
  </si>
  <si>
    <t xml:space="preserve">서울특별시 강남구 삼성동 1-0번지 </t>
  </si>
  <si>
    <t>3220000-102-1979-04317</t>
  </si>
  <si>
    <t xml:space="preserve">서울특별시 강남구 삼성동 117-0번지 </t>
  </si>
  <si>
    <t>3220000-102-1979-04322</t>
  </si>
  <si>
    <t xml:space="preserve">서울특별시 강남구 논현동 202-7번지 지하3층 </t>
  </si>
  <si>
    <t>3220000-102-1979-04404</t>
  </si>
  <si>
    <t xml:space="preserve">서울특별시 강남구 논현동 6번지 지하1,2층 </t>
  </si>
  <si>
    <t>서울특별시 강남구 도산대로 144, 지하1,2층 (논현동)</t>
  </si>
  <si>
    <t>3220000-102-2018-00005</t>
  </si>
  <si>
    <t xml:space="preserve">서울특별시 강남구 삼성동 143-48번지 대종빌딩 </t>
  </si>
  <si>
    <t>서울특별시 강남구 테헤란로 435, 대종빌딩 지하1층 (삼성동)</t>
  </si>
  <si>
    <t>3220000-102-2018-00007</t>
  </si>
  <si>
    <t xml:space="preserve">서울특별시 강남구 논현동 236-8번지 글래드라이브호텔 </t>
  </si>
  <si>
    <t>서울특별시 강남구 봉은사로 223, 글래드라이브호텔 (지하1,2,3층) (논현동)</t>
  </si>
  <si>
    <t>3220000-102-1999-19593</t>
  </si>
  <si>
    <t xml:space="preserve">서울특별시 강남구 역삼동 702-28번지 지하1층 </t>
  </si>
  <si>
    <t>3220000-102-1999-20563</t>
  </si>
  <si>
    <t xml:space="preserve">서울특별시 강남구 삼성동 143-23번지 지하1층 </t>
  </si>
  <si>
    <t>3220000-102-1999-04212</t>
  </si>
  <si>
    <t xml:space="preserve">서울특별시 강남구 논현동 236-6번지 지하1층 </t>
  </si>
  <si>
    <t>서울특별시 강남구 봉은사로 227, 지하1층 (논현동)</t>
  </si>
  <si>
    <t>3220000-102-1999-04325</t>
  </si>
  <si>
    <t xml:space="preserve">서울특별시 강남구 삼성동 116-0번지 </t>
  </si>
  <si>
    <t>서울특별시 강남구 봉은사로 466 (삼성동)</t>
  </si>
  <si>
    <t>3220000-102-1999-04350</t>
  </si>
  <si>
    <t xml:space="preserve">서울특별시 강남구 역삼동 703-5 </t>
  </si>
  <si>
    <t>서울특별시 강남구 선릉로93길 54 (역삼동)</t>
  </si>
  <si>
    <t>3220000-102-1999-20627</t>
  </si>
  <si>
    <t xml:space="preserve">서울특별시 강남구 신사동 501-2번지 </t>
  </si>
  <si>
    <t>3220000-102-1999-20650</t>
  </si>
  <si>
    <t xml:space="preserve">서울특별시 강남구 논현동 206-17 지하1층 </t>
  </si>
  <si>
    <t>서울특별시 강남구 봉은사로 159 (논현동,지하1층)</t>
  </si>
  <si>
    <t>3220000-102-1999-20776</t>
  </si>
  <si>
    <t xml:space="preserve">서울특별시 강남구 청담동 125-20번지 모나미빌딩지하1층 </t>
  </si>
  <si>
    <t>3220000-102-1999-20857</t>
  </si>
  <si>
    <t xml:space="preserve">서울특별시 강남구 역삼동 823-40 지상1,2층 </t>
  </si>
  <si>
    <t>서울특별시 강남구 테헤란로10길 13, 지상1,2층 (역삼동)</t>
  </si>
  <si>
    <t>3220000-102-1999-19707</t>
  </si>
  <si>
    <t xml:space="preserve">서울특별시 강남구 논현동 1번지 지하1층(지하1층중층) </t>
  </si>
  <si>
    <t>서울특별시 강남구 강남대로 606 (논현동,지하1층(지하1층중층))</t>
  </si>
  <si>
    <t>3220000-102-1999-19787</t>
  </si>
  <si>
    <t xml:space="preserve">서울특별시 강남구 대치동 891-37번지 </t>
  </si>
  <si>
    <t>서울특별시 강남구 선릉로90길 64 (대치동)</t>
  </si>
  <si>
    <t>3220000-102-1999-19944</t>
  </si>
  <si>
    <t xml:space="preserve">서울특별시 강남구 신사동 513-1번지 지하1층 </t>
  </si>
  <si>
    <t>3220000-102-1999-19988</t>
  </si>
  <si>
    <t xml:space="preserve">서울특별시 강남구 역삼동 703-8번지 </t>
  </si>
  <si>
    <t>3220000-102-1999-20049</t>
  </si>
  <si>
    <t xml:space="preserve">서울특별시 강남구 역삼동 678-12 지하1층 </t>
  </si>
  <si>
    <t>서울특별시 강남구 테헤란로33길 13-13 (역삼동,지하1층)</t>
  </si>
  <si>
    <t>3220000-102-1999-20054</t>
  </si>
  <si>
    <t xml:space="preserve">서울특별시 강남구 역삼동 603-7번지 </t>
  </si>
  <si>
    <t>3220000-102-1993-04397</t>
  </si>
  <si>
    <t xml:space="preserve">서울특별시 강남구 논현동 152-0번지 </t>
  </si>
  <si>
    <t>3220000-102-1993-04389</t>
  </si>
  <si>
    <t xml:space="preserve">서울특별시 강남구 역삼동 603-0번지 </t>
  </si>
  <si>
    <t>3220000-102-2008-00007</t>
  </si>
  <si>
    <t xml:space="preserve">서울특별시 강남구 역삼동 718-21번지 지하1층 </t>
  </si>
  <si>
    <t>서울특별시 강남구 테헤란로28길 3-14 (역삼동,지하1층)</t>
  </si>
  <si>
    <t>3220000-102-2008-00008</t>
  </si>
  <si>
    <t xml:space="preserve">서울특별시 강남구 삼성동 45-12번지 지하1 </t>
  </si>
  <si>
    <t>서울특별시 강남구 봉은사로 457, 지하1층 (삼성동)</t>
  </si>
  <si>
    <t>3220000-102-2008-00009</t>
  </si>
  <si>
    <t xml:space="preserve">서울특별시 강남구 역삼동 825-27번지 지하1층 </t>
  </si>
  <si>
    <t>서울특별시 강남구 테헤란로2길 21 (역삼동,지하1층)</t>
  </si>
  <si>
    <t>3220000-102-1985-04368</t>
  </si>
  <si>
    <t xml:space="preserve">서울특별시 강남구 논현동 241-11번지 </t>
  </si>
  <si>
    <t>서울특별시 강남구 학동로 338 (논현동)</t>
  </si>
  <si>
    <t>3220000-102-1985-04361</t>
  </si>
  <si>
    <t xml:space="preserve">서울특별시 강남구 역삼동 825-18번지 </t>
  </si>
  <si>
    <t>3220000-102-1985-04278</t>
  </si>
  <si>
    <t xml:space="preserve">서울특별시 강남구 역삼동 646-14번지 </t>
  </si>
  <si>
    <t>서울특별시 강남구 테헤란로25길 7 (역삼동)</t>
  </si>
  <si>
    <t>3220000-102-2000-21113</t>
  </si>
  <si>
    <t xml:space="preserve">서울특별시 강남구 역삼동 823-30번지 2층 </t>
  </si>
  <si>
    <t>3220000-102-2004-00006</t>
  </si>
  <si>
    <t xml:space="preserve">서울특별시 강남구 역삼동 823-30번지 외2필지 지하1층 </t>
  </si>
  <si>
    <t>서울특별시 강남구 테헤란로14길 16 (역삼동,외2필지 지하1층)</t>
  </si>
  <si>
    <t>3220000-102-2004-00008</t>
  </si>
  <si>
    <t xml:space="preserve">서울특별시 강남구 삼성동 143-26 </t>
  </si>
  <si>
    <t>서울특별시 강남구 테헤란로77길 11-3, 4,5,6,7층 (삼성동)</t>
  </si>
  <si>
    <t>3220000-102-2001-23705</t>
  </si>
  <si>
    <t xml:space="preserve">서울특별시 강남구 도곡동 949-3번지 </t>
  </si>
  <si>
    <t>3220000-102-2001-23721</t>
  </si>
  <si>
    <t xml:space="preserve">서울특별시 강남구 삼성동 143-1번지 </t>
  </si>
  <si>
    <t>3220000-102-2001-23746</t>
  </si>
  <si>
    <t xml:space="preserve">서울특별시 강남구 논현동 93-0번지 외1필지 </t>
  </si>
  <si>
    <t>서울특별시 강남구 도산대로 326 (논현동,외1필지)</t>
  </si>
  <si>
    <t>3220000-102-1989-04335</t>
  </si>
  <si>
    <t xml:space="preserve">서울특별시 강남구 역삼동 703-4번지 </t>
  </si>
  <si>
    <t>3220000-102-1989-19823</t>
  </si>
  <si>
    <t xml:space="preserve">서울특별시 강남구 삼성동 142-26번지 지하1층 </t>
  </si>
  <si>
    <t>3220000-102-1989-04395</t>
  </si>
  <si>
    <t xml:space="preserve">서울특별시 강남구 역삼동 820-9번지 </t>
  </si>
  <si>
    <t>3220000-102-1989-20878</t>
  </si>
  <si>
    <t xml:space="preserve">서울특별시 강남구 역삼동 832-5번지 </t>
  </si>
  <si>
    <t>서울특별시 강남구 강남대로 324 (역삼동)</t>
  </si>
  <si>
    <t>3220000-102-1989-04364</t>
  </si>
  <si>
    <t xml:space="preserve">서울특별시 강남구 논현동 202-7번지 </t>
  </si>
  <si>
    <t>3220000-102-1985-04320</t>
  </si>
  <si>
    <t xml:space="preserve">서울특별시 강남구 신사동 527-2번지 </t>
  </si>
  <si>
    <t>3220000-102-1985-04392</t>
  </si>
  <si>
    <t xml:space="preserve">서울특별시 강남구 역삼동 831 </t>
  </si>
  <si>
    <t>서울특별시 강남구 강남대로 354 (역삼동)</t>
  </si>
  <si>
    <t>3220000-102-1985-04362</t>
  </si>
  <si>
    <t xml:space="preserve">서울특별시 강남구 논현동 201-4번지 .10.11 </t>
  </si>
  <si>
    <t>3220000-102-1985-04280</t>
  </si>
  <si>
    <t xml:space="preserve">서울특별시 강남구 역삼동 736-16번지 </t>
  </si>
  <si>
    <t>3220000-102-1985-04342</t>
  </si>
  <si>
    <t xml:space="preserve">서울특별시 강남구 역삼동 678-39번지 ,40 </t>
  </si>
  <si>
    <t>3220000-102-1985-19560</t>
  </si>
  <si>
    <t xml:space="preserve">서울특별시 강남구 역삼동 720-33번지 ,(97.9.9역삼동701-7) </t>
  </si>
  <si>
    <t>3220000-102-2008-00010</t>
  </si>
  <si>
    <t xml:space="preserve">서울특별시 강남구 삼성동 142-16번지 </t>
  </si>
  <si>
    <t>서울특별시 강남구 선릉로92길 39, 지상2층 (삼성동)</t>
  </si>
  <si>
    <t>3220000-102-2008-00011</t>
  </si>
  <si>
    <t xml:space="preserve">서울특별시 강남구 역삼동 823-6번지 </t>
  </si>
  <si>
    <t>3220000-102-2008-00012</t>
  </si>
  <si>
    <t xml:space="preserve">서울특별시 강남구 역삼동 662-11번지 지하1층 </t>
  </si>
  <si>
    <t>서울특별시 강남구 언주로 537 (역삼동,지하1층)</t>
  </si>
  <si>
    <t>3220000-102-2001-23860</t>
  </si>
  <si>
    <t xml:space="preserve">서울특별시 강남구 역삼동 653-0번지 </t>
  </si>
  <si>
    <t>3220000-102-2001-23861</t>
  </si>
  <si>
    <t xml:space="preserve">서울특별시 강남구 논현동 97-23번지 지상12층 </t>
  </si>
  <si>
    <t>3220000-102-2001-23862</t>
  </si>
  <si>
    <t xml:space="preserve">서울특별시 강남구 삼성동 44-9번지 지하1층 </t>
  </si>
  <si>
    <t>서울특별시 강남구 봉은사로 435, 지하1층 (삼성동)</t>
  </si>
  <si>
    <t>3220000-102-2000-22146</t>
  </si>
  <si>
    <t xml:space="preserve">서울특별시 강남구 역삼동 662-16번지 </t>
  </si>
  <si>
    <t>서울특별시 강남구 언주로 533 (역삼동)</t>
  </si>
  <si>
    <t>3220000-102-2000-22153</t>
  </si>
  <si>
    <t xml:space="preserve">서울특별시 강남구 논현동 236-11 지하1층 </t>
  </si>
  <si>
    <t>서울특별시 강남구 봉은사로 219 (논현동,지하1층)</t>
  </si>
  <si>
    <t>3220000-102-2000-22164</t>
  </si>
  <si>
    <t xml:space="preserve">서울특별시 강남구 역삼동 606-3번지 </t>
  </si>
  <si>
    <t>서울특별시 강남구 봉은사로 176, 지상2층 (역삼동)</t>
  </si>
  <si>
    <t>3220000-102-1989-04253</t>
  </si>
  <si>
    <t xml:space="preserve">서울특별시 강남구 역삼동 705-7번지 </t>
  </si>
  <si>
    <t>서울특별시 강남구 선릉로93길 15 (역삼동)</t>
  </si>
  <si>
    <t>3220000-102-1989-04232</t>
  </si>
  <si>
    <t xml:space="preserve">서울특별시 강남구 역삼동 735-32번지 </t>
  </si>
  <si>
    <t>3220000-102-2000-21850</t>
  </si>
  <si>
    <t>3220000-102-2000-21873</t>
  </si>
  <si>
    <t xml:space="preserve">서울특별시 강남구 역삼동 823-48번지 </t>
  </si>
  <si>
    <t>서울특별시 강남구 테헤란로10길 7 (역삼동)</t>
  </si>
  <si>
    <t>3220000-102-2000-21882</t>
  </si>
  <si>
    <t xml:space="preserve">서울특별시 강남구 역삼동 677-22번지 지상2층 </t>
  </si>
  <si>
    <t>서울특별시 강남구 테헤란로33길 8 (역삼동,지상2층)</t>
  </si>
  <si>
    <t>3220000-102-2000-21925</t>
  </si>
  <si>
    <t xml:space="preserve">서울특별시 강남구 삼성동 45-9번지 </t>
  </si>
  <si>
    <t>서울특별시 강남구 봉은사로 461 (삼성동)</t>
  </si>
  <si>
    <t>3220000-102-2000-22066</t>
  </si>
  <si>
    <t xml:space="preserve">서울특별시 강남구 역삼동 678-15번지 </t>
  </si>
  <si>
    <t>3220000-102-2001-23863</t>
  </si>
  <si>
    <t xml:space="preserve">서울특별시 강남구 역삼동 825-22번지 지상1,2층 </t>
  </si>
  <si>
    <t>3220000-102-2001-23866</t>
  </si>
  <si>
    <t xml:space="preserve">서울특별시 강남구 신사동 588-21번지 지상2층 </t>
  </si>
  <si>
    <t>3220000-102-2001-23760</t>
  </si>
  <si>
    <t xml:space="preserve">서울특별시 강남구 삼성동 38-30번지 </t>
  </si>
  <si>
    <t>서울특별시 강남구 봉은사로 415 (삼성동)</t>
  </si>
  <si>
    <t>3220000-102-2001-23795</t>
  </si>
  <si>
    <t>3220000-102-2001-23796</t>
  </si>
  <si>
    <t xml:space="preserve">서울특별시 강남구 역삼동 601-15번지 지하1층 </t>
  </si>
  <si>
    <t>서울특별시 강남구 봉은사로 114 (역삼동,지하1층)</t>
  </si>
  <si>
    <t>3220000-102-2001-23843</t>
  </si>
  <si>
    <t xml:space="preserve">서울특별시 강남구 역삼동 736-9 2층,3층,4층 </t>
  </si>
  <si>
    <t>서울특별시 강남구 논현로87길 16 (역삼동,2층,3층,4층)</t>
  </si>
  <si>
    <t>3220000-102-2001-23844</t>
  </si>
  <si>
    <t xml:space="preserve">서울특별시 강남구 역삼동 736-9번지 지상1층 </t>
  </si>
  <si>
    <t>서울특별시 강남구 논현로87길 16 (역삼동,지상1층)</t>
  </si>
  <si>
    <t>3220000-102-2010-00011</t>
  </si>
  <si>
    <t xml:space="preserve">서울특별시 강남구 역삼동 823-48번지 지하1층 </t>
  </si>
  <si>
    <t>서울특별시 강남구 테헤란로10길 7 (역삼동,지하1층)</t>
  </si>
  <si>
    <t>3220000-102-2002-00032</t>
  </si>
  <si>
    <t xml:space="preserve">서울특별시 강남구 신사동 527-2번지 지하1층 </t>
  </si>
  <si>
    <t>서울특별시 강남구 도산대로1길 83 (신사동,지하1층)</t>
  </si>
  <si>
    <t>3220000-102-2003-00001</t>
  </si>
  <si>
    <t xml:space="preserve">서울특별시 강남구 신사동 666-15번지 </t>
  </si>
  <si>
    <t>서울특별시 강남구 도산대로 335, 지하1층 (신사동)</t>
  </si>
  <si>
    <t>3220000-102-2003-00002</t>
  </si>
  <si>
    <t xml:space="preserve">서울특별시 강남구 역삼동 825-6번지 지하1층 </t>
  </si>
  <si>
    <t>3220000-102-1981-04366</t>
  </si>
  <si>
    <t xml:space="preserve">서울특별시 강남구 신사동 615-0번지 지하2호 </t>
  </si>
  <si>
    <t>3220000-102-1987-04268</t>
  </si>
  <si>
    <t xml:space="preserve">서울특별시 강남구 역삼동 718-23번지 </t>
  </si>
  <si>
    <t>3220000-102-2001-23873</t>
  </si>
  <si>
    <t xml:space="preserve">서울특별시 강남구 역삼동 826-41번지 지하1층 </t>
  </si>
  <si>
    <t>서울특별시 강남구 테헤란로2길 37 (역삼동,지하1층)</t>
  </si>
  <si>
    <t>3220000-102-2002-00001</t>
  </si>
  <si>
    <t xml:space="preserve">서울특별시 강남구 청담동 52-3번지 지하1,3층 </t>
  </si>
  <si>
    <t>서울특별시 강남구 도산대로 536, 지하1,3층 (청담동)</t>
  </si>
  <si>
    <t>3220000-102-2002-00002</t>
  </si>
  <si>
    <t xml:space="preserve">서울특별시 강남구 신사동 614-1번지 지하1층 </t>
  </si>
  <si>
    <t>서울특별시 강남구 압구정로 206 (신사동,지하1층)</t>
  </si>
  <si>
    <t>3220000-102-2002-00003</t>
  </si>
  <si>
    <t xml:space="preserve">서울특별시 강남구 역삼동 606번지 지상1층 </t>
  </si>
  <si>
    <t>3220000-102-2002-00018</t>
  </si>
  <si>
    <t xml:space="preserve">서울특별시 강남구 삼성동 142-23번지 </t>
  </si>
  <si>
    <t>서울특별시 강남구 선릉로92길 43 (삼성동)</t>
  </si>
  <si>
    <t>3220000-102-2002-00019</t>
  </si>
  <si>
    <t xml:space="preserve">서울특별시 강남구 삼성동 143-33번지 지하1층 </t>
  </si>
  <si>
    <t>3220000-102-2002-00020</t>
  </si>
  <si>
    <t xml:space="preserve">서울특별시 강남구 역삼동 679-4번지 로담코빌딩 지하1층 </t>
  </si>
  <si>
    <t>3220000-102-2002-00021</t>
  </si>
  <si>
    <t xml:space="preserve">서울특별시 강남구 신사동 588-21번지 </t>
  </si>
  <si>
    <t>서울특별시 강남구 도산대로 217, 지상2층 (신사동)</t>
  </si>
  <si>
    <t>3220000-102-2002-00022</t>
  </si>
  <si>
    <t xml:space="preserve">서울특별시 강남구 논현동 242-52번지 지하1층 </t>
  </si>
  <si>
    <t>3220000-102-2015-00007</t>
  </si>
  <si>
    <t xml:space="preserve">서울특별시 강남구 신사동 502-11 지하1층 </t>
  </si>
  <si>
    <t>서울특별시 강남구 강남대로 620, 지하1층 (신사동)</t>
  </si>
  <si>
    <t>3220000-102-2001-23393</t>
  </si>
  <si>
    <t xml:space="preserve">서울특별시 강남구 역삼동 682-20번지 , 21 지하1층 </t>
  </si>
  <si>
    <t>3220000-102-2001-23432</t>
  </si>
  <si>
    <t xml:space="preserve">서울특별시 강남구 청담동 53-0번지 </t>
  </si>
  <si>
    <t>3220000-102-1999-20265</t>
  </si>
  <si>
    <t xml:space="preserve">서울특별시 강남구 역삼동 703-5번지 </t>
  </si>
  <si>
    <t>3220000-102-1989-04247</t>
  </si>
  <si>
    <t xml:space="preserve">서울특별시 강남구 역삼동 677-16번지 </t>
  </si>
  <si>
    <t>3220000-102-1989-04248</t>
  </si>
  <si>
    <t xml:space="preserve">서울특별시 강남구 역삼동 707-18번지 </t>
  </si>
  <si>
    <t>3220000-102-1989-20123</t>
  </si>
  <si>
    <t xml:space="preserve">서울특별시 강남구 삼성동 144-6번지 </t>
  </si>
  <si>
    <t>3220000-102-1999-04249</t>
  </si>
  <si>
    <t>3220000-102-1989-04250</t>
  </si>
  <si>
    <t xml:space="preserve">서울특별시 강남구 역삼동 677-10 </t>
  </si>
  <si>
    <t>서울특별시 강남구 테헤란로37길 13-12 (역삼동)</t>
  </si>
  <si>
    <t>3220000-102-1989-04252</t>
  </si>
  <si>
    <t xml:space="preserve">서울특별시 강남구 역삼동 647-0번지 </t>
  </si>
  <si>
    <t>서울특별시 강남구 테헤란로13길 12 (역삼동)</t>
  </si>
  <si>
    <t>3220000-102-2001-23845</t>
  </si>
  <si>
    <t xml:space="preserve">서울특별시 강남구 역삼동 823-33번지 지하1층 </t>
  </si>
  <si>
    <t>서울특별시 강남구 논현로85길 58 (역삼동,지하1층)</t>
  </si>
  <si>
    <t>3220000-102-2001-23846</t>
  </si>
  <si>
    <t xml:space="preserve">서울특별시 강남구 역삼동 831-11번지 지하1층 </t>
  </si>
  <si>
    <t>서울특별시 강남구 강남대로 338 (역삼동,지하1층)</t>
  </si>
  <si>
    <t>3220000-102-1977-04399</t>
  </si>
  <si>
    <t xml:space="preserve">서울특별시 강남구 논현동 1-0번지 </t>
  </si>
  <si>
    <t>3220000-102-1977-18642</t>
  </si>
  <si>
    <t xml:space="preserve">서울특별시 강남구 논현동 200-7번지 </t>
  </si>
  <si>
    <t>서울특별시 강남구 강남대로 476 (논현동)</t>
  </si>
  <si>
    <t>3220000-102-1978-04381</t>
  </si>
  <si>
    <t xml:space="preserve">서울특별시 강남구 신사동 513-4번지 </t>
  </si>
  <si>
    <t>3220000-102-1978-04351</t>
  </si>
  <si>
    <t xml:space="preserve">서울특별시 강남구 논현동 211-16번지 </t>
  </si>
  <si>
    <t>3220000-102-2002-00004</t>
  </si>
  <si>
    <t xml:space="preserve">서울특별시 강남구 역삼동 822-0번지 지하1층 </t>
  </si>
  <si>
    <t>3220000-102-2002-00005</t>
  </si>
  <si>
    <t xml:space="preserve">서울특별시 강남구 역삼동 832-7번지 지하1층 </t>
  </si>
  <si>
    <t>3220000-102-2002-00006</t>
  </si>
  <si>
    <t xml:space="preserve">서울특별시 강남구 역삼동 678-21번지 지하1층 </t>
  </si>
  <si>
    <t>서울특별시 강남구 테헤란로27길 10 (역삼동,지하1층)</t>
  </si>
  <si>
    <t>3220000-102-2014-00006</t>
  </si>
  <si>
    <t xml:space="preserve">서울특별시 강남구 삼성동 44-9 지하1층 </t>
  </si>
  <si>
    <t>3220000-102-2014-00007</t>
  </si>
  <si>
    <t xml:space="preserve">서울특별시 강남구 역삼동 718-15번지 지하1층 </t>
  </si>
  <si>
    <t>서울특별시 강남구 테헤란로28길 3-8, 지하1층 (역삼동)</t>
  </si>
  <si>
    <t>3220000-102-2015-00009</t>
  </si>
  <si>
    <t>서울특별시 강남구 도산대로 536, 지하1,3층 (청담동, 프리마호텔)</t>
  </si>
  <si>
    <t>3220000-102-1985-04279</t>
  </si>
  <si>
    <t xml:space="preserve">서울특별시 강남구 역삼동 705-23번지 </t>
  </si>
  <si>
    <t>3220000-102-1985-18673</t>
  </si>
  <si>
    <t xml:space="preserve">서울특별시 강남구 논현동 278-20번지 </t>
  </si>
  <si>
    <t>3220000-102-1999-20269</t>
  </si>
  <si>
    <t xml:space="preserve">서울특별시 강남구 역삼동 736-36번지 </t>
  </si>
  <si>
    <t>3220000-102-2001-23847</t>
  </si>
  <si>
    <t xml:space="preserve">서울특별시 강남구 논현동 204-4번지 지하1층 </t>
  </si>
  <si>
    <t>3220000-102-1982-04305</t>
  </si>
  <si>
    <t xml:space="preserve">서울특별시 강남구 역삼동 653-2번지 </t>
  </si>
  <si>
    <t>서울특별시 강남구 봉은사로 236 (역삼동)</t>
  </si>
  <si>
    <t>3220000-102-1982-04344</t>
  </si>
  <si>
    <t xml:space="preserve">서울특별시 강남구 논현동 5-4번지 </t>
  </si>
  <si>
    <t>서울특별시 강남구 도산대로 138 (논현동)</t>
  </si>
  <si>
    <t>3220000-102-1982-04304</t>
  </si>
  <si>
    <t>3220000-102-1982-04302</t>
  </si>
  <si>
    <t xml:space="preserve">서울특별시 강남구 개포동 0번지 </t>
  </si>
  <si>
    <t>3220000-102-1982-04288</t>
  </si>
  <si>
    <t xml:space="preserve">서울특별시 강남구 논현동 201-4번지 </t>
  </si>
  <si>
    <t>3220000-102-1982-04383</t>
  </si>
  <si>
    <t xml:space="preserve">서울특별시 강남구 논현동 17-8번지 </t>
  </si>
  <si>
    <t>3220000-102-2002-00023</t>
  </si>
  <si>
    <t xml:space="preserve">서울특별시 강남구 역삼동 826-21번지 지하2층 </t>
  </si>
  <si>
    <t>3220000-102-1991-04310</t>
  </si>
  <si>
    <t xml:space="preserve">서울특별시 강남구 삼성동 141-6번지 </t>
  </si>
  <si>
    <t>3220000-102-1991-04238</t>
  </si>
  <si>
    <t xml:space="preserve">서울특별시 강남구 논현동 51-6번지 </t>
  </si>
  <si>
    <t>3220000-102-1991-04211</t>
  </si>
  <si>
    <t xml:space="preserve">서울특별시 강남구 삼성동 142-33번지 </t>
  </si>
  <si>
    <t>3220000-102-1982-19654</t>
  </si>
  <si>
    <t xml:space="preserve">서울특별시 강남구 논현동 61-3번지 </t>
  </si>
  <si>
    <t>3220000-102-1982-04290</t>
  </si>
  <si>
    <t xml:space="preserve">서울특별시 강남구 신사동 563-37번지 </t>
  </si>
  <si>
    <t>3220000-102-1982-04213</t>
  </si>
  <si>
    <t xml:space="preserve">서울특별시 강남구 신사동 537-10번지 </t>
  </si>
  <si>
    <t>서울특별시 강남구 도산대로 131 (신사동)</t>
  </si>
  <si>
    <t>3220000-102-1999-04347</t>
  </si>
  <si>
    <t xml:space="preserve">서울특별시 강남구 역삼동 718-15번지 </t>
  </si>
  <si>
    <t>서울특별시 강남구 테헤란로28길 3-8 (역삼동)</t>
  </si>
  <si>
    <t>3220000-102-1999-04316</t>
  </si>
  <si>
    <t xml:space="preserve">서울특별시 강남구 역삼동 646-18번지 </t>
  </si>
  <si>
    <t>3220000-102-1999-20297</t>
  </si>
  <si>
    <t xml:space="preserve">서울특별시 강남구 청담동 53-4번지 지하1층 </t>
  </si>
  <si>
    <t>서울특별시 강남구 도산대로 544 (청담동,지하1층)</t>
  </si>
  <si>
    <t>3220000-102-1998-04289</t>
  </si>
  <si>
    <t xml:space="preserve">서울특별시 강남구 역삼동 736-58번지 </t>
  </si>
  <si>
    <t>3220000-102-1999-19007</t>
  </si>
  <si>
    <t xml:space="preserve">서울특별시 강남구 삼성동 143-24번지 </t>
  </si>
  <si>
    <t>3220000-102-2002-00011</t>
  </si>
  <si>
    <t xml:space="preserve">서울특별시 강남구 역삼동 677-20번지 지하1층 </t>
  </si>
  <si>
    <t>3220000-102-2002-00012</t>
  </si>
  <si>
    <t xml:space="preserve">서울특별시 강남구 역삼동 677-20번지 (지하2층) </t>
  </si>
  <si>
    <t>3220000-102-1999-19324</t>
  </si>
  <si>
    <t xml:space="preserve">서울특별시 강남구 역삼동 831-29번지 지하1층 </t>
  </si>
  <si>
    <t>3220000-102-1999-19442</t>
  </si>
  <si>
    <t xml:space="preserve">서울특별시 강남구 청담동 129-0번지 지상2 </t>
  </si>
  <si>
    <t>3220000-102-1999-19446</t>
  </si>
  <si>
    <t xml:space="preserve">서울특별시 강남구 역삼동 702-23번지 지하2층 </t>
  </si>
  <si>
    <t>3220000-102-1999-19504</t>
  </si>
  <si>
    <t xml:space="preserve">서울특별시 강남구 삼성동 8-3번지 </t>
  </si>
  <si>
    <t>3220000-102-2001-23159</t>
  </si>
  <si>
    <t xml:space="preserve">서울특별시 강남구 청담동 132-17번지 지하1층 </t>
  </si>
  <si>
    <t>3220000-102-2001-23163</t>
  </si>
  <si>
    <t xml:space="preserve">서울특별시 강남구 역삼동 831-17번지 지하1층 </t>
  </si>
  <si>
    <t>3220000-102-2001-23199</t>
  </si>
  <si>
    <t xml:space="preserve">서울특별시 강남구 역삼동 719-22 지하1층,지상1층 </t>
  </si>
  <si>
    <t>서울특별시 강남구 테헤란로38길 8 (역삼동,지하1층,지상1층)</t>
  </si>
  <si>
    <t>3220000-102-2001-23331</t>
  </si>
  <si>
    <t>서울특별시 강남구 봉은사로 125 (논현동,지하3층)</t>
  </si>
  <si>
    <t>3220000-102-2011-00013</t>
  </si>
  <si>
    <t xml:space="preserve">서울특별시 강남구 삼성동 144-6 지하1층,지하2층 </t>
  </si>
  <si>
    <t>서울특별시 강남구 테헤란로77길 12, 지하1층,지하2층 (삼성동)</t>
  </si>
  <si>
    <t>3220000-102-2011-00014</t>
  </si>
  <si>
    <t xml:space="preserve">서울특별시 강남구 역삼동 678-20번지 지상2층 </t>
  </si>
  <si>
    <t>서울특별시 강남구 테헤란로29길 9 (역삼동,지상2층)</t>
  </si>
  <si>
    <t>3220000-102-1999-20858</t>
  </si>
  <si>
    <t xml:space="preserve">서울특별시 강남구 역삼동 823-40 지하1층 </t>
  </si>
  <si>
    <t>서울특별시 강남구 테헤란로10길 13, 지하1층 (역삼동)</t>
  </si>
  <si>
    <t>3220000-102-1999-20863</t>
  </si>
  <si>
    <t>3220000-102-2003-00015</t>
  </si>
  <si>
    <t xml:space="preserve">서울특별시 강남구 삼성동 141-20번지 지상9,10층 </t>
  </si>
  <si>
    <t>서울특별시 강남구 선릉로92길 6 (삼성동,지상9,10층)</t>
  </si>
  <si>
    <t>3220000-102-1999-19272</t>
  </si>
  <si>
    <t xml:space="preserve">서울특별시 강남구 청담동 132-17번지 </t>
  </si>
  <si>
    <t>3220000-102-1999-19283</t>
  </si>
  <si>
    <t xml:space="preserve">서울특별시 강남구 청담동 68-19번지 </t>
  </si>
  <si>
    <t>서울특별시 강남구 영동대로 721 (청담동)</t>
  </si>
  <si>
    <t>3220000-102-1999-19304</t>
  </si>
  <si>
    <t xml:space="preserve">서울특별시 강남구 역삼동 819-8번지 </t>
  </si>
  <si>
    <t>3220000-102-1986-04337</t>
  </si>
  <si>
    <t xml:space="preserve">서울특별시 강남구 역삼동 648-3 </t>
  </si>
  <si>
    <t>서울특별시 강남구 강남대로94길 54, 지하1층 (역삼동)</t>
  </si>
  <si>
    <t>3220000-102-1986-04261</t>
  </si>
  <si>
    <t xml:space="preserve">서울특별시 강남구 논현동 235-9번지 </t>
  </si>
  <si>
    <t>3220000-102-2002-00017</t>
  </si>
  <si>
    <t xml:space="preserve">서울특별시 강남구 삼성동 141-10번지 </t>
  </si>
  <si>
    <t>서울특별시 강남구 테헤란로63길 9, 지하2층 (삼성동)</t>
  </si>
  <si>
    <t>3220000-102-1986-04291</t>
  </si>
  <si>
    <t xml:space="preserve">서울특별시 강남구 논현동 225-3번지 .4 </t>
  </si>
  <si>
    <t>3220000-102-1986-04258</t>
  </si>
  <si>
    <t xml:space="preserve">서울특별시 강남구 역삼동 823-10번지 </t>
  </si>
  <si>
    <t>서울특별시 강남구 테헤란로8길 11-4 (역삼동)</t>
  </si>
  <si>
    <t>3220000-102-1986-04343</t>
  </si>
  <si>
    <t xml:space="preserve">서울특별시 강남구 역삼동 735-27번지 </t>
  </si>
  <si>
    <t>3220000-102-1986-20330</t>
  </si>
  <si>
    <t xml:space="preserve">서울특별시 강남구 삼성동 112-5번지 지하2층,지하3층 </t>
  </si>
  <si>
    <t>서울특별시 강남구 봉은사로 410 (삼성동,지하2층,지하3층)</t>
  </si>
  <si>
    <t>3220000-102-1986-04260</t>
  </si>
  <si>
    <t xml:space="preserve">서울특별시 강남구 역삼동 823-33번지 </t>
  </si>
  <si>
    <t>서울특별시 강남구 논현로85길 58 (역삼동)</t>
  </si>
  <si>
    <t>3220000-102-1987-04311</t>
  </si>
  <si>
    <t xml:space="preserve">서울특별시 강남구 논현동 202-19번지 </t>
  </si>
  <si>
    <t>서울특별시 강남구 봉은사로 117 (논현동)</t>
  </si>
  <si>
    <t>3220000-102-2011-00017</t>
  </si>
  <si>
    <t xml:space="preserve">서울특별시 강남구 논현동 18-2번지 렉스관광호텔 2층 </t>
  </si>
  <si>
    <t>서울특별시 강남구 강남대로 588 (논현동,렉스관광호텔 2층)</t>
  </si>
  <si>
    <t>3220000-102-2012-00001</t>
  </si>
  <si>
    <t xml:space="preserve">서울특별시 강남구 역삼동 825-6,7번지 지하1층 </t>
  </si>
  <si>
    <t>서울특별시 강남구 테헤란로2길 지하 22, 지하1층 (역삼동)</t>
  </si>
  <si>
    <t>3220000-102-1987-04262</t>
  </si>
  <si>
    <t>3220000-102-1987-04363</t>
  </si>
  <si>
    <t xml:space="preserve">서울특별시 강남구 신사동 666-16번지 </t>
  </si>
  <si>
    <t>서울특별시 강남구 도산대로 333 (신사동)</t>
  </si>
  <si>
    <t>3220000-102-2017-00002</t>
  </si>
  <si>
    <t xml:space="preserve">서울특별시 강남구 신사동 587-1번지 </t>
  </si>
  <si>
    <t>서울특별시 강남구 도산대로 지하 205-0 (신사동)</t>
  </si>
  <si>
    <t>3220000-102-2017-00003</t>
  </si>
  <si>
    <t xml:space="preserve">서울특별시 강남구 삼성동 141-33번지 리치타워 </t>
  </si>
  <si>
    <t>서울특별시 강남구 테헤란로 403, 지하1층 (삼성동)</t>
  </si>
  <si>
    <t>3220000-102-2018-00001</t>
  </si>
  <si>
    <t xml:space="preserve">서울특별시 강남구 신사동 630-19 백영빌딩 </t>
  </si>
  <si>
    <t>서울특별시 강남구 도산대로 307, 백영빌딩 지하1?층 102호 (신사동)</t>
  </si>
  <si>
    <t>3220000-102-2018-00002</t>
  </si>
  <si>
    <t xml:space="preserve">서울특별시 강남구 역삼동 602 르메르디앙서울호텔 </t>
  </si>
  <si>
    <t>서울특별시 강남구 봉은사로 120, 르메르디앙서울호텔 1~2층 (역삼동)</t>
  </si>
  <si>
    <t>3220000-102-1999-04327</t>
  </si>
  <si>
    <t xml:space="preserve">서울특별시 강남구 역삼동 603-6번지 </t>
  </si>
  <si>
    <t>서울특별시 강남구 봉은사로 138 (역삼동)</t>
  </si>
  <si>
    <t>3220000-102-1999-20545</t>
  </si>
  <si>
    <t xml:space="preserve">서울특별시 강남구 역삼동 678-27번지 지하1층 </t>
  </si>
  <si>
    <t>서울특별시 강남구 테헤란로27길 8-14, 지하1층 (역삼동)</t>
  </si>
  <si>
    <t>3220000-102-1999-04359</t>
  </si>
  <si>
    <t xml:space="preserve">서울특별시 강남구 청담동 48-3번지 </t>
  </si>
  <si>
    <t>3220000-102-1999-18658</t>
  </si>
  <si>
    <t xml:space="preserve">서울특별시 강남구 신사동 587-1번지 지하1층, 지하중층 </t>
  </si>
  <si>
    <t>서울특별시 강남구 도산대로 205 (신사동,지하1층, 지하중층)</t>
  </si>
  <si>
    <t>3220000-102-1999-20591</t>
  </si>
  <si>
    <t xml:space="preserve">서울특별시 강남구 역삼동 702-24번지 </t>
  </si>
  <si>
    <t>서울특별시 강남구 선릉로93길 31 (역삼동)</t>
  </si>
  <si>
    <t>3220000-102-2003-00003</t>
  </si>
  <si>
    <t xml:space="preserve">서울특별시 강남구 삼성동 114-8번지 지하1층 </t>
  </si>
  <si>
    <t>3220000-102-2003-00004</t>
  </si>
  <si>
    <t xml:space="preserve">서울특별시 강남구 역삼동 678-27번지 지상 3층 </t>
  </si>
  <si>
    <t>서울특별시 강남구 테헤란로27길 8-14 (역삼동,지상 3층)</t>
  </si>
  <si>
    <t>3220000-102-2001-23848</t>
  </si>
  <si>
    <t xml:space="preserve">서울특별시 강남구 논현동 91-20번지 지하1층 </t>
  </si>
  <si>
    <t>서울특별시 강남구 언주로 736, 지하1층 (논현동)</t>
  </si>
  <si>
    <t>3220000-102-2001-23849</t>
  </si>
  <si>
    <t xml:space="preserve">서울특별시 강남구 역삼동 678-30 지하1층 </t>
  </si>
  <si>
    <t>서울특별시 강남구 테헤란로33길 3-4, 지하1층 (역삼동)</t>
  </si>
  <si>
    <t>3220000-102-2000-22230</t>
  </si>
  <si>
    <t xml:space="preserve">서울특별시 강남구 삼성동 45-12번지 지하1층 </t>
  </si>
  <si>
    <t>3220000-102-2000-22269</t>
  </si>
  <si>
    <t>서울특별시 강남구 봉은사로 209 (논현동)</t>
  </si>
  <si>
    <t>3220000-102-2000-22275</t>
  </si>
  <si>
    <t xml:space="preserve">서울특별시 강남구 청담동 68-7번지 지하1층 </t>
  </si>
  <si>
    <t>3220000-102-2000-22310</t>
  </si>
  <si>
    <t xml:space="preserve">서울특별시 강남구 역삼동 823-41 지하1층 </t>
  </si>
  <si>
    <t>서울특별시 강남구 테헤란로10길 11, 지하1층 (역삼동)</t>
  </si>
  <si>
    <t>3220000-102-2000-22358</t>
  </si>
  <si>
    <t xml:space="preserve">서울특별시 강남구 역삼동 823-2번지 (지하1층) </t>
  </si>
  <si>
    <t>3220000-102-2000-22398</t>
  </si>
  <si>
    <t xml:space="preserve">서울특별시 강남구 역삼동 831-3번지 </t>
  </si>
  <si>
    <t>3220000-102-2000-22471</t>
  </si>
  <si>
    <t xml:space="preserve">서울특별시 강남구 삼성동 112-5번지 (3층) </t>
  </si>
  <si>
    <t>서울특별시 강남구 봉은사로 410 (삼성동,(3층))</t>
  </si>
  <si>
    <t>3220000-102-2003-00017</t>
  </si>
  <si>
    <t xml:space="preserve">서울특별시 강남구 역삼동 823-11 지하1층 </t>
  </si>
  <si>
    <t>서울특별시 강남구 테헤란로8길 13 (역삼동,지하1층)</t>
  </si>
  <si>
    <t>3220000-102-2003-00018</t>
  </si>
  <si>
    <t xml:space="preserve">서울특별시 강남구 삼성동 144-5번지 지하1층 </t>
  </si>
  <si>
    <t>서울특별시 강남구 테헤란로79길 11 (삼성동,지하1층)</t>
  </si>
  <si>
    <t>3220000-102-2003-00019</t>
  </si>
  <si>
    <t xml:space="preserve">서울특별시 강남구 역삼동 736-38번지 지하1층 </t>
  </si>
  <si>
    <t>3220000-102-2003-00021</t>
  </si>
  <si>
    <t xml:space="preserve">서울특별시 강남구 역삼동 677-13번지 지상2.3층 </t>
  </si>
  <si>
    <t>3220000-102-2004-00001</t>
  </si>
  <si>
    <t>3220000-102-2004-00002</t>
  </si>
  <si>
    <t xml:space="preserve">서울특별시 강남구 논현동 18-2번지 지하2층 </t>
  </si>
  <si>
    <t>서울특별시 강남구 강남대로 588 (논현동,지하2층)</t>
  </si>
  <si>
    <t>3220000-102-2002-00025</t>
  </si>
  <si>
    <t xml:space="preserve">서울특별시 강남구 삼성동 142-14번지 지하1층 </t>
  </si>
  <si>
    <t>3220000-102-2009-00006</t>
  </si>
  <si>
    <t xml:space="preserve">서울특별시 강남구 논현동 118-17번지 지하1층 </t>
  </si>
  <si>
    <t>서울특별시 강남구 학동로 339 (논현동,지하1층)</t>
  </si>
  <si>
    <t>3220000-102-2009-00007</t>
  </si>
  <si>
    <t xml:space="preserve">서울특별시 강남구 역삼동 720-4번지 지하1층 </t>
  </si>
  <si>
    <t>3220000-102-2009-00009</t>
  </si>
  <si>
    <t xml:space="preserve">서울특별시 강남구 역삼동 701-1번지 아르누보씨티 지하1,2층 </t>
  </si>
  <si>
    <t>서울특별시 강남구 언주로 506 (역삼동,아르누보씨티 지하1,2층)</t>
  </si>
  <si>
    <t>3220000-102-2009-00010</t>
  </si>
  <si>
    <t xml:space="preserve">서울특별시 강남구 삼성동 142-14 지하1층 </t>
  </si>
  <si>
    <t>서울특별시 강남구 선릉로92길 35, 지하1층 (삼성동)</t>
  </si>
  <si>
    <t>3220000-102-2009-00011</t>
  </si>
  <si>
    <t xml:space="preserve">서울특별시 강남구 역삼동 822번지 지하1 </t>
  </si>
  <si>
    <t>서울특별시 강남구 테헤란로 103 (역삼동,지하1)</t>
  </si>
  <si>
    <t>3220000-102-2004-00003</t>
  </si>
  <si>
    <t xml:space="preserve">서울특별시 강남구 논현동 18-2번지 지하1층 </t>
  </si>
  <si>
    <t>서울특별시 강남구 강남대로 588 (논현동,지하1층)</t>
  </si>
  <si>
    <t>3220000-102-2004-00004</t>
  </si>
  <si>
    <t xml:space="preserve">서울특별시 강남구 논현동 118-16번지 지하1층 </t>
  </si>
  <si>
    <t>서울특별시 강남구 학동로 337 (논현동,지하1층)</t>
  </si>
  <si>
    <t>3220000-102-2004-00005</t>
  </si>
  <si>
    <t xml:space="preserve">서울특별시 강남구 역삼동 718-16번지 지하1층 </t>
  </si>
  <si>
    <t>3220000-102-2002-00026</t>
  </si>
  <si>
    <t xml:space="preserve">서울특별시 강남구 신사동 587-1 지상2층 </t>
  </si>
  <si>
    <t>서울특별시 강남구 도산대로 205 (신사동,지상2층)</t>
  </si>
  <si>
    <t>3220000-102-2002-00027</t>
  </si>
  <si>
    <t xml:space="preserve">서울특별시 강남구 역삼동 825-29번지 지하1층 </t>
  </si>
  <si>
    <t>서울특별시 강남구 테헤란로2길 15, 지하1층 (역삼동)</t>
  </si>
  <si>
    <t>3220000-102-2002-00028</t>
  </si>
  <si>
    <t xml:space="preserve">서울특별시 강남구 역삼동 826-9번지 (지하1층) </t>
  </si>
  <si>
    <t>서울특별시 강남구 테헤란로2길 36 (역삼동,(지하1층))</t>
  </si>
  <si>
    <t>3220000-102-2002-00029</t>
  </si>
  <si>
    <t xml:space="preserve">서울특별시 강남구 삼성동 143-16번지 </t>
  </si>
  <si>
    <t>서울특별시 강남구 테헤란로77길 11-20, 지하1층 (삼성동)</t>
  </si>
  <si>
    <t>3220000-102-1984-18958</t>
  </si>
  <si>
    <t xml:space="preserve">서울특별시 강남구 역삼동 702-25번지 </t>
  </si>
  <si>
    <t>3220000-102-1984-04285</t>
  </si>
  <si>
    <t xml:space="preserve">서울특별시 강남구 삼성동 142-35번지 </t>
  </si>
  <si>
    <t>3220000-102-1984-04348</t>
  </si>
  <si>
    <t xml:space="preserve">서울특별시 강남구 삼성동 141-21번지 </t>
  </si>
  <si>
    <t>서울특별시 강남구 선릉로92길 8 (삼성동)</t>
  </si>
  <si>
    <t>3220000-102-1984-04269</t>
  </si>
  <si>
    <t xml:space="preserve">서울특별시 강남구 역삼동 825-1번지 지하1층 </t>
  </si>
  <si>
    <t>3220000-102-2000-21141</t>
  </si>
  <si>
    <t xml:space="preserve">서울특별시 강남구 역삼동 831-28 지하1층 </t>
  </si>
  <si>
    <t>서울특별시 강남구 역삼로3길 19, 지하1층 (역삼동)</t>
  </si>
  <si>
    <t>3220000-102-2000-21144</t>
  </si>
  <si>
    <t xml:space="preserve">서울특별시 강남구 역삼동 649-6번지 </t>
  </si>
  <si>
    <t>3220000-102-2014-00005</t>
  </si>
  <si>
    <t>서울특별시 강남구 역삼동 677-3번지 지하1층호</t>
  </si>
  <si>
    <t>서울특별시 강남구 언주로93길 27 (역삼동)</t>
  </si>
  <si>
    <t>3220000-102-2007-00004</t>
  </si>
  <si>
    <t xml:space="preserve">서울특별시 강남구 삼성동 112-5번지 지하1,2,3층 </t>
  </si>
  <si>
    <t>서울특별시 강남구 봉은사로 410 (삼성동,지하1,2,3층)</t>
  </si>
  <si>
    <t>3220000-102-2009-00015</t>
  </si>
  <si>
    <t xml:space="preserve">서울특별시 강남구 역삼동 823-4번지 지하1층 </t>
  </si>
  <si>
    <t>서울특별시 강남구 테헤란로8길 11, 지하1층 (역삼동)</t>
  </si>
  <si>
    <t>3220000-102-1980-04394</t>
  </si>
  <si>
    <t xml:space="preserve">서울특별시 강남구 역삼동 602-0번지 </t>
  </si>
  <si>
    <t>3220000-102-1985-04283</t>
  </si>
  <si>
    <t xml:space="preserve">서울특별시 강남구 역삼동 702-28번지 </t>
  </si>
  <si>
    <t>3220000-102-2012-00002</t>
  </si>
  <si>
    <t xml:space="preserve">서울특별시 강남구 삼성동 143-48번지 </t>
  </si>
  <si>
    <t>서울특별시 강남구 테헤란로 435 (삼성동)</t>
  </si>
  <si>
    <t>3220000-102-1995-04367</t>
  </si>
  <si>
    <t xml:space="preserve">서울특별시 강남구 청담동 129-0번지 지상13,14층 </t>
  </si>
  <si>
    <t>서울특별시 강남구 도산대로 551 (청담동,지상13,14층)</t>
  </si>
  <si>
    <t>3220000-102-1977-20329</t>
  </si>
  <si>
    <t xml:space="preserve">서울특별시 강남구 논현동 164-1번지 </t>
  </si>
  <si>
    <t>서울특별시 강남구 강남대로 518 (논현동)</t>
  </si>
  <si>
    <t>3220000-102-1979-04393</t>
  </si>
  <si>
    <t xml:space="preserve">서울특별시 강남구 논현동 6-0번지 </t>
  </si>
  <si>
    <t>서울특별시 강남구 도산대로 144 (논현동)</t>
  </si>
  <si>
    <t>3220000-102-1985-04401</t>
  </si>
  <si>
    <t xml:space="preserve">서울특별시 강남구 청담동 129-7번지 </t>
  </si>
  <si>
    <t>3220000-102-2002-00031</t>
  </si>
  <si>
    <t xml:space="preserve">서울특별시 강남구 역삼동 832-7번지 </t>
  </si>
  <si>
    <t>서울특별시 강남구 강남대로 320 (역삼동)</t>
  </si>
  <si>
    <t>3220000-102-1999-20880</t>
  </si>
  <si>
    <t xml:space="preserve">서울특별시 강남구 역삼동 831-30번지 지하1층 </t>
  </si>
  <si>
    <t>3220000-102-2001-23858</t>
  </si>
  <si>
    <t xml:space="preserve">서울특별시 강남구 역삼동 719-33번지 </t>
  </si>
  <si>
    <t>3220000-102-2020-00003</t>
  </si>
  <si>
    <t xml:space="preserve">서울특별시 강남구 논현동 236-8 글래드라이브호텔 </t>
  </si>
  <si>
    <t>서울특별시 강남구 봉은사로 223, 글래드라이브호텔 지하1층 (논현동)</t>
  </si>
  <si>
    <t>3220000-102-2020-00004</t>
  </si>
  <si>
    <t>서울특별시 강남구 봉은사로 223, 글래드라이브호텔 지하2층 (논현동)</t>
  </si>
  <si>
    <t>3220000-102-2021-00006</t>
  </si>
  <si>
    <t xml:space="preserve">서울특별시 강남구 역삼동 825-29 지하1층 </t>
  </si>
  <si>
    <t>서울특별시 강남구 테헤란로2길 15 (역삼동)</t>
  </si>
  <si>
    <t>3220000-102-1978-04333</t>
  </si>
  <si>
    <t xml:space="preserve">서울특별시 강남구 청담동 41-3번지 </t>
  </si>
  <si>
    <t>3220000-102-1978-04307</t>
  </si>
  <si>
    <t xml:space="preserve">서울특별시 강남구 역삼동 649-7번지 </t>
  </si>
  <si>
    <t>3220000-102-1979-04237</t>
  </si>
  <si>
    <t xml:space="preserve">서울특별시 강남구 삼성동 1-3번지 </t>
  </si>
  <si>
    <t>3220000-102-1979-04403</t>
  </si>
  <si>
    <t>3220000-102-1979-04308</t>
  </si>
  <si>
    <t xml:space="preserve">서울특별시 강남구 역삼동 720-23번지 </t>
  </si>
  <si>
    <t>3220000-102-1999-04380</t>
  </si>
  <si>
    <t xml:space="preserve">서울특별시 강남구 청담동 78-1번지 </t>
  </si>
  <si>
    <t>3220000-102-1979-04309</t>
  </si>
  <si>
    <t xml:space="preserve">서울특별시 강남구 역삼동 689-10번지 </t>
  </si>
  <si>
    <t>서울특별시 강남구 언주로 528, 지하1층 (역삼동)</t>
  </si>
  <si>
    <t>3220000-102-1991-04300</t>
  </si>
  <si>
    <t xml:space="preserve">서울특별시 강남구 논현동 241-10번지 </t>
  </si>
  <si>
    <t>3220000-102-1979-18634</t>
  </si>
  <si>
    <t>3220000-102-1992-04225</t>
  </si>
  <si>
    <t xml:space="preserve">서울특별시 강남구 역삼동 825-30번지 지하1층 </t>
  </si>
  <si>
    <t>서울특별시 강남구 테헤란로2길 13 (역삼동,지하1층)</t>
  </si>
  <si>
    <t>3220000-102-1981-19135</t>
  </si>
  <si>
    <t>서울특별시 강남구 테헤란로63길 9, 지하1층 (삼성동)</t>
  </si>
  <si>
    <t>3220000-102-1991-04339</t>
  </si>
  <si>
    <t xml:space="preserve">서울특별시 강남구 논현동 106번지 </t>
  </si>
  <si>
    <t>서울특별시 강남구 언주로 720 (논현동)</t>
  </si>
  <si>
    <t>3220000-102-1991-04341</t>
  </si>
  <si>
    <t xml:space="preserve">서울특별시 강남구 역삼동 677-3번지 </t>
  </si>
  <si>
    <t>3220000-102-2014-00008</t>
  </si>
  <si>
    <t xml:space="preserve">서울특별시 강남구 역삼동 826-7 지하1층 </t>
  </si>
  <si>
    <t>서울특별시 강남구 테헤란로2길 32, 지하1층 (역삼동)</t>
  </si>
  <si>
    <t>3220000-102-1991-18867</t>
  </si>
  <si>
    <t xml:space="preserve">서울특별시 강남구 역삼동 677-18번지 </t>
  </si>
  <si>
    <t>3220000-102-1968-04226</t>
  </si>
  <si>
    <t xml:space="preserve">서울특별시 강남구 역삼동 826-36번지 </t>
  </si>
  <si>
    <t>3220000-102-1999-04391</t>
  </si>
  <si>
    <t xml:space="preserve">서울특별시 강남구 청담동 129-0번지 </t>
  </si>
  <si>
    <t>3220000-102-1992-04229</t>
  </si>
  <si>
    <t xml:space="preserve">서울특별시 강남구 역삼동 823-43번지 지하1층,지상1층 </t>
  </si>
  <si>
    <t>서울특별시 강남구 테헤란로10길 5 (역삼동,지하1층,지상1층)</t>
  </si>
  <si>
    <t>3220000-102-1992-04314</t>
  </si>
  <si>
    <t xml:space="preserve">서울특별시 강남구 역삼동 831-28번지 </t>
  </si>
  <si>
    <t>3220000-102-2001-23870</t>
  </si>
  <si>
    <t xml:space="preserve">서울특별시 강남구 청담동 129-11번지 지상16층 </t>
  </si>
  <si>
    <t>3220000-102-2001-23872</t>
  </si>
  <si>
    <t xml:space="preserve">서울특별시 강남구 역삼동 831-5번지 </t>
  </si>
  <si>
    <t>3220000-102-1975-04326</t>
  </si>
  <si>
    <t xml:space="preserve">서울특별시 강남구 역삼동 823-35번지 (94.7.20대치동911-8 에서이전) </t>
  </si>
  <si>
    <t>3220000-102-2016-00002</t>
  </si>
  <si>
    <t xml:space="preserve">서울특별시 강남구 삼성동 143-16 </t>
  </si>
  <si>
    <t>3220000-102-2016-00003</t>
  </si>
  <si>
    <t xml:space="preserve">서울특별시 강남구 역삼동 719-18번지 지상 4,5층 </t>
  </si>
  <si>
    <t>서울특별시 강남구 언주로87길 24, 지상4~5층 (역삼동)</t>
  </si>
  <si>
    <t>3220000-102-2016-00004</t>
  </si>
  <si>
    <t xml:space="preserve">서울특별시 강남구 역삼동 719-18번지 지상6층~지상10층 </t>
  </si>
  <si>
    <t>서울특별시 강남구 언주로87길 24, 지상6~10층 (역삼동)</t>
  </si>
  <si>
    <t>3220000-102-2016-00007</t>
  </si>
  <si>
    <t>서울특별시 강남구 봉은사로 223 (논현동, 지하1층)</t>
  </si>
  <si>
    <t>3220000-102-1976-04409</t>
  </si>
  <si>
    <t xml:space="preserve">서울특별시 강남구 청담동 91-2번지 .13.14.(논현동164에서97.3.3 이전) </t>
  </si>
  <si>
    <t>서울특별시 강남구 도산대로 419 (청담동,.13.14.(논현동164에서97.3.3 이전))</t>
  </si>
  <si>
    <t>3220000-102-1976-04402</t>
  </si>
  <si>
    <t xml:space="preserve">서울특별시 강남구 신사동 502-11번지 .12 </t>
  </si>
  <si>
    <t>3220000-102-1992-04379</t>
  </si>
  <si>
    <t xml:space="preserve">서울특별시 강남구 역삼동 680-0번지 </t>
  </si>
  <si>
    <t>3220000-102-1992-04227</t>
  </si>
  <si>
    <t xml:space="preserve">서울특별시 강남구 논현동 118-15번지 </t>
  </si>
  <si>
    <t>3220000-102-1993-04355</t>
  </si>
  <si>
    <t>3220000-102-2015-00002</t>
  </si>
  <si>
    <t xml:space="preserve">서울특별시 강남구 논현동 143-15번지 </t>
  </si>
  <si>
    <t>서울특별시 강남구 강남대로 524, 지하1층 (논현동)</t>
  </si>
  <si>
    <t>3220000-102-2015-00005</t>
  </si>
  <si>
    <t xml:space="preserve">서울특별시 강남구 역삼동 825-27 지하1층 </t>
  </si>
  <si>
    <t>서울특별시 강남구 테헤란로2길 21, 지하1층 (역삼동)</t>
  </si>
  <si>
    <t>3220000-102-1981-04332</t>
  </si>
  <si>
    <t xml:space="preserve">서울특별시 강남구 논현동 237-10번지 </t>
  </si>
  <si>
    <t>3220000-102-1993-19222</t>
  </si>
  <si>
    <t>서울특별시 강남구 봉은사로 125 (논현동)</t>
  </si>
  <si>
    <t>3220000-102-1994-04336</t>
  </si>
  <si>
    <t>3220000-102-1994-18836</t>
  </si>
  <si>
    <t>3220000-102-1998-04374</t>
  </si>
  <si>
    <t xml:space="preserve">서울특별시 강남구 역삼동 678-39번지 </t>
  </si>
  <si>
    <t>3220000-102-1998-04375</t>
  </si>
  <si>
    <t>3220000-102-2001-23028</t>
  </si>
  <si>
    <t xml:space="preserve">서울특별시 강남구 역삼동 823-2번지 </t>
  </si>
  <si>
    <t>3220000-102-2001-23086</t>
  </si>
  <si>
    <t xml:space="preserve">서울특별시 강남구 신사동 561-37번지 ,38 지하1층 </t>
  </si>
  <si>
    <t>3220000-102-2001-23094</t>
  </si>
  <si>
    <t xml:space="preserve">서울특별시 강남구 논현동 164-0번지 지상3? </t>
  </si>
  <si>
    <t>3220000-102-1983-04346</t>
  </si>
  <si>
    <t xml:space="preserve">서울특별시 강남구 역삼동 825-31번지 </t>
  </si>
  <si>
    <t>3220000-102-1983-04323</t>
  </si>
  <si>
    <t xml:space="preserve">서울특별시 강남구 논현동 164-18번지 지층 </t>
  </si>
  <si>
    <t>서울특별시 강남구 강남대로 520, 지층 (논현동)</t>
  </si>
  <si>
    <t>3220000-102-1983-04277</t>
  </si>
  <si>
    <t>3220000-102-2000-21683</t>
  </si>
  <si>
    <t xml:space="preserve">서울특별시 강남구 청담동 132-17번지 (지하1층) </t>
  </si>
  <si>
    <t>3220000-102-2000-21728</t>
  </si>
  <si>
    <t xml:space="preserve">서울특별시 강남구 삼성동 159-1번지 </t>
  </si>
  <si>
    <t>3220000-102-2000-21751</t>
  </si>
  <si>
    <t>3220000-102-1983-04408</t>
  </si>
  <si>
    <t xml:space="preserve">서울특별시 강남구 청담동 71-8번지 </t>
  </si>
  <si>
    <t>3220000-102-1983-04281</t>
  </si>
  <si>
    <t>서울특별시 강남구 테헤란로37길 13-5 (역삼동)</t>
  </si>
  <si>
    <t>3220000-102-1983-04295</t>
  </si>
  <si>
    <t xml:space="preserve">서울특별시 강남구 역삼동 705-27번지 </t>
  </si>
  <si>
    <t>3220000-102-1999-20883</t>
  </si>
  <si>
    <t xml:space="preserve">서울특별시 강남구 역삼동 604-6번지 </t>
  </si>
  <si>
    <t>3220000-102-2006-00007</t>
  </si>
  <si>
    <t xml:space="preserve">서울특별시 강남구 역삼동 735-29 지하1층 </t>
  </si>
  <si>
    <t>서울특별시 강남구 테헤란로16길 9 (역삼동,지하1층)</t>
  </si>
  <si>
    <t>3220000-102-2006-00009</t>
  </si>
  <si>
    <t xml:space="preserve">서울특별시 강남구 논현동 6번지 지상1층 </t>
  </si>
  <si>
    <t>서울특별시 강남구 도산대로 144 (논현동,지상1층)</t>
  </si>
  <si>
    <t>3220000-102-2007-00001</t>
  </si>
  <si>
    <t xml:space="preserve">서울특별시 강남구 신사동 630-19 지하1층 </t>
  </si>
  <si>
    <t>서울특별시 강남구 도산대로 307 (신사동,지하1층)</t>
  </si>
  <si>
    <t>3220000-102-1982-04358</t>
  </si>
  <si>
    <t xml:space="preserve">서울특별시 강남구 역삼동 678-32번지 </t>
  </si>
  <si>
    <t>3220000-102-1982-20328</t>
  </si>
  <si>
    <t xml:space="preserve">서울특별시 강남구 삼성동 112-5번지 </t>
  </si>
  <si>
    <t>3220000-102-2006-00002</t>
  </si>
  <si>
    <t xml:space="preserve">서울특별시 강남구 삼성동 141-33번지 지하2층 202호 </t>
  </si>
  <si>
    <t>3220000-102-2006-00003</t>
  </si>
  <si>
    <t xml:space="preserve">서울특별시 강남구 신사동 527-2번지 ,3 </t>
  </si>
  <si>
    <t>서울특별시 강남구 도산대로1길 83 (신사동,,3)</t>
  </si>
  <si>
    <t>3220000-102-2005-00002</t>
  </si>
  <si>
    <t xml:space="preserve">서울특별시 강남구 역삼동 677-20번지 (4.5.6층) </t>
  </si>
  <si>
    <t>3220000-102-2005-00003</t>
  </si>
  <si>
    <t xml:space="preserve">서울특별시 강남구 역삼동 677-20번지 (2,3층) </t>
  </si>
  <si>
    <t>서울특별시 강남구 테헤란로33길 6-7 (역삼동,(2,3층))</t>
  </si>
  <si>
    <t>3220000-102-1984-04273</t>
  </si>
  <si>
    <t xml:space="preserve">서울특별시 강남구 역삼동 703-2번지 </t>
  </si>
  <si>
    <t>3220000-102-1984-04274</t>
  </si>
  <si>
    <t>3220000-102-1984-04275</t>
  </si>
  <si>
    <t xml:space="preserve">서울특별시 강남구 역삼동 823-4번지 </t>
  </si>
  <si>
    <t>3220000-102-1984-20837</t>
  </si>
  <si>
    <t xml:space="preserve">서울특별시 강남구 역삼동 718-20번지 </t>
  </si>
  <si>
    <t>3220000-102-2004-00007</t>
  </si>
  <si>
    <t xml:space="preserve">서울특별시 강남구 삼성동 143-26번지 8,9,10층 </t>
  </si>
  <si>
    <t>3220000-102-2004-00010</t>
  </si>
  <si>
    <t>3220000-102-2004-00011</t>
  </si>
  <si>
    <t xml:space="preserve">서울특별시 강남구 역삼동 648-7번지 지하1층 </t>
  </si>
  <si>
    <t>서울특별시 강남구 강남대로94길 56-4 (역삼동,지하1층)</t>
  </si>
  <si>
    <t>3220000-102-2005-00001</t>
  </si>
  <si>
    <t xml:space="preserve">서울특별시 강남구 역삼동 718-14번지 지상1,2층 </t>
  </si>
  <si>
    <t>3220000-102-1999-04405</t>
  </si>
  <si>
    <t xml:space="preserve">서울특별시 강남구 역삼동 826-21번지 </t>
  </si>
  <si>
    <t>서울특별시 강남구 강남대로 364 (역삼동)</t>
  </si>
  <si>
    <t>3220000-102-1985-04360</t>
  </si>
  <si>
    <t xml:space="preserve">서울특별시 강남구 논현동 5-0번지 </t>
  </si>
  <si>
    <t>3220000-102-1985-04365</t>
  </si>
  <si>
    <t>3220000-102-2000-21551</t>
  </si>
  <si>
    <t xml:space="preserve">서울특별시 강남구 역삼동 831-34번지 지하1층 </t>
  </si>
  <si>
    <t>3220000-102-2000-21595</t>
  </si>
  <si>
    <t xml:space="preserve">서울특별시 강남구 삼성동 144-12 지하1층 </t>
  </si>
  <si>
    <t>서울특별시 강남구 삼성로91길 12 (삼성동,지하1층)</t>
  </si>
  <si>
    <t>3220000-102-1984-04287</t>
  </si>
  <si>
    <t xml:space="preserve">서울특별시 강남구 역삼동 826-7번지 </t>
  </si>
  <si>
    <t>서울특별시 강남구 테헤란로2길 32 (역삼동)</t>
  </si>
  <si>
    <t>3220000-102-2000-21753</t>
  </si>
  <si>
    <t xml:space="preserve">서울특별시 강남구 역삼동 838-6번지 </t>
  </si>
  <si>
    <t>3220000-102-2000-21810</t>
  </si>
  <si>
    <t xml:space="preserve">서울특별시 강남구 역삼동 605-3 지하1층 </t>
  </si>
  <si>
    <t>서울특별시 강남구 봉은사로 162 (역삼동,지하1층)</t>
  </si>
  <si>
    <t>3220000-102-2000-21830</t>
  </si>
  <si>
    <t xml:space="preserve">서울특별시 강남구 역삼동 678-9번지 지하1층 </t>
  </si>
  <si>
    <t>서울특별시 강남구 테헤란로33길 13-12 (역삼동,지하1층)</t>
  </si>
  <si>
    <t>3220000-102-2000-21835</t>
  </si>
  <si>
    <t xml:space="preserve">서울특별시 강남구 삼성동 143-11번지 지하1층 </t>
  </si>
  <si>
    <t>서울특별시 강남구 테헤란로77길 11-8 (삼성동,지하1층)</t>
  </si>
  <si>
    <t>3220000-102-2000-21846</t>
  </si>
  <si>
    <t xml:space="preserve">서울특별시 강남구 논현동 6-1번지 (1층) </t>
  </si>
  <si>
    <t>3220000-102-2000-21296</t>
  </si>
  <si>
    <t xml:space="preserve">서울특별시 강남구 청담동 41-0 지하1층 </t>
  </si>
  <si>
    <t>서울특별시 강남구 선릉로 704 (청담동,지하1층)</t>
  </si>
  <si>
    <t>3220000-102-2000-21341</t>
  </si>
  <si>
    <t xml:space="preserve">서울특별시 강남구 논현동 118-16번지 </t>
  </si>
  <si>
    <t>3220000-102-2000-21351</t>
  </si>
  <si>
    <t xml:space="preserve">서울특별시 강남구 역삼동 809-8번지 ,16 </t>
  </si>
  <si>
    <t>3220000-102-2000-21397</t>
  </si>
  <si>
    <t xml:space="preserve">서울특별시 강남구 청담동 53-7번지 </t>
  </si>
  <si>
    <t>3220000-102-2000-21406</t>
  </si>
  <si>
    <t xml:space="preserve">서울특별시 강남구 역삼동 703-0번지 </t>
  </si>
  <si>
    <t>3220000-102-2000-21410</t>
  </si>
  <si>
    <t xml:space="preserve">서울특별시 강남구 역삼동 677-21번지 지하2층 </t>
  </si>
  <si>
    <t>3220000-102-2000-21452</t>
  </si>
  <si>
    <t xml:space="preserve">서울특별시 강남구 삼성동 143-14번지 </t>
  </si>
  <si>
    <t>3220000-102-2000-21455</t>
  </si>
  <si>
    <t xml:space="preserve">서울특별시 강남구 역삼동 831-0번지 혜천빌딩지하1층1,2호 </t>
  </si>
  <si>
    <t>3220000-102-2000-21480</t>
  </si>
  <si>
    <t>3220000-102-2005-00005</t>
  </si>
  <si>
    <t xml:space="preserve">서울특별시 강남구 삼성동 142-29번지 지상6층 </t>
  </si>
  <si>
    <t>3220000-102-2005-00007</t>
  </si>
  <si>
    <t xml:space="preserve">서울특별시 강남구 역삼동 719-22 지상2,3층 </t>
  </si>
  <si>
    <t>서울특별시 강남구 테헤란로38길 8, 지상2층,3층 (역삼동)</t>
  </si>
  <si>
    <t>3220000-102-2005-00008</t>
  </si>
  <si>
    <t xml:space="preserve">서울특별시 강남구 역삼동 823-14번지 지하1층 </t>
  </si>
  <si>
    <t>서울특별시 강남구 테헤란로8길 21 (역삼동,지하1층)</t>
  </si>
  <si>
    <t>3220000-102-1983-04296</t>
  </si>
  <si>
    <t xml:space="preserve">서울특별시 강남구 역삼동 678-20번지 </t>
  </si>
  <si>
    <t>서울특별시 강남구 테헤란로29길 9 (역삼동)</t>
  </si>
  <si>
    <t>3220000-102-2005-00009</t>
  </si>
  <si>
    <t xml:space="preserve">서울특별시 강남구 역삼동 719-0 지하1층,지하2층 </t>
  </si>
  <si>
    <t>서울특별시 강남구 테헤란로 216 (역삼동,지하1층,지하2층)</t>
  </si>
  <si>
    <t>3220000-102-2005-00010</t>
  </si>
  <si>
    <t xml:space="preserve">서울특별시 강남구 대치동 890-28번지 지하1층 </t>
  </si>
  <si>
    <t>3220000-102-2005-00011</t>
  </si>
  <si>
    <t xml:space="preserve">서울특별시 강남구 삼성동 143-35번지 지상3층 </t>
  </si>
  <si>
    <t>3220000-102-2005-00013</t>
  </si>
  <si>
    <t xml:space="preserve">서울특별시 강남구 논현동 248-7번지 지하1층 </t>
  </si>
  <si>
    <t>3220000-102-2005-00014</t>
  </si>
  <si>
    <t xml:space="preserve">서울특별시 강남구 역삼동 602번지 지하1층, 지하2층 </t>
  </si>
  <si>
    <t>서울특별시 강남구 봉은사로 120 (역삼동,지하1층, 지하2층)</t>
  </si>
  <si>
    <t>3220000-102-1983-04297</t>
  </si>
  <si>
    <t xml:space="preserve">서울특별시 강남구 역삼동 678-29번지 </t>
  </si>
  <si>
    <t>서울특별시 강남구 테헤란로33길 5 (역삼동)</t>
  </si>
  <si>
    <t>3220000-102-1984-04270</t>
  </si>
  <si>
    <t xml:space="preserve">서울특별시 강남구 삼성동 144-23번지 </t>
  </si>
  <si>
    <t>서울특별시 강남구 테헤란로 439 (삼성동)</t>
  </si>
  <si>
    <t>3220000-102-1984-04271</t>
  </si>
  <si>
    <t xml:space="preserve">서울특별시 강남구 역삼동 736-17번지 </t>
  </si>
  <si>
    <t>3220000-102-1984-04230</t>
  </si>
  <si>
    <t xml:space="preserve">서울특별시 강남구 신사동 652-14번지 지하1층 </t>
  </si>
  <si>
    <t>3220000-102-1983-19612</t>
  </si>
  <si>
    <t xml:space="preserve">서울특별시 강남구 역삼동 677-11번지 지하2층 </t>
  </si>
  <si>
    <t>서울특별시 강남구 테헤란로33길 16, 지하2층 (역삼동)</t>
  </si>
  <si>
    <t>3220000-102-1984-04284</t>
  </si>
  <si>
    <t xml:space="preserve">서울특별시 강남구 역삼동 825-27번지 </t>
  </si>
  <si>
    <t>3220000-102-1984-04370</t>
  </si>
  <si>
    <t xml:space="preserve">서울특별시 강남구 논현동 164-11번지 </t>
  </si>
  <si>
    <t>3220000-102-1984-21148</t>
  </si>
  <si>
    <t xml:space="preserve">서울특별시 강남구 논현동 4-0번지 </t>
  </si>
  <si>
    <t>3220000-102-1986-04352</t>
  </si>
  <si>
    <t xml:space="preserve">서울특별시 강남구 삼성동 114-9번지 </t>
  </si>
  <si>
    <t>서울특별시 강남구 봉은사로 446 (삼성동)</t>
  </si>
  <si>
    <t>3220000-102-2000-22210</t>
  </si>
  <si>
    <t xml:space="preserve">서울특별시 강남구 신사동 502-7번지 지하1층 </t>
  </si>
  <si>
    <t>3220000-102-2000-22199</t>
  </si>
  <si>
    <t xml:space="preserve">서울특별시 강남구 논현동 152-0 지하1층(중층포함) </t>
  </si>
  <si>
    <t>서울특별시 강남구 논현로 645 (논현동,지하1층(중층포함))</t>
  </si>
  <si>
    <t>3220000-102-2009-00001</t>
  </si>
  <si>
    <t>서울특별시 강남구 언주로87길 24 (역삼동,지상 4,5층)</t>
  </si>
  <si>
    <t>3220000-102-2001-23851</t>
  </si>
  <si>
    <t xml:space="preserve">서울특별시 강남구 역삼동 688-3번지 지하2층 </t>
  </si>
  <si>
    <t>서울특별시 강남구 언주로 554 (역삼동,지하2층)</t>
  </si>
  <si>
    <t>3220000-102-2001-23854</t>
  </si>
  <si>
    <t xml:space="preserve">서울특별시 강남구 논현동 206-1번지 지상1층 </t>
  </si>
  <si>
    <t>서울특별시 강남구 봉은사로 155 (논현동,지상1층)</t>
  </si>
  <si>
    <t>3220000-102-2001-23855</t>
  </si>
  <si>
    <t>서울특별시 강남구 삼성동 143-11번지 지하동 1층호</t>
  </si>
  <si>
    <t>3220000-102-2001-23856</t>
  </si>
  <si>
    <t xml:space="preserve">서울특별시 강남구 역삼동 702-22번지 </t>
  </si>
  <si>
    <t>서울특별시 강남구 테헤란로 321 (역삼동)</t>
  </si>
  <si>
    <t>3220000-102-2011-00008</t>
  </si>
  <si>
    <t xml:space="preserve">서울특별시 강남구 삼성동 143-31 </t>
  </si>
  <si>
    <t>서울특별시 강남구 삼성로91길 30, 지하1층 (삼성동)</t>
  </si>
  <si>
    <t>3220000-102-2011-00009</t>
  </si>
  <si>
    <t>3220000-102-1987-04217</t>
  </si>
  <si>
    <t xml:space="preserve">서울특별시 강남구 역삼동 822-5번지 </t>
  </si>
  <si>
    <t>3220000-102-1987-04231</t>
  </si>
  <si>
    <t>3220000-102-1988-04338</t>
  </si>
  <si>
    <t xml:space="preserve">서울특별시 강남구 역삼동 823-30번지 </t>
  </si>
  <si>
    <t>3220000-102-2010-00001</t>
  </si>
  <si>
    <t xml:space="preserve">서울특별시 강남구 삼성동 143-27번지 지상3층 </t>
  </si>
  <si>
    <t>3220000-102-2010-00003</t>
  </si>
  <si>
    <t xml:space="preserve">서울특별시 강남구 역삼동 823-4번지 지상3층 </t>
  </si>
  <si>
    <t>서울특별시 강남구 테헤란로8길 11 (역삼동,지상3층)</t>
  </si>
  <si>
    <t>3220000-102-2010-00005</t>
  </si>
  <si>
    <t xml:space="preserve">서울특별시 강남구 삼성동 143-13번지 아라타워 지하1층 </t>
  </si>
  <si>
    <t>서울특별시 강남구 테헤란로77길 11-12 (삼성동,아라타워 지하1층)</t>
  </si>
  <si>
    <t>3220000-102-2011-00010</t>
  </si>
  <si>
    <t xml:space="preserve">서울특별시 강남구 청담동 129번지 지하1,2층 </t>
  </si>
  <si>
    <t>서울특별시 강남구 도산대로 551, 지하1,2층 (청담동)</t>
  </si>
  <si>
    <t>3220000-102-2011-00012</t>
  </si>
  <si>
    <t xml:space="preserve">서울특별시 강남구 삼성동 144-6번지 2층 </t>
  </si>
  <si>
    <t>서울특별시 강남구 테헤란로77길 12, 2층 (삼성동)</t>
  </si>
  <si>
    <t>3220000-102-1988-04241</t>
  </si>
  <si>
    <t xml:space="preserve">서울특별시 강남구 삼성동 77-9번지 ,10(하와이호텔지하) </t>
  </si>
  <si>
    <t>서울특별시 강남구 영동대로 611 (삼성동,,10(하와이호텔지하))</t>
  </si>
  <si>
    <t>3220000-102-1988-21675</t>
  </si>
  <si>
    <t xml:space="preserve">서울특별시 강남구 삼성동 141-9번지 </t>
  </si>
  <si>
    <t>3220000-102-1988-19814</t>
  </si>
  <si>
    <t xml:space="preserve">서울특별시 강남구 삼성동 45-10번지 </t>
  </si>
  <si>
    <t>3220000-102-1988-04373</t>
  </si>
  <si>
    <t>3220000-102-1987-04371</t>
  </si>
  <si>
    <t xml:space="preserve">서울특별시 강남구 논현동 151-30 지하1층 </t>
  </si>
  <si>
    <t>서울특별시 강남구 논현로 647, 지하1층 (논현동)</t>
  </si>
  <si>
    <t>3220000-102-1987-21916</t>
  </si>
  <si>
    <t xml:space="preserve">서울특별시 강남구 논현동 211-22번지 </t>
  </si>
  <si>
    <t>3220000-102-1987-04228</t>
  </si>
  <si>
    <t xml:space="preserve">서울특별시 강남구 역삼동 705-25번지 </t>
  </si>
  <si>
    <t>3220000-102-2010-00006</t>
  </si>
  <si>
    <t xml:space="preserve">서울특별시 강남구 삼성동 143-13번지 지상4.5층 </t>
  </si>
  <si>
    <t>서울특별시 강남구 테헤란로77길 11-12 (삼성동,지상4.5층)</t>
  </si>
  <si>
    <t>3220000-102-2010-00007</t>
  </si>
  <si>
    <t>서울특별시 강남구 봉은사로 223, 지하3층 (논현동)</t>
  </si>
  <si>
    <t>3220000-102-2010-00008</t>
  </si>
  <si>
    <t xml:space="preserve">서울특별시 강남구 역삼동 662-7번지 지상12층,13층 </t>
  </si>
  <si>
    <t>서울특별시 강남구 언주로 547, 지상12,13층 (역삼동)</t>
  </si>
  <si>
    <t>3220000-102-2010-00010</t>
  </si>
  <si>
    <t xml:space="preserve">서울특별시 강남구 역삼동 649-7번지 지하1층 </t>
  </si>
  <si>
    <t>서울특별시 강남구 강남대로92길 33, 지하1층 (역삼동)</t>
  </si>
  <si>
    <t>3220000-102-2000-22753</t>
  </si>
  <si>
    <t xml:space="preserve">서울특별시 강남구 역삼동 831-48번지 </t>
  </si>
  <si>
    <t>서울특별시 강남구 역삼로1길 14 (역삼동)</t>
  </si>
  <si>
    <t>3220000-102-2000-22772</t>
  </si>
  <si>
    <t xml:space="preserve">서울특별시 강남구 역삼동 601-1번지 </t>
  </si>
  <si>
    <t>서울특별시 강남구 봉은사로 110 (역삼동)</t>
  </si>
  <si>
    <t>3220000-102-1988-04345</t>
  </si>
  <si>
    <t xml:space="preserve">서울특별시 강남구 역삼동 823-5 </t>
  </si>
  <si>
    <t>서울특별시 강남구 테헤란로8길 11-3 (역삼동)</t>
  </si>
  <si>
    <t>3220000-102-1988-04210</t>
  </si>
  <si>
    <t xml:space="preserve">서울특별시 강남구 역삼동 705-16번지 </t>
  </si>
  <si>
    <t>3220000-102-1989-04242</t>
  </si>
  <si>
    <t xml:space="preserve">서울특별시 강남구 역삼동 824-38번지 </t>
  </si>
  <si>
    <t>3240000-102-2003-00004</t>
  </si>
  <si>
    <t xml:space="preserve">서울특별시 강동구 길동 458번지 </t>
  </si>
  <si>
    <t>서울특별시 강동구 진황도로 104 (길동)</t>
  </si>
  <si>
    <t>3220000-102-1989-04406</t>
  </si>
  <si>
    <t xml:space="preserve">서울특별시 강남구 역삼동 823-14번지 </t>
  </si>
  <si>
    <t>서울특별시 강남구 테헤란로8길 21, 지하1층 (역삼동)</t>
  </si>
  <si>
    <t>3220000-102-2001-23484</t>
  </si>
  <si>
    <t xml:space="preserve">서울특별시 강남구 역삼동 831-31번지 지하1층 </t>
  </si>
  <si>
    <t>서울특별시 강남구 역삼로1길 20 (역삼동,지하1층)</t>
  </si>
  <si>
    <t>3220000-102-2001-23489</t>
  </si>
  <si>
    <t xml:space="preserve">서울특별시 강남구 논현동 204-4 지상1층 </t>
  </si>
  <si>
    <t>서울특별시 강남구 봉은사로 135, 1층 (논현동)</t>
  </si>
  <si>
    <t>3220000-102-1987-04382</t>
  </si>
  <si>
    <t xml:space="preserve">서울특별시 강남구 논현동 242-19 지하1층 </t>
  </si>
  <si>
    <t>서울특별시 강남구 선릉로129길 7 (논현동,지하1층)</t>
  </si>
  <si>
    <t>3220000-102-1987-04369</t>
  </si>
  <si>
    <t xml:space="preserve">서울특별시 강남구 삼성동 141-31번지 지하1층 </t>
  </si>
  <si>
    <t>3220000-102-1987-04265</t>
  </si>
  <si>
    <t xml:space="preserve">서울특별시 강남구 역삼동 720-17번지 </t>
  </si>
  <si>
    <t>서울특별시 강남구 언주로87길 6 (역삼동)</t>
  </si>
  <si>
    <t>3220000-102-1987-04334</t>
  </si>
  <si>
    <t xml:space="preserve">서울특별시 강남구 역삼동 808-1번지 </t>
  </si>
  <si>
    <t>서울특별시 강남구 봉은사로 106 (역삼동)</t>
  </si>
  <si>
    <t>3220000-102-1987-04209</t>
  </si>
  <si>
    <t>3220000-102-2000-22691</t>
  </si>
  <si>
    <t xml:space="preserve">서울특별시 강남구 삼성동 114-11번지 </t>
  </si>
  <si>
    <t>서울특별시 강남구 봉은사로 448 (삼성동)</t>
  </si>
  <si>
    <t>3220000-102-1988-04385</t>
  </si>
  <si>
    <t xml:space="preserve">서울특별시 강남구 삼성동 159-8번지 </t>
  </si>
  <si>
    <t>3220000-102-1988-04354</t>
  </si>
  <si>
    <t>서울특별시 강남구 삼성동 159-1번지 인터콘티넨    1호</t>
  </si>
  <si>
    <t>3220000-102-2002-00014</t>
  </si>
  <si>
    <t>서울특별시 강남구 삼성동 142-19 지하2층</t>
  </si>
  <si>
    <t>서울특별시 강남구 선릉로100길 56 (삼성동,지하2층)</t>
  </si>
  <si>
    <t>3220000-102-1988-04390</t>
  </si>
  <si>
    <t>3220000-102-1988-04331</t>
  </si>
  <si>
    <t xml:space="preserve">서울특별시 강남구 청담동 52-3번지 지하1층,지하3층 </t>
  </si>
  <si>
    <t>서울특별시 강남구 도산대로 536, 지하1층,지하3층 (청담동)</t>
  </si>
  <si>
    <t>3220000-102-2000-22775</t>
  </si>
  <si>
    <t>3220000-102-2000-22909</t>
  </si>
  <si>
    <t xml:space="preserve">서울특별시 강남구 논현동 202-9번지 </t>
  </si>
  <si>
    <t>서울특별시 강남구 봉은사로 123 (논현동)</t>
  </si>
  <si>
    <t>3220000-102-2000-22873</t>
  </si>
  <si>
    <t xml:space="preserve">서울특별시 강남구 대치동 891-50번지 지하1층 </t>
  </si>
  <si>
    <t>3220000-102-2000-22879</t>
  </si>
  <si>
    <t xml:space="preserve">서울특별시 강남구 역삼동 689-3번지 </t>
  </si>
  <si>
    <t>3220000-102-2000-22903</t>
  </si>
  <si>
    <t>서울특별시 강남구 논현동 118-17번지 118동 17호</t>
  </si>
  <si>
    <t>3220000-102-2000-22908</t>
  </si>
  <si>
    <t xml:space="preserve">서울특별시 강남구 삼성동 112-5번지 지상2층 </t>
  </si>
  <si>
    <t>서울특별시 강남구 봉은사로 410 (삼성동,지상2층)</t>
  </si>
  <si>
    <t>3220000-102-2001-23501</t>
  </si>
  <si>
    <t xml:space="preserve">서울특별시 강남구 역삼동 605-17번지 </t>
  </si>
  <si>
    <t>서울특별시 강남구 봉은사로 170, 지상2층 (역삼동)</t>
  </si>
  <si>
    <t>3220000-102-2001-23659</t>
  </si>
  <si>
    <t>3220000-102-2008-00002</t>
  </si>
  <si>
    <t xml:space="preserve">서울특별시 강남구 대치동 891-50번지 </t>
  </si>
  <si>
    <t>서울특별시 강남구 테헤란로78길 14-15 (대치동)</t>
  </si>
  <si>
    <t>3220000-102-2008-00004</t>
  </si>
  <si>
    <t xml:space="preserve">서울특별시 강남구 역삼동 838-4번지 지하1층 </t>
  </si>
  <si>
    <t>3220000-102-2008-00005</t>
  </si>
  <si>
    <t>3220000-102-2008-00006</t>
  </si>
  <si>
    <t xml:space="preserve">서울특별시 강남구 역삼동 822-5번지 지상2층 </t>
  </si>
  <si>
    <t>서울특별시 강남구 테헤란로 111 (역삼동,지상2층)</t>
  </si>
  <si>
    <t>3220000-102-1989-04233</t>
  </si>
  <si>
    <t xml:space="preserve">서울특별시 강남구 신사동 629-26번지 </t>
  </si>
  <si>
    <t>서울특별시 강남구 도산대로 237 (신사동)</t>
  </si>
  <si>
    <t>3220000-102-1983-04286</t>
  </si>
  <si>
    <t>3220000-102-1983-04292</t>
  </si>
  <si>
    <t xml:space="preserve">서울특별시 강남구 역삼동 603-5번지 </t>
  </si>
  <si>
    <t>3220000-102-1983-04293</t>
  </si>
  <si>
    <t>3220000-102-1983-04294</t>
  </si>
  <si>
    <t xml:space="preserve">서울특별시 강남구 역삼동 825-22번지 ,23 </t>
  </si>
  <si>
    <t>3220000-102-1980-20867</t>
  </si>
  <si>
    <t xml:space="preserve">서울특별시 강남구 역삼동 662-14번지 </t>
  </si>
  <si>
    <t>3220000-102-1980-04313</t>
  </si>
  <si>
    <t xml:space="preserve">서울특별시 강남구 삼성동 49-10번지 </t>
  </si>
  <si>
    <t>3220000-102-1980-04299</t>
  </si>
  <si>
    <t xml:space="preserve">서울특별시 강남구 역삼동 601-0번지 </t>
  </si>
  <si>
    <t>서울특별시 강남구 봉은사로 108 (역삼동)</t>
  </si>
  <si>
    <t>3220000-102-1981-04330</t>
  </si>
  <si>
    <t xml:space="preserve">서울특별시 강남구 논현동 201-7번지 </t>
  </si>
  <si>
    <t>3220000-102-1981-04303</t>
  </si>
  <si>
    <t xml:space="preserve">서울특별시 강남구 논현동 199번지 </t>
  </si>
  <si>
    <t>3220000-102-2000-22479</t>
  </si>
  <si>
    <t>3220000-102-2000-22530</t>
  </si>
  <si>
    <t>3220000-102-2000-22544</t>
  </si>
  <si>
    <t xml:space="preserve">서울특별시 강남구 역삼동 651-2번지 지하1층 </t>
  </si>
  <si>
    <t>3220000-102-2000-22567</t>
  </si>
  <si>
    <t xml:space="preserve">서울특별시 강남구 역삼동 824-29 </t>
  </si>
  <si>
    <t>서울특별시 강남구 테헤란로8길 22 (역삼동)</t>
  </si>
  <si>
    <t>3220000-102-1988-04239</t>
  </si>
  <si>
    <t xml:space="preserve">서울특별시 강남구 역삼동 678-19번지 </t>
  </si>
  <si>
    <t>3220000-102-2001-22992</t>
  </si>
  <si>
    <t>서울특별시 강남구 논현동 84-0 송암빌딩</t>
  </si>
  <si>
    <t>서울특별시 강남구 언주로 709 (논현동,송암빌딩)</t>
  </si>
  <si>
    <t>3220000-102-2011-00015</t>
  </si>
  <si>
    <t xml:space="preserve">서울특별시 강남구 삼성동 143-27 지상3층 </t>
  </si>
  <si>
    <t>서울특별시 강남구 테헤란로77길 9, 지상3층 (삼성동)</t>
  </si>
  <si>
    <t>3220000-102-1988-04388</t>
  </si>
  <si>
    <t xml:space="preserve">서울특별시 강남구 역삼동 676-0번지 </t>
  </si>
  <si>
    <t>서울특별시 강남구 테헤란로 237 (역삼동)</t>
  </si>
  <si>
    <t>3220000-102-1988-04240</t>
  </si>
  <si>
    <t xml:space="preserve">서울특별시 강남구 역삼동 718-13번지 </t>
  </si>
  <si>
    <t>서울특별시 강남구 테헤란로28길 3-6 (역삼동)</t>
  </si>
  <si>
    <t>3220000-102-1988-04376</t>
  </si>
  <si>
    <t>3220000-102-1999-20169</t>
  </si>
  <si>
    <t xml:space="preserve">서울특별시 강남구 역삼동 689-8번지 지하1층 </t>
  </si>
  <si>
    <t>3220000-102-2007-00009</t>
  </si>
  <si>
    <t>3220000-102-2000-22578</t>
  </si>
  <si>
    <t xml:space="preserve">서울특별시 강남구 삼성동 143-8번지 지하1층 </t>
  </si>
  <si>
    <t>서울특별시 강남구 테헤란로77길 17 (삼성동,지하1층)</t>
  </si>
  <si>
    <t>3220000-102-2000-22599</t>
  </si>
  <si>
    <t xml:space="preserve">서울특별시 강남구 역삼동 677-21번지 지상4층 </t>
  </si>
  <si>
    <t>3220000-102-2000-22600</t>
  </si>
  <si>
    <t xml:space="preserve">서울특별시 강남구 신사동 587-1 </t>
  </si>
  <si>
    <t>서울특별시 강남구 도산대로 205 (신사동)</t>
  </si>
  <si>
    <t>3220000-102-2000-22607</t>
  </si>
  <si>
    <t xml:space="preserve">서울특별시 강남구 역삼동 689-7번지 </t>
  </si>
  <si>
    <t>서울특별시 강남구 언주로 534 (역삼동)</t>
  </si>
  <si>
    <t>3220000-102-2000-22626</t>
  </si>
  <si>
    <t xml:space="preserve">서울특별시 강남구 역삼동 651-5번지 지하1층 </t>
  </si>
  <si>
    <t>서울특별시 강남구 봉은사로 218, 지하1층 (역삼동)</t>
  </si>
  <si>
    <t>3220000-102-1988-04377</t>
  </si>
  <si>
    <t>3220000-102-1988-04378</t>
  </si>
  <si>
    <t>3220000-102-2001-22948</t>
  </si>
  <si>
    <t>서울특별시 강남구 봉은사로 176, 지상3층 (역삼동)</t>
  </si>
  <si>
    <t>3220000-102-2001-22957</t>
  </si>
  <si>
    <t xml:space="preserve">서울특별시 강남구 신사동 630-19번지 지하1층 </t>
  </si>
  <si>
    <t>3220000-102-1979-04340</t>
  </si>
  <si>
    <t xml:space="preserve">서울특별시 강남구 논현동 165-8번지 </t>
  </si>
  <si>
    <t>3220000-102-1979-21336</t>
  </si>
  <si>
    <t xml:space="preserve">서울특별시 강남구 청담동 129-5번지 </t>
  </si>
  <si>
    <t>3220000-102-1985-04315</t>
  </si>
  <si>
    <t>3220000-102-2012-00005</t>
  </si>
  <si>
    <t xml:space="preserve">서울특별시 강남구 역삼동 648-17번지 1층 </t>
  </si>
  <si>
    <t>서울특별시 강남구 테헤란로 129, 지상1층 (역삼동)</t>
  </si>
  <si>
    <t>3220000-102-2013-00001</t>
  </si>
  <si>
    <t xml:space="preserve">서울특별시 강남구 논현동 18-2번지 </t>
  </si>
  <si>
    <t>서울특별시 강남구 강남대로 588, 지하1,2층 (논현동, 렉스관광호텔)</t>
  </si>
  <si>
    <t>3220000-102-2013-00003</t>
  </si>
  <si>
    <t xml:space="preserve">서울특별시 강남구 논현동 98 지하1층 </t>
  </si>
  <si>
    <t>서울특별시 강남구 언주로 730, 지하1층 (논현동)</t>
  </si>
  <si>
    <t>3220000-102-2013-00004</t>
  </si>
  <si>
    <t>서울특별시 강남구 역삼동 720-4번지 지하1층호</t>
  </si>
  <si>
    <t>서울특별시 강남구 테헤란로 238, 지하1층호 (역삼동)</t>
  </si>
  <si>
    <t>3220000-102-2014-00001</t>
  </si>
  <si>
    <t>서울특별시 강남구 신사동 587-1번지 지하1층호</t>
  </si>
  <si>
    <t>3220000-102-2014-00002</t>
  </si>
  <si>
    <t>서울특별시 강남구 봉은사로 410, 지하1,2층 (삼성동)</t>
  </si>
  <si>
    <t>3220000-102-2014-00003</t>
  </si>
  <si>
    <t>서울특별시 강남구 삼성동 141-33 지하2층호</t>
  </si>
  <si>
    <t>서울특별시 강남구 테헤란로 403, 지하2층 (삼성동)</t>
  </si>
  <si>
    <t>3220000-102-2007-00013</t>
  </si>
  <si>
    <t xml:space="preserve">서울특별시 강남구 역삼동 603-5번지 지하1층 </t>
  </si>
  <si>
    <t>서울특별시 강남구 봉은사로 136, 지하1층 (역삼동)</t>
  </si>
  <si>
    <t>3220000-102-2000-22633</t>
  </si>
  <si>
    <t xml:space="preserve">서울특별시 강남구 신사동 563-17번지 </t>
  </si>
  <si>
    <t>서울특별시 강남구 도산대로 165 (신사동)</t>
  </si>
  <si>
    <t>3220000-102-2000-22634</t>
  </si>
  <si>
    <t xml:space="preserve">서울특별시 강남구 역삼동 682-20번지 지하1층 </t>
  </si>
  <si>
    <t>3220000-102-2003-00005</t>
  </si>
  <si>
    <t xml:space="preserve">서울특별시 강남구 역삼동 678-27번지 지상1,2층 </t>
  </si>
  <si>
    <t>서울특별시 강남구 테헤란로27길 8-14, 지상1,2층 (역삼동)</t>
  </si>
  <si>
    <t>3220000-102-2003-00006</t>
  </si>
  <si>
    <t xml:space="preserve">서울특별시 강남구 대치동 891-59번지 지하1층 </t>
  </si>
  <si>
    <t>서울특별시 강남구 테헤란로78길 14-8 (대치동,지하1층)</t>
  </si>
  <si>
    <t>3220000-102-2003-00007</t>
  </si>
  <si>
    <t xml:space="preserve">서울특별시 강남구 삼성동 144-12 지상 1층 </t>
  </si>
  <si>
    <t>서울특별시 강남구 삼성로91길 12 (삼성동,지상 1층)</t>
  </si>
  <si>
    <t>3220000-102-2003-00008</t>
  </si>
  <si>
    <t xml:space="preserve">서울특별시 강남구 역삼동 705-22 </t>
  </si>
  <si>
    <t>서울특별시 강남구 선릉로 511, 지하1층 (역삼동, 화신빌딩)</t>
  </si>
  <si>
    <t>3220000-102-2003-00009</t>
  </si>
  <si>
    <t xml:space="preserve">서울특별시 강남구 역삼동 831-24번지 지하1층 </t>
  </si>
  <si>
    <t>3220000-102-1985-04282</t>
  </si>
  <si>
    <t xml:space="preserve">서울특별시 강남구 삼성동 44-18번지 </t>
  </si>
  <si>
    <t>서울특별시 강남구 봉은사로 451 (삼성동)</t>
  </si>
  <si>
    <t>3220000-102-1986-04318</t>
  </si>
  <si>
    <t>서울특별시 강남구 강남대로 524 (논현동)</t>
  </si>
  <si>
    <t>3220000-102-1986-04254</t>
  </si>
  <si>
    <t xml:space="preserve">서울특별시 강남구 삼성동 143-27번지 </t>
  </si>
  <si>
    <t>서울특별시 강남구 테헤란로77길 9 (삼성동)</t>
  </si>
  <si>
    <t>3230000-102-1999-03618</t>
  </si>
  <si>
    <t xml:space="preserve">서울특별시 송파구 잠실동 179-1번지 ,4 </t>
  </si>
  <si>
    <t>3220000-102-2011-00016</t>
  </si>
  <si>
    <t xml:space="preserve">서울특별시 강남구 삼성동 143-35 </t>
  </si>
  <si>
    <t>서울특별시 강남구 테헤란로69길 8, 지상2층, 지상3층 (삼성동)</t>
  </si>
  <si>
    <t>3230000-102-2001-16516</t>
  </si>
  <si>
    <t xml:space="preserve">서울특별시 송파구 방이동 39-11번지 </t>
  </si>
  <si>
    <t>3220000-102-1986-04319</t>
  </si>
  <si>
    <t xml:space="preserve">서울특별시 강남구 역삼동 677-22번지 지상1층,지하1층 </t>
  </si>
  <si>
    <t>서울특별시 강남구 테헤란로33길 8, 지상1층,지하1층 (역삼동)</t>
  </si>
  <si>
    <t>3220000-102-1986-04255</t>
  </si>
  <si>
    <t xml:space="preserve">서울특별시 강남구 논현동 204-6 </t>
  </si>
  <si>
    <t>서울특별시 강남구 봉은사로 131 (논현동)</t>
  </si>
  <si>
    <t>3220000-102-2008-00015</t>
  </si>
  <si>
    <t xml:space="preserve">서울특별시 강남구 삼성동 144-6번지 지상1,2층  지하1,2층 </t>
  </si>
  <si>
    <t>3220000-102-2008-00016</t>
  </si>
  <si>
    <t xml:space="preserve">서울특별시 강남구 역삼동 662-7번지 </t>
  </si>
  <si>
    <t>서울특별시 강남구 언주로 547, 지하1층 (역삼동)</t>
  </si>
  <si>
    <t>3220000-102-2008-00017</t>
  </si>
  <si>
    <t xml:space="preserve">서울특별시 강남구 역삼동 662-7번지 지하2,3층 </t>
  </si>
  <si>
    <t>서울특별시 강남구 언주로 547 (역삼동,지하2,3층)</t>
  </si>
  <si>
    <t>3220000-102-2008-00018</t>
  </si>
  <si>
    <t xml:space="preserve">서울특별시 강남구 역삼동 678-15번지 지하1층 </t>
  </si>
  <si>
    <t>3220000-102-2008-00019</t>
  </si>
  <si>
    <t xml:space="preserve">서울특별시 강남구 논현동 151-30번지 지상1층 </t>
  </si>
  <si>
    <t>3220000-102-2008-00021</t>
  </si>
  <si>
    <t xml:space="preserve">서울특별시 강남구 역삼동 719-18번지 지상 6~10층 </t>
  </si>
  <si>
    <t>서울특별시 강남구 언주로87길 24 (역삼동,지상 6~10층)</t>
  </si>
  <si>
    <t>3220000-102-1999-20915</t>
  </si>
  <si>
    <t xml:space="preserve">서울특별시 강남구 청담동 125-14번지 </t>
  </si>
  <si>
    <t>서울특별시 강남구 도산대로 537 (청담동)</t>
  </si>
  <si>
    <t>3220000-102-1999-20936</t>
  </si>
  <si>
    <t xml:space="preserve">서울특별시 강남구 논현동 200-0번지 지하1층 </t>
  </si>
  <si>
    <t>서울특별시 강남구 강남대로 478 (논현동,지하1층)</t>
  </si>
  <si>
    <t>3220000-102-1999-20985</t>
  </si>
  <si>
    <t xml:space="preserve">서울특별시 강남구 역삼동 688번지 </t>
  </si>
  <si>
    <t>3220000-102-1999-20999</t>
  </si>
  <si>
    <t xml:space="preserve">서울특별시 강남구 역삼동 688-0번지 </t>
  </si>
  <si>
    <t>3220000-102-2014-00004</t>
  </si>
  <si>
    <t>서울특별시 강남구 삼성동 112-5번지 지하1중33호</t>
  </si>
  <si>
    <t>서울특별시 강남구 봉은사로 410, 지하1,중3,3층 (삼성동)</t>
  </si>
  <si>
    <t>3220000-102-2003-00011</t>
  </si>
  <si>
    <t xml:space="preserve">서울특별시 강남구 삼성동 142-16번지 지하1층,지상1층 </t>
  </si>
  <si>
    <t>서울특별시 강남구 선릉로92길 39, 지하1층,지상1층 (삼성동)</t>
  </si>
  <si>
    <t>3220000-102-2003-00012</t>
  </si>
  <si>
    <t xml:space="preserve">서울특별시 강남구 역삼동 679-4번지 지하1층 </t>
  </si>
  <si>
    <t>3220000-102-2003-00013</t>
  </si>
  <si>
    <t xml:space="preserve">서울특별시 강남구 역삼동 720-18 지하1층 </t>
  </si>
  <si>
    <t>서울특별시 강남구 언주로89길 5 (역삼동,지하1층)</t>
  </si>
  <si>
    <t>3220000-102-1986-18624</t>
  </si>
  <si>
    <t xml:space="preserve">서울특별시 강남구 신사동 501-0번지 </t>
  </si>
  <si>
    <t>3220000-102-1986-04256</t>
  </si>
  <si>
    <t>3220000-102-1986-19240</t>
  </si>
  <si>
    <t xml:space="preserve">서울특별시 강남구 논현동 201-12번지 </t>
  </si>
  <si>
    <t>서울특별시 강남구 봉은사로 111 (논현동)</t>
  </si>
  <si>
    <t>3220000-102-1986-04257</t>
  </si>
  <si>
    <t>3220000-102-2019-00003</t>
  </si>
  <si>
    <t xml:space="preserve">서울특별시 강남구 역삼동 719-18 시티타워 </t>
  </si>
  <si>
    <t>서울특별시 강남구 언주로87길 24, 시티타워 5층 (역삼동)</t>
  </si>
  <si>
    <t>3220000-102-2019-00004</t>
  </si>
  <si>
    <t xml:space="preserve">서울특별시 강남구 역삼동 736-9 1층 </t>
  </si>
  <si>
    <t>서울특별시 강남구 논현로87길 16, 1층 (역삼동)</t>
  </si>
  <si>
    <t>3220000-102-2019-00006</t>
  </si>
  <si>
    <t xml:space="preserve">서울특별시 강남구 청담동 129-11 세신빌딩, 16층 </t>
  </si>
  <si>
    <t>서울특별시 강남구 도산대로 541, 세신빌딩 16층 (청담동)</t>
  </si>
  <si>
    <t>3220000-102-2019-00011</t>
  </si>
  <si>
    <t xml:space="preserve">서울특별시 강남구 신사동 587-1 선샤인호텔 </t>
  </si>
  <si>
    <t>서울특별시 강남구 도산대로 205, 선샤인호텔 지하1층,지하중층 (신사동)</t>
  </si>
  <si>
    <t>3220000-102-2019-00012</t>
  </si>
  <si>
    <t xml:space="preserve">서울특별시 강남구 삼성동 143-26 에이스 </t>
  </si>
  <si>
    <t>서울특별시 강남구 테헤란로77길 11-3, 에이스 지상 8,9,10층 (삼성동)</t>
  </si>
  <si>
    <t>3220000-102-2009-00014</t>
  </si>
  <si>
    <t>서울특별시 강남구 테헤란로33길 13-3 (역삼동,지하1층)</t>
  </si>
  <si>
    <t>3220000-102-1988-04214</t>
  </si>
  <si>
    <t xml:space="preserve">서울특별시 강남구 역삼동 832-23번지 </t>
  </si>
  <si>
    <t>서울특별시 강남구 역삼로2길 5 (역삼동)</t>
  </si>
  <si>
    <t>3220000-102-1988-04301</t>
  </si>
  <si>
    <t>3220000-102-1989-04410</t>
  </si>
  <si>
    <t xml:space="preserve">서울특별시 강남구 역삼동 824-46번지 외22.23.24 </t>
  </si>
  <si>
    <t>3220000-102-1989-04243</t>
  </si>
  <si>
    <t xml:space="preserve">서울특별시 강남구 역삼동 678-21번지 </t>
  </si>
  <si>
    <t>3220000-102-1989-04244</t>
  </si>
  <si>
    <t xml:space="preserve">서울특별시 강남구 역삼동 648-12번지 </t>
  </si>
  <si>
    <t>서울특별시 강남구 강남대로94길 58 (역삼동)</t>
  </si>
  <si>
    <t>3220000-102-1989-04245</t>
  </si>
  <si>
    <t xml:space="preserve">서울특별시 강남구 역삼동 678-6번지 </t>
  </si>
  <si>
    <t>서울특별시 강남구 테헤란로33길 15 (역삼동)</t>
  </si>
  <si>
    <t>3220000-102-1989-04357</t>
  </si>
  <si>
    <t>3220000-102-1989-04246</t>
  </si>
  <si>
    <t>3220000-102-1980-04353</t>
  </si>
  <si>
    <t xml:space="preserve">서울특별시 강남구 삼성동 49-9 </t>
  </si>
  <si>
    <t>서울특별시 강남구 봉은사로 463 (삼성동)</t>
  </si>
  <si>
    <t>3220000-102-1980-04312</t>
  </si>
  <si>
    <t xml:space="preserve">서울특별시 강남구 역삼동 825-22번지 </t>
  </si>
  <si>
    <t>서울특별시 강남구 테헤란로4길 14 (역삼동)</t>
  </si>
  <si>
    <t>3220000-102-2001-23857</t>
  </si>
  <si>
    <t>서울특별시 강남구 역삼동 688-2 지하1층</t>
  </si>
  <si>
    <t>서울특별시 강남구 언주로 556, 지하1층 (역삼동)</t>
  </si>
  <si>
    <t>3220000-102-1990-04234</t>
  </si>
  <si>
    <t xml:space="preserve">서울특별시 강남구 역삼동 705-14 </t>
  </si>
  <si>
    <t>서울특별시 강남구 선릉로93길 11 (역삼동)</t>
  </si>
  <si>
    <t>3220000-102-1991-04216</t>
  </si>
  <si>
    <t xml:space="preserve">서울특별시 강남구 역삼동 824-8 </t>
  </si>
  <si>
    <t>서울특별시 강남구 테헤란로6길 14 (역삼동)</t>
  </si>
  <si>
    <t>3220000-102-2011-00003</t>
  </si>
  <si>
    <t xml:space="preserve">서울특별시 강남구 역삼동 677-20 지하1층, 지하2층 </t>
  </si>
  <si>
    <t>서울특별시 강남구 테헤란로33길 6-7 (역삼동,지하1층, 지하2층)</t>
  </si>
  <si>
    <t>3220000-102-2011-00005</t>
  </si>
  <si>
    <t xml:space="preserve">서울특별시 강남구 역삼동 838-4 지하1층 </t>
  </si>
  <si>
    <t>서울특별시 강남구 강남대로62길 12 (역삼동,지하1층)</t>
  </si>
  <si>
    <t>3220000-102-2001-23869</t>
  </si>
  <si>
    <t>서울특별시 강남구 역삼동 831-27</t>
  </si>
  <si>
    <t>서울특별시 강남구 강남대로78길 18 (역삼동)</t>
  </si>
  <si>
    <t>3220000-102-2012-00004</t>
  </si>
  <si>
    <t xml:space="preserve">서울특별시 강남구 삼성동 143-27 지상4층 </t>
  </si>
  <si>
    <t>서울특별시 강남구 테헤란로77길 9, 4층 (삼성동)</t>
  </si>
  <si>
    <t>3220000-102-2007-00005</t>
  </si>
  <si>
    <t xml:space="preserve">서울특별시 강남구 삼성동 143 </t>
  </si>
  <si>
    <t>서울특별시 강남구 테헤란로69길 16 (삼성동)</t>
  </si>
  <si>
    <t>3220000-102-2007-00006</t>
  </si>
  <si>
    <t xml:space="preserve">서울특별시 강남구 역삼동 736-35 지하1,2층 </t>
  </si>
  <si>
    <t>서울특별시 강남구 테헤란로22길 10 (역삼동,지하1,2층)</t>
  </si>
  <si>
    <t>3220000-102-2018-00004</t>
  </si>
  <si>
    <t>서울특별시 강남구 역삼동 824-7 4층</t>
  </si>
  <si>
    <t>서울특별시 강남구 테헤란로6길 10, 4층 (역삼동)</t>
  </si>
  <si>
    <t>3220000-102-2018-00003</t>
  </si>
  <si>
    <t>서울특별시 강남구 테헤란로77길 12, 1층 (삼성동)</t>
  </si>
  <si>
    <t>3220000-102-2021-00001</t>
  </si>
  <si>
    <t>서울특별시 강남구 삼성동 142-29</t>
  </si>
  <si>
    <t>서울특별시 강남구 선릉로92길 38, 제이빌딩 9~10층 (삼성동)</t>
  </si>
  <si>
    <t>3220000-102-2020-00005</t>
  </si>
  <si>
    <t xml:space="preserve">서울특별시 강남구 역삼동 677-22 </t>
  </si>
  <si>
    <t>서울특별시 강남구 테헤란로33길 8, 지하1층, 지상1층 (역삼동)</t>
  </si>
  <si>
    <t>3220000-102-2020-00006</t>
  </si>
  <si>
    <t>서울특별시 강남구 테헤란로33길 8, 지상2층 (역삼동)</t>
  </si>
  <si>
    <t>3220000-102-2023-00002</t>
  </si>
  <si>
    <t>서울특별시 강남구 논현동 74 PATIO7</t>
  </si>
  <si>
    <t>서울특별시 강남구 논현로 736, PATIO7 지하1,2층 (논현동)</t>
  </si>
  <si>
    <t>3220000-102-2018-00006</t>
  </si>
  <si>
    <t>서울특별시 강남구 역삼동 678-24 늘봄빌딩</t>
  </si>
  <si>
    <t>서울특별시 강남구 테헤란로27길 8-4, 늘봄빌딩 2층 (역삼동)</t>
  </si>
  <si>
    <t>3220000-102-2020-00008</t>
  </si>
  <si>
    <t xml:space="preserve">서울특별시 강남구 역삼동 823-30 라인빌딩 </t>
  </si>
  <si>
    <t>서울특별시 강남구 테헤란로14길 16, 라인빌딩 지하1층 (역삼동)</t>
  </si>
  <si>
    <t>3220000-102-2020-00007</t>
  </si>
  <si>
    <t>서울특별시 강남구 역삼동 651-5 KH타워</t>
  </si>
  <si>
    <t>서울특별시 강남구 봉은사로 218, KH타워 지하1층 (역삼동)</t>
  </si>
  <si>
    <t>3220000-102-2023-00001</t>
  </si>
  <si>
    <t xml:space="preserve">서울특별시 강남구 역삼동 719 신웅타워 </t>
  </si>
  <si>
    <t>서울특별시 강남구 테헤란로 216, 신웅타워 지하1,2층 (역삼동)</t>
  </si>
  <si>
    <t>3220000-102-2021-00003</t>
  </si>
  <si>
    <t xml:space="preserve">서울특별시 강남구 역삼동 735-29 </t>
  </si>
  <si>
    <t>서울특별시 강남구 테헤란로16길 9 (역삼동)</t>
  </si>
  <si>
    <t>3220000-102-2021-00002</t>
  </si>
  <si>
    <t xml:space="preserve">서울특별시 강남구 신사동 587-1 선샤인호텔 지하1층,지하중층 </t>
  </si>
  <si>
    <t>3220000-102-2001-23871</t>
  </si>
  <si>
    <t>서울특별시 강남구 논현동 204-4 지상2층</t>
  </si>
  <si>
    <t>서울특별시 강남구 봉은사로 135 (논현동,지상2층)</t>
  </si>
  <si>
    <t>3220000-102-1976-04321</t>
  </si>
  <si>
    <t>서울특별시 강남구 신사동 514-15</t>
  </si>
  <si>
    <t>서울특별시 강남구 도산대로 123 (신사동)</t>
  </si>
  <si>
    <t>3220000-102-1993-18935</t>
  </si>
  <si>
    <t xml:space="preserve">서울특별시 강남구 역삼동 718-14 </t>
  </si>
  <si>
    <t>서울특별시 강남구 언주로87길 48 (역삼동)</t>
  </si>
  <si>
    <t>3220000-102-2014-00009</t>
  </si>
  <si>
    <t xml:space="preserve">서울특별시 강남구 대치동 891-59 지하1층 </t>
  </si>
  <si>
    <t>서울특별시 강남구 테헤란로78길 14-8, 지하1층 (대치동)</t>
  </si>
  <si>
    <t>3220000-102-2015-00001</t>
  </si>
  <si>
    <t xml:space="preserve">서울특별시 강남구 역삼동 826-9 지하1층 </t>
  </si>
  <si>
    <t>서울특별시 강남구 테헤란로2길 36, 지하1층 (역삼동)</t>
  </si>
  <si>
    <t>3220000-102-2016-00001</t>
  </si>
  <si>
    <t xml:space="preserve">서울특별시 강남구 삼성동 142-23 지하1층 </t>
  </si>
  <si>
    <t>서울특별시 강남구 선릉로92길 43, 지하1층 (삼성동)</t>
  </si>
  <si>
    <t>3220000-102-2016-00005</t>
  </si>
  <si>
    <t>서울특별시 강남구 테헤란로6길 14, 지하1층 (역삼동)</t>
  </si>
  <si>
    <t>3220000-102-2002-00015</t>
  </si>
  <si>
    <t xml:space="preserve">서울특별시 강남구 삼성동 142-19 지하1층 </t>
  </si>
  <si>
    <t>서울특별시 강남구 선릉로100길 56 (삼성동,지하1층)</t>
  </si>
  <si>
    <t>3220000-102-2002-00016</t>
  </si>
  <si>
    <t xml:space="preserve">서울특별시 강남구 삼성동 143 지하1층 </t>
  </si>
  <si>
    <t>서울특별시 강남구 테헤란로69길 16, 지하1층 (삼성동)</t>
  </si>
  <si>
    <t>3220000-102-1999-04259</t>
  </si>
  <si>
    <t xml:space="preserve">서울특별시 강남구 역삼동 718-9 </t>
  </si>
  <si>
    <t>서울특별시 강남구 테헤란로28길 5 (역삼동)</t>
  </si>
  <si>
    <t>3220000-102-2016-00010</t>
  </si>
  <si>
    <t>서울특별시 강남구 논현로87길 41 (역삼동)</t>
  </si>
  <si>
    <t>3220000-102-1987-18669</t>
  </si>
  <si>
    <t xml:space="preserve">서울특별시 강남구 삼성동 142-46 지하1층 </t>
  </si>
  <si>
    <t>서울특별시 강남구 테헤란로 421, 지하1층 (삼성동)</t>
  </si>
  <si>
    <t>3220000-102-1987-04263</t>
  </si>
  <si>
    <t xml:space="preserve">서울특별시 강남구 역삼동 678-16번지 </t>
  </si>
  <si>
    <t>서울특별시 강남구 테헤란로33길 13 (역삼동)</t>
  </si>
  <si>
    <t>3220000-102-1999-04236</t>
  </si>
  <si>
    <t xml:space="preserve">서울특별시 강남구 신사동 664-7 </t>
  </si>
  <si>
    <t>서울특별시 강남구 선릉로 843 (신사동)</t>
  </si>
  <si>
    <t>3220000-102-1999-04215</t>
  </si>
  <si>
    <t xml:space="preserve">서울특별시 강남구 역삼동 705-16 </t>
  </si>
  <si>
    <t>서울특별시 강남구 선릉로93길 7 (역삼동)</t>
  </si>
  <si>
    <t>3220000-102-2000-22200</t>
  </si>
  <si>
    <t xml:space="preserve">서울특별시 강남구 논현동 152 엘리에나호텔 </t>
  </si>
  <si>
    <t>서울특별시 강남구 논현로 645, 엘리에나호텔 B1층~B2층 (논현동)</t>
  </si>
  <si>
    <t>3220000-102-2000-22434</t>
  </si>
  <si>
    <t xml:space="preserve">서울특별시 강남구 논현동 241-16 </t>
  </si>
  <si>
    <t>서울특별시 강남구 학동로50길 7 (논현동)</t>
  </si>
  <si>
    <t>3220000-102-2000-22466</t>
  </si>
  <si>
    <t xml:space="preserve">서울특별시 강남구 역삼동 822-5 지하 1층 </t>
  </si>
  <si>
    <t>서울특별시 강남구 테헤란로 111 (역삼동,지하 1층)</t>
  </si>
  <si>
    <t>3220000-102-2008-00001</t>
  </si>
  <si>
    <t xml:space="preserve">서울특별시 강남구 역삼동 678-24 지하1,2층 </t>
  </si>
  <si>
    <t>서울특별시 강남구 테헤란로27길 8-4 (역삼동,지하1,2층)</t>
  </si>
  <si>
    <t>3220000-102-2003-00016</t>
  </si>
  <si>
    <t xml:space="preserve">서울특별시 강남구 삼성동 141-20 지상4,5,6층 </t>
  </si>
  <si>
    <t>서울특별시 강남구 선릉로92길 6 (삼성동,지상4,5,6층)</t>
  </si>
  <si>
    <t>3220000-102-2003-00020</t>
  </si>
  <si>
    <t xml:space="preserve">서울특별시 강남구 역삼동 677-13 지하1,2층 </t>
  </si>
  <si>
    <t>서울특별시 강남구 테헤란로37길 13-13, 지하1,2층 (역삼동)</t>
  </si>
  <si>
    <t>3220000-102-2009-00005</t>
  </si>
  <si>
    <t xml:space="preserve">서울특별시 강남구 역삼동 735-32 지하2층 </t>
  </si>
  <si>
    <t>서울특별시 강남구 테헤란로20길 10 (역삼동,지하2층)</t>
  </si>
  <si>
    <t>3220000-102-2000-22343</t>
  </si>
  <si>
    <t>서울특별시 강남구 역삼동 826-39</t>
  </si>
  <si>
    <t>서울특별시 강남구 테헤란로4길 38-5, 지하1층 (역삼동)</t>
  </si>
  <si>
    <t>3220000-102-2002-00024</t>
  </si>
  <si>
    <t>서울특별시 강남구 역삼동 824-12 지하1층</t>
  </si>
  <si>
    <t>서울특별시 강남구 테헤란로4길 15, 지하1층 (역삼동)</t>
  </si>
  <si>
    <t>3220000-102-2009-00008</t>
  </si>
  <si>
    <t xml:space="preserve">서울특별시 강남구 역삼동 736-35 지상2층 </t>
  </si>
  <si>
    <t>서울특별시 강남구 테헤란로22길 10 (역삼동,지상2층)</t>
  </si>
  <si>
    <t>3220000-102-2009-00012</t>
  </si>
  <si>
    <t xml:space="preserve">서울특별시 강남구 역삼동 736-17번지 지하1층 </t>
  </si>
  <si>
    <t>서울특별시 강남구 테헤란로20길 9 (역삼동,지하1층)</t>
  </si>
  <si>
    <t>3220000-102-1987-04267</t>
  </si>
  <si>
    <t xml:space="preserve">서울특별시 강남구 삼성동 45-10 지하1층 </t>
  </si>
  <si>
    <t>서울특별시 강남구 봉은사로 459, 지하1층 (삼성동, 자이언트관광호텔)</t>
  </si>
  <si>
    <t>3220000-102-2009-00016</t>
  </si>
  <si>
    <t xml:space="preserve">서울특별시 강남구 삼성동 143-27 지상2층 </t>
  </si>
  <si>
    <t>서울특별시 강남구 테헤란로77길 9, 지상2층 (삼성동)</t>
  </si>
  <si>
    <t>3220000-102-1989-19184</t>
  </si>
  <si>
    <t xml:space="preserve">서울특별시 강남구 신사동 502-5 </t>
  </si>
  <si>
    <t>서울특별시 강남구 강남대로 626 (신사동)</t>
  </si>
  <si>
    <t>3220000-102-2002-00010</t>
  </si>
  <si>
    <t xml:space="preserve">서울특별시 강남구 역삼동 705-6 </t>
  </si>
  <si>
    <t>서울특별시 강남구 선릉로93길 17 (역삼동)</t>
  </si>
  <si>
    <t>3220000-102-2015-00008</t>
  </si>
  <si>
    <t xml:space="preserve">서울특별시 강남구 논현동 248-7 지하1층 </t>
  </si>
  <si>
    <t>서울특별시 강남구 언주로 640, 지하1층 (논현동)</t>
  </si>
  <si>
    <t>3220000-102-1982-04372</t>
  </si>
  <si>
    <t xml:space="preserve">서울특별시 강남구 역삼동 604-11 </t>
  </si>
  <si>
    <t>서울특별시 강남구 봉은사로 150 (역삼동)</t>
  </si>
  <si>
    <t>3220000-102-1982-04306</t>
  </si>
  <si>
    <t xml:space="preserve">서울특별시 강남구 논현동 237-5 </t>
  </si>
  <si>
    <t>서울특별시 강남구 언주로 605 (논현동)</t>
  </si>
  <si>
    <t>3220000-102-1999-20830</t>
  </si>
  <si>
    <t xml:space="preserve">서울특별시 강남구 논현동 2-15 .16 지하1층 </t>
  </si>
  <si>
    <t>서울특별시 강남구 도산대로 114 (논현동,.16 지하1층)</t>
  </si>
  <si>
    <t>3220000-102-1985-04276</t>
  </si>
  <si>
    <t xml:space="preserve">서울특별시 강남구 역삼동 831-42 오성빌딩 </t>
  </si>
  <si>
    <t>서울특별시 강남구 역삼로 113, 오성빌딩 2층 (역삼동)</t>
  </si>
  <si>
    <t>3220000-102-1985-20007</t>
  </si>
  <si>
    <t xml:space="preserve">서울특별시 강남구 역삼동 831-38 </t>
  </si>
  <si>
    <t>서울특별시 강남구 역삼로3길 11, 지하1층 (역삼동)</t>
  </si>
  <si>
    <t>3220000-102-2002-00030</t>
  </si>
  <si>
    <t>서울특별시 강남구 역삼동 832-7 지하1층</t>
  </si>
  <si>
    <t>서울특별시 강남구 강남대로 320 (역삼동,지하1층)</t>
  </si>
  <si>
    <t>3220000-102-2002-00009</t>
  </si>
  <si>
    <t>서울특별시 강남구 역삼동 831-0 지하1층</t>
  </si>
  <si>
    <t>서울특별시 강남구 강남대로 354 (역삼동,지하1층)</t>
  </si>
  <si>
    <t>3220000-102-1999-21048</t>
  </si>
  <si>
    <t>서울특별시 강남구 신사동 588-19</t>
  </si>
  <si>
    <t>서울특별시 강남구 도산대로 221 (신사동)</t>
  </si>
  <si>
    <t>3220000-102-1989-04251</t>
  </si>
  <si>
    <t>서울특별시 강남구 역삼동 702-24 지하</t>
  </si>
  <si>
    <t>서울특별시 강남구 선릉로93길 31 (역삼동,지하)</t>
  </si>
  <si>
    <t>3220000-102-2002-00007</t>
  </si>
  <si>
    <t>서울특별시 강남구 역삼동 649-10 지하1층</t>
  </si>
  <si>
    <t>서울특별시 강남구 테헤란로 115 (역삼동,지하1층)</t>
  </si>
  <si>
    <t>3220000-102-2000-22128</t>
  </si>
  <si>
    <t xml:space="preserve">서울특별시 강남구 역삼동 662-17번지 지하2층 </t>
  </si>
  <si>
    <t>서울특별시 강남구 언주로 531 (역삼동,지하2층)</t>
  </si>
  <si>
    <t>3220000-102-1989-18651</t>
  </si>
  <si>
    <t xml:space="preserve">서울특별시 강남구 논현동 248-7 </t>
  </si>
  <si>
    <t>서울특별시 강남구 언주로 640 (논현동)</t>
  </si>
  <si>
    <t>3220000-102-2001-23865</t>
  </si>
  <si>
    <t xml:space="preserve">서울특별시 강남구 신사동 588-21 지하1층 </t>
  </si>
  <si>
    <t>서울특별시 강남구 도산대로 217 (신사동,지하1층)</t>
  </si>
  <si>
    <t>3220000-102-2010-00013</t>
  </si>
  <si>
    <t xml:space="preserve">서울특별시 강남구 역삼동 736-16 지하1층 </t>
  </si>
  <si>
    <t>서울특별시 강남구 테헤란로20길 5 (역삼동,지하1층)</t>
  </si>
  <si>
    <t>3220000-102-2010-00014</t>
  </si>
  <si>
    <t>서울특별시 강남구 테헤란로69길 8, 지상4층,지상5층 (삼성동)</t>
  </si>
  <si>
    <t>3220000-102-1999-20135</t>
  </si>
  <si>
    <t xml:space="preserve">서울특별시 강남구 역삼동 705-8 지하1층 </t>
  </si>
  <si>
    <t>서울특별시 강남구 선릉로91길 14 (역삼동,지하1층)</t>
  </si>
  <si>
    <t>3220000-102-2013-00002</t>
  </si>
  <si>
    <t xml:space="preserve">서울특별시 강남구 역삼동 701-1 지하2층 </t>
  </si>
  <si>
    <t>서울특별시 강남구 언주로 506, 지하2층 (역삼동)</t>
  </si>
  <si>
    <t>3220000-102-2007-00010</t>
  </si>
  <si>
    <t xml:space="preserve">서울특별시 강남구 논현동 237-10 지하1층 </t>
  </si>
  <si>
    <t>서울특별시 강남구 언주로 603 (논현동,지하1층)</t>
  </si>
  <si>
    <t>3220000-102-2007-00011</t>
  </si>
  <si>
    <t xml:space="preserve">서울특별시 강남구 청담동 53-7 지상2층 </t>
  </si>
  <si>
    <t>서울특별시 강남구 영동대로 737 (청담동,지상2층)</t>
  </si>
  <si>
    <t>3220000-102-2007-00012</t>
  </si>
  <si>
    <t xml:space="preserve">서울특별시 강남구 청담동 132-17 </t>
  </si>
  <si>
    <t>서울특별시 강남구 영동대로 712, 지하1층 (청담동)</t>
  </si>
  <si>
    <t>3220000-102-2003-00010</t>
  </si>
  <si>
    <t xml:space="preserve">서울특별시 강남구 역삼동 703-0번지 지하1층 </t>
  </si>
  <si>
    <t>서울특별시 강남구 언주로98길 28 (역삼동,지하1층)</t>
  </si>
  <si>
    <t>3220000-102-1986-04329</t>
  </si>
  <si>
    <t xml:space="preserve">서울특별시 강남구 신사동 561-30 </t>
  </si>
  <si>
    <t>서울특별시 강남구 도산대로 159 (신사동)</t>
  </si>
  <si>
    <t>3220000-102-1987-04264</t>
  </si>
  <si>
    <t xml:space="preserve">서울특별시 강남구 논현동 6-3 지층 </t>
  </si>
  <si>
    <t>서울특별시 강남구 도산대로 152, 지층 (논현동)</t>
  </si>
  <si>
    <t>3220000-102-1987-20326</t>
  </si>
  <si>
    <t xml:space="preserve">서울특별시 강남구 역삼동 831-26 </t>
  </si>
  <si>
    <t>서울특별시 강남구 강남대로78길 16, 지하1층 (역삼동)</t>
  </si>
  <si>
    <t>3220000-102-2001-23864</t>
  </si>
  <si>
    <t>서울특별시 강남구 청담동 125-16</t>
  </si>
  <si>
    <t>서울특별시 강남구 도산대로 535, 지상1층 (청담동)</t>
  </si>
  <si>
    <t>3220000-102-2000-22585</t>
  </si>
  <si>
    <t>서울특별시 강남구 역삼동 702-25</t>
  </si>
  <si>
    <t>서울특별시 강남구 선릉로93길 29 (역삼동)</t>
  </si>
  <si>
    <t>3220000-102-2000-21909</t>
  </si>
  <si>
    <t>서울특별시 강남구 삼성동 44-10 지하1층</t>
  </si>
  <si>
    <t>서울특별시 강남구 봉은사로 437 (삼성동,지하1층)</t>
  </si>
  <si>
    <t>3220000-102-1999-20891</t>
  </si>
  <si>
    <t xml:space="preserve">서울특별시 강남구 청담동 125-16번지 </t>
  </si>
  <si>
    <t>서울특별시 강남구 도산대로 535 (청담동)</t>
  </si>
  <si>
    <t>3220000-102-1999-20896</t>
  </si>
  <si>
    <t xml:space="preserve">서울특별시 강남구 논현동 200-6 지하1층 </t>
  </si>
  <si>
    <t>서울특별시 강남구 봉은사로 105 (논현동,지하1층)</t>
  </si>
  <si>
    <t>3220000-102-1999-20955</t>
  </si>
  <si>
    <t xml:space="preserve">서울특별시 강남구 청담동 124-5 양원빌딩 </t>
  </si>
  <si>
    <t>서울특별시 강남구 도산대로 513, 양원빌딩 지하1층 102호 (청담동)</t>
  </si>
  <si>
    <t>3220000-102-1999-20986</t>
  </si>
  <si>
    <t xml:space="preserve">서울특별시 강남구 역삼동 678-8번지 </t>
  </si>
  <si>
    <t>서울특별시 강남구 테헤란로33길 13-8 (역삼동)</t>
  </si>
  <si>
    <t>3220000-102-2003-00014</t>
  </si>
  <si>
    <t xml:space="preserve">서울특별시 강남구 삼성동 141-20 지상7층 </t>
  </si>
  <si>
    <t>서울특별시 강남구 선릉로92길 6, 지상7층 (삼성동)</t>
  </si>
  <si>
    <t>3220000-102-1986-20327</t>
  </si>
  <si>
    <t xml:space="preserve">서울특별시 강남구 역삼동 822-5 지하2층 </t>
  </si>
  <si>
    <t>서울특별시 강남구 테헤란로 111 (역삼동,지하2층)</t>
  </si>
  <si>
    <t>3220000-102-2001-23850</t>
  </si>
  <si>
    <t>서울특별시 강남구 논현동 84 지하1층</t>
  </si>
  <si>
    <t>서울특별시 강남구 언주로 709 (논현동,지하1층)</t>
  </si>
  <si>
    <t>3220000-102-1999-21004</t>
  </si>
  <si>
    <t xml:space="preserve">서울특별시 강남구 논현동 7-1 지하2층 </t>
  </si>
  <si>
    <t>서울특별시 강남구 도산대로 166, 지하2층 (논현동)</t>
  </si>
  <si>
    <t>3220000-102-2001-23853</t>
  </si>
  <si>
    <t xml:space="preserve">서울특별시 강남구 역삼동 650-1 </t>
  </si>
  <si>
    <t>서울특별시 강남구 봉은사로 204, 지하1,2층 (역삼동)</t>
  </si>
  <si>
    <t>3220000-102-1987-04396</t>
  </si>
  <si>
    <t xml:space="preserve">서울특별시 강남구 논현동 151-30번지 </t>
  </si>
  <si>
    <t>서울특별시 강남구 논현로 647 (논현동)</t>
  </si>
  <si>
    <t>3220000-102-2010-00002</t>
  </si>
  <si>
    <t xml:space="preserve">서울특별시 강남구 역삼동 718-14 지상1,2층 </t>
  </si>
  <si>
    <t>서울특별시 강남구 언주로87길 48 (역삼동,지상1,2층)</t>
  </si>
  <si>
    <t>3220000-102-2010-00004</t>
  </si>
  <si>
    <t xml:space="preserve">서울특별시 강남구 역삼동 718-16 </t>
  </si>
  <si>
    <t>서울특별시 강남구 테헤란로28길 3-10, 지하1층 (역삼동)</t>
  </si>
  <si>
    <t>3220000-102-2011-00011</t>
  </si>
  <si>
    <t xml:space="preserve">서울특별시 강남구 삼성동 141-20 지상2,3층 </t>
  </si>
  <si>
    <t>서울특별시 강남구 선릉로92길 6 (삼성동,지상2,3층)</t>
  </si>
  <si>
    <t>3220000-102-2008-00020</t>
  </si>
  <si>
    <t>서울특별시 강남구 대치동 890-61 지상3층</t>
  </si>
  <si>
    <t>서울특별시 강남구 테헤란로68길 13 (대치동,지상3층)</t>
  </si>
  <si>
    <t>3220000-102-2008-00014</t>
  </si>
  <si>
    <t>서울특별시 강남구 삼성동 142-29 지상2,3층</t>
  </si>
  <si>
    <t>서울특별시 강남구 선릉로92길 38 (삼성동,지상2,3층)</t>
  </si>
  <si>
    <t>3220000-102-2001-23852</t>
  </si>
  <si>
    <t>서울특별시 강남구 청담동 125-12 지하1층</t>
  </si>
  <si>
    <t>서울특별시 강남구 도산대로 539, 지하1층 (청담동)</t>
  </si>
  <si>
    <t>3220000-102-2010-00009</t>
  </si>
  <si>
    <t xml:space="preserve">서울특별시 강남구 삼성동 143-29 지하1층 </t>
  </si>
  <si>
    <t>서울특별시 강남구 삼성로91길 24 (삼성동,지하1층)</t>
  </si>
  <si>
    <t>3220000-102-2000-22662</t>
  </si>
  <si>
    <t xml:space="preserve">서울특별시 강남구 역삼동 678-32 </t>
  </si>
  <si>
    <t>서울특별시 강남구 테헤란로29길 5 (역삼동)</t>
  </si>
  <si>
    <t>3220000-102-2000-22794</t>
  </si>
  <si>
    <t xml:space="preserve">서울특별시 강남구 청담동 98-6 </t>
  </si>
  <si>
    <t>서울특별시 강남구 도산대로 455, 지하1층 (청담동)</t>
  </si>
  <si>
    <t>3220000-102-2000-22852</t>
  </si>
  <si>
    <t xml:space="preserve">서울특별시 강남구 삼성동 144-21 </t>
  </si>
  <si>
    <t>서울특별시 강남구 테헤란로77길 6 (삼성동)</t>
  </si>
  <si>
    <t>3220000-102-2008-00003</t>
  </si>
  <si>
    <t xml:space="preserve">서울특별시 강남구 역삼동 678-33 지하1층, 지하2층 </t>
  </si>
  <si>
    <t>서울특별시 강남구 테헤란로33길 3-12 (역삼동,지하1층, 지하2층)</t>
  </si>
  <si>
    <t>3220000-102-1983-04324</t>
  </si>
  <si>
    <t xml:space="preserve">서울특별시 강남구 삼성동 45-10 지상1~2층 </t>
  </si>
  <si>
    <t>서울특별시 강남구 봉은사로 459, 지상1~2층 (삼성동)</t>
  </si>
  <si>
    <t>3220000-102-2000-21697</t>
  </si>
  <si>
    <t xml:space="preserve">서울특별시 강남구 논현동 192-21 오헤븐 빌딩 </t>
  </si>
  <si>
    <t>서울특별시 강남구 봉은사로 177, 오헤븐 빌딩 지하1층 (논현동)</t>
  </si>
  <si>
    <t>3220000-102-2004-00009</t>
  </si>
  <si>
    <t xml:space="preserve">서울특별시 강남구 역삼동 678-17 지하1층 </t>
  </si>
  <si>
    <t>서울특별시 강남구 테헤란로33길 11 (역삼동,지하1층)</t>
  </si>
  <si>
    <t>3220000-102-2000-22850</t>
  </si>
  <si>
    <t>서울특별시 강남구 논현동 211-20</t>
  </si>
  <si>
    <t>서울특별시 강남구 언주로 647 (논현동)</t>
  </si>
  <si>
    <t>3220000-102-2001-23585</t>
  </si>
  <si>
    <t>서울특별시 강남구 삼성동 37-15</t>
  </si>
  <si>
    <t>서울특별시 강남구 봉은사로 411 (삼성동)</t>
  </si>
  <si>
    <t>3220000-102-2005-00004</t>
  </si>
  <si>
    <t>서울특별시 강남구 삼성동 142-29 지상 4,5,6층</t>
  </si>
  <si>
    <t>서울특별시 강남구 선릉로92길 38 (삼성동,지상 4,5,6층)</t>
  </si>
  <si>
    <t>3220000-102-2006-00004</t>
  </si>
  <si>
    <t>서울특별시 강남구 삼성동 143-12 지하1층</t>
  </si>
  <si>
    <t>서울특별시 강남구 테헤란로77길 11-10 (삼성동,지하1층)</t>
  </si>
  <si>
    <t>3220000-102-2006-00011</t>
  </si>
  <si>
    <t>서울특별시 강남구 대치동 890-61 지상4층</t>
  </si>
  <si>
    <t>서울특별시 강남구 테헤란로68길 13 (대치동,지상4층)</t>
  </si>
  <si>
    <t>3220000-102-2006-00006</t>
  </si>
  <si>
    <t>서울특별시 강남구 대치동 890-33 지하1층, 지하2층</t>
  </si>
  <si>
    <t>서울특별시 강남구 테헤란로68길 11 (대치동,지하1층, 지하2층)</t>
  </si>
  <si>
    <t>3220000-102-2006-00010</t>
  </si>
  <si>
    <t>서울특별시 강남구 역삼동 832-7 지하2층</t>
  </si>
  <si>
    <t>서울특별시 강남구 강남대로 320 (역삼동,지하2층)</t>
  </si>
  <si>
    <t>3220000-102-2006-00008</t>
  </si>
  <si>
    <t>서울특별시 강남구 역삼동 653</t>
  </si>
  <si>
    <t>서울특별시 강남구 봉은사로 230, 지하1층 (역삼동, 봉암빌딩)</t>
  </si>
  <si>
    <t>3220000-102-2004-00012</t>
  </si>
  <si>
    <t xml:space="preserve">서울특별시 강남구 역삼동 678-31 지하1층, 지상1,2,3,4층 </t>
  </si>
  <si>
    <t>서울특별시 강남구 테헤란로29길 6 (역삼동,지하1층, 지상1,2,3,4층)</t>
  </si>
  <si>
    <t>3220000-102-2004-00013</t>
  </si>
  <si>
    <t xml:space="preserve">서울특별시 강남구 역삼동 678-21 지상1,2,3층 </t>
  </si>
  <si>
    <t>서울특별시 강남구 테헤란로27길 10, 지상1,2,3,층 (역삼동)</t>
  </si>
  <si>
    <t>3220000-102-2000-21783</t>
  </si>
  <si>
    <t xml:space="preserve">서울특별시 강남구 신사동 539-10 </t>
  </si>
  <si>
    <t>서울특별시 강남구 도산대로 149 (신사동)</t>
  </si>
  <si>
    <t>3220000-102-2000-21790</t>
  </si>
  <si>
    <t>서울특별시 강남구 봉은사로 135 (논현동,지상1층)</t>
  </si>
  <si>
    <t>3220000-102-2000-21508</t>
  </si>
  <si>
    <t xml:space="preserve">서울특별시 강남구 역삼동 601-18 </t>
  </si>
  <si>
    <t>서울특별시 강남구 봉은사로 116 (역삼동)</t>
  </si>
  <si>
    <t>3220000-102-2005-00012</t>
  </si>
  <si>
    <t>서울특별시 강남구 언주로 640 (논현동,지하1층)</t>
  </si>
  <si>
    <t>3220000-102-2005-00015</t>
  </si>
  <si>
    <t xml:space="preserve">서울특별시 강남구 청담동 53-7 신관 지하1층 </t>
  </si>
  <si>
    <t>서울특별시 강남구 영동대로 737 (청담동,신관 지하1층)</t>
  </si>
  <si>
    <t>3220000-102-2000-21167</t>
  </si>
  <si>
    <t xml:space="preserve">서울특별시 강남구 역삼동 826-8번지 지하1층 </t>
  </si>
  <si>
    <t>서울특별시 강남구 테헤란로2길 34 (역삼동,지하1층)</t>
  </si>
  <si>
    <t>3220000-102-2006-00001</t>
  </si>
  <si>
    <t xml:space="preserve">서울특별시 강남구 역삼동 718-14 지상 3~5층 </t>
  </si>
  <si>
    <t>서울특별시 강남구 언주로87길 48 (역삼동,지상 3~5층)</t>
  </si>
  <si>
    <t>3220000-102-1983-04349</t>
  </si>
  <si>
    <t xml:space="preserve">서울특별시 강남구 논현동 242-53번지 가헌빌딩 </t>
  </si>
  <si>
    <t>서울특별시 강남구 선릉로 659, 가헌빌딩 지하1층 (논현동)</t>
  </si>
  <si>
    <t>3220000-102-2021-00004</t>
  </si>
  <si>
    <t xml:space="preserve">서울특별시 강남구 신사동 587-1 선샤인호텔 별관 1층 </t>
  </si>
  <si>
    <t>서울특별시 강남구 도산대로 205, 선샤인호텔 별관1층 (신사동)</t>
  </si>
  <si>
    <t>3220000-102-2021-00005</t>
  </si>
  <si>
    <t xml:space="preserve">서울특별시 강남구 신사동 587-1 선샤인호텔 별관2,3층 </t>
  </si>
  <si>
    <t>서울특별시 강남구 도산대로 205, 선샤인호텔 별관2,3층 (신사동)</t>
  </si>
  <si>
    <t>3220000-102-2022-00002</t>
  </si>
  <si>
    <t xml:space="preserve">서울특별시 강남구 논현동 118-17 세한빌딩 지하1층 </t>
  </si>
  <si>
    <t>서울특별시 강남구 학동로 339, 세한빌딩 지하1층 (논현동)</t>
  </si>
  <si>
    <t>3220000-102-1984-04272</t>
  </si>
  <si>
    <t>서울특별시 강남구 역삼동 702-16 ,17</t>
  </si>
  <si>
    <t>서울특별시 강남구 테헤란로47길 8 (역삼동,,17)</t>
  </si>
  <si>
    <t>3220000-102-1984-04298</t>
  </si>
  <si>
    <t>서울특별시 강남구 역삼동 831-42 오성빌딩</t>
  </si>
  <si>
    <t>서울특별시 강남구 역삼로 113, 오성빌딩 지하1층 (역삼동)</t>
  </si>
  <si>
    <t>3220000-102-2005-00006</t>
  </si>
  <si>
    <t>서울특별시 강남구 삼성동 142-29 7~8층</t>
  </si>
  <si>
    <t>서울특별시 강남구 선릉로92길 38 (삼성동,7~8층)</t>
  </si>
  <si>
    <t>3220000-102-2020-00001</t>
  </si>
  <si>
    <t>서울특별시 강남구 역삼동 736-35 프리즘빌딩</t>
  </si>
  <si>
    <t>서울특별시 강남구 테헤란로22길 10, 프리즘빌딩 지상3,4층 (역삼동)</t>
  </si>
  <si>
    <t>3220000-102-2019-00001</t>
  </si>
  <si>
    <t xml:space="preserve">서울특별시 강남구 역삼동 826-41 지하1층 </t>
  </si>
  <si>
    <t>서울특별시 강남구 테헤란로2길 37, 지하1층 (역삼동)</t>
  </si>
  <si>
    <t>3220000-102-2019-00008</t>
  </si>
  <si>
    <t xml:space="preserve">서울특별시 강남구 삼성동 143-27 </t>
  </si>
  <si>
    <t>서울특별시 강남구 테헤란로77길 9, 지하1층 (삼성동)</t>
  </si>
  <si>
    <t>3220000-102-2019-00007</t>
  </si>
  <si>
    <t xml:space="preserve">서울특별시 강남구 논현동 248-7 임피리얼 팰리스호텔 </t>
  </si>
  <si>
    <t>서울특별시 강남구 언주로 640, 임피리얼 팰리스호텔 지하1층 (논현동)</t>
  </si>
  <si>
    <t>3220000-102-2019-00009</t>
  </si>
  <si>
    <t xml:space="preserve">서울특별시 강남구 청담동 52-3번지 프리마호텔 </t>
  </si>
  <si>
    <t>서울특별시 강남구 도산대로 536, 프리마호텔 지하1,2층 (청담동)</t>
  </si>
  <si>
    <t>3220000-102-2019-00005</t>
  </si>
  <si>
    <t>서울특별시 강남구 테헤란로77길 9, 5층 (삼성동)</t>
  </si>
  <si>
    <t>3220000-102-2024-00005</t>
  </si>
  <si>
    <t>서울특별시 강남구 강남대로94길 54 (역삼동)</t>
  </si>
  <si>
    <t>3220000-102-2019-00014</t>
  </si>
  <si>
    <t xml:space="preserve">서울특별시 강남구 삼성동 143-19 퍼시픽빌딩 </t>
  </si>
  <si>
    <t>서울특별시 강남구 테헤란로69길 10, 퍼시픽빌딩 지하2층 (삼성동)</t>
  </si>
  <si>
    <t>3220000-102-2024-00001</t>
  </si>
  <si>
    <t xml:space="preserve">서울특별시 강남구 논현동 18-2 렉스관광호텔 </t>
  </si>
  <si>
    <t>서울특별시 강남구 강남대로 588, 렉스관광호텔 2층 (논현동)</t>
  </si>
  <si>
    <t>3220000-102-2024-00002</t>
  </si>
  <si>
    <t>서울특별시 강남구 강남대로 588, 렉스관광호텔 3층 (논현동)</t>
  </si>
  <si>
    <t>3220000-102-2024-00004</t>
  </si>
  <si>
    <t xml:space="preserve">서울특별시 강남구 역삼동 736-18 </t>
  </si>
  <si>
    <t>서울특별시 강남구 테헤란로20길 11, 지하1층 (역삼동)</t>
  </si>
  <si>
    <t>3220000-102-2020-00002</t>
  </si>
  <si>
    <t xml:space="preserve">서울특별시 강남구 청담동 52-3 프리마호텔 </t>
  </si>
  <si>
    <t>서울특별시 강남구 도산대로 536, 프리마호텔 지하1층,지하3층 (청담동)</t>
  </si>
  <si>
    <t>3220000-102-2019-00002</t>
  </si>
  <si>
    <t>서울특별시 강남구 역삼동 719-18 시티타워 6-10층</t>
  </si>
  <si>
    <t>서울특별시 강남구 언주로87길 24, 시티타워 6-10층 (역삼동)</t>
  </si>
  <si>
    <t>3220000-102-2021-00007</t>
  </si>
  <si>
    <t>서울특별시 강남구 신사동 587-1 선샤인호텔</t>
  </si>
  <si>
    <t>서울특별시 강남구 도산대로 205, 선샤인호텔 지하중층, 지하1층 (신사동)</t>
  </si>
  <si>
    <t>3220000-102-2022-00001</t>
  </si>
  <si>
    <t>서울특별시 강남구 신사동 502-11 영일빌딩</t>
  </si>
  <si>
    <t>서울특별시 강남구 강남대로 620, 영일빌딩 지1층 (신사동)</t>
  </si>
  <si>
    <t>3220000-102-2024-00003</t>
  </si>
  <si>
    <t>서울특별시 강남구 역삼동 823-42 그랑프리빌딩</t>
  </si>
  <si>
    <t>서울특별시 강남구 테헤란로10길 9, 그랑프리빌딩 지하1층 (역삼동)</t>
  </si>
  <si>
    <t>3220000-102-2009-00013</t>
  </si>
  <si>
    <t xml:space="preserve">서울특별시 강남구 역삼동 736-17번지 지하2층 </t>
  </si>
  <si>
    <t>서울특별시 강남구 테헤란로20길 9 (역삼동,지하2층)</t>
  </si>
  <si>
    <t>3220000-102-1987-04387</t>
  </si>
  <si>
    <t xml:space="preserve">서울특별시 강남구 청담동 53-7 지하1층 </t>
  </si>
  <si>
    <t>서울특별시 강남구 영동대로 737 (청담동,지하1층)</t>
  </si>
  <si>
    <t>3220000-102-1988-21027</t>
  </si>
  <si>
    <t xml:space="preserve">서울특별시 강남구 역삼동 735-31 </t>
  </si>
  <si>
    <t>서울특별시 강남구 논현로87길 37 (역삼동)</t>
  </si>
  <si>
    <t>3220000-102-1988-19645</t>
  </si>
  <si>
    <t xml:space="preserve">서울특별시 강남구 논현동 218-25 </t>
  </si>
  <si>
    <t>서울특별시 강남구 언주로 627 (논현동)</t>
  </si>
  <si>
    <t>3230000-102-2002-17481</t>
  </si>
  <si>
    <t xml:space="preserve">서울특별시 송파구 방이동 39-12 지하1층 </t>
  </si>
  <si>
    <t>서울특별시 송파구 오금로11길 29-14, 지하1층 (방이동)</t>
  </si>
  <si>
    <t>3230000-102-1999-00584</t>
  </si>
  <si>
    <t xml:space="preserve">서울특별시 송파구 방이동 38-13 (지상2층) </t>
  </si>
  <si>
    <t>서울특별시 송파구 오금로11길 27 (방이동,(지상2층))</t>
  </si>
  <si>
    <t>3230000-102-2013-00002</t>
  </si>
  <si>
    <t xml:space="preserve">서울특별시 송파구 가락동 79-4번지 세화빌딩 지하1층 111호,112호,113호 </t>
  </si>
  <si>
    <t>서울특별시 송파구 송파대로28길 20, 지하1층 111,112,113호 (가락동, 세화빌딩)</t>
  </si>
  <si>
    <t>3230000-102-2014-00003</t>
  </si>
  <si>
    <t xml:space="preserve">서울특별시 송파구 가락동 99-2 3층 </t>
  </si>
  <si>
    <t>서울특별시 송파구 송파대로28길 6, 3층 (가락동)</t>
  </si>
  <si>
    <t>3230000-102-2014-00004</t>
  </si>
  <si>
    <t xml:space="preserve">서울특별시 송파구 가락동 99-2 </t>
  </si>
  <si>
    <t>3230000-102-2010-00005</t>
  </si>
  <si>
    <t xml:space="preserve">서울특별시 송파구 가락동 98-6 지하2층 </t>
  </si>
  <si>
    <t>서울특별시 송파구 송파대로28길 11 (가락동,지하2층)</t>
  </si>
  <si>
    <t>3230000-102-2015-00003</t>
  </si>
  <si>
    <t xml:space="preserve">서울특별시 송파구 방이동 24-8 지하1층 </t>
  </si>
  <si>
    <t>서울특별시 송파구 올림픽로30길 6, 지하1층 (방이동)</t>
  </si>
  <si>
    <t>3230000-102-2000-14971</t>
  </si>
  <si>
    <t xml:space="preserve">서울특별시 송파구 잠실동 183-2번지 </t>
  </si>
  <si>
    <t>3230000-102-2014-00007</t>
  </si>
  <si>
    <t>서울특별시 송파구 가락동 79-4 2층 202-B호</t>
  </si>
  <si>
    <t>서울특별시 송파구 송파대로28길 20, 2층 202-B호 (가락동)</t>
  </si>
  <si>
    <t>3230000-102-2002-17454</t>
  </si>
  <si>
    <t>서울특별시 송파구 가락동 79-7 (지하1층12,13호)</t>
  </si>
  <si>
    <t>서울특별시 송파구 송파대로28길 32, 지하1층 12,13호 (가락동)</t>
  </si>
  <si>
    <t>3230000-102-2000-14738</t>
  </si>
  <si>
    <t>서울특별시 송파구 방이동 38-12 (지하1층)</t>
  </si>
  <si>
    <t>서울특별시 송파구 오금로11길 23-6 (방이동,(지하1층))</t>
  </si>
  <si>
    <t>3230000-102-2001-17078</t>
  </si>
  <si>
    <t>서울특별시 송파구 잠실동 180-4 지하1층</t>
  </si>
  <si>
    <t>서울특별시 송파구 올림픽로12길 4-25, 지하1층 (잠실동)</t>
  </si>
  <si>
    <t>3230000-102-2015-00004</t>
  </si>
  <si>
    <t xml:space="preserve">서울특별시 송파구 가락동 79-4 세화빌딩 </t>
  </si>
  <si>
    <t>서울특별시 송파구 송파대로28길 20, 세화빌딩 2층 201A호 (가락동)</t>
  </si>
  <si>
    <t>3230000-102-1988-03625</t>
  </si>
  <si>
    <t xml:space="preserve">서울특별시 송파구 방이동 46-3 </t>
  </si>
  <si>
    <t>서울특별시 송파구 오금로11길 47 (방이동)</t>
  </si>
  <si>
    <t>3230000-102-2023-00002</t>
  </si>
  <si>
    <t xml:space="preserve">서울특별시 송파구 석촌동 1-7 로사나관광호텔 </t>
  </si>
  <si>
    <t>서울특별시 송파구 삼학사로 98, 로사나관광호텔 지하2층 (석촌동)</t>
  </si>
  <si>
    <t>3230000-102-1989-03599</t>
  </si>
  <si>
    <t xml:space="preserve">서울특별시 송파구 방이동 28-7 지하1층 </t>
  </si>
  <si>
    <t>서울특별시 송파구 오금로11길 11, 지하1층 (방이동)</t>
  </si>
  <si>
    <t>3230000-102-2011-00004</t>
  </si>
  <si>
    <t xml:space="preserve">서울특별시 송파구 잠실동 178-5 지하1층 </t>
  </si>
  <si>
    <t>서울특별시 송파구 백제고분로7길 15-5 (잠실동,지하1층)</t>
  </si>
  <si>
    <t>3230000-102-2000-15996</t>
  </si>
  <si>
    <t xml:space="preserve">서울특별시 송파구 잠실동 177-4번지 지하1층 </t>
  </si>
  <si>
    <t>서울특별시 송파구 올림픽로8길 12, 지하1층 (잠실동, 지하1층)</t>
  </si>
  <si>
    <t>3230000-102-2001-16962</t>
  </si>
  <si>
    <t xml:space="preserve">서울특별시 송파구 잠실동 177-5 지하1층 </t>
  </si>
  <si>
    <t>서울특별시 송파구 올림픽로8길 10, 지하1층 (잠실동)</t>
  </si>
  <si>
    <t>3230000-102-2000-15453</t>
  </si>
  <si>
    <t xml:space="preserve">서울특별시 송파구 방이동 34-7 지하1층 </t>
  </si>
  <si>
    <t>서울특별시 송파구 올림픽로32길 10-1, 지하1층 (방이동)</t>
  </si>
  <si>
    <t>3230000-102-2013-00001</t>
  </si>
  <si>
    <t xml:space="preserve">서울특별시 송파구 방이동 39-12 지상2층 </t>
  </si>
  <si>
    <t>서울특별시 송파구 오금로11길 29-14, 지상2층 (방이동)</t>
  </si>
  <si>
    <t>3230000-102-1999-14666</t>
  </si>
  <si>
    <t xml:space="preserve">서울특별시 송파구 방이동 24-1 </t>
  </si>
  <si>
    <t>서울특별시 송파구 오금로11길 7-12 (방이동)</t>
  </si>
  <si>
    <t>3230000-102-2011-00001</t>
  </si>
  <si>
    <t xml:space="preserve">서울특별시 송파구 잠실동 181-2 지하1층 </t>
  </si>
  <si>
    <t>서울특별시 송파구 올림픽로 98, 지하1층 (잠실동)</t>
  </si>
  <si>
    <t>3230000-102-2011-00002</t>
  </si>
  <si>
    <t xml:space="preserve">서울특별시 송파구 방이동 36 지하1층 </t>
  </si>
  <si>
    <t>서울특별시 송파구 올림픽로32길 3 (방이동,지하1층)</t>
  </si>
  <si>
    <t>3230000-102-2011-00003</t>
  </si>
  <si>
    <t xml:space="preserve">서울특별시 송파구 가락동 99-1번지 지하1층 </t>
  </si>
  <si>
    <t>3230000-102-2000-15232</t>
  </si>
  <si>
    <t>서울특별시 송파구 가락동 98-2 지하2층</t>
  </si>
  <si>
    <t>서울특별시 송파구 송파대로30길 8, 지하2층 (가락동)</t>
  </si>
  <si>
    <t>3230000-102-2023-00001</t>
  </si>
  <si>
    <t>서울특별시 송파구 석촌동 1-7 로사나관광호텔</t>
  </si>
  <si>
    <t>서울특별시 송파구 삼학사로 98, 로사나관광호텔 지하1층 (석촌동)</t>
  </si>
  <si>
    <t>3230000-102-2011-00005</t>
  </si>
  <si>
    <t>서울특별시 송파구 방이동 36 지상 2층</t>
  </si>
  <si>
    <t>서울특별시 송파구 올림픽로32길 3 (방이동,지상 2층)</t>
  </si>
  <si>
    <t>3230000-102-2000-15837</t>
  </si>
  <si>
    <t xml:space="preserve">서울특별시 송파구 방이동 36-3 지하1층 </t>
  </si>
  <si>
    <t>서울특별시 송파구 올림픽로32길 9, 지하1층 (방이동)</t>
  </si>
  <si>
    <t>3230000-102-2000-15847</t>
  </si>
  <si>
    <t xml:space="preserve">서울특별시 송파구 가락동 99-1 </t>
  </si>
  <si>
    <t>서울특별시 송파구 송파대로28길 12, 지하1층 10호,11일부호 (가락동)</t>
  </si>
  <si>
    <t>3230000-102-2000-15854</t>
  </si>
  <si>
    <t xml:space="preserve">서울특별시 송파구 방이동 36-1 지하1층 </t>
  </si>
  <si>
    <t>서울특별시 송파구 올림픽로32길 5, 지하1층 (방이동)</t>
  </si>
  <si>
    <t>3230000-102-2001-16333</t>
  </si>
  <si>
    <t xml:space="preserve">서울특별시 송파구 방이동 34-7 (2층) </t>
  </si>
  <si>
    <t>서울특별시 송파구 올림픽로32길 10-1 (방이동,(2층))</t>
  </si>
  <si>
    <t>3230000-102-2001-16779</t>
  </si>
  <si>
    <t xml:space="preserve">서울특별시 송파구 방이동 34-8 지하1층 </t>
  </si>
  <si>
    <t>서울특별시 송파구 올림픽로32길 12, 지하1층 (방이동)</t>
  </si>
  <si>
    <t>3230000-102-2001-16846</t>
  </si>
  <si>
    <t xml:space="preserve">서울특별시 송파구 방이동 38-12 지상2층 </t>
  </si>
  <si>
    <t>서울특별시 송파구 오금로11길 23-6, 지상2층 (방이동)</t>
  </si>
  <si>
    <t>3230000-102-2001-16904</t>
  </si>
  <si>
    <t xml:space="preserve">서울특별시 송파구 방이동 34-7 (3층) </t>
  </si>
  <si>
    <t>서울특별시 송파구 올림픽로32길 10-1 (방이동,(3층))</t>
  </si>
  <si>
    <t>3230000-102-2007-00002</t>
  </si>
  <si>
    <t xml:space="preserve">서울특별시 송파구 가락동 99-2 가락훼미리오피스텔2차 지하2층 </t>
  </si>
  <si>
    <t>서울특별시 송파구 송파대로28길 6, 지하2층 (가락동, 가락훼미리오피스텔2차)</t>
  </si>
  <si>
    <t>3230000-102-2009-00001</t>
  </si>
  <si>
    <t xml:space="preserve">서울특별시 송파구 가락동 99-2번지 훼미리2차오피스텔 지상2층 2층2호 </t>
  </si>
  <si>
    <t>서울특별시 송파구 송파대로28길 6 (가락동,훼미리2차오피스텔 지상2층 2층2호)</t>
  </si>
  <si>
    <t>3230000-102-2010-00004</t>
  </si>
  <si>
    <t xml:space="preserve">서울특별시 송파구 방이동 34-6번지 지하1층 </t>
  </si>
  <si>
    <t>서울특별시 송파구 올림픽로32길 10, 지하1층 (방이동)</t>
  </si>
  <si>
    <t>3230000-102-1989-03617</t>
  </si>
  <si>
    <t xml:space="preserve">서울특별시 송파구 잠실동 181-4번지 지하1층 </t>
  </si>
  <si>
    <t>서울특별시 송파구 올림픽로 102, 지하1층 (잠실동)</t>
  </si>
  <si>
    <t>3230000-102-2001-16952</t>
  </si>
  <si>
    <t xml:space="preserve">서울특별시 송파구 방이동 24-0 (1층) </t>
  </si>
  <si>
    <t>서울특별시 송파구 올림픽로30길 6-5 (방이동,(1층))</t>
  </si>
  <si>
    <t>3230000-102-2021-00003</t>
  </si>
  <si>
    <t xml:space="preserve">서울특별시 송파구 가락동 79-4 세화빌딩 지하1층 106-1호 </t>
  </si>
  <si>
    <t>서울특별시 송파구 송파대로28길 20, 세화빌딩 지하1층 106-1호 (가락동)</t>
  </si>
  <si>
    <t>3230000-102-2000-15097</t>
  </si>
  <si>
    <t xml:space="preserve">서울특별시 송파구 잠실동 184-24번지 </t>
  </si>
  <si>
    <t>3230000-102-2019-00002</t>
  </si>
  <si>
    <t>서울특별시 송파구 석촌동 158 호텔 레이크 지하2층</t>
  </si>
  <si>
    <t>서울특별시 송파구 석촌호수로 216, 호텔 레이크 지하2층 (석촌동)</t>
  </si>
  <si>
    <t>3230000-102-2000-15917</t>
  </si>
  <si>
    <t>서울특별시 송파구 방이동 34-8 지상2층</t>
  </si>
  <si>
    <t>서울특별시 송파구 올림픽로32길 12, 지상2층 (방이동)</t>
  </si>
  <si>
    <t>3230000-102-2012-00001</t>
  </si>
  <si>
    <t>서울특별시 송파구 가락동 99-1 (지하1층)</t>
  </si>
  <si>
    <t>서울특별시 송파구 송파대로28길 12 (가락동,(지하1층))</t>
  </si>
  <si>
    <t>3230000-102-2021-00001</t>
  </si>
  <si>
    <t xml:space="preserve">서울특별시 송파구 가락동 79-5 밀리아나2차오피스텔 </t>
  </si>
  <si>
    <t>서울특별시 송파구 송파대로28길 24, 밀리아나2차오피스텔 2층 208,210호 (가락동)</t>
  </si>
  <si>
    <t>3230000-102-2022-00001</t>
  </si>
  <si>
    <t>서울특별시 송파구 방이동 34-9 B1호</t>
  </si>
  <si>
    <t>서울특별시 송파구 올림픽로32길 14 (방이동)</t>
  </si>
  <si>
    <t>3230000-102-2023-00003</t>
  </si>
  <si>
    <t>서울특별시 송파구 가락동 98-7 거북이빌딩 지하1층 107호</t>
  </si>
  <si>
    <t>서울특별시 송파구 송파대로28길 13, 거북이빌딩 지하1층 107호 (가락동)</t>
  </si>
  <si>
    <t>3230000-102-2024-00002</t>
  </si>
  <si>
    <t xml:space="preserve">서울특별시 송파구 가락동 98-5 가락관광호텔 </t>
  </si>
  <si>
    <t>서울특별시 송파구 송파대로28길 5, 가락관광호텔 지하1층 1호 (가락동)</t>
  </si>
  <si>
    <t>3230000-102-2024-00003</t>
  </si>
  <si>
    <t>서울특별시 송파구 송파대로28길 5, 가락관광호텔 지하1층 2호 (가락동)</t>
  </si>
  <si>
    <t>3230000-102-2006-00001</t>
  </si>
  <si>
    <t>서울특별시 송파구 방이동 24-0 지상3층</t>
  </si>
  <si>
    <t>서울특별시 송파구 올림픽로30길 6-5, 지상3층 (방이동)</t>
  </si>
  <si>
    <t>3230000-102-2006-00002</t>
  </si>
  <si>
    <t xml:space="preserve">서울특별시 송파구 잠실동 182-0 지하1층 </t>
  </si>
  <si>
    <t>서울특별시 송파구 올림픽로12길 4-15 (잠실동,지하1층)</t>
  </si>
  <si>
    <t>3230000-102-2006-00003</t>
  </si>
  <si>
    <t xml:space="preserve">서울특별시 송파구 잠실동 183-9 </t>
  </si>
  <si>
    <t>서울특별시 송파구 백제고분로7길 51 (잠실동)</t>
  </si>
  <si>
    <t>3230000-102-2004-00005</t>
  </si>
  <si>
    <t xml:space="preserve">서울특별시 송파구 가락동 98-6 지하3층 </t>
  </si>
  <si>
    <t>서울특별시 송파구 송파대로28길 11 (가락동,지하3층)</t>
  </si>
  <si>
    <t>3230000-102-2003-00003</t>
  </si>
  <si>
    <t>서울특별시 송파구 송파대로28길 6 (가락동)</t>
  </si>
  <si>
    <t>3230000-102-2003-00005</t>
  </si>
  <si>
    <t xml:space="preserve">서울특별시 송파구 가락동 98-6 지하1층 </t>
  </si>
  <si>
    <t>서울특별시 송파구 송파대로28길 11, 지하1층 (가락동)</t>
  </si>
  <si>
    <t>3230000-102-2002-17707</t>
  </si>
  <si>
    <t>서울특별시 송파구 가락동 98-2번지 뉴훼미리1차 지상2층 201호</t>
  </si>
  <si>
    <t>서울특별시 송파구 송파대로30길 8, 지상2층 201호 (가락동, 뉴훼미리1차 )</t>
  </si>
  <si>
    <t>3230000-102-2002-17708</t>
  </si>
  <si>
    <t xml:space="preserve">서울특별시 송파구 잠실동 178-5번지 지상3층 </t>
  </si>
  <si>
    <t>서울특별시 송파구 백제고분로7길 15-5, 지상3층 (잠실동)</t>
  </si>
  <si>
    <t>3230000-102-2025-00001</t>
  </si>
  <si>
    <t>서울특별시 송파구 가락동 98-5 가락관광호텔 지하1층 3호</t>
  </si>
  <si>
    <t>서울특별시 송파구 송파대로28길 5, 가락관광호텔 지하1층 3호 (가락동)</t>
  </si>
  <si>
    <t>3230000-102-2005-00003</t>
  </si>
  <si>
    <t>서울특별시 송파구 가락동 99-2 지상2층</t>
  </si>
  <si>
    <t>서울특별시 송파구 송파대로28길 6, 지상2층 (가락동)</t>
  </si>
  <si>
    <t>3230000-102-2015-00005</t>
  </si>
  <si>
    <t>서울특별시 송파구 송파대로28길 20, 세화빌딩 2층 201B호 (가락동)</t>
  </si>
  <si>
    <t>3230000-102-2015-00006</t>
  </si>
  <si>
    <t xml:space="preserve">서울특별시 송파구 가락동 79-7번지 지상2층 3,4호 </t>
  </si>
  <si>
    <t>서울특별시 송파구 송파대로28길 32 (가락동)</t>
  </si>
  <si>
    <t>3230000-102-2015-00007</t>
  </si>
  <si>
    <t xml:space="preserve">서울특별시 송파구 가락동 79-7번지 2층 1호,2호 </t>
  </si>
  <si>
    <t>서울특별시 송파구 송파대로28길 32, 2층 (가락동)</t>
  </si>
  <si>
    <t>3230000-102-2016-00002</t>
  </si>
  <si>
    <t xml:space="preserve">서울특별시 송파구 가락동 98-7 지하1층 106-2호 </t>
  </si>
  <si>
    <t>서울특별시 송파구 송파대로28길 13 (가락동, 지하1층 106-2호)</t>
  </si>
  <si>
    <t>3230000-102-2016-00003</t>
  </si>
  <si>
    <t xml:space="preserve">서울특별시 송파구 가락동 79-7번지 </t>
  </si>
  <si>
    <t>서울특별시 송파구 송파대로28길 32, 지하1층 9,10,11호 (가락동, 올림피아오피스텔)</t>
  </si>
  <si>
    <t>3230000-102-2016-00004</t>
  </si>
  <si>
    <t xml:space="preserve">서울특별시 송파구 가락동 98-7 지하1층 108호 </t>
  </si>
  <si>
    <t>서울특별시 송파구 송파대로28길 13 (가락동)</t>
  </si>
  <si>
    <t>3230000-102-2016-00007</t>
  </si>
  <si>
    <t>서울특별시 송파구 송파대로28길 12, 지하1층 11호(일부),12호 (가락동)</t>
  </si>
  <si>
    <t>3230000-102-2017-00001</t>
  </si>
  <si>
    <t xml:space="preserve">서울특별시 송파구 가락동 79-4 </t>
  </si>
  <si>
    <t>서울특별시 송파구 송파대로28길 20, 지하1층 107,108,109,110호 (가락동)</t>
  </si>
  <si>
    <t>3230000-102-2017-00002</t>
  </si>
  <si>
    <t>서울특별시 송파구 송파대로28길 20, 지하1층 106호 (가락동)</t>
  </si>
  <si>
    <t>3230000-102-2017-00003</t>
  </si>
  <si>
    <t xml:space="preserve">서울특별시 송파구 가락동 98-7 </t>
  </si>
  <si>
    <t>서울특별시 송파구 송파대로28길 13, 지하1층 103호 (가락동, 거북이빌딩)</t>
  </si>
  <si>
    <t>3230000-102-2017-00004</t>
  </si>
  <si>
    <t>서울특별시 송파구 송파대로28길 13, 지하1층 101호 (가락동, 거북이빌딩)</t>
  </si>
  <si>
    <t>3230000-102-1994-03600</t>
  </si>
  <si>
    <t xml:space="preserve">서울특별시 송파구 방이동 36-8 </t>
  </si>
  <si>
    <t>서울특별시 송파구 올림픽로32길 13 (방이동)</t>
  </si>
  <si>
    <t>3230000-102-2015-00010</t>
  </si>
  <si>
    <t>서울특별시 송파구 송파대로28길 20, 세화빌딩 지하1층 101호 (가락동)</t>
  </si>
  <si>
    <t>3230000-102-2015-00011</t>
  </si>
  <si>
    <t>서울특별시 송파구 가락동 99-1 지상1층 104호 - 108호</t>
  </si>
  <si>
    <t>서울특별시 송파구 송파대로28길 12 (가락동, 지상1층 104호-108호)</t>
  </si>
  <si>
    <t>3230000-102-2018-00001</t>
  </si>
  <si>
    <t>서울특별시 송파구 송파대로28길 20, 세화빌딩 지하1층 102,103호 (가락동)</t>
  </si>
  <si>
    <t>3230000-102-2002-17711</t>
  </si>
  <si>
    <t>서울특별시 송파구 석촌동 158 호텔 레이크 지하3층</t>
  </si>
  <si>
    <t>서울특별시 송파구 석촌호수로 216, 호텔 레이크 지하3층 (석촌동)</t>
  </si>
  <si>
    <t>3230000-102-1999-14645</t>
  </si>
  <si>
    <t xml:space="preserve">서울특별시 송파구 방이동 39-11 지하1층 </t>
  </si>
  <si>
    <t>서울특별시 송파구 오금로11길 29-16 (방이동)</t>
  </si>
  <si>
    <t>3230000-102-1999-00980</t>
  </si>
  <si>
    <t xml:space="preserve">서울특별시 송파구 잠실동 176-3번지 </t>
  </si>
  <si>
    <t>3230000-102-1999-00970</t>
  </si>
  <si>
    <t xml:space="preserve">서울특별시 송파구 방이동 34-9 지하1층 </t>
  </si>
  <si>
    <t>서울특별시 송파구 올림픽로32길 14, 지하1층 (방이동)</t>
  </si>
  <si>
    <t>3230000-102-1999-00971</t>
  </si>
  <si>
    <t xml:space="preserve">서울특별시 송파구 잠실동 176-6번지 </t>
  </si>
  <si>
    <t>서울특별시 송파구 백제고분로7길 7 (잠실동)</t>
  </si>
  <si>
    <t>3230000-102-1999-14650</t>
  </si>
  <si>
    <t xml:space="preserve">서울특별시 송파구 방이동 37-2번지 </t>
  </si>
  <si>
    <t>3230000-102-2000-15942</t>
  </si>
  <si>
    <t xml:space="preserve">서울특별시 송파구 잠실동 176-7번지 (지하1층) </t>
  </si>
  <si>
    <t>3230000-102-2000-15940</t>
  </si>
  <si>
    <t xml:space="preserve">서울특별시 송파구 방이동 34-6번지 </t>
  </si>
  <si>
    <t>3230000-102-2000-15984</t>
  </si>
  <si>
    <t xml:space="preserve">서울특별시 송파구 방이동 49-9번지 </t>
  </si>
  <si>
    <t>서울특별시 송파구 오금로11길 61-13 (방이동)</t>
  </si>
  <si>
    <t>3230000-102-2000-14895</t>
  </si>
  <si>
    <t xml:space="preserve">서울특별시 송파구 방이동 38-11 지하1층 </t>
  </si>
  <si>
    <t>서울특별시 송파구 오금로11길 23-8, 지하1층 (방이동)</t>
  </si>
  <si>
    <t>3230000-102-2000-14936</t>
  </si>
  <si>
    <t xml:space="preserve">서울특별시 송파구 가락동 79-4번지 세화오피스텔지하106호 </t>
  </si>
  <si>
    <t>3230000-102-2000-14940</t>
  </si>
  <si>
    <t xml:space="preserve">서울특별시 송파구 잠실동 183-9번지 </t>
  </si>
  <si>
    <t>3230000-102-2000-14964</t>
  </si>
  <si>
    <t xml:space="preserve">서울특별시 송파구 잠실동 177-5번지 </t>
  </si>
  <si>
    <t>3230000-102-2001-16497</t>
  </si>
  <si>
    <t xml:space="preserve">서울특별시 송파구 방이동 39-11번지 (3층) </t>
  </si>
  <si>
    <t>3230000-102-2000-15581</t>
  </si>
  <si>
    <t xml:space="preserve">서울특별시 송파구 방이동 41-5번지 지하1층 </t>
  </si>
  <si>
    <t>서울특별시 송파구 올림픽로34길 5, 지하1층 (방이동)</t>
  </si>
  <si>
    <t>3230000-102-2000-15623</t>
  </si>
  <si>
    <t xml:space="preserve">서울특별시 송파구 방이동 48-1번지 </t>
  </si>
  <si>
    <t>3230000-102-2000-15698</t>
  </si>
  <si>
    <t xml:space="preserve">서울특별시 송파구 방이동 36-16번지 (지하2층) </t>
  </si>
  <si>
    <t>3230000-102-2000-15792</t>
  </si>
  <si>
    <t>3230000-102-2001-16354</t>
  </si>
  <si>
    <t xml:space="preserve">서울특별시 송파구 방이동 43-4번지 지하1층 </t>
  </si>
  <si>
    <t>서울특별시 송파구 오금로11길 43-5, 지하1층 (방이동)</t>
  </si>
  <si>
    <t>3230000-102-2001-16374</t>
  </si>
  <si>
    <t xml:space="preserve">서울특별시 송파구 방이동 34-8번지 </t>
  </si>
  <si>
    <t>3230000-102-2019-00001</t>
  </si>
  <si>
    <t>서울특별시 송파구 방이동 34-4 타임모텔 지하1층 102호</t>
  </si>
  <si>
    <t>서울특별시 송파구 올림픽로32길 4, 타임모텔 지하1층 102호 (방이동)</t>
  </si>
  <si>
    <t>3230000-102-2002-17507</t>
  </si>
  <si>
    <t xml:space="preserve">서울특별시 송파구 잠실동 175-8번지 (지하1층) </t>
  </si>
  <si>
    <t>3230000-102-2002-17706</t>
  </si>
  <si>
    <t xml:space="preserve">서울특별시 송파구 방이동 44-5번지 (1층) </t>
  </si>
  <si>
    <t>3230000-102-2004-00002</t>
  </si>
  <si>
    <t xml:space="preserve">서울특별시 송파구 방이동 34-4번지 </t>
  </si>
  <si>
    <t>3230000-102-2004-00004</t>
  </si>
  <si>
    <t xml:space="preserve">서울특별시 송파구 가락동 79-5번지 2층 </t>
  </si>
  <si>
    <t>서울특별시 송파구 송파대로28길 24, 2층 (가락동)</t>
  </si>
  <si>
    <t>3230000-102-2005-00001</t>
  </si>
  <si>
    <t xml:space="preserve">서울특별시 송파구 방이동 36-16번지 </t>
  </si>
  <si>
    <t>3230000-102-2005-00002</t>
  </si>
  <si>
    <t xml:space="preserve">서울특별시 송파구 잠실동 179번지 지하1층 </t>
  </si>
  <si>
    <t>서울특별시 송파구 백제고분로7길 15-10 (잠실동,지하1층)</t>
  </si>
  <si>
    <t>3230000-102-2005-00004</t>
  </si>
  <si>
    <t xml:space="preserve">서울특별시 송파구 가락동 99-5번지 </t>
  </si>
  <si>
    <t>서울특별시 송파구 중대로 97, 지하1층 (가락동)</t>
  </si>
  <si>
    <t>3230000-102-2003-00002</t>
  </si>
  <si>
    <t xml:space="preserve">서울특별시 송파구 잠실동 176-3번지 (지하1층) </t>
  </si>
  <si>
    <t>서울특별시 송파구 백제고분로7길 3-10 (잠실동,(지하1층))</t>
  </si>
  <si>
    <t>3230000-102-2003-00004</t>
  </si>
  <si>
    <t xml:space="preserve">서울특별시 송파구 방이동 28-0번지 </t>
  </si>
  <si>
    <t>3230000-102-2002-17709</t>
  </si>
  <si>
    <t xml:space="preserve">서울특별시 송파구 방이동 36-9 지상3층 </t>
  </si>
  <si>
    <t>서울특별시 송파구 오금로11길 21, 지상3층 (방이동)</t>
  </si>
  <si>
    <t>3230000-102-2002-17710</t>
  </si>
  <si>
    <t xml:space="preserve">서울특별시 송파구 잠실동 181-2번지 (B1) </t>
  </si>
  <si>
    <t>3230000-102-2003-00001</t>
  </si>
  <si>
    <t xml:space="preserve">서울특별시 송파구 방이동 35-9번지 </t>
  </si>
  <si>
    <t>3230000-102-2015-00008</t>
  </si>
  <si>
    <t xml:space="preserve">서울특별시 송파구 석촌동 1-7 지하2층 </t>
  </si>
  <si>
    <t>서울특별시 송파구 삼학사로 98 (석촌동, 지하2층)</t>
  </si>
  <si>
    <t>3230000-102-2015-00009</t>
  </si>
  <si>
    <t xml:space="preserve">서울특별시 송파구 석촌동 1-7 지하3층 </t>
  </si>
  <si>
    <t>서울특별시 송파구 삼학사로 98 (석촌동, 지하3층)</t>
  </si>
  <si>
    <t>3230000-102-1993-03615</t>
  </si>
  <si>
    <t xml:space="preserve">서울특별시 송파구 잠실동 183-2번지 ,12,14 </t>
  </si>
  <si>
    <t>서울특별시 송파구 백제고분로7길 43 (잠실동,,12,14)</t>
  </si>
  <si>
    <t>3230000-102-1993-03598</t>
  </si>
  <si>
    <t xml:space="preserve">서울특별시 송파구 방이동 36-9 ,10 지하1층 </t>
  </si>
  <si>
    <t>서울특별시 송파구 오금로11길 21, 지하1층 (방이동, ,10 )</t>
  </si>
  <si>
    <t>3230000-102-1999-14493</t>
  </si>
  <si>
    <t xml:space="preserve">서울특별시 송파구 잠실동 178-5번지 지하 </t>
  </si>
  <si>
    <t>3230000-102-1999-14578</t>
  </si>
  <si>
    <t>3230000-102-1999-00633</t>
  </si>
  <si>
    <t xml:space="preserve">서울특별시 송파구 방이동 44-5번지 올림피아나 관광호텔지상2층 </t>
  </si>
  <si>
    <t>3230000-102-1999-03601</t>
  </si>
  <si>
    <t xml:space="preserve">서울특별시 송파구 잠실동 180-0번지 </t>
  </si>
  <si>
    <t>3230000-102-2001-16995</t>
  </si>
  <si>
    <t xml:space="preserve">서울특별시 송파구 잠실동 181-2번지 </t>
  </si>
  <si>
    <t>3230000-102-2001-17064</t>
  </si>
  <si>
    <t xml:space="preserve">서울특별시 송파구 방이동 44-5번지 (2층) </t>
  </si>
  <si>
    <t>3230000-102-2001-17098</t>
  </si>
  <si>
    <t xml:space="preserve">서울특별시 송파구 잠실동 176-4번지 </t>
  </si>
  <si>
    <t>3230000-102-2001-17119</t>
  </si>
  <si>
    <t xml:space="preserve">서울특별시 송파구 방이동 36-9 지상2층 </t>
  </si>
  <si>
    <t>서울특별시 송파구 오금로11길 21, 지상2층 (방이동)</t>
  </si>
  <si>
    <t>3230000-102-2002-17316</t>
  </si>
  <si>
    <t>3230000-102-1999-00314</t>
  </si>
  <si>
    <t xml:space="preserve">서울특별시 송파구 방이동 43-7번지 지하1층 </t>
  </si>
  <si>
    <t>서울특별시 송파구 오금로11길 39, 지하1층 (방이동)</t>
  </si>
  <si>
    <t>3230000-102-2014-00001</t>
  </si>
  <si>
    <t xml:space="preserve">서울특별시 송파구 방이동 34-4 </t>
  </si>
  <si>
    <t>서울특별시 송파구 올림픽로32길 4, 지하동 1층 (방이동)</t>
  </si>
  <si>
    <t>3230000-102-2014-00002</t>
  </si>
  <si>
    <t xml:space="preserve">서울특별시 송파구 가락동 79-4번지 지하1층 114-1,2호 </t>
  </si>
  <si>
    <t>서울특별시 송파구 송파대로28길 지하 20, 1층 114-1,2호 (가락동)</t>
  </si>
  <si>
    <t>3230000-102-1999-00609</t>
  </si>
  <si>
    <t xml:space="preserve">서울특별시 송파구 방이동 42-8 </t>
  </si>
  <si>
    <t>서울특별시 송파구 올림픽로34길 9 (방이동)</t>
  </si>
  <si>
    <t>3230000-102-1999-14418</t>
  </si>
  <si>
    <t xml:space="preserve">서울특별시 송파구 가락동 98-2 (지하1층) </t>
  </si>
  <si>
    <t>서울특별시 송파구 송파대로30길 8 (가락동,(지하1층))</t>
  </si>
  <si>
    <t>3230000-102-1999-14445</t>
  </si>
  <si>
    <t xml:space="preserve">서울특별시 송파구 잠실동 184-18번지 </t>
  </si>
  <si>
    <t>3230000-102-1999-14684</t>
  </si>
  <si>
    <t xml:space="preserve">서울특별시 송파구 방이동 38-14번지 지상1층 </t>
  </si>
  <si>
    <t>서울특별시 송파구 오금로11길 29-15, 지상1층 (방이동)</t>
  </si>
  <si>
    <t>3230000-102-2000-14792</t>
  </si>
  <si>
    <t xml:space="preserve">서울특별시 송파구 방이동 36-16번지 지하1층 </t>
  </si>
  <si>
    <t>서울특별시 송파구 올림픽로32길 7, 지하1층 (방이동)</t>
  </si>
  <si>
    <t>3230000-102-2000-14802</t>
  </si>
  <si>
    <t xml:space="preserve">서울특별시 송파구 방이동 36-0번지 </t>
  </si>
  <si>
    <t>3230000-102-2000-14803</t>
  </si>
  <si>
    <t xml:space="preserve">서울특별시 송파구 잠실동 181-1번지 </t>
  </si>
  <si>
    <t>3230000-102-2015-00002</t>
  </si>
  <si>
    <t>서울특별시 송파구 가락동 79-4번지 2층 201C호</t>
  </si>
  <si>
    <t>서울특별시 송파구 송파대로28길 20, 지상2층 201C호 (가락동)</t>
  </si>
  <si>
    <t>3230000-102-1985-03622</t>
  </si>
  <si>
    <t xml:space="preserve">서울특별시 송파구 잠실동 40-1번지 롯데월드지하3층 </t>
  </si>
  <si>
    <t>3230000-102-1993-03626</t>
  </si>
  <si>
    <t xml:space="preserve">서울특별시 송파구 잠실동 183-1번지 지하1층 </t>
  </si>
  <si>
    <t>서울특별시 송파구 백제고분로7길 39, 지하1층 (잠실동)</t>
  </si>
  <si>
    <t>3230000-102-1980-03603</t>
  </si>
  <si>
    <t xml:space="preserve">서울특별시 송파구 풍납동 481-1 </t>
  </si>
  <si>
    <t>서울특별시 송파구 올림픽로 607 (풍납동)</t>
  </si>
  <si>
    <t>3230000-102-1990-03627</t>
  </si>
  <si>
    <t>서울특별시 송파구 방이동 24 지하1층</t>
  </si>
  <si>
    <t>서울특별시 송파구 올림픽로30길 6-5, 지하1층 (방이동)</t>
  </si>
  <si>
    <t>3230000-102-1999-00126</t>
  </si>
  <si>
    <t xml:space="preserve">서울특별시 송파구 방이동 37-7 지하1층 </t>
  </si>
  <si>
    <t>서울특별시 송파구 오금로11길 23-9, 지하1층 (방이동)</t>
  </si>
  <si>
    <t>3230000-102-1999-00042</t>
  </si>
  <si>
    <t xml:space="preserve">서울특별시 송파구 방이동 37-10 지하1층 </t>
  </si>
  <si>
    <t>서울특별시 송파구 오금로11길 21-6, 지하1층 (방이동)</t>
  </si>
  <si>
    <t>3230000-102-2001-16498</t>
  </si>
  <si>
    <t xml:space="preserve">서울특별시 송파구 방이동 39-11번지 (4층) </t>
  </si>
  <si>
    <t>3230000-102-2001-16657</t>
  </si>
  <si>
    <t xml:space="preserve">서울특별시 송파구 방이동 38-11번지 </t>
  </si>
  <si>
    <t>3230000-102-2001-16671</t>
  </si>
  <si>
    <t xml:space="preserve">서울특별시 송파구 방이동 37-7번지 </t>
  </si>
  <si>
    <t>3230000-102-2001-16715</t>
  </si>
  <si>
    <t xml:space="preserve">서울특별시 송파구 가락동 79-4번지 </t>
  </si>
  <si>
    <t>서울특별시 송파구 송파대로28길 20 (가락동)</t>
  </si>
  <si>
    <t>3230000-102-2001-16714</t>
  </si>
  <si>
    <t>3230000-102-2001-16762</t>
  </si>
  <si>
    <t xml:space="preserve">서울특별시 송파구 방이동 36-2번지 3층 </t>
  </si>
  <si>
    <t>서울특별시 송파구 올림픽로32길 7-1, 3층 (방이동)</t>
  </si>
  <si>
    <t>3230000-102-2001-16780</t>
  </si>
  <si>
    <t xml:space="preserve">서울특별시 송파구 잠실동 175-9번지 (지하1층) </t>
  </si>
  <si>
    <t>3230000-102-2001-17120</t>
  </si>
  <si>
    <t xml:space="preserve">서울특별시 송파구 방이동 36-7번지 지상2층 </t>
  </si>
  <si>
    <t>서울특별시 송파구 올림픽로32길 11, 지상2층 (방이동)</t>
  </si>
  <si>
    <t>3230000-102-2001-16856</t>
  </si>
  <si>
    <t xml:space="preserve">서울특별시 송파구 방이동 38-9 (지층) </t>
  </si>
  <si>
    <t>서울특별시 송파구 오금로11길 29-7 (방이동,(지층))</t>
  </si>
  <si>
    <t>3230000-102-2007-00003</t>
  </si>
  <si>
    <t xml:space="preserve">서울특별시 송파구 석촌동 158번지 호텔레이크 지하2층 </t>
  </si>
  <si>
    <t>서울특별시 송파구 석촌호수로 216, 지하2층 (석촌동, 호텔레이크)</t>
  </si>
  <si>
    <t>3230000-102-2008-00001</t>
  </si>
  <si>
    <t xml:space="preserve">서울특별시 송파구 방이동 34-6번지 제이오빌딩 지상4층 </t>
  </si>
  <si>
    <t>3230000-102-2009-00002</t>
  </si>
  <si>
    <t xml:space="preserve">서울특별시 송파구 잠실동 176-4번지 지하1층 </t>
  </si>
  <si>
    <t>서울특별시 송파구 백제고분로7길 3 (잠실동,지하1층)</t>
  </si>
  <si>
    <t>3230000-102-2010-00001</t>
  </si>
  <si>
    <t xml:space="preserve">서울특별시 송파구 방이동 45-2번지 지하1층 7,7-1,8,8-1,8-2,8-3,9,9-1 </t>
  </si>
  <si>
    <t>서울특별시 송파구 위례성대로 18 (방이동,지하1층 7,7-1,8,8-1,8-2,8-3,9,9-1)</t>
  </si>
  <si>
    <t>3230000-102-2010-00002</t>
  </si>
  <si>
    <t>서울특별시 송파구 올림픽로32길 7 (방이동)</t>
  </si>
  <si>
    <t>3230000-102-2010-00003</t>
  </si>
  <si>
    <t xml:space="preserve">서울특별시 송파구 잠실동 176-7번지 지하1층 </t>
  </si>
  <si>
    <t>3230000-102-1985-03624</t>
  </si>
  <si>
    <t>3230000-102-2000-14883</t>
  </si>
  <si>
    <t>3230000-102-2004-00001</t>
  </si>
  <si>
    <t xml:space="preserve">서울특별시 송파구 방이동 44-5번지 </t>
  </si>
  <si>
    <t>3230000-102-2021-00002</t>
  </si>
  <si>
    <t xml:space="preserve">서울특별시 송파구 석촌동 1-7 로사나관광호텔 지하1층 </t>
  </si>
  <si>
    <t>3230000-102-1986-03602</t>
  </si>
  <si>
    <t>3230000-102-1986-03623</t>
  </si>
  <si>
    <t xml:space="preserve">서울특별시 송파구 잠실동 182-0번지 </t>
  </si>
  <si>
    <t>3230000-102-1988-03616</t>
  </si>
  <si>
    <t xml:space="preserve">서울특별시 송파구 잠실동 175번지 </t>
  </si>
  <si>
    <t>3230000-102-1988-03628</t>
  </si>
  <si>
    <t xml:space="preserve">서울특별시 송파구 잠실동 40-1번지 </t>
  </si>
  <si>
    <t>3230000-102-1989-03621</t>
  </si>
  <si>
    <t>3230000-102-1989-03649</t>
  </si>
  <si>
    <t xml:space="preserve">서울특별시 송파구 가락동 998-5번지 </t>
  </si>
  <si>
    <t>3230000-102-1989-03629</t>
  </si>
  <si>
    <t>3230000-102-1990-03596</t>
  </si>
  <si>
    <t xml:space="preserve">서울특별시 송파구 잠실동 179-0번지 </t>
  </si>
  <si>
    <t>3230000-102-1990-03630</t>
  </si>
  <si>
    <t>3230000-102-1990-00025</t>
  </si>
  <si>
    <t xml:space="preserve">서울특별시 송파구 잠실동 184-0번지 지하1층 </t>
  </si>
  <si>
    <t>서울특별시 송파구 올림픽로 114, 지하1층 (잠실동)</t>
  </si>
  <si>
    <t>3230000-102-1990-03620</t>
  </si>
  <si>
    <t>3230000-102-2000-15182</t>
  </si>
  <si>
    <t xml:space="preserve">서울특별시 송파구 방이동 45-2번지 </t>
  </si>
  <si>
    <t>3230000-102-1991-03650</t>
  </si>
  <si>
    <t xml:space="preserve">서울특별시 송파구 가락동 98-5번지 지하1층 </t>
  </si>
  <si>
    <t>서울특별시 송파구 송파대로28길 5, 지하1층 (가락동)</t>
  </si>
  <si>
    <t>3230000-102-1993-03597</t>
  </si>
  <si>
    <t xml:space="preserve">서울특별시 송파구 잠실동 181-7번지 </t>
  </si>
  <si>
    <t>3230000-102-1999-00218</t>
  </si>
  <si>
    <t xml:space="preserve">서울특별시 송파구 방이동 43-6번지 지하1층 </t>
  </si>
  <si>
    <t>서울특별시 송파구 오금로11길 41, 지하1층 (방이동)</t>
  </si>
  <si>
    <t>3230000-102-1977-03619</t>
  </si>
  <si>
    <t xml:space="preserve">서울특별시 송파구 석촌동 24-0번지 </t>
  </si>
  <si>
    <t>3230000-102-2000-15497</t>
  </si>
  <si>
    <t xml:space="preserve">서울특별시 송파구 잠실동 176-7번지 </t>
  </si>
  <si>
    <t>3230000-102-2000-15502</t>
  </si>
  <si>
    <t xml:space="preserve">서울특별시 송파구 잠실동 183-8번지 </t>
  </si>
  <si>
    <t>3230000-102-2000-15507</t>
  </si>
  <si>
    <t xml:space="preserve">서울특별시 송파구 잠실동 175-14 지하1층 </t>
  </si>
  <si>
    <t>서울특별시 송파구 올림픽로 92, 지하1층 (잠실동)</t>
  </si>
  <si>
    <t>3230000-102-2006-00004</t>
  </si>
  <si>
    <t>서울특별시 송파구 중대로 97 (가락동)</t>
  </si>
  <si>
    <t>3230000-102-2007-00001</t>
  </si>
  <si>
    <t xml:space="preserve">서울특별시 송파구 방이동 38-12번지 지상3층 </t>
  </si>
  <si>
    <t>서울특별시 송파구 오금로11길 23-6, 지상3층 (방이동)</t>
  </si>
  <si>
    <t>3230000-102-1999-00217</t>
  </si>
  <si>
    <t xml:space="preserve">서울특별시 송파구 방이동 38-10 지하1층 </t>
  </si>
  <si>
    <t>서울특별시 송파구 오금로11길 29-5, 지하1층 (방이동)</t>
  </si>
  <si>
    <t>3230000-102-1999-00205</t>
  </si>
  <si>
    <t xml:space="preserve">서울특별시 송파구 방이동 38-3 지하1층 </t>
  </si>
  <si>
    <t>서울특별시 송파구 오금로11길 29, 지하1층 (방이동)</t>
  </si>
  <si>
    <t>3230000-102-1999-00120</t>
  </si>
  <si>
    <t>3230000-102-1999-00064</t>
  </si>
  <si>
    <t xml:space="preserve">서울특별시 송파구 방이동 36-2번지 지하1층 </t>
  </si>
  <si>
    <t>서울특별시 송파구 올림픽로32길 7-1, 지하1층 (방이동)</t>
  </si>
  <si>
    <t>3230000-102-1999-00069</t>
  </si>
  <si>
    <t>3230000-102-1999-00057</t>
  </si>
  <si>
    <t xml:space="preserve">서울특별시 송파구 방이동 36-2번지 지상2층 </t>
  </si>
  <si>
    <t>서울특별시 송파구 올림픽로32길 7-1, 지상2층 (방이동)</t>
  </si>
  <si>
    <t>3230000-102-1985-03614</t>
  </si>
  <si>
    <t xml:space="preserve">서울특별시 송파구 잠실동 40-1번지 롯데월드 지하3층 </t>
  </si>
  <si>
    <t>3230000-102-2011-00007</t>
  </si>
  <si>
    <t xml:space="preserve">서울특별시 송파구 가락동 98-7번지 201호 </t>
  </si>
  <si>
    <t>3230000-102-2011-00008</t>
  </si>
  <si>
    <t>서울특별시 송파구 백제고분로7길 7-5, 지하1층 (잠실동)</t>
  </si>
  <si>
    <t>3230000-102-2011-00009</t>
  </si>
  <si>
    <t xml:space="preserve">서울특별시 송파구 잠실동 179-1,4번지 지하1층 </t>
  </si>
  <si>
    <t>서울특별시 송파구 올림픽로 10-8 (잠실동, 지하1층)</t>
  </si>
  <si>
    <t>3230000-102-2011-00010</t>
  </si>
  <si>
    <t xml:space="preserve">서울특별시 송파구 방이동 36-16번지 지상2층 </t>
  </si>
  <si>
    <t>서울특별시 송파구 올림픽로32길 7 (방이동,지상2층)</t>
  </si>
  <si>
    <t>3230000-102-2001-16930</t>
  </si>
  <si>
    <t xml:space="preserve">서울특별시 송파구 방이동 38-11번지 (지상1층) </t>
  </si>
  <si>
    <t>서울특별시 송파구 오금로11길 23-8 (방이동,(지상1층))</t>
  </si>
  <si>
    <t>3230000-102-2001-16931</t>
  </si>
  <si>
    <t xml:space="preserve">서울특별시 송파구 방이동 44-5번지 (지하2층) </t>
  </si>
  <si>
    <t>3230000-102-2001-16026</t>
  </si>
  <si>
    <t>3230000-102-2001-16047</t>
  </si>
  <si>
    <t>3230000-102-2001-16072</t>
  </si>
  <si>
    <t xml:space="preserve">서울특별시 송파구 방이동 28-2번지 </t>
  </si>
  <si>
    <t>3230000-102-2001-16182</t>
  </si>
  <si>
    <t xml:space="preserve">서울특별시 송파구 방이동 38-11번지 지상2층 </t>
  </si>
  <si>
    <t>서울특별시 송파구 오금로11길 23-8, 지상2층 (방이동)</t>
  </si>
  <si>
    <t>3230000-102-2001-16321</t>
  </si>
  <si>
    <t xml:space="preserve">서울특별시 송파구 가락동 79-4번지 세화오피스텔 지하1층 114-1호 </t>
  </si>
  <si>
    <t>서울특별시 송파구 송파대로28길 20, 지하1층 114-1호 (가락동, 세화오피스텔)</t>
  </si>
  <si>
    <t>3230000-102-1999-14546</t>
  </si>
  <si>
    <t xml:space="preserve">서울특별시 송파구 방이동 24-8번지 (지하1층) </t>
  </si>
  <si>
    <t>3230000-102-1999-14577</t>
  </si>
  <si>
    <t xml:space="preserve">서울특별시 송파구 가락동 99-3번지 </t>
  </si>
  <si>
    <t>3230000-102-2000-15280</t>
  </si>
  <si>
    <t xml:space="preserve">서울특별시 송파구 방이동 43-7번지  동 </t>
  </si>
  <si>
    <t>3240000-102-2013-00001</t>
  </si>
  <si>
    <t xml:space="preserve">서울특별시 강동구 길동 458-3 1층 </t>
  </si>
  <si>
    <t>서울특별시 강동구 진황도로 110 (길동)</t>
  </si>
  <si>
    <t>3240000-102-2013-00003</t>
  </si>
  <si>
    <t xml:space="preserve">서울특별시 강동구 길동 415-7 </t>
  </si>
  <si>
    <t>서울특별시 강동구 천호대로175길 55 (길동)</t>
  </si>
  <si>
    <t>3240000-102-1986-05518</t>
  </si>
  <si>
    <t xml:space="preserve">서울특별시 강동구 길동 413-13번지 </t>
  </si>
  <si>
    <t>3240000-102-1986-05579</t>
  </si>
  <si>
    <t xml:space="preserve">서울특별시 강동구 길동 415-18 호텔아르고 </t>
  </si>
  <si>
    <t>서울특별시 강동구 진황도로 93, 호텔아르고 3층 (길동)</t>
  </si>
  <si>
    <t>3240000-102-2013-00005</t>
  </si>
  <si>
    <t xml:space="preserve">서울특별시 강동구 길동 414-1 </t>
  </si>
  <si>
    <t>서울특별시 강동구 천호대로175길 58 (길동)</t>
  </si>
  <si>
    <t>3240000-102-2014-00003</t>
  </si>
  <si>
    <t xml:space="preserve">서울특별시 강동구 천호동 416-5 2층 </t>
  </si>
  <si>
    <t>서울특별시 강동구 구천면로24길 11, 2층 (천호동)</t>
  </si>
  <si>
    <t>3240000-102-1980-05542</t>
  </si>
  <si>
    <t xml:space="preserve">서울특별시 강동구 성내동 397-11 지하1층 </t>
  </si>
  <si>
    <t>서울특별시 강동구 양재대로 1389 (성내동)</t>
  </si>
  <si>
    <t>3240000-102-1980-05520</t>
  </si>
  <si>
    <t xml:space="preserve">서울특별시 강동구 성내동 429-10 </t>
  </si>
  <si>
    <t>서울특별시 강동구 양재대로89길 13 (성내동)</t>
  </si>
  <si>
    <t>3240000-102-2002-13551</t>
  </si>
  <si>
    <t xml:space="preserve">서울특별시 강동구 길동 387-11 </t>
  </si>
  <si>
    <t>서울특별시 강동구 천중로40길 77 (길동)</t>
  </si>
  <si>
    <t>3240000-102-2002-13553</t>
  </si>
  <si>
    <t xml:space="preserve">서울특별시 강동구 길동 459-2 3층302호 </t>
  </si>
  <si>
    <t>서울특별시 강동구 천호대로 1135 (길동,3층302호)</t>
  </si>
  <si>
    <t>3240000-102-2019-00001</t>
  </si>
  <si>
    <t xml:space="preserve">서울특별시 강동구 천호동 416-5 </t>
  </si>
  <si>
    <t>서울특별시 강동구 구천면로24길 11, 지하1층 (천호동)</t>
  </si>
  <si>
    <t>3240000-102-1999-11069</t>
  </si>
  <si>
    <t xml:space="preserve">서울특별시 강동구 길동 412-11번지 ,16 </t>
  </si>
  <si>
    <t>서울특별시 강동구 양재대로 1459 (길동,,16)</t>
  </si>
  <si>
    <t>3240000-102-2000-12095</t>
  </si>
  <si>
    <t xml:space="preserve">서울특별시 강동구 길동 389-3번지 </t>
  </si>
  <si>
    <t>서울특별시 강동구 양재대로111길 10 (길동)</t>
  </si>
  <si>
    <t>3240000-102-2000-11437</t>
  </si>
  <si>
    <t xml:space="preserve">서울특별시 강동구 길동 447-1 </t>
  </si>
  <si>
    <t>서울특별시 강동구 진황도로 92 (길동)</t>
  </si>
  <si>
    <t>3240000-102-2000-11604</t>
  </si>
  <si>
    <t xml:space="preserve">서울특별시 강동구 길동 413-20 </t>
  </si>
  <si>
    <t>서울특별시 강동구 진황도로43길 9 (길동)</t>
  </si>
  <si>
    <t>3240000-102-2000-11622</t>
  </si>
  <si>
    <t xml:space="preserve">서울특별시 강동구 길동 413-14 </t>
  </si>
  <si>
    <t>서울특별시 강동구 진황도로43길 3, 지1층 (길동)</t>
  </si>
  <si>
    <t>3240000-102-2006-00009</t>
  </si>
  <si>
    <t xml:space="preserve">서울특별시 강동구 길동 458-3 2층 </t>
  </si>
  <si>
    <t>3240000-102-2006-00010</t>
  </si>
  <si>
    <t xml:space="preserve">서울특별시 강동구 길동 454-1 </t>
  </si>
  <si>
    <t>서울특별시 강동구 천호대로 1121 (길동)</t>
  </si>
  <si>
    <t>3240000-102-2006-00011</t>
  </si>
  <si>
    <t xml:space="preserve">서울특별시 강동구 길동 413-50 지하1층 </t>
  </si>
  <si>
    <t>서울특별시 강동구 천호대로177길 34 (길동,지하1층)</t>
  </si>
  <si>
    <t>3240000-102-2003-00005</t>
  </si>
  <si>
    <t xml:space="preserve">서울특별시 강동구 길동 413-10 </t>
  </si>
  <si>
    <t>서울특별시 강동구 천호대로177길 48 (길동)</t>
  </si>
  <si>
    <t>3240000-102-2003-00006</t>
  </si>
  <si>
    <t xml:space="preserve">서울특별시 강동구 길동 389-4번지 </t>
  </si>
  <si>
    <t>서울특별시 강동구 양재대로111길 8 (길동)</t>
  </si>
  <si>
    <t>3240000-102-2003-00007</t>
  </si>
  <si>
    <t xml:space="preserve">서울특별시 강동구 천호동 415-5 지하1층 </t>
  </si>
  <si>
    <t>서울특별시 강동구 올림픽로70길 47 (천호동,지하1층)</t>
  </si>
  <si>
    <t>3240000-102-2022-00001</t>
  </si>
  <si>
    <t>서울특별시 강동구 길동 459-2</t>
  </si>
  <si>
    <t>서울특별시 강동구 천호대로 1135, 2층 206호 (길동)</t>
  </si>
  <si>
    <t>3240000-102-1984-05516</t>
  </si>
  <si>
    <t>서울특별시 강동구 길동 412-2</t>
  </si>
  <si>
    <t>서울특별시 강동구 양재대로109길 26 (길동)</t>
  </si>
  <si>
    <t>3240000-102-2004-00003</t>
  </si>
  <si>
    <t xml:space="preserve">서울특별시 강동구 길동 458-6번지 지하 </t>
  </si>
  <si>
    <t>서울특별시 강동구 천호대로177길 16 (길동,지하)</t>
  </si>
  <si>
    <t>3240000-102-2000-11710</t>
  </si>
  <si>
    <t xml:space="preserve">서울특별시 강동구 천호동 454-3 ,4 </t>
  </si>
  <si>
    <t>서울특별시 강동구 올림픽로70길 44 (천호동,,4)</t>
  </si>
  <si>
    <t>3240000-102-1985-05569</t>
  </si>
  <si>
    <t xml:space="preserve">서울특별시 강동구 천호동 410-159 </t>
  </si>
  <si>
    <t>서울특별시 강동구 진황도로 32, 지층 (천호동)</t>
  </si>
  <si>
    <t>3240000-102-1980-05568</t>
  </si>
  <si>
    <t xml:space="preserve">서울특별시 강동구 암사동 496-16번지 </t>
  </si>
  <si>
    <t>서울특별시 강동구 상암로11길 8 (암사동)</t>
  </si>
  <si>
    <t>3240000-102-2011-00002</t>
  </si>
  <si>
    <t xml:space="preserve">서울특별시 강동구 길동 459 </t>
  </si>
  <si>
    <t>서울특별시 강동구 천호대로177길 10 (길동)</t>
  </si>
  <si>
    <t>3240000-102-2011-00003</t>
  </si>
  <si>
    <t xml:space="preserve">서울특별시 강동구 길동 413-13번지 지하 </t>
  </si>
  <si>
    <t>서울특별시 강동구 진황도로 103 (길동,지하)</t>
  </si>
  <si>
    <t>3240000-102-2003-00002</t>
  </si>
  <si>
    <t xml:space="preserve">서울특별시 강동구 길동 413-42 지하1층 </t>
  </si>
  <si>
    <t>서울특별시 강동구 양재대로109길 11 (길동)</t>
  </si>
  <si>
    <t>3240000-102-2010-00006</t>
  </si>
  <si>
    <t xml:space="preserve">서울특별시 강동구 길동 459번지 </t>
  </si>
  <si>
    <t>3240000-102-2010-00009</t>
  </si>
  <si>
    <t xml:space="preserve">서울특별시 강동구 길동 386-8 </t>
  </si>
  <si>
    <t>서울특별시 강동구 천중로40길 78 (길동)</t>
  </si>
  <si>
    <t>3240000-102-2010-00010</t>
  </si>
  <si>
    <t xml:space="preserve">서울특별시 강동구 길동 450 지하1층 </t>
  </si>
  <si>
    <t>서울특별시 강동구 천호대로175길 21 (길동,지하1층)</t>
  </si>
  <si>
    <t>3240000-102-2011-00006</t>
  </si>
  <si>
    <t xml:space="preserve">서울특별시 강동구 길동 458-3 </t>
  </si>
  <si>
    <t>3240000-102-2020-00001</t>
  </si>
  <si>
    <t xml:space="preserve">서울특별시 강동구 길동 414-1 석탄공회관 </t>
  </si>
  <si>
    <t>서울특별시 강동구 천호대로175길 58, 석탄공회관 (길동)</t>
  </si>
  <si>
    <t>3240000-102-1985-05571</t>
  </si>
  <si>
    <t xml:space="preserve">서울특별시 강동구 천호동 550-9 </t>
  </si>
  <si>
    <t>서울특별시 강동구 진황도로 5 (천호동)</t>
  </si>
  <si>
    <t>3240000-102-2002-13541</t>
  </si>
  <si>
    <t xml:space="preserve">서울특별시 강동구 길동 387-12번지 </t>
  </si>
  <si>
    <t>서울특별시 강동구 양재대로111길 34 (길동)</t>
  </si>
  <si>
    <t>3240000-102-2002-13545</t>
  </si>
  <si>
    <t xml:space="preserve">서울특별시 강동구 길동 448-1 </t>
  </si>
  <si>
    <t>서울특별시 강동구 진황도로 94 (길동)</t>
  </si>
  <si>
    <t>3240000-102-1984-05517</t>
  </si>
  <si>
    <t>서울특별시 강동구 천호동 412-3</t>
  </si>
  <si>
    <t>서울특별시 강동구 천호대로157길 49 (천호동)</t>
  </si>
  <si>
    <t>3240000-102-2009-00008</t>
  </si>
  <si>
    <t>서울특별시 강동구 천호동 454-15 지하1층</t>
  </si>
  <si>
    <t>서울특별시 강동구 천호대로 1027 (천호동,지하1층)</t>
  </si>
  <si>
    <t>3240000-102-2009-00009</t>
  </si>
  <si>
    <t xml:space="preserve">서울특별시 강동구 길동 414-7번지 </t>
  </si>
  <si>
    <t>서울특별시 강동구 천호대로177길 51 (길동)</t>
  </si>
  <si>
    <t>3240000-102-2009-00010</t>
  </si>
  <si>
    <t xml:space="preserve">서울특별시 강동구 길동 459-2 (304호) </t>
  </si>
  <si>
    <t>서울특별시 강동구 천호대로 1135 (길동,(304호))</t>
  </si>
  <si>
    <t>3240000-102-2010-00001</t>
  </si>
  <si>
    <t xml:space="preserve">서울특별시 강동구 길동 415-6 강동빌딩 </t>
  </si>
  <si>
    <t>서울특별시 강동구 양재대로111길 39, 강동빌딩 2층 (길동)</t>
  </si>
  <si>
    <t>3240000-102-2010-00002</t>
  </si>
  <si>
    <t xml:space="preserve">서울특별시 강동구 길동 415-6번지 강동빌딩 </t>
  </si>
  <si>
    <t>서울특별시 강동구 양재대로111길 39, 강동빌딩 (길동)</t>
  </si>
  <si>
    <t>3240000-102-2010-00003</t>
  </si>
  <si>
    <t xml:space="preserve">서울특별시 강동구 길동 387-12 2층 </t>
  </si>
  <si>
    <t>서울특별시 강동구 양재대로111길 34 (길동,2층)</t>
  </si>
  <si>
    <t>3240000-102-2011-00012</t>
  </si>
  <si>
    <t xml:space="preserve">서울특별시 강동구 길동 388-3번지 지하1층 </t>
  </si>
  <si>
    <t>서울특별시 강동구 양재대로111길 18 (길동)</t>
  </si>
  <si>
    <t>3240000-102-2011-00013</t>
  </si>
  <si>
    <t>서울특별시 강동구 길동 459-2번지 402호</t>
  </si>
  <si>
    <t>서울특별시 강동구 천호대로 1135 (길동)</t>
  </si>
  <si>
    <t>3240000-102-2011-00014</t>
  </si>
  <si>
    <t xml:space="preserve">서울특별시 강동구 길동 458-6 </t>
  </si>
  <si>
    <t>서울특별시 강동구 천호대로177길 16 (길동)</t>
  </si>
  <si>
    <t>3240000-102-2011-00015</t>
  </si>
  <si>
    <t xml:space="preserve">서울특별시 강동구 길동 387-7 지하1층 </t>
  </si>
  <si>
    <t>서울특별시 강동구 양재대로111길 28, 지하1층 (길동)</t>
  </si>
  <si>
    <t>3240000-102-2012-00002</t>
  </si>
  <si>
    <t xml:space="preserve">서울특별시 강동구 길동 458-6번지 </t>
  </si>
  <si>
    <t>3240000-102-2012-00004</t>
  </si>
  <si>
    <t xml:space="preserve">서울특별시 강동구 길동 454-2 </t>
  </si>
  <si>
    <t>서울특별시 강동구 천호대로175길 11, 지1층 (길동)</t>
  </si>
  <si>
    <t>3240000-102-2011-00009</t>
  </si>
  <si>
    <t xml:space="preserve">서울특별시 강동구 천호동 415-32 지층 </t>
  </si>
  <si>
    <t>서울특별시 강동구 올림픽로70길 51 (천호동,지층)</t>
  </si>
  <si>
    <t>3240000-102-2011-00010</t>
  </si>
  <si>
    <t xml:space="preserve">서울특별시 강동구 길동 459 지상1층 </t>
  </si>
  <si>
    <t>서울특별시 강동구 천호대로177길 10 (길동,지상1층)</t>
  </si>
  <si>
    <t>3240000-102-2011-00011</t>
  </si>
  <si>
    <t xml:space="preserve">서울특별시 강동구 길동 458-3번지 (2층) </t>
  </si>
  <si>
    <t>서울특별시 강동구 진황도로 110 (길동,(2층))</t>
  </si>
  <si>
    <t>3240000-102-1975-05529</t>
  </si>
  <si>
    <t xml:space="preserve">서울특별시 강동구 천호동 412-2 </t>
  </si>
  <si>
    <t>서울특별시 강동구 천호대로157길 51 (천호동)</t>
  </si>
  <si>
    <t>3240000-102-2004-00004</t>
  </si>
  <si>
    <t xml:space="preserve">서울특별시 강동구 길동 413-50 </t>
  </si>
  <si>
    <t>서울특별시 강동구 천호대로177길 34 (길동)</t>
  </si>
  <si>
    <t>3240000-102-2001-12376</t>
  </si>
  <si>
    <t xml:space="preserve">서울특별시 강동구 길동 450-0번지 2층 </t>
  </si>
  <si>
    <t>서울특별시 강동구 천호대로175길 21 (길동,2층)</t>
  </si>
  <si>
    <t>3240000-102-2003-00008</t>
  </si>
  <si>
    <t xml:space="preserve">서울특별시 강동구 길동 413-13번지 지층 </t>
  </si>
  <si>
    <t>3240000-102-2001-12448</t>
  </si>
  <si>
    <t>3240000-102-2001-12761</t>
  </si>
  <si>
    <t xml:space="preserve">서울특별시 강동구 길동 447-1 2층 </t>
  </si>
  <si>
    <t>서울특별시 강동구 진황도로 92 (길동,2층)</t>
  </si>
  <si>
    <t>3240000-102-2001-13101</t>
  </si>
  <si>
    <t xml:space="preserve">서울특별시 강동구 길동 449-1번지 </t>
  </si>
  <si>
    <t>서울특별시 강동구 진황도로 96 (길동)</t>
  </si>
  <si>
    <t>3240000-102-2001-12988</t>
  </si>
  <si>
    <t xml:space="preserve">서울특별시 강동구 길동 387-15번지 </t>
  </si>
  <si>
    <t>서울특별시 강동구 양재대로111길 32 (길동)</t>
  </si>
  <si>
    <t>3240000-102-2001-13064</t>
  </si>
  <si>
    <t xml:space="preserve">서울특별시 강동구 길동 459-0번지 </t>
  </si>
  <si>
    <t>3240000-102-2001-12844</t>
  </si>
  <si>
    <t xml:space="preserve">서울특별시 강동구 천호동 454-39 </t>
  </si>
  <si>
    <t>서울특별시 강동구 올림픽로70길 52 (천호동)</t>
  </si>
  <si>
    <t>3240000-102-2014-00005</t>
  </si>
  <si>
    <t xml:space="preserve">서울특별시 강동구 길동 414-1 2층 </t>
  </si>
  <si>
    <t>3240000-102-1990-05558</t>
  </si>
  <si>
    <t xml:space="preserve">서울특별시 강동구 길동 387-14 </t>
  </si>
  <si>
    <t>서울특별시 강동구 천중로40길 71, 지1층 (길동)</t>
  </si>
  <si>
    <t>3240000-102-1983-05526</t>
  </si>
  <si>
    <t xml:space="preserve">서울특별시 강동구 길동 388-3 </t>
  </si>
  <si>
    <t>3240000-102-2014-00006</t>
  </si>
  <si>
    <t xml:space="preserve">서울특별시 강동구 길동 414 1 </t>
  </si>
  <si>
    <t>3240000-102-2000-11762</t>
  </si>
  <si>
    <t xml:space="preserve">서울특별시 강동구 길동 448-1번지 </t>
  </si>
  <si>
    <t>3240000-102-2012-00006</t>
  </si>
  <si>
    <t>서울특별시 강동구 진황도로 110, 2층 (길동)</t>
  </si>
  <si>
    <t>3240000-102-2015-00003</t>
  </si>
  <si>
    <t>서울특별시 강동구 천호동 427-29</t>
  </si>
  <si>
    <t>서울특별시 강동구 구천면로24길 28, 지1층 (천호동)</t>
  </si>
  <si>
    <t>3240000-102-2002-13269</t>
  </si>
  <si>
    <t>서울특별시 강동구 천호동 429-4</t>
  </si>
  <si>
    <t>서울특별시 강동구 올림픽로72길 13, 지1층 (천호동)</t>
  </si>
  <si>
    <t>3240000-102-2012-00007</t>
  </si>
  <si>
    <t>서울특별시 강동구 길동 389-4</t>
  </si>
  <si>
    <t>서울특별시 강동구 양재대로111길 8, 지1층 (길동)</t>
  </si>
  <si>
    <t>3240000-102-1990-05563</t>
  </si>
  <si>
    <t>서울특별시 강동구 천호대로 1135, 지1층 (길동)</t>
  </si>
  <si>
    <t>3240000-102-2008-00003</t>
  </si>
  <si>
    <t>서울특별시 강동구 길동 415-7 2층</t>
  </si>
  <si>
    <t>서울특별시 강동구 천호대로175길 55 (길동,2층)</t>
  </si>
  <si>
    <t>3240000-102-1999-10863</t>
  </si>
  <si>
    <t xml:space="preserve">서울특별시 강동구 길동 387-15 근영빌딩 </t>
  </si>
  <si>
    <t>서울특별시 강동구 양재대로111길 32, 근영빌딩 지1층 (길동)</t>
  </si>
  <si>
    <t>3240000-102-1999-10944</t>
  </si>
  <si>
    <t xml:space="preserve">서울특별시 강동구 길동 413-44번지 </t>
  </si>
  <si>
    <t>서울특별시 강동구 양재대로109길 7 (길동)</t>
  </si>
  <si>
    <t>3240000-102-1999-11046</t>
  </si>
  <si>
    <t xml:space="preserve">서울특별시 강동구 길동 458-2 </t>
  </si>
  <si>
    <t>3240000-102-2000-11976</t>
  </si>
  <si>
    <t xml:space="preserve">서울특별시 강동구 길동 454-1 일성오피스텔 지하 109호 </t>
  </si>
  <si>
    <t>서울특별시 강동구 천호대로 1121 (길동,일성오피스텔 지하 109호)</t>
  </si>
  <si>
    <t>3240000-102-2000-11999</t>
  </si>
  <si>
    <t xml:space="preserve">서울특별시 강동구 길동 413-50 미림빌딩 </t>
  </si>
  <si>
    <t>서울특별시 강동구 천호대로177길 34, 미림빌딩 2층 (길동)</t>
  </si>
  <si>
    <t>3240000-102-2000-12014</t>
  </si>
  <si>
    <t>3240000-102-2001-12105</t>
  </si>
  <si>
    <t xml:space="preserve">서울특별시 강동구 길동 413-51 </t>
  </si>
  <si>
    <t>서울특별시 강동구 진황도로 105 (길동)</t>
  </si>
  <si>
    <t>3240000-102-2001-13129</t>
  </si>
  <si>
    <t>3240000-102-2008-00006</t>
  </si>
  <si>
    <t xml:space="preserve">서울특별시 강동구 천호동 454-53 지하 </t>
  </si>
  <si>
    <t>서울특별시 강동구 천호대로157길 15 (천호동,지하)</t>
  </si>
  <si>
    <t>3240000-102-2008-00008</t>
  </si>
  <si>
    <t xml:space="preserve">서울특별시 강동구 길동 458-2번지 2층 201호 </t>
  </si>
  <si>
    <t>서울특별시 강동구 천호대로177길 16 (길동,2층 201호)</t>
  </si>
  <si>
    <t>3240000-102-2009-00002</t>
  </si>
  <si>
    <t xml:space="preserve">서울특별시 강동구 길동 387-7 </t>
  </si>
  <si>
    <t>서울특별시 강동구 양재대로111길 28, 1층 (길동)</t>
  </si>
  <si>
    <t>3240000-102-1999-11044</t>
  </si>
  <si>
    <t>3240000-102-1987-05564</t>
  </si>
  <si>
    <t xml:space="preserve">서울특별시 강동구 길동 459-2번지 </t>
  </si>
  <si>
    <t>3240000-102-2000-11669</t>
  </si>
  <si>
    <t>3240000-102-2000-12100</t>
  </si>
  <si>
    <t xml:space="preserve">서울특별시 강동구 길동 395-1번지 </t>
  </si>
  <si>
    <t>3240000-102-1999-10643</t>
  </si>
  <si>
    <t>서울특별시 강동구 천호동 454-25 ,26,27(3층)</t>
  </si>
  <si>
    <t>서울특별시 강동구 올림픽로70길 50 (천호동,,26,27(3층))</t>
  </si>
  <si>
    <t>3240000-102-2008-00009</t>
  </si>
  <si>
    <t>서울특별시 강동구 길동 413-10 지하1층</t>
  </si>
  <si>
    <t>서울특별시 강동구 천호대로177길 48 (길동,지하1층)</t>
  </si>
  <si>
    <t>3240000-102-2002-13540</t>
  </si>
  <si>
    <t xml:space="preserve">서울특별시 강동구 천호동 416-15번지 </t>
  </si>
  <si>
    <t>3240000-102-1989-05560</t>
  </si>
  <si>
    <t xml:space="preserve">서울특별시 강동구 길동 412-12번지 </t>
  </si>
  <si>
    <t>3240000-102-1989-05511</t>
  </si>
  <si>
    <t xml:space="preserve">서울특별시 강동구 길동 387-2번지 지하1층 </t>
  </si>
  <si>
    <t>서울특별시 강동구 천중로40길 67 (길동)</t>
  </si>
  <si>
    <t>3240000-102-1989-05559</t>
  </si>
  <si>
    <t xml:space="preserve">서울특별시 강동구 길동 387-1번지 </t>
  </si>
  <si>
    <t>3240000-102-1990-05573</t>
  </si>
  <si>
    <t xml:space="preserve">서울특별시 강동구 길동 455-0번지 </t>
  </si>
  <si>
    <t>3240000-102-2016-00001</t>
  </si>
  <si>
    <t xml:space="preserve">서울특별시 강동구 길동 389-2번지 지하1층 </t>
  </si>
  <si>
    <t>서울특별시 강동구 양재대로 1471 (길동)</t>
  </si>
  <si>
    <t>3240000-102-1990-05537</t>
  </si>
  <si>
    <t xml:space="preserve">서울특별시 강동구 길동 456-1 </t>
  </si>
  <si>
    <t>서울특별시 강동구 진황도로 98 (길동)</t>
  </si>
  <si>
    <t>3240000-102-1990-05522</t>
  </si>
  <si>
    <t xml:space="preserve">서울특별시 강동구 길동 416-20번지 지하1층 </t>
  </si>
  <si>
    <t>서울특별시 강동구 천호대로173길 39 (길동)</t>
  </si>
  <si>
    <t>3240000-102-1999-05548</t>
  </si>
  <si>
    <t xml:space="preserve">서울특별시 강동구 길동 458-0번지 지하1층 </t>
  </si>
  <si>
    <t>3240000-102-1999-10528</t>
  </si>
  <si>
    <t xml:space="preserve">서울특별시 강동구 길동 459-2 </t>
  </si>
  <si>
    <t>3240000-102-1988-05531</t>
  </si>
  <si>
    <t xml:space="preserve">서울특별시 강동구 길동 412-15 </t>
  </si>
  <si>
    <t>서울특별시 강동구 양재대로 1463-1 (길동)</t>
  </si>
  <si>
    <t>3240000-102-2000-11319</t>
  </si>
  <si>
    <t xml:space="preserve">서울특별시 강동구 길동 413-8번지 </t>
  </si>
  <si>
    <t>3240000-102-2000-11339</t>
  </si>
  <si>
    <t xml:space="preserve">서울특별시 강동구 천호동 417-5번지 5(1호) </t>
  </si>
  <si>
    <t>3240000-102-2000-11344</t>
  </si>
  <si>
    <t>3240000-102-2000-11593</t>
  </si>
  <si>
    <t xml:space="preserve">서울특별시 강동구 천호동 453-14번지 </t>
  </si>
  <si>
    <t>3240000-102-2000-11628</t>
  </si>
  <si>
    <t>3240000-102-2000-11629</t>
  </si>
  <si>
    <t>서울특별시 강동구 길동 459-2번지 5층호</t>
  </si>
  <si>
    <t>3240000-102-2000-11663</t>
  </si>
  <si>
    <t xml:space="preserve">서울특별시 강동구 명일동 47-4번지 </t>
  </si>
  <si>
    <t>3240000-102-2003-00003</t>
  </si>
  <si>
    <t xml:space="preserve">서울특별시 강동구 길동 446-2 </t>
  </si>
  <si>
    <t>서울특별시 강동구 진황도로 90 (길동)</t>
  </si>
  <si>
    <t>3240000-102-2000-11289</t>
  </si>
  <si>
    <t xml:space="preserve">서울특별시 강동구 길동 454-0번지 </t>
  </si>
  <si>
    <t>3240000-102-2007-00001</t>
  </si>
  <si>
    <t xml:space="preserve">서울특별시 강동구 천호동 416-10번지 </t>
  </si>
  <si>
    <t>3240000-102-2007-00002</t>
  </si>
  <si>
    <t xml:space="preserve">서울특별시 강동구 길동 457-4번지 2층 </t>
  </si>
  <si>
    <t>3240000-102-2007-00003</t>
  </si>
  <si>
    <t xml:space="preserve">서울특별시 강동구 천호동 416-10번지 지하1층 </t>
  </si>
  <si>
    <t>3240000-102-2007-00004</t>
  </si>
  <si>
    <t xml:space="preserve">서울특별시 강동구 길동 458-3번지 </t>
  </si>
  <si>
    <t>3240000-102-2009-00004</t>
  </si>
  <si>
    <t xml:space="preserve">서울특별시 강동구 길동 459-2 (206-2호) </t>
  </si>
  <si>
    <t>서울특별시 강동구 천호대로 1135 (길동,(206-2호))</t>
  </si>
  <si>
    <t>3240000-102-2004-00001</t>
  </si>
  <si>
    <t xml:space="preserve">서울특별시 강동구 천호동 425-14번지 </t>
  </si>
  <si>
    <t>3240000-102-2004-00002</t>
  </si>
  <si>
    <t>3240000-102-2007-00006</t>
  </si>
  <si>
    <t>3240000-102-2007-00007</t>
  </si>
  <si>
    <t>3240000-102-2007-00008</t>
  </si>
  <si>
    <t>서울특별시 강동구 천호대로 1131 (길동,2층)</t>
  </si>
  <si>
    <t>3240000-102-2000-11751</t>
  </si>
  <si>
    <t xml:space="preserve">서울특별시 강동구 길동 416-17번지 </t>
  </si>
  <si>
    <t>서울특별시 강동구 천호대로173길 41 (길동)</t>
  </si>
  <si>
    <t>3240000-102-2006-00008</t>
  </si>
  <si>
    <t xml:space="preserve">서울특별시 강동구 천호동 416-2번지 2층 </t>
  </si>
  <si>
    <t>서울특별시 강동구 구천면로24길 11-1 (천호동,2층)</t>
  </si>
  <si>
    <t>3240000-102-1985-05527</t>
  </si>
  <si>
    <t xml:space="preserve">서울특별시 강동구 길동 412-8번지 </t>
  </si>
  <si>
    <t>3240000-102-1985-05538</t>
  </si>
  <si>
    <t>3240000-102-1984-05553</t>
  </si>
  <si>
    <t xml:space="preserve">서울특별시 강동구 천호동 163-8번지 </t>
  </si>
  <si>
    <t>3240000-102-1984-05552</t>
  </si>
  <si>
    <t xml:space="preserve">서울특별시 강동구 천호동 427-29번지 32 </t>
  </si>
  <si>
    <t>3240000-102-1984-05544</t>
  </si>
  <si>
    <t xml:space="preserve">서울특별시 강동구 천호동 414-0번지 </t>
  </si>
  <si>
    <t>3240000-102-1984-05532</t>
  </si>
  <si>
    <t xml:space="preserve">서울특별시 강동구 길동 414-1번지 </t>
  </si>
  <si>
    <t>3240000-102-1984-05567</t>
  </si>
  <si>
    <t xml:space="preserve">서울특별시 강동구 천호동 430-4번지 </t>
  </si>
  <si>
    <t>3240000-102-1984-05536</t>
  </si>
  <si>
    <t xml:space="preserve">서울특별시 강동구 길동 415-18 </t>
  </si>
  <si>
    <t>서울특별시 강동구 진황도로 93 (길동)</t>
  </si>
  <si>
    <t>3240000-102-1984-05534</t>
  </si>
  <si>
    <t xml:space="preserve">서울특별시 강동구 길동 413-51번지 </t>
  </si>
  <si>
    <t>3240000-102-2002-13543</t>
  </si>
  <si>
    <t xml:space="preserve">서울특별시 강동구 명일동 47-10번지 지하1층 </t>
  </si>
  <si>
    <t>3240000-102-2002-13542</t>
  </si>
  <si>
    <t xml:space="preserve">서울특별시 강동구 명일동 48-5번지 </t>
  </si>
  <si>
    <t>3240000-102-2002-13544</t>
  </si>
  <si>
    <t>3240000-102-2002-13546</t>
  </si>
  <si>
    <t xml:space="preserve">서울특별시 강동구 천호동 425-5번지 </t>
  </si>
  <si>
    <t>3240000-102-2010-00004</t>
  </si>
  <si>
    <t xml:space="preserve">서울특별시 강동구 길동 415-15번지 2층 </t>
  </si>
  <si>
    <t>3240000-102-2010-00005</t>
  </si>
  <si>
    <t>3240000-102-1984-05512</t>
  </si>
  <si>
    <t xml:space="preserve">서울특별시 강동구 길동 458-1 </t>
  </si>
  <si>
    <t>서울특별시 강동구 진황도로 106 (길동)</t>
  </si>
  <si>
    <t>3240000-102-1984-05550</t>
  </si>
  <si>
    <t xml:space="preserve">서울특별시 강동구 길동 456-5번지 </t>
  </si>
  <si>
    <t>3240000-102-1984-05555</t>
  </si>
  <si>
    <t xml:space="preserve">서울특별시 강동구 천호동 419-3번지 </t>
  </si>
  <si>
    <t>3240000-102-1984-05608</t>
  </si>
  <si>
    <t xml:space="preserve">서울특별시 강동구 천호동 355-0번지 </t>
  </si>
  <si>
    <t>3240000-102-1984-05543</t>
  </si>
  <si>
    <t>3240000-102-1984-05561</t>
  </si>
  <si>
    <t xml:space="preserve">서울특별시 강동구 천호동 454-2번지 </t>
  </si>
  <si>
    <t>3240000-102-2005-00002</t>
  </si>
  <si>
    <t xml:space="preserve">서울특별시 강동구 길동 449-1 (2층) </t>
  </si>
  <si>
    <t>서울특별시 강동구 진황도로 96 (길동,(2층))</t>
  </si>
  <si>
    <t>3240000-102-2006-00006</t>
  </si>
  <si>
    <t xml:space="preserve">서울특별시 강동구 길동 450번지 3층 </t>
  </si>
  <si>
    <t>서울특별시 강동구 천호대로175길 21 (길동,3층)</t>
  </si>
  <si>
    <t>3240000-102-2002-13550</t>
  </si>
  <si>
    <t xml:space="preserve">서울특별시 강동구 길동 456-1번지 </t>
  </si>
  <si>
    <t>3240000-102-2002-13552</t>
  </si>
  <si>
    <t>3240000-102-2004-00005</t>
  </si>
  <si>
    <t xml:space="preserve">서울특별시 강동구 천호동 416-2번지 </t>
  </si>
  <si>
    <t>3240000-102-2004-00006</t>
  </si>
  <si>
    <t xml:space="preserve">서울특별시 강동구 천호동 416-6번지 </t>
  </si>
  <si>
    <t>3240000-102-2005-00001</t>
  </si>
  <si>
    <t xml:space="preserve">서울특별시 강동구 천호동 416-2 2층 </t>
  </si>
  <si>
    <t>3240000-102-2005-00003</t>
  </si>
  <si>
    <t xml:space="preserve">서울특별시 강동구 길동 456-4번지 </t>
  </si>
  <si>
    <t>서울특별시 강동구 천호대로175길 14 (길동)</t>
  </si>
  <si>
    <t>3240000-102-2006-00001</t>
  </si>
  <si>
    <t xml:space="preserve">서울특별시 강동구 천호동 416-5번지 지상 2층 </t>
  </si>
  <si>
    <t>서울특별시 강동구 구천면로24길 11 (천호동,지상 2층)</t>
  </si>
  <si>
    <t>3240000-102-2006-00002</t>
  </si>
  <si>
    <t xml:space="preserve">서울특별시 강동구 천호동 416-5번지 지하 1층 </t>
  </si>
  <si>
    <t>3240000-102-2006-00003</t>
  </si>
  <si>
    <t xml:space="preserve">서울특별시 강동구 천호동 449-49번지 지하1층 </t>
  </si>
  <si>
    <t>3240000-102-2006-00004</t>
  </si>
  <si>
    <t xml:space="preserve">서울특별시 강동구 길동 457-2번지 지상2층 </t>
  </si>
  <si>
    <t>3240000-102-2008-00001</t>
  </si>
  <si>
    <t xml:space="preserve">서울특별시 강동구 길동 457-4번지 </t>
  </si>
  <si>
    <t>서울특별시 강동구 천호대로 1131 (길동)</t>
  </si>
  <si>
    <t>3240000-102-2006-00007</t>
  </si>
  <si>
    <t xml:space="preserve">서울특별시 강동구 천호동 416-2번지 1층 </t>
  </si>
  <si>
    <t>서울특별시 강동구 구천면로24길 11-1 (천호동,1층)</t>
  </si>
  <si>
    <t>3240000-102-2012-00005</t>
  </si>
  <si>
    <t>3240000-102-1980-05519</t>
  </si>
  <si>
    <t xml:space="preserve">서울특별시 강동구 천호동 288-1번지 </t>
  </si>
  <si>
    <t>3240000-102-1980-05521</t>
  </si>
  <si>
    <t xml:space="preserve">서울특별시 강동구 천호동 432-11번지 </t>
  </si>
  <si>
    <t>3240000-102-1980-05525</t>
  </si>
  <si>
    <t>3240000-102-1985-05554</t>
  </si>
  <si>
    <t xml:space="preserve">서울특별시 강동구 천호동 455-20번지 </t>
  </si>
  <si>
    <t>3240000-102-1985-05570</t>
  </si>
  <si>
    <t xml:space="preserve">서울특별시 강동구 천호동 418-7번지 417-8,9 </t>
  </si>
  <si>
    <t>3240000-102-1985-05535</t>
  </si>
  <si>
    <t xml:space="preserve">서울특별시 강동구 천호동 416-9번지 </t>
  </si>
  <si>
    <t>3240000-102-1985-10806</t>
  </si>
  <si>
    <t xml:space="preserve">서울특별시 강동구 천호동 452-3번지 </t>
  </si>
  <si>
    <t>3240000-102-2002-13547</t>
  </si>
  <si>
    <t xml:space="preserve">서울특별시 강동구 길동 456-5번지 2층 </t>
  </si>
  <si>
    <t>3240000-102-2012-00001</t>
  </si>
  <si>
    <t>3240000-102-2012-00003</t>
  </si>
  <si>
    <t xml:space="preserve">서울특별시 강동구 천호동 454-53 </t>
  </si>
  <si>
    <t>서울특별시 강동구 천호대로157길 15 (천호동)</t>
  </si>
  <si>
    <t>3240000-102-1985-05577</t>
  </si>
  <si>
    <t>3240000-102-1985-05546</t>
  </si>
  <si>
    <t>3240000-102-1972-05566</t>
  </si>
  <si>
    <t xml:space="preserve">서울특별시 강동구 천호동 550-4번지 .5.6 </t>
  </si>
  <si>
    <t>3240000-102-1976-05609</t>
  </si>
  <si>
    <t>3240000-102-1978-05541</t>
  </si>
  <si>
    <t xml:space="preserve">서울특별시 강동구 천호동 557-2 </t>
  </si>
  <si>
    <t>서울특별시 강동구 진황도로 23-1 (천호동)</t>
  </si>
  <si>
    <t>3240000-102-1979-05565</t>
  </si>
  <si>
    <t>3240000-102-1980-05549</t>
  </si>
  <si>
    <t>3240000-102-1980-05514</t>
  </si>
  <si>
    <t xml:space="preserve">서울특별시 강동구 성내동 119-1번지 </t>
  </si>
  <si>
    <t>3240000-102-1980-05547</t>
  </si>
  <si>
    <t xml:space="preserve">서울특별시 강동구 길동 457-1번지 </t>
  </si>
  <si>
    <t>3240000-102-1980-05539</t>
  </si>
  <si>
    <t xml:space="preserve">서울특별시 강동구 길동 414-10번지 </t>
  </si>
  <si>
    <t>3240000-102-2001-13079</t>
  </si>
  <si>
    <t>3240000-102-2001-13077</t>
  </si>
  <si>
    <t xml:space="preserve">서울특별시 강동구 길동 459-2번지 ,402 </t>
  </si>
  <si>
    <t>3240000-102-2001-13093</t>
  </si>
  <si>
    <t xml:space="preserve">서울특별시 강동구 길동 415-7 지층 </t>
  </si>
  <si>
    <t>서울특별시 강동구 천호대로175길 55 (길동,지층)</t>
  </si>
  <si>
    <t>3240000-102-2001-13094</t>
  </si>
  <si>
    <t xml:space="preserve">서울특별시 강동구 길동 458-0번지 </t>
  </si>
  <si>
    <t>3240000-102-2001-12321</t>
  </si>
  <si>
    <t xml:space="preserve">서울특별시 강동구 길동 414-9번지 </t>
  </si>
  <si>
    <t>서울특별시 강동구 천호대로177길 41 (길동)</t>
  </si>
  <si>
    <t>3240000-102-2001-12435</t>
  </si>
  <si>
    <t xml:space="preserve">서울특별시 강동구 천호동 413-1번지 지하1층 </t>
  </si>
  <si>
    <t>3240000-102-2001-12470</t>
  </si>
  <si>
    <t xml:space="preserve">서울특별시 강동구 천호동 550-12번지 </t>
  </si>
  <si>
    <t>서울특별시 강동구 진황도로 9 (천호동)</t>
  </si>
  <si>
    <t>3240000-102-2001-12534</t>
  </si>
  <si>
    <t>3240000-102-2001-12658</t>
  </si>
  <si>
    <t>3240000-102-2001-12657</t>
  </si>
  <si>
    <t>3240000-102-2001-12797</t>
  </si>
  <si>
    <t>3240000-102-2001-12128</t>
  </si>
  <si>
    <t xml:space="preserve">서울특별시 강동구 길동 413-50번지 </t>
  </si>
  <si>
    <t>3240000-102-2001-12211</t>
  </si>
  <si>
    <t xml:space="preserve">서울특별시 강동구 천호동 427-29번지 </t>
  </si>
  <si>
    <t>서울특별시 강동구 구천면로24길 28 (천호동)</t>
  </si>
  <si>
    <t>3240000-102-2001-13128</t>
  </si>
  <si>
    <t xml:space="preserve">서울특별시 강동구 길동 459-2번지 중부빌딩502 </t>
  </si>
  <si>
    <t>3240000-102-2002-13231</t>
  </si>
  <si>
    <t xml:space="preserve">서울특별시 강동구 길동 458-3번지 ,4 </t>
  </si>
  <si>
    <t>3240000-102-2002-13394</t>
  </si>
  <si>
    <t xml:space="preserve">서울특별시 강동구 명일동 47-1번지 </t>
  </si>
  <si>
    <t>3240000-102-2002-13399</t>
  </si>
  <si>
    <t xml:space="preserve">서울특별시 강동구 명일동 47-10번지 </t>
  </si>
  <si>
    <t>3240000-102-2002-13421</t>
  </si>
  <si>
    <t xml:space="preserve">서울특별시 강동구 길동 414-4번지 </t>
  </si>
  <si>
    <t>3240000-102-2002-13534</t>
  </si>
  <si>
    <t>3240000-102-2001-12928</t>
  </si>
  <si>
    <t>3240000-102-2001-12968</t>
  </si>
  <si>
    <t xml:space="preserve">서울특별시 강동구 길동 414-18번지 2층 </t>
  </si>
  <si>
    <t>서울특별시 강동구 양재대로111길 27 (길동,2층)</t>
  </si>
  <si>
    <t>3240000-102-2001-13002</t>
  </si>
  <si>
    <t>3240000-102-2001-13018</t>
  </si>
  <si>
    <t>3240000-102-2001-13041</t>
  </si>
  <si>
    <t>3240000-102-2001-13042</t>
  </si>
  <si>
    <t>3240000-102-2001-12805</t>
  </si>
  <si>
    <t>3240000-102-2001-12879</t>
  </si>
  <si>
    <t xml:space="preserve">서울특별시 강동구 명일동 47-17번지 (지하1층) </t>
  </si>
  <si>
    <t>서울특별시 강동구 동남로75길 13-21 (명일동,(지하1층))</t>
  </si>
  <si>
    <t>3240000-102-2001-12890</t>
  </si>
  <si>
    <t>3240000-102-2001-12908</t>
  </si>
  <si>
    <t xml:space="preserve">서울특별시 강동구 길동 446-2번지 </t>
  </si>
  <si>
    <t>3240000-102-2002-13197</t>
  </si>
  <si>
    <t>3240000-102-1985-05533</t>
  </si>
  <si>
    <t xml:space="preserve">서울특별시 강동구 천호동 454-15번지 </t>
  </si>
  <si>
    <t>3240000-102-1981-05493</t>
  </si>
  <si>
    <t>3240000-102-1982-05585</t>
  </si>
  <si>
    <t>3240000-102-1982-05513</t>
  </si>
  <si>
    <t xml:space="preserve">서울특별시 강동구 길동 415-7번지 </t>
  </si>
  <si>
    <t>3240000-102-1983-05524</t>
  </si>
  <si>
    <t xml:space="preserve">서울특별시 강동구 천호동 453-19번지 </t>
  </si>
  <si>
    <t>3240000-102-2011-00004</t>
  </si>
  <si>
    <t xml:space="preserve">서울특별시 강동구 길동 415-16번지 지하 </t>
  </si>
  <si>
    <t>3240000-102-2003-00001</t>
  </si>
  <si>
    <t xml:space="preserve">서울특별시 강동구 길동 415-18번지 2층 </t>
  </si>
  <si>
    <t>서울특별시 강동구 진황도로 93 (길동,2층)</t>
  </si>
  <si>
    <t>3240000-102-2009-00005</t>
  </si>
  <si>
    <t>서울특별시 강동구 길동 459-2 2층 206-1호</t>
  </si>
  <si>
    <t>서울특별시 강동구 천호대로 1135, 206-1호 (길동,2층)</t>
  </si>
  <si>
    <t>3240000-102-2009-00006</t>
  </si>
  <si>
    <t>3240000-102-2009-00007</t>
  </si>
  <si>
    <t xml:space="preserve">서울특별시 강동구 천호동 413-1번지 </t>
  </si>
  <si>
    <t>서울특별시 강동구 천호대로157길 37 (천호동)</t>
  </si>
  <si>
    <t>3240000-102-1983-05582</t>
  </si>
  <si>
    <t>3240000-102-1983-05588</t>
  </si>
  <si>
    <t>3240000-102-2010-00007</t>
  </si>
  <si>
    <t xml:space="preserve">서울특별시 강동구 천호동 454-66번지 </t>
  </si>
  <si>
    <t>서울특별시 강동구 천호대로157길 11 (천호동)</t>
  </si>
  <si>
    <t>3240000-102-2010-00008</t>
  </si>
  <si>
    <t>3240000-102-2011-00001</t>
  </si>
  <si>
    <t>3240000-102-2011-00007</t>
  </si>
  <si>
    <t>3240000-102-2011-00008</t>
  </si>
  <si>
    <t>3240000-102-2008-00004</t>
  </si>
  <si>
    <t xml:space="preserve">서울특별시 강동구 천호동 430-14번지 지하1층 </t>
  </si>
  <si>
    <t>3240000-102-2008-00005</t>
  </si>
  <si>
    <t xml:space="preserve">서울특별시 강동구 길동 414-9번지 지하1층 </t>
  </si>
  <si>
    <t>서울특별시 강동구 천호대로177길 41 (길동,지하1층)</t>
  </si>
  <si>
    <t>3240000-102-1983-05607</t>
  </si>
  <si>
    <t xml:space="preserve">서울특별시 강동구 천호동 427-3번지 </t>
  </si>
  <si>
    <t>3240000-102-1983-05523</t>
  </si>
  <si>
    <t>3240000-102-1999-10632</t>
  </si>
  <si>
    <t xml:space="preserve">서울특별시 강동구 천호동 451-0번지 </t>
  </si>
  <si>
    <t>3240000-102-1983-05584</t>
  </si>
  <si>
    <t>3240000-102-1983-05576</t>
  </si>
  <si>
    <t xml:space="preserve">서울특별시 강동구 길동 459-3번지 </t>
  </si>
  <si>
    <t>3240000-102-1984-05551</t>
  </si>
  <si>
    <t>3240000-102-2015-00001</t>
  </si>
  <si>
    <t xml:space="preserve">서울특별시 강동구 길동 456 </t>
  </si>
  <si>
    <t>3240000-102-2015-00002</t>
  </si>
  <si>
    <t>3240000-102-2000-11781</t>
  </si>
  <si>
    <t>3240000-102-2000-11829</t>
  </si>
  <si>
    <t xml:space="preserve">서울특별시 강동구 길동 414-4번지 202호 </t>
  </si>
  <si>
    <t>3240000-102-2012-00008</t>
  </si>
  <si>
    <t xml:space="preserve">서울특별시 강동구 길동 415-7 2층 </t>
  </si>
  <si>
    <t>서울특별시 강동구 천호대로175길 55, 2층 (길동)</t>
  </si>
  <si>
    <t>3240000-102-1999-10676</t>
  </si>
  <si>
    <t xml:space="preserve">서울특별시 강동구 길동 450-1 </t>
  </si>
  <si>
    <t>서울특별시 강동구 천호대로175길 11-8 (길동)</t>
  </si>
  <si>
    <t>3240000-102-1999-10713</t>
  </si>
  <si>
    <t xml:space="preserve">서울특별시 강동구 길동 386-4번지 </t>
  </si>
  <si>
    <t>3240000-102-1999-10883</t>
  </si>
  <si>
    <t>3240000-102-1999-11023</t>
  </si>
  <si>
    <t xml:space="preserve">서울특별시 강동구 길동 387-13번지 </t>
  </si>
  <si>
    <t>3240000-102-2000-11932</t>
  </si>
  <si>
    <t>3240000-102-2008-00007</t>
  </si>
  <si>
    <t xml:space="preserve">서울특별시 강동구 길동 414-9번지 (2층) </t>
  </si>
  <si>
    <t>서울특별시 강동구 천호대로177길 41 (길동,(2층))</t>
  </si>
  <si>
    <t>3240000-102-2009-00003</t>
  </si>
  <si>
    <t>서울특별시 강동구 양재대로 1457 (길동)</t>
  </si>
  <si>
    <t>3240000-102-1999-11113</t>
  </si>
  <si>
    <t xml:space="preserve">서울특별시 강동구 길동 414-10번지 지하 </t>
  </si>
  <si>
    <t>3240000-102-1999-11192</t>
  </si>
  <si>
    <t xml:space="preserve">서울특별시 강동구 천호동 449-49번지 </t>
  </si>
  <si>
    <t>3240000-102-2013-00002</t>
  </si>
  <si>
    <t xml:space="preserve">서울특별시 강동구 길동 458-6 2층 </t>
  </si>
  <si>
    <t>서울특별시 강동구 천호대로177길 16 (길동,2층)</t>
  </si>
  <si>
    <t>3240000-102-2013-00004</t>
  </si>
  <si>
    <t xml:space="preserve">서울특별시 강동구 길동 387-13 지하 1층 </t>
  </si>
  <si>
    <t>서울특별시 강동구 천중로40길 69 (길동,지하 1층)</t>
  </si>
  <si>
    <t>3240000-102-1985-05557</t>
  </si>
  <si>
    <t xml:space="preserve">서울특별시 강동구 천호동 430-1번지 ,3 </t>
  </si>
  <si>
    <t>서울특별시 강동구 올림픽로70길 25 (천호동,,3)</t>
  </si>
  <si>
    <t>3240000-102-1986-05572</t>
  </si>
  <si>
    <t xml:space="preserve">서울특별시 강동구 천호동 420-6번지 </t>
  </si>
  <si>
    <t>3240000-102-1986-05578</t>
  </si>
  <si>
    <t>3240000-102-1986-05574</t>
  </si>
  <si>
    <t>3240000-102-1986-05586</t>
  </si>
  <si>
    <t xml:space="preserve">서울특별시 강동구 천호동 453-10번지 </t>
  </si>
  <si>
    <t>3240000-102-1986-05590</t>
  </si>
  <si>
    <t>3240000-102-1986-05575</t>
  </si>
  <si>
    <t xml:space="preserve">서울특별시 강동구 천호동 454-1번지 </t>
  </si>
  <si>
    <t>3240000-102-1986-05562</t>
  </si>
  <si>
    <t>3240000-102-1987-05515</t>
  </si>
  <si>
    <t>3240000-102-1987-05580</t>
  </si>
  <si>
    <t>3240000-102-1987-05589</t>
  </si>
  <si>
    <t>3240000-102-1987-05581</t>
  </si>
  <si>
    <t>3240000-102-2014-00001</t>
  </si>
  <si>
    <t>서울특별시 강동구 진황도로 90, 지1층 (길동)</t>
  </si>
  <si>
    <t>3240000-102-2014-00002</t>
  </si>
  <si>
    <t xml:space="preserve">서울특별시 강동구 길동 446-2 지하1층 </t>
  </si>
  <si>
    <t>3240000-102-2014-00004</t>
  </si>
  <si>
    <t>3240000-102-1988-05545</t>
  </si>
  <si>
    <t xml:space="preserve">서울특별시 강동구 천호동 429-2번지 </t>
  </si>
  <si>
    <t>3240000-102-1988-05583</t>
  </si>
  <si>
    <t>3240000-102-1988-05587</t>
  </si>
  <si>
    <t>3240000-102-1980-05530</t>
  </si>
  <si>
    <t xml:space="preserve">서울특별시 강동구 천호동 406-13번지 ,14 </t>
  </si>
  <si>
    <t>서울특별시 강동구 구천면로 211 (천호동,,14)</t>
  </si>
  <si>
    <t>3240000-102-1980-05540</t>
  </si>
  <si>
    <t xml:space="preserve">서울특별시 강동구 성내동 416-20번지 </t>
  </si>
  <si>
    <t>3240000-102-2002-13548</t>
  </si>
  <si>
    <t xml:space="preserve">서울특별시 강동구 길동 458-2번지 </t>
  </si>
  <si>
    <t>3240000-102-2002-13549</t>
  </si>
  <si>
    <t xml:space="preserve">서울특별시 강동구 천호동 425-71번지 </t>
  </si>
  <si>
    <t>3210000-102-2013-00001</t>
  </si>
  <si>
    <t>서울특별시 서초구 서초동 1308-10</t>
  </si>
  <si>
    <t>서울특별시 서초구 서초대로77길 37 (서초동)</t>
  </si>
  <si>
    <t>3080000-102-2009-00001</t>
  </si>
  <si>
    <t>서울특별시 강북구 수유동 229-14 지하1층</t>
  </si>
  <si>
    <t>서울특별시 강북구 도봉로 327, 지하1층 (수유동)</t>
  </si>
  <si>
    <t>3130000-102-2000-08655</t>
  </si>
  <si>
    <t>서울특별시 마포구 공덕동 256-13 지하1층 1,3,4,5,6호</t>
  </si>
  <si>
    <t>서울특별시 마포구 만리재로 15, 제일빌딩 지하층 1,3,4,5,6호 (공덕동)</t>
  </si>
  <si>
    <t>3220000-102-2019-00013</t>
  </si>
  <si>
    <t>서울특별시 강남구 논현동 18-2 렉스관광호텔</t>
  </si>
  <si>
    <t>서울특별시 강남구 강남대로 588, 렉스관광호텔 지하1,2층 (논현동)</t>
  </si>
  <si>
    <t>3000000-102-2015-00002</t>
  </si>
  <si>
    <t>서울특별시 종로구 종로5가 4-1 1층</t>
  </si>
  <si>
    <t>서울특별시 종로구 종로 253-1, 1층 (종로5가)</t>
  </si>
  <si>
    <t>3010000-102-2007-00012</t>
  </si>
  <si>
    <t>서울특별시 중구 초동 53-22 (지상2층)</t>
  </si>
  <si>
    <t>서울특별시 중구 마른내로2길 27 (초동,(지상2층))</t>
  </si>
  <si>
    <t>3000000-102-2002-00017</t>
  </si>
  <si>
    <t>서울특별시 종로구 낙원동 58-1 종로오피스텔 지하 1층 117호</t>
  </si>
  <si>
    <t>서울특별시 종로구 삼일대로30길 21 (낙원동,종로오피스텔 지하 1층 117호)</t>
  </si>
  <si>
    <t>3150000-102-1989-00783</t>
  </si>
  <si>
    <t>서울특별시 강서구 화곡동 1116-6 소암빌딩 지하 1층</t>
  </si>
  <si>
    <t>서울특별시 강서구 화곡로 336, 소암빌딩 지하 1층 (화곡동)</t>
  </si>
  <si>
    <t>3200000-102-2019-00007</t>
  </si>
  <si>
    <t>서울특별시 관악구 봉천동 857-1</t>
  </si>
  <si>
    <t>서울특별시 관악구 남부순환로 1830, 지하1층 전체호 (봉천동)</t>
  </si>
  <si>
    <t>3210000-102-2009-00004</t>
  </si>
  <si>
    <t>서울특별시 서초구 서초동 1308 삼미빌딩 지하1층 2호</t>
  </si>
  <si>
    <t>서울특별시 서초구 강남대로69길 11, 삼미빌딩 지하1층 2호 (서초동)</t>
  </si>
  <si>
    <t>3230000-102-2011-00006</t>
  </si>
  <si>
    <t>서울특별시 송파구 방이동 37-2 지하 1층</t>
  </si>
  <si>
    <t>서울특별시 송파구 오금로11길 23 (방이동,지하 1층)</t>
  </si>
  <si>
    <t>시</t>
    <phoneticPr fontId="18" type="noConversion"/>
  </si>
  <si>
    <t>구</t>
    <phoneticPr fontId="18" type="noConversion"/>
  </si>
  <si>
    <t>동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</si>
</sst>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DF76C-EB86-4F61-8DD8-006E618A5527}">
  <dimension ref="A1:I4976"/>
  <sheetViews>
    <sheetView tabSelected="1" zoomScale="70" zoomScaleNormal="70" workbookViewId="0">
      <selection activeCell="G3" sqref="G3"/>
    </sheetView>
  </sheetViews>
  <sheetFormatPr defaultRowHeight="17.399999999999999" x14ac:dyDescent="0.4"/>
  <cols>
    <col min="3" max="3" width="15.296875" customWidth="1"/>
    <col min="4" max="4" width="63.59765625" customWidth="1"/>
    <col min="5" max="7" width="22.59765625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12182</v>
      </c>
      <c r="F1" t="s">
        <v>12183</v>
      </c>
      <c r="G1" t="s">
        <v>12184</v>
      </c>
      <c r="H1" t="s">
        <v>4</v>
      </c>
      <c r="I1" t="s">
        <v>5</v>
      </c>
    </row>
    <row r="2" spans="1:9" x14ac:dyDescent="0.4">
      <c r="A2">
        <v>3220000</v>
      </c>
      <c r="B2" t="s">
        <v>9767</v>
      </c>
      <c r="C2" s="1">
        <v>30092</v>
      </c>
      <c r="D2" t="s">
        <v>9768</v>
      </c>
      <c r="E2" t="str">
        <f>LEFT(D2,5)</f>
        <v>서울특별시</v>
      </c>
      <c r="F2" t="str">
        <f>MID(D2,7,4)</f>
        <v xml:space="preserve">강남구 </v>
      </c>
      <c r="G2" t="str">
        <f>MID(SUBSTITUTE(D2," ",""),9,3)</f>
        <v>개포동</v>
      </c>
    </row>
    <row r="3" spans="1:9" x14ac:dyDescent="0.4">
      <c r="A3">
        <v>3220000</v>
      </c>
      <c r="B3" t="s">
        <v>10473</v>
      </c>
      <c r="C3" s="1">
        <v>32329</v>
      </c>
      <c r="D3" t="s">
        <v>9768</v>
      </c>
      <c r="E3" t="str">
        <f t="shared" ref="E3:E66" si="0">LEFT(D3,5)</f>
        <v>서울특별시</v>
      </c>
      <c r="F3" t="str">
        <f t="shared" ref="F3:F66" si="1">MID(D3,7,4)</f>
        <v xml:space="preserve">강남구 </v>
      </c>
      <c r="G3" t="str">
        <f t="shared" ref="G3:G66" si="2">MID(SUBSTITUTE(D3," ",""),9,3)</f>
        <v>개포동</v>
      </c>
    </row>
    <row r="4" spans="1:9" x14ac:dyDescent="0.4">
      <c r="A4">
        <v>3220000</v>
      </c>
      <c r="B4" t="s">
        <v>10482</v>
      </c>
      <c r="C4" s="1">
        <v>31394</v>
      </c>
      <c r="D4" t="s">
        <v>9768</v>
      </c>
      <c r="E4" t="str">
        <f t="shared" si="0"/>
        <v>서울특별시</v>
      </c>
      <c r="F4" t="str">
        <f t="shared" si="1"/>
        <v xml:space="preserve">강남구 </v>
      </c>
      <c r="G4" t="str">
        <f t="shared" si="2"/>
        <v>개포동</v>
      </c>
    </row>
    <row r="5" spans="1:9" x14ac:dyDescent="0.4">
      <c r="A5">
        <v>3220000</v>
      </c>
      <c r="B5" t="s">
        <v>10056</v>
      </c>
      <c r="C5" s="1">
        <v>33451</v>
      </c>
      <c r="D5" t="s">
        <v>10057</v>
      </c>
      <c r="E5" t="str">
        <f t="shared" si="0"/>
        <v>서울특별시</v>
      </c>
      <c r="F5" t="str">
        <f t="shared" si="1"/>
        <v xml:space="preserve">강남구 </v>
      </c>
      <c r="G5" t="str">
        <f t="shared" si="2"/>
        <v>논현동</v>
      </c>
      <c r="H5" t="s">
        <v>10058</v>
      </c>
      <c r="I5">
        <v>6058</v>
      </c>
    </row>
    <row r="6" spans="1:9" x14ac:dyDescent="0.4">
      <c r="A6">
        <v>3220000</v>
      </c>
      <c r="B6" t="s">
        <v>9729</v>
      </c>
      <c r="C6" s="1">
        <v>28423</v>
      </c>
      <c r="D6" t="s">
        <v>9730</v>
      </c>
      <c r="E6" t="str">
        <f t="shared" si="0"/>
        <v>서울특별시</v>
      </c>
      <c r="F6" t="str">
        <f t="shared" si="1"/>
        <v xml:space="preserve">강남구 </v>
      </c>
      <c r="G6" t="str">
        <f t="shared" si="2"/>
        <v>논현동</v>
      </c>
    </row>
    <row r="7" spans="1:9" x14ac:dyDescent="0.4">
      <c r="A7">
        <v>3220000</v>
      </c>
      <c r="B7" t="s">
        <v>192</v>
      </c>
      <c r="C7" s="1">
        <v>42219</v>
      </c>
      <c r="D7" t="s">
        <v>193</v>
      </c>
      <c r="E7" t="str">
        <f t="shared" si="0"/>
        <v>서울특별시</v>
      </c>
      <c r="F7" t="str">
        <f t="shared" si="1"/>
        <v xml:space="preserve">강남구 </v>
      </c>
      <c r="G7" t="str">
        <f t="shared" si="2"/>
        <v>논현동</v>
      </c>
      <c r="H7" t="s">
        <v>194</v>
      </c>
      <c r="I7">
        <v>6061</v>
      </c>
    </row>
    <row r="8" spans="1:9" x14ac:dyDescent="0.4">
      <c r="A8">
        <v>3220000</v>
      </c>
      <c r="B8" t="s">
        <v>10098</v>
      </c>
      <c r="C8" s="1">
        <v>33854</v>
      </c>
      <c r="D8" t="s">
        <v>10099</v>
      </c>
      <c r="E8" t="str">
        <f t="shared" si="0"/>
        <v>서울특별시</v>
      </c>
      <c r="F8" t="str">
        <f t="shared" si="1"/>
        <v xml:space="preserve">강남구 </v>
      </c>
      <c r="G8" t="str">
        <f t="shared" si="2"/>
        <v>논현동</v>
      </c>
    </row>
    <row r="9" spans="1:9" x14ac:dyDescent="0.4">
      <c r="A9">
        <v>3220000</v>
      </c>
      <c r="B9" t="s">
        <v>10209</v>
      </c>
      <c r="C9" s="1">
        <v>36585</v>
      </c>
      <c r="D9" t="s">
        <v>10210</v>
      </c>
      <c r="E9" t="str">
        <f t="shared" si="0"/>
        <v>서울특별시</v>
      </c>
      <c r="F9" t="str">
        <f t="shared" si="1"/>
        <v xml:space="preserve">강남구 </v>
      </c>
      <c r="G9" t="str">
        <f t="shared" si="2"/>
        <v>논현동</v>
      </c>
    </row>
    <row r="10" spans="1:9" x14ac:dyDescent="0.4">
      <c r="A10">
        <v>3220000</v>
      </c>
      <c r="B10" t="s">
        <v>9961</v>
      </c>
      <c r="C10" s="1">
        <v>38068</v>
      </c>
      <c r="D10" t="s">
        <v>9962</v>
      </c>
      <c r="E10" t="str">
        <f t="shared" si="0"/>
        <v>서울특별시</v>
      </c>
      <c r="F10" t="str">
        <f t="shared" si="1"/>
        <v xml:space="preserve">강남구 </v>
      </c>
      <c r="G10" t="str">
        <f t="shared" si="2"/>
        <v>논현동</v>
      </c>
      <c r="H10" t="s">
        <v>9963</v>
      </c>
      <c r="I10">
        <v>6060</v>
      </c>
    </row>
    <row r="11" spans="1:9" x14ac:dyDescent="0.4">
      <c r="A11">
        <v>3220000</v>
      </c>
      <c r="B11" t="s">
        <v>10988</v>
      </c>
      <c r="C11" s="1">
        <v>44671</v>
      </c>
      <c r="D11" t="s">
        <v>10989</v>
      </c>
      <c r="E11" t="str">
        <f t="shared" si="0"/>
        <v>서울특별시</v>
      </c>
      <c r="F11" t="str">
        <f t="shared" si="1"/>
        <v xml:space="preserve">강남구 </v>
      </c>
      <c r="G11" t="str">
        <f t="shared" si="2"/>
        <v>논현동</v>
      </c>
      <c r="H11" t="s">
        <v>10990</v>
      </c>
      <c r="I11">
        <v>6060</v>
      </c>
    </row>
    <row r="12" spans="1:9" x14ac:dyDescent="0.4">
      <c r="A12">
        <v>3220000</v>
      </c>
      <c r="B12" t="s">
        <v>10395</v>
      </c>
      <c r="C12" s="1">
        <v>36883</v>
      </c>
      <c r="D12" t="s">
        <v>10396</v>
      </c>
      <c r="E12" t="str">
        <f t="shared" si="0"/>
        <v>서울특별시</v>
      </c>
      <c r="F12" t="str">
        <f t="shared" si="1"/>
        <v xml:space="preserve">강남구 </v>
      </c>
      <c r="G12" t="str">
        <f t="shared" si="2"/>
        <v>논현동</v>
      </c>
    </row>
    <row r="13" spans="1:9" x14ac:dyDescent="0.4">
      <c r="A13">
        <v>3220000</v>
      </c>
      <c r="B13" t="s">
        <v>9944</v>
      </c>
      <c r="C13" s="1">
        <v>39987</v>
      </c>
      <c r="D13" t="s">
        <v>9945</v>
      </c>
      <c r="E13" t="str">
        <f t="shared" si="0"/>
        <v>서울특별시</v>
      </c>
      <c r="F13" t="str">
        <f t="shared" si="1"/>
        <v xml:space="preserve">강남구 </v>
      </c>
      <c r="G13" t="str">
        <f t="shared" si="2"/>
        <v>논현동</v>
      </c>
      <c r="H13" t="s">
        <v>9946</v>
      </c>
      <c r="I13">
        <v>6060</v>
      </c>
    </row>
    <row r="14" spans="1:9" x14ac:dyDescent="0.4">
      <c r="A14">
        <v>3220000</v>
      </c>
      <c r="B14" t="s">
        <v>10101</v>
      </c>
      <c r="C14" s="1">
        <v>42072</v>
      </c>
      <c r="D14" t="s">
        <v>10102</v>
      </c>
      <c r="E14" t="str">
        <f t="shared" si="0"/>
        <v>서울특별시</v>
      </c>
      <c r="F14" t="str">
        <f t="shared" si="1"/>
        <v xml:space="preserve">강남구 </v>
      </c>
      <c r="G14" t="str">
        <f t="shared" si="2"/>
        <v>논현동</v>
      </c>
      <c r="H14" t="s">
        <v>10103</v>
      </c>
      <c r="I14">
        <v>6114</v>
      </c>
    </row>
    <row r="15" spans="1:9" x14ac:dyDescent="0.4">
      <c r="A15">
        <v>3220000</v>
      </c>
      <c r="B15" t="s">
        <v>10527</v>
      </c>
      <c r="C15" s="1">
        <v>31421</v>
      </c>
      <c r="D15" t="s">
        <v>10102</v>
      </c>
      <c r="E15" t="str">
        <f t="shared" si="0"/>
        <v>서울특별시</v>
      </c>
      <c r="F15" t="str">
        <f t="shared" si="1"/>
        <v xml:space="preserve">강남구 </v>
      </c>
      <c r="G15" t="str">
        <f t="shared" si="2"/>
        <v>논현동</v>
      </c>
      <c r="H15" t="s">
        <v>10528</v>
      </c>
      <c r="I15">
        <v>6114</v>
      </c>
    </row>
    <row r="16" spans="1:9" x14ac:dyDescent="0.4">
      <c r="A16">
        <v>3220000</v>
      </c>
      <c r="B16" t="s">
        <v>10318</v>
      </c>
      <c r="C16" s="1">
        <v>31916</v>
      </c>
      <c r="D16" t="s">
        <v>10319</v>
      </c>
      <c r="E16" t="str">
        <f t="shared" si="0"/>
        <v>서울특별시</v>
      </c>
      <c r="F16" t="str">
        <f t="shared" si="1"/>
        <v xml:space="preserve">강남구 </v>
      </c>
      <c r="G16" t="str">
        <f t="shared" si="2"/>
        <v>논현동</v>
      </c>
      <c r="H16" t="s">
        <v>10320</v>
      </c>
      <c r="I16">
        <v>6116</v>
      </c>
    </row>
    <row r="17" spans="1:9" x14ac:dyDescent="0.4">
      <c r="A17">
        <v>3220000</v>
      </c>
      <c r="B17" t="s">
        <v>10409</v>
      </c>
      <c r="C17" s="1">
        <v>39552</v>
      </c>
      <c r="D17" t="s">
        <v>10319</v>
      </c>
      <c r="E17" t="str">
        <f t="shared" si="0"/>
        <v>서울특별시</v>
      </c>
      <c r="F17" t="str">
        <f t="shared" si="1"/>
        <v xml:space="preserve">강남구 </v>
      </c>
      <c r="G17" t="str">
        <f t="shared" si="2"/>
        <v>논현동</v>
      </c>
      <c r="H17" t="s">
        <v>10320</v>
      </c>
      <c r="I17">
        <v>6116</v>
      </c>
    </row>
    <row r="18" spans="1:9" x14ac:dyDescent="0.4">
      <c r="A18">
        <v>3220000</v>
      </c>
      <c r="B18" t="s">
        <v>10885</v>
      </c>
      <c r="C18" s="1">
        <v>31906</v>
      </c>
      <c r="D18" t="s">
        <v>10886</v>
      </c>
      <c r="E18" t="str">
        <f t="shared" si="0"/>
        <v>서울특별시</v>
      </c>
      <c r="F18" t="str">
        <f t="shared" si="1"/>
        <v xml:space="preserve">강남구 </v>
      </c>
      <c r="G18" t="str">
        <f t="shared" si="2"/>
        <v>논현동</v>
      </c>
      <c r="H18" t="s">
        <v>10887</v>
      </c>
      <c r="I18">
        <v>6116</v>
      </c>
    </row>
    <row r="19" spans="1:9" x14ac:dyDescent="0.4">
      <c r="A19">
        <v>3220000</v>
      </c>
      <c r="B19" t="s">
        <v>10555</v>
      </c>
      <c r="C19" s="1">
        <v>39758</v>
      </c>
      <c r="D19" t="s">
        <v>10556</v>
      </c>
      <c r="E19" t="str">
        <f t="shared" si="0"/>
        <v>서울특별시</v>
      </c>
      <c r="F19" t="str">
        <f t="shared" si="1"/>
        <v xml:space="preserve">강남구 </v>
      </c>
      <c r="G19" t="str">
        <f t="shared" si="2"/>
        <v>논현동</v>
      </c>
    </row>
    <row r="20" spans="1:9" x14ac:dyDescent="0.4">
      <c r="A20">
        <v>3220000</v>
      </c>
      <c r="B20" t="s">
        <v>10730</v>
      </c>
      <c r="C20" s="1">
        <v>36719</v>
      </c>
      <c r="D20" t="s">
        <v>10731</v>
      </c>
      <c r="E20" t="str">
        <f t="shared" si="0"/>
        <v>서울특별시</v>
      </c>
      <c r="F20" t="str">
        <f t="shared" si="1"/>
        <v xml:space="preserve">강남구 </v>
      </c>
      <c r="G20" t="str">
        <f t="shared" si="2"/>
        <v>논현동</v>
      </c>
      <c r="H20" t="s">
        <v>10732</v>
      </c>
      <c r="I20">
        <v>6116</v>
      </c>
    </row>
    <row r="21" spans="1:9" x14ac:dyDescent="0.4">
      <c r="A21">
        <v>3220000</v>
      </c>
      <c r="B21" t="s">
        <v>9480</v>
      </c>
      <c r="C21" s="1">
        <v>36719</v>
      </c>
      <c r="D21" t="s">
        <v>9481</v>
      </c>
      <c r="E21" t="str">
        <f t="shared" si="0"/>
        <v>서울특별시</v>
      </c>
      <c r="F21" t="str">
        <f t="shared" si="1"/>
        <v xml:space="preserve">강남구 </v>
      </c>
      <c r="G21" t="str">
        <f t="shared" si="2"/>
        <v>논현동</v>
      </c>
      <c r="H21" t="s">
        <v>9482</v>
      </c>
      <c r="I21">
        <v>6116</v>
      </c>
    </row>
    <row r="22" spans="1:9" x14ac:dyDescent="0.4">
      <c r="A22">
        <v>3220000</v>
      </c>
      <c r="B22" t="s">
        <v>10271</v>
      </c>
      <c r="C22" s="1">
        <v>36719</v>
      </c>
      <c r="D22" t="s">
        <v>10272</v>
      </c>
      <c r="E22" t="str">
        <f t="shared" si="0"/>
        <v>서울특별시</v>
      </c>
      <c r="F22" t="str">
        <f t="shared" si="1"/>
        <v xml:space="preserve">강남구 </v>
      </c>
      <c r="G22" t="str">
        <f t="shared" si="2"/>
        <v>논현동</v>
      </c>
      <c r="H22" t="s">
        <v>10273</v>
      </c>
      <c r="I22">
        <v>6116</v>
      </c>
    </row>
    <row r="23" spans="1:9" x14ac:dyDescent="0.4">
      <c r="A23">
        <v>3220000</v>
      </c>
      <c r="B23" t="s">
        <v>9545</v>
      </c>
      <c r="C23" s="1">
        <v>34150</v>
      </c>
      <c r="D23" t="s">
        <v>9546</v>
      </c>
      <c r="E23" t="str">
        <f t="shared" si="0"/>
        <v>서울특별시</v>
      </c>
      <c r="F23" t="str">
        <f t="shared" si="1"/>
        <v xml:space="preserve">강남구 </v>
      </c>
      <c r="G23" t="str">
        <f t="shared" si="2"/>
        <v>논현동</v>
      </c>
    </row>
    <row r="24" spans="1:9" x14ac:dyDescent="0.4">
      <c r="A24">
        <v>3220000</v>
      </c>
      <c r="B24" t="s">
        <v>10100</v>
      </c>
      <c r="C24" s="1">
        <v>34051</v>
      </c>
      <c r="D24" t="s">
        <v>9546</v>
      </c>
      <c r="E24" t="str">
        <f t="shared" si="0"/>
        <v>서울특별시</v>
      </c>
      <c r="F24" t="str">
        <f t="shared" si="1"/>
        <v xml:space="preserve">강남구 </v>
      </c>
      <c r="G24" t="str">
        <f t="shared" si="2"/>
        <v>논현동</v>
      </c>
    </row>
    <row r="25" spans="1:9" x14ac:dyDescent="0.4">
      <c r="A25">
        <v>3220000</v>
      </c>
      <c r="B25" t="s">
        <v>10120</v>
      </c>
      <c r="C25" s="1">
        <v>36942</v>
      </c>
      <c r="D25" t="s">
        <v>10121</v>
      </c>
      <c r="E25" t="str">
        <f t="shared" si="0"/>
        <v>서울특별시</v>
      </c>
      <c r="F25" t="str">
        <f t="shared" si="1"/>
        <v xml:space="preserve">강남구 </v>
      </c>
      <c r="G25" t="str">
        <f t="shared" si="2"/>
        <v>논현동</v>
      </c>
    </row>
    <row r="26" spans="1:9" x14ac:dyDescent="0.4">
      <c r="A26">
        <v>3220000</v>
      </c>
      <c r="B26" t="s">
        <v>10262</v>
      </c>
      <c r="C26" s="1">
        <v>30764</v>
      </c>
      <c r="D26" t="s">
        <v>10263</v>
      </c>
      <c r="E26" t="str">
        <f t="shared" si="0"/>
        <v>서울특별시</v>
      </c>
      <c r="F26" t="str">
        <f t="shared" si="1"/>
        <v xml:space="preserve">강남구 </v>
      </c>
      <c r="G26" t="str">
        <f t="shared" si="2"/>
        <v>논현동</v>
      </c>
    </row>
    <row r="27" spans="1:9" x14ac:dyDescent="0.4">
      <c r="A27">
        <v>3220000</v>
      </c>
      <c r="B27" t="s">
        <v>10124</v>
      </c>
      <c r="C27" s="1">
        <v>30436</v>
      </c>
      <c r="D27" t="s">
        <v>10125</v>
      </c>
      <c r="E27" t="str">
        <f t="shared" si="0"/>
        <v>서울특별시</v>
      </c>
      <c r="F27" t="str">
        <f t="shared" si="1"/>
        <v xml:space="preserve">강남구 </v>
      </c>
      <c r="G27" t="str">
        <f t="shared" si="2"/>
        <v>논현동</v>
      </c>
      <c r="H27" t="s">
        <v>10126</v>
      </c>
      <c r="I27">
        <v>6114</v>
      </c>
    </row>
    <row r="28" spans="1:9" x14ac:dyDescent="0.4">
      <c r="A28">
        <v>3220000</v>
      </c>
      <c r="B28" t="s">
        <v>10011</v>
      </c>
      <c r="C28" s="1">
        <v>28258</v>
      </c>
      <c r="D28" t="s">
        <v>10012</v>
      </c>
      <c r="E28" t="str">
        <f t="shared" si="0"/>
        <v>서울특별시</v>
      </c>
      <c r="F28" t="str">
        <f t="shared" si="1"/>
        <v xml:space="preserve">강남구 </v>
      </c>
      <c r="G28" t="str">
        <f t="shared" si="2"/>
        <v>논현동</v>
      </c>
      <c r="H28" t="s">
        <v>10013</v>
      </c>
      <c r="I28">
        <v>6114</v>
      </c>
    </row>
    <row r="29" spans="1:9" x14ac:dyDescent="0.4">
      <c r="A29">
        <v>3220000</v>
      </c>
      <c r="B29" t="s">
        <v>10478</v>
      </c>
      <c r="C29" s="1">
        <v>28999</v>
      </c>
      <c r="D29" t="s">
        <v>10479</v>
      </c>
      <c r="E29" t="str">
        <f t="shared" si="0"/>
        <v>서울특별시</v>
      </c>
      <c r="F29" t="str">
        <f t="shared" si="1"/>
        <v xml:space="preserve">강남구 </v>
      </c>
      <c r="G29" t="str">
        <f t="shared" si="2"/>
        <v>논현동</v>
      </c>
    </row>
    <row r="30" spans="1:9" x14ac:dyDescent="0.4">
      <c r="A30">
        <v>3220000</v>
      </c>
      <c r="B30" t="s">
        <v>9771</v>
      </c>
      <c r="C30" s="1">
        <v>30162</v>
      </c>
      <c r="D30" t="s">
        <v>9772</v>
      </c>
      <c r="E30" t="str">
        <f t="shared" si="0"/>
        <v>서울특별시</v>
      </c>
      <c r="F30" t="str">
        <f t="shared" si="1"/>
        <v xml:space="preserve">강남구 </v>
      </c>
      <c r="G30" t="str">
        <f t="shared" si="2"/>
        <v>논현동</v>
      </c>
    </row>
    <row r="31" spans="1:9" x14ac:dyDescent="0.4">
      <c r="A31">
        <v>3220000</v>
      </c>
      <c r="B31" t="s">
        <v>12158</v>
      </c>
      <c r="C31" s="1">
        <v>43784</v>
      </c>
      <c r="D31" t="s">
        <v>12159</v>
      </c>
      <c r="E31" t="str">
        <f t="shared" si="0"/>
        <v>서울특별시</v>
      </c>
      <c r="F31" t="str">
        <f t="shared" si="1"/>
        <v xml:space="preserve">강남구 </v>
      </c>
      <c r="G31" t="str">
        <f t="shared" si="2"/>
        <v>논현동</v>
      </c>
      <c r="H31" t="s">
        <v>12160</v>
      </c>
      <c r="I31">
        <v>6043</v>
      </c>
    </row>
    <row r="32" spans="1:9" x14ac:dyDescent="0.4">
      <c r="A32">
        <v>3220000</v>
      </c>
      <c r="B32" t="s">
        <v>11022</v>
      </c>
      <c r="C32" s="1">
        <v>45446</v>
      </c>
      <c r="D32" t="s">
        <v>11023</v>
      </c>
      <c r="E32" t="str">
        <f t="shared" si="0"/>
        <v>서울특별시</v>
      </c>
      <c r="F32" t="str">
        <f t="shared" si="1"/>
        <v xml:space="preserve">강남구 </v>
      </c>
      <c r="G32" t="str">
        <f t="shared" si="2"/>
        <v>논현동</v>
      </c>
      <c r="H32" t="s">
        <v>11024</v>
      </c>
      <c r="I32">
        <v>6043</v>
      </c>
    </row>
    <row r="33" spans="1:9" x14ac:dyDescent="0.4">
      <c r="A33">
        <v>3220000</v>
      </c>
      <c r="B33" t="s">
        <v>11025</v>
      </c>
      <c r="C33" s="1">
        <v>45446</v>
      </c>
      <c r="D33" t="s">
        <v>11023</v>
      </c>
      <c r="E33" t="str">
        <f t="shared" si="0"/>
        <v>서울특별시</v>
      </c>
      <c r="F33" t="str">
        <f t="shared" si="1"/>
        <v xml:space="preserve">강남구 </v>
      </c>
      <c r="G33" t="str">
        <f t="shared" si="2"/>
        <v>논현동</v>
      </c>
      <c r="H33" t="s">
        <v>11026</v>
      </c>
      <c r="I33">
        <v>6043</v>
      </c>
    </row>
    <row r="34" spans="1:9" x14ac:dyDescent="0.4">
      <c r="A34">
        <v>3220000</v>
      </c>
      <c r="B34" t="s">
        <v>10486</v>
      </c>
      <c r="C34" s="1">
        <v>41281</v>
      </c>
      <c r="D34" t="s">
        <v>10487</v>
      </c>
      <c r="E34" t="str">
        <f t="shared" si="0"/>
        <v>서울특별시</v>
      </c>
      <c r="F34" t="str">
        <f t="shared" si="1"/>
        <v xml:space="preserve">강남구 </v>
      </c>
      <c r="G34" t="str">
        <f t="shared" si="2"/>
        <v>논현동</v>
      </c>
      <c r="H34" t="s">
        <v>10488</v>
      </c>
      <c r="I34">
        <v>6043</v>
      </c>
    </row>
    <row r="35" spans="1:9" x14ac:dyDescent="0.4">
      <c r="A35">
        <v>3220000</v>
      </c>
      <c r="B35" t="s">
        <v>9865</v>
      </c>
      <c r="C35" s="1">
        <v>40876</v>
      </c>
      <c r="D35" t="s">
        <v>9866</v>
      </c>
      <c r="E35" t="str">
        <f t="shared" si="0"/>
        <v>서울특별시</v>
      </c>
      <c r="F35" t="str">
        <f t="shared" si="1"/>
        <v xml:space="preserve">강남구 </v>
      </c>
      <c r="G35" t="str">
        <f t="shared" si="2"/>
        <v>논현동</v>
      </c>
      <c r="H35" t="s">
        <v>9867</v>
      </c>
      <c r="I35">
        <v>6043</v>
      </c>
    </row>
    <row r="36" spans="1:9" x14ac:dyDescent="0.4">
      <c r="A36">
        <v>3220000</v>
      </c>
      <c r="B36" t="s">
        <v>9958</v>
      </c>
      <c r="C36" s="1">
        <v>38035</v>
      </c>
      <c r="D36" t="s">
        <v>9959</v>
      </c>
      <c r="E36" t="str">
        <f t="shared" si="0"/>
        <v>서울특별시</v>
      </c>
      <c r="F36" t="str">
        <f t="shared" si="1"/>
        <v xml:space="preserve">강남구 </v>
      </c>
      <c r="G36" t="str">
        <f t="shared" si="2"/>
        <v>논현동</v>
      </c>
      <c r="H36" t="s">
        <v>9960</v>
      </c>
      <c r="I36">
        <v>6043</v>
      </c>
    </row>
    <row r="37" spans="1:9" x14ac:dyDescent="0.4">
      <c r="A37">
        <v>3220000</v>
      </c>
      <c r="B37" t="s">
        <v>9939</v>
      </c>
      <c r="C37" s="1">
        <v>38035</v>
      </c>
      <c r="D37" t="s">
        <v>9940</v>
      </c>
      <c r="E37" t="str">
        <f t="shared" si="0"/>
        <v>서울특별시</v>
      </c>
      <c r="F37" t="str">
        <f t="shared" si="1"/>
        <v xml:space="preserve">강남구 </v>
      </c>
      <c r="G37" t="str">
        <f t="shared" si="2"/>
        <v>논현동</v>
      </c>
      <c r="H37" t="s">
        <v>9941</v>
      </c>
      <c r="I37">
        <v>6043</v>
      </c>
    </row>
    <row r="38" spans="1:9" x14ac:dyDescent="0.4">
      <c r="A38">
        <v>3220000</v>
      </c>
      <c r="B38" t="s">
        <v>10924</v>
      </c>
      <c r="C38" s="1">
        <v>36650</v>
      </c>
      <c r="D38" t="s">
        <v>10925</v>
      </c>
      <c r="E38" t="str">
        <f t="shared" si="0"/>
        <v>서울특별시</v>
      </c>
      <c r="F38" t="str">
        <f t="shared" si="1"/>
        <v xml:space="preserve">강남구 </v>
      </c>
      <c r="G38" t="str">
        <f t="shared" si="2"/>
        <v>논현동</v>
      </c>
      <c r="H38" t="s">
        <v>10926</v>
      </c>
      <c r="I38">
        <v>6122</v>
      </c>
    </row>
    <row r="39" spans="1:9" x14ac:dyDescent="0.4">
      <c r="A39">
        <v>3220000</v>
      </c>
      <c r="B39" t="s">
        <v>10431</v>
      </c>
      <c r="C39" s="1">
        <v>29742</v>
      </c>
      <c r="D39" t="s">
        <v>10432</v>
      </c>
      <c r="E39" t="str">
        <f t="shared" si="0"/>
        <v>서울특별시</v>
      </c>
      <c r="F39" t="str">
        <f t="shared" si="1"/>
        <v xml:space="preserve">강남구 </v>
      </c>
      <c r="G39" t="str">
        <f t="shared" si="2"/>
        <v>논현동</v>
      </c>
    </row>
    <row r="40" spans="1:9" x14ac:dyDescent="0.4">
      <c r="A40">
        <v>3220000</v>
      </c>
      <c r="B40" t="s">
        <v>9530</v>
      </c>
      <c r="C40" s="1">
        <v>36353</v>
      </c>
      <c r="D40" t="s">
        <v>9531</v>
      </c>
      <c r="E40" t="str">
        <f t="shared" si="0"/>
        <v>서울특별시</v>
      </c>
      <c r="F40" t="str">
        <f t="shared" si="1"/>
        <v xml:space="preserve">강남구 </v>
      </c>
      <c r="G40" t="str">
        <f t="shared" si="2"/>
        <v>논현동</v>
      </c>
      <c r="H40" t="s">
        <v>9532</v>
      </c>
      <c r="I40">
        <v>6038</v>
      </c>
    </row>
    <row r="41" spans="1:9" x14ac:dyDescent="0.4">
      <c r="A41">
        <v>3220000</v>
      </c>
      <c r="B41" t="s">
        <v>10563</v>
      </c>
      <c r="C41" s="1">
        <v>36508</v>
      </c>
      <c r="D41" t="s">
        <v>10564</v>
      </c>
      <c r="E41" t="str">
        <f t="shared" si="0"/>
        <v>서울특별시</v>
      </c>
      <c r="F41" t="str">
        <f t="shared" si="1"/>
        <v xml:space="preserve">강남구 </v>
      </c>
      <c r="G41" t="str">
        <f t="shared" si="2"/>
        <v>논현동</v>
      </c>
      <c r="H41" t="s">
        <v>10565</v>
      </c>
      <c r="I41">
        <v>6120</v>
      </c>
    </row>
    <row r="42" spans="1:9" x14ac:dyDescent="0.4">
      <c r="A42">
        <v>3220000</v>
      </c>
      <c r="B42" t="s">
        <v>10861</v>
      </c>
      <c r="C42" s="1">
        <v>36503</v>
      </c>
      <c r="D42" t="s">
        <v>10862</v>
      </c>
      <c r="E42" t="str">
        <f t="shared" si="0"/>
        <v>서울특별시</v>
      </c>
      <c r="F42" t="str">
        <f t="shared" si="1"/>
        <v xml:space="preserve">강남구 </v>
      </c>
      <c r="G42" t="str">
        <f t="shared" si="2"/>
        <v>논현동</v>
      </c>
      <c r="H42" t="s">
        <v>10863</v>
      </c>
      <c r="I42">
        <v>6120</v>
      </c>
    </row>
    <row r="43" spans="1:9" x14ac:dyDescent="0.4">
      <c r="A43">
        <v>3220000</v>
      </c>
      <c r="B43" t="s">
        <v>9453</v>
      </c>
      <c r="C43" s="1">
        <v>37155</v>
      </c>
      <c r="D43" t="s">
        <v>9454</v>
      </c>
      <c r="E43" t="str">
        <f t="shared" si="0"/>
        <v>서울특별시</v>
      </c>
      <c r="F43" t="str">
        <f t="shared" si="1"/>
        <v xml:space="preserve">강남구 </v>
      </c>
      <c r="G43" t="str">
        <f t="shared" si="2"/>
        <v>논현동</v>
      </c>
    </row>
    <row r="44" spans="1:9" x14ac:dyDescent="0.4">
      <c r="A44">
        <v>3220000</v>
      </c>
      <c r="B44" t="s">
        <v>9731</v>
      </c>
      <c r="C44" s="1">
        <v>28424</v>
      </c>
      <c r="D44" t="s">
        <v>9732</v>
      </c>
      <c r="E44" t="str">
        <f t="shared" si="0"/>
        <v>서울특별시</v>
      </c>
      <c r="F44" t="str">
        <f t="shared" si="1"/>
        <v xml:space="preserve">강남구 </v>
      </c>
      <c r="G44" t="str">
        <f t="shared" si="2"/>
        <v>논현동</v>
      </c>
      <c r="H44" t="s">
        <v>9733</v>
      </c>
      <c r="I44">
        <v>6120</v>
      </c>
    </row>
    <row r="45" spans="1:9" x14ac:dyDescent="0.4">
      <c r="A45">
        <v>3220000</v>
      </c>
      <c r="B45" t="s">
        <v>10584</v>
      </c>
      <c r="C45" s="1">
        <v>31555</v>
      </c>
      <c r="D45" t="s">
        <v>10585</v>
      </c>
      <c r="E45" t="str">
        <f t="shared" si="0"/>
        <v>서울특별시</v>
      </c>
      <c r="F45" t="str">
        <f t="shared" si="1"/>
        <v xml:space="preserve">강남구 </v>
      </c>
      <c r="G45" t="str">
        <f t="shared" si="2"/>
        <v>논현동</v>
      </c>
      <c r="H45" t="s">
        <v>10586</v>
      </c>
      <c r="I45">
        <v>6120</v>
      </c>
    </row>
    <row r="46" spans="1:9" x14ac:dyDescent="0.4">
      <c r="A46">
        <v>3220000</v>
      </c>
      <c r="B46" t="s">
        <v>9769</v>
      </c>
      <c r="C46" s="1">
        <v>30136</v>
      </c>
      <c r="D46" t="s">
        <v>9770</v>
      </c>
      <c r="E46" t="str">
        <f t="shared" si="0"/>
        <v>서울특별시</v>
      </c>
      <c r="F46" t="str">
        <f t="shared" si="1"/>
        <v xml:space="preserve">강남구 </v>
      </c>
      <c r="G46" t="str">
        <f t="shared" si="2"/>
        <v>논현동</v>
      </c>
    </row>
    <row r="47" spans="1:9" x14ac:dyDescent="0.4">
      <c r="A47">
        <v>3220000</v>
      </c>
      <c r="B47" t="s">
        <v>9597</v>
      </c>
      <c r="C47" s="1">
        <v>31285</v>
      </c>
      <c r="D47" t="s">
        <v>9598</v>
      </c>
      <c r="E47" t="str">
        <f t="shared" si="0"/>
        <v>서울특별시</v>
      </c>
      <c r="F47" t="str">
        <f t="shared" si="1"/>
        <v xml:space="preserve">강남구 </v>
      </c>
      <c r="G47" t="str">
        <f t="shared" si="2"/>
        <v>논현동</v>
      </c>
    </row>
    <row r="48" spans="1:9" x14ac:dyDescent="0.4">
      <c r="A48">
        <v>3220000</v>
      </c>
      <c r="B48" t="s">
        <v>10429</v>
      </c>
      <c r="C48" s="1">
        <v>29676</v>
      </c>
      <c r="D48" t="s">
        <v>10430</v>
      </c>
      <c r="E48" t="str">
        <f t="shared" si="0"/>
        <v>서울특별시</v>
      </c>
      <c r="F48" t="str">
        <f t="shared" si="1"/>
        <v xml:space="preserve">강남구 </v>
      </c>
      <c r="G48" t="str">
        <f t="shared" si="2"/>
        <v>논현동</v>
      </c>
    </row>
    <row r="49" spans="1:9" x14ac:dyDescent="0.4">
      <c r="A49">
        <v>3220000</v>
      </c>
      <c r="B49" t="s">
        <v>9862</v>
      </c>
      <c r="C49" s="1">
        <v>31789</v>
      </c>
      <c r="D49" t="s">
        <v>9863</v>
      </c>
      <c r="E49" t="str">
        <f t="shared" si="0"/>
        <v>서울특별시</v>
      </c>
      <c r="F49" t="str">
        <f t="shared" si="1"/>
        <v xml:space="preserve">강남구 </v>
      </c>
      <c r="G49" t="str">
        <f t="shared" si="2"/>
        <v>논현동</v>
      </c>
      <c r="H49" t="s">
        <v>9864</v>
      </c>
      <c r="I49">
        <v>6120</v>
      </c>
    </row>
    <row r="50" spans="1:9" x14ac:dyDescent="0.4">
      <c r="A50">
        <v>3220000</v>
      </c>
      <c r="B50" t="s">
        <v>9590</v>
      </c>
      <c r="C50" s="1">
        <v>32872</v>
      </c>
      <c r="D50" t="s">
        <v>9591</v>
      </c>
      <c r="E50" t="str">
        <f t="shared" si="0"/>
        <v>서울특별시</v>
      </c>
      <c r="F50" t="str">
        <f t="shared" si="1"/>
        <v xml:space="preserve">강남구 </v>
      </c>
      <c r="G50" t="str">
        <f t="shared" si="2"/>
        <v>논현동</v>
      </c>
    </row>
    <row r="51" spans="1:9" x14ac:dyDescent="0.4">
      <c r="A51">
        <v>3220000</v>
      </c>
      <c r="B51" t="s">
        <v>10109</v>
      </c>
      <c r="C51" s="1">
        <v>34309</v>
      </c>
      <c r="D51" t="s">
        <v>9591</v>
      </c>
      <c r="E51" t="str">
        <f t="shared" si="0"/>
        <v>서울특별시</v>
      </c>
      <c r="F51" t="str">
        <f t="shared" si="1"/>
        <v xml:space="preserve">강남구 </v>
      </c>
      <c r="G51" t="str">
        <f t="shared" si="2"/>
        <v>논현동</v>
      </c>
      <c r="H51" t="s">
        <v>10110</v>
      </c>
      <c r="I51">
        <v>6120</v>
      </c>
    </row>
    <row r="52" spans="1:9" x14ac:dyDescent="0.4">
      <c r="A52">
        <v>3220000</v>
      </c>
      <c r="B52" t="s">
        <v>10166</v>
      </c>
      <c r="C52" s="1">
        <v>30989</v>
      </c>
      <c r="D52" t="s">
        <v>9591</v>
      </c>
      <c r="E52" t="str">
        <f t="shared" si="0"/>
        <v>서울특별시</v>
      </c>
      <c r="F52" t="str">
        <f t="shared" si="1"/>
        <v xml:space="preserve">강남구 </v>
      </c>
      <c r="G52" t="str">
        <f t="shared" si="2"/>
        <v>논현동</v>
      </c>
    </row>
    <row r="53" spans="1:9" x14ac:dyDescent="0.4">
      <c r="A53">
        <v>3220000</v>
      </c>
      <c r="B53" t="s">
        <v>9496</v>
      </c>
      <c r="C53" s="1">
        <v>29188</v>
      </c>
      <c r="D53" t="s">
        <v>9497</v>
      </c>
      <c r="E53" t="str">
        <f t="shared" si="0"/>
        <v>서울특별시</v>
      </c>
      <c r="F53" t="str">
        <f t="shared" si="1"/>
        <v xml:space="preserve">강남구 </v>
      </c>
      <c r="G53" t="str">
        <f t="shared" si="2"/>
        <v>논현동</v>
      </c>
    </row>
    <row r="54" spans="1:9" x14ac:dyDescent="0.4">
      <c r="A54">
        <v>3220000</v>
      </c>
      <c r="B54" t="s">
        <v>9819</v>
      </c>
      <c r="C54" s="1">
        <v>36997</v>
      </c>
      <c r="D54" t="s">
        <v>9497</v>
      </c>
      <c r="E54" t="str">
        <f t="shared" si="0"/>
        <v>서울특별시</v>
      </c>
      <c r="F54" t="str">
        <f t="shared" si="1"/>
        <v xml:space="preserve">강남구 </v>
      </c>
      <c r="G54" t="str">
        <f t="shared" si="2"/>
        <v>논현동</v>
      </c>
      <c r="H54" t="s">
        <v>9820</v>
      </c>
      <c r="I54">
        <v>6120</v>
      </c>
    </row>
    <row r="55" spans="1:9" x14ac:dyDescent="0.4">
      <c r="A55">
        <v>3220000</v>
      </c>
      <c r="B55" t="s">
        <v>10388</v>
      </c>
      <c r="C55" s="1">
        <v>36857</v>
      </c>
      <c r="D55" t="s">
        <v>10389</v>
      </c>
      <c r="E55" t="str">
        <f t="shared" si="0"/>
        <v>서울특별시</v>
      </c>
      <c r="F55" t="str">
        <f t="shared" si="1"/>
        <v xml:space="preserve">강남구 </v>
      </c>
      <c r="G55" t="str">
        <f t="shared" si="2"/>
        <v>논현동</v>
      </c>
      <c r="H55" t="s">
        <v>10390</v>
      </c>
      <c r="I55">
        <v>6120</v>
      </c>
    </row>
    <row r="56" spans="1:9" x14ac:dyDescent="0.4">
      <c r="A56">
        <v>3220000</v>
      </c>
      <c r="B56" t="s">
        <v>10358</v>
      </c>
      <c r="C56" s="1">
        <v>37025</v>
      </c>
      <c r="D56" t="s">
        <v>10359</v>
      </c>
      <c r="E56" t="str">
        <f t="shared" si="0"/>
        <v>서울특별시</v>
      </c>
      <c r="F56" t="str">
        <f t="shared" si="1"/>
        <v xml:space="preserve">강남구 </v>
      </c>
      <c r="G56" t="str">
        <f t="shared" si="2"/>
        <v>논현동</v>
      </c>
      <c r="H56" t="s">
        <v>10360</v>
      </c>
      <c r="I56">
        <v>6121</v>
      </c>
    </row>
    <row r="57" spans="1:9" x14ac:dyDescent="0.4">
      <c r="A57">
        <v>3220000</v>
      </c>
      <c r="B57" t="s">
        <v>10963</v>
      </c>
      <c r="C57" s="1">
        <v>36662</v>
      </c>
      <c r="D57" t="s">
        <v>10359</v>
      </c>
      <c r="E57" t="str">
        <f t="shared" si="0"/>
        <v>서울특별시</v>
      </c>
      <c r="F57" t="str">
        <f t="shared" si="1"/>
        <v xml:space="preserve">강남구 </v>
      </c>
      <c r="G57" t="str">
        <f t="shared" si="2"/>
        <v>논현동</v>
      </c>
      <c r="H57" t="s">
        <v>10964</v>
      </c>
      <c r="I57">
        <v>6121</v>
      </c>
    </row>
    <row r="58" spans="1:9" x14ac:dyDescent="0.4">
      <c r="A58">
        <v>3220000</v>
      </c>
      <c r="B58" t="s">
        <v>10687</v>
      </c>
      <c r="C58" s="1">
        <v>37247</v>
      </c>
      <c r="D58" t="s">
        <v>10688</v>
      </c>
      <c r="E58" t="str">
        <f t="shared" si="0"/>
        <v>서울특별시</v>
      </c>
      <c r="F58" t="str">
        <f t="shared" si="1"/>
        <v xml:space="preserve">강남구 </v>
      </c>
      <c r="G58" t="str">
        <f t="shared" si="2"/>
        <v>논현동</v>
      </c>
      <c r="H58" t="s">
        <v>10689</v>
      </c>
      <c r="I58">
        <v>6121</v>
      </c>
    </row>
    <row r="59" spans="1:9" x14ac:dyDescent="0.4">
      <c r="A59">
        <v>3220000</v>
      </c>
      <c r="B59" t="s">
        <v>9758</v>
      </c>
      <c r="C59" s="1">
        <v>37117</v>
      </c>
      <c r="D59" t="s">
        <v>9759</v>
      </c>
      <c r="E59" t="str">
        <f t="shared" si="0"/>
        <v>서울특별시</v>
      </c>
      <c r="F59" t="str">
        <f t="shared" si="1"/>
        <v xml:space="preserve">강남구 </v>
      </c>
      <c r="G59" t="str">
        <f t="shared" si="2"/>
        <v>논현동</v>
      </c>
    </row>
    <row r="60" spans="1:9" x14ac:dyDescent="0.4">
      <c r="A60">
        <v>3220000</v>
      </c>
      <c r="B60" t="s">
        <v>10542</v>
      </c>
      <c r="C60" s="1">
        <v>31530</v>
      </c>
      <c r="D60" t="s">
        <v>10543</v>
      </c>
      <c r="E60" t="str">
        <f t="shared" si="0"/>
        <v>서울특별시</v>
      </c>
      <c r="F60" t="str">
        <f t="shared" si="1"/>
        <v xml:space="preserve">강남구 </v>
      </c>
      <c r="G60" t="str">
        <f t="shared" si="2"/>
        <v>논현동</v>
      </c>
      <c r="H60" t="s">
        <v>10544</v>
      </c>
      <c r="I60">
        <v>6121</v>
      </c>
    </row>
    <row r="61" spans="1:9" x14ac:dyDescent="0.4">
      <c r="A61">
        <v>3220000</v>
      </c>
      <c r="B61" t="s">
        <v>9522</v>
      </c>
      <c r="C61" s="1">
        <v>36468</v>
      </c>
      <c r="D61" t="s">
        <v>9523</v>
      </c>
      <c r="E61" t="str">
        <f t="shared" si="0"/>
        <v>서울특별시</v>
      </c>
      <c r="F61" t="str">
        <f t="shared" si="1"/>
        <v xml:space="preserve">강남구 </v>
      </c>
      <c r="G61" t="str">
        <f t="shared" si="2"/>
        <v>논현동</v>
      </c>
      <c r="H61" t="s">
        <v>9524</v>
      </c>
      <c r="I61">
        <v>6122</v>
      </c>
    </row>
    <row r="62" spans="1:9" x14ac:dyDescent="0.4">
      <c r="A62">
        <v>3220000</v>
      </c>
      <c r="B62" t="s">
        <v>10279</v>
      </c>
      <c r="C62" s="1">
        <v>37145</v>
      </c>
      <c r="D62" t="s">
        <v>10280</v>
      </c>
      <c r="E62" t="str">
        <f t="shared" si="0"/>
        <v>서울특별시</v>
      </c>
      <c r="F62" t="str">
        <f t="shared" si="1"/>
        <v xml:space="preserve">강남구 </v>
      </c>
      <c r="G62" t="str">
        <f t="shared" si="2"/>
        <v>논현동</v>
      </c>
      <c r="H62" t="s">
        <v>10281</v>
      </c>
      <c r="I62">
        <v>6122</v>
      </c>
    </row>
    <row r="63" spans="1:9" x14ac:dyDescent="0.4">
      <c r="A63">
        <v>3220000</v>
      </c>
      <c r="B63" t="s">
        <v>9736</v>
      </c>
      <c r="C63" s="1">
        <v>28810</v>
      </c>
      <c r="D63" t="s">
        <v>9737</v>
      </c>
      <c r="E63" t="str">
        <f t="shared" si="0"/>
        <v>서울특별시</v>
      </c>
      <c r="F63" t="str">
        <f t="shared" si="1"/>
        <v xml:space="preserve">강남구 </v>
      </c>
      <c r="G63" t="str">
        <f t="shared" si="2"/>
        <v>논현동</v>
      </c>
    </row>
    <row r="64" spans="1:9" x14ac:dyDescent="0.4">
      <c r="A64">
        <v>3220000</v>
      </c>
      <c r="B64" t="s">
        <v>10930</v>
      </c>
      <c r="C64" s="1">
        <v>36871</v>
      </c>
      <c r="D64" t="s">
        <v>10931</v>
      </c>
      <c r="E64" t="str">
        <f t="shared" si="0"/>
        <v>서울특별시</v>
      </c>
      <c r="F64" t="str">
        <f t="shared" si="1"/>
        <v xml:space="preserve">강남구 </v>
      </c>
      <c r="G64" t="str">
        <f t="shared" si="2"/>
        <v>논현동</v>
      </c>
      <c r="H64" t="s">
        <v>10932</v>
      </c>
      <c r="I64">
        <v>6105</v>
      </c>
    </row>
    <row r="65" spans="1:9" x14ac:dyDescent="0.4">
      <c r="A65">
        <v>3220000</v>
      </c>
      <c r="B65" t="s">
        <v>10321</v>
      </c>
      <c r="C65" s="1">
        <v>31919</v>
      </c>
      <c r="D65" t="s">
        <v>10322</v>
      </c>
      <c r="E65" t="str">
        <f t="shared" si="0"/>
        <v>서울특별시</v>
      </c>
      <c r="F65" t="str">
        <f t="shared" si="1"/>
        <v xml:space="preserve">강남구 </v>
      </c>
      <c r="G65" t="str">
        <f t="shared" si="2"/>
        <v>논현동</v>
      </c>
    </row>
    <row r="66" spans="1:9" x14ac:dyDescent="0.4">
      <c r="A66">
        <v>3220000</v>
      </c>
      <c r="B66" t="s">
        <v>10784</v>
      </c>
      <c r="C66" s="1">
        <v>36494</v>
      </c>
      <c r="D66" t="s">
        <v>10785</v>
      </c>
      <c r="E66" t="str">
        <f t="shared" si="0"/>
        <v>서울특별시</v>
      </c>
      <c r="F66" t="str">
        <f t="shared" si="1"/>
        <v xml:space="preserve">강남구 </v>
      </c>
      <c r="G66" t="str">
        <f t="shared" si="2"/>
        <v>논현동</v>
      </c>
      <c r="H66" t="s">
        <v>10786</v>
      </c>
      <c r="I66">
        <v>6038</v>
      </c>
    </row>
    <row r="67" spans="1:9" x14ac:dyDescent="0.4">
      <c r="A67">
        <v>3220000</v>
      </c>
      <c r="B67" t="s">
        <v>11054</v>
      </c>
      <c r="C67" s="1">
        <v>32276</v>
      </c>
      <c r="D67" t="s">
        <v>11055</v>
      </c>
      <c r="E67" t="str">
        <f t="shared" ref="E67:E130" si="3">LEFT(D67,5)</f>
        <v>서울특별시</v>
      </c>
      <c r="F67" t="str">
        <f t="shared" ref="F67:F130" si="4">MID(D67,7,4)</f>
        <v xml:space="preserve">강남구 </v>
      </c>
      <c r="G67" t="str">
        <f t="shared" ref="G67:G130" si="5">MID(SUBSTITUTE(D67," ",""),9,3)</f>
        <v>논현동</v>
      </c>
      <c r="H67" t="s">
        <v>11056</v>
      </c>
      <c r="I67">
        <v>6106</v>
      </c>
    </row>
    <row r="68" spans="1:9" x14ac:dyDescent="0.4">
      <c r="A68">
        <v>3220000</v>
      </c>
      <c r="B68" t="s">
        <v>9849</v>
      </c>
      <c r="C68" s="1">
        <v>31714</v>
      </c>
      <c r="D68" t="s">
        <v>9850</v>
      </c>
      <c r="E68" t="str">
        <f t="shared" si="3"/>
        <v>서울특별시</v>
      </c>
      <c r="F68" t="str">
        <f t="shared" si="4"/>
        <v xml:space="preserve">강남구 </v>
      </c>
      <c r="G68" t="str">
        <f t="shared" si="5"/>
        <v>논현동</v>
      </c>
    </row>
    <row r="69" spans="1:9" x14ac:dyDescent="0.4">
      <c r="A69">
        <v>3220000</v>
      </c>
      <c r="B69" t="s">
        <v>9844</v>
      </c>
      <c r="C69" s="1">
        <v>31666</v>
      </c>
      <c r="D69" t="s">
        <v>9845</v>
      </c>
      <c r="E69" t="str">
        <f t="shared" si="3"/>
        <v>서울특별시</v>
      </c>
      <c r="F69" t="str">
        <f t="shared" si="4"/>
        <v xml:space="preserve">강남구 </v>
      </c>
      <c r="G69" t="str">
        <f t="shared" si="5"/>
        <v>논현동</v>
      </c>
    </row>
    <row r="70" spans="1:9" x14ac:dyDescent="0.4">
      <c r="A70">
        <v>3220000</v>
      </c>
      <c r="B70" t="s">
        <v>9914</v>
      </c>
      <c r="C70" s="1">
        <v>36735</v>
      </c>
      <c r="D70" t="s">
        <v>9845</v>
      </c>
      <c r="E70" t="str">
        <f t="shared" si="3"/>
        <v>서울특별시</v>
      </c>
      <c r="F70" t="str">
        <f t="shared" si="4"/>
        <v xml:space="preserve">강남구 </v>
      </c>
      <c r="G70" t="str">
        <f t="shared" si="5"/>
        <v>논현동</v>
      </c>
      <c r="H70" t="s">
        <v>9915</v>
      </c>
      <c r="I70">
        <v>6109</v>
      </c>
    </row>
    <row r="71" spans="1:9" x14ac:dyDescent="0.4">
      <c r="A71">
        <v>3220000</v>
      </c>
      <c r="B71" t="s">
        <v>9623</v>
      </c>
      <c r="C71" s="1">
        <v>36710</v>
      </c>
      <c r="D71" t="s">
        <v>9624</v>
      </c>
      <c r="E71" t="str">
        <f t="shared" si="3"/>
        <v>서울특별시</v>
      </c>
      <c r="F71" t="str">
        <f t="shared" si="4"/>
        <v xml:space="preserve">강남구 </v>
      </c>
      <c r="G71" t="str">
        <f t="shared" si="5"/>
        <v>논현동</v>
      </c>
      <c r="H71" t="s">
        <v>9625</v>
      </c>
      <c r="I71">
        <v>6109</v>
      </c>
    </row>
    <row r="72" spans="1:9" x14ac:dyDescent="0.4">
      <c r="A72">
        <v>3220000</v>
      </c>
      <c r="B72" t="s">
        <v>9511</v>
      </c>
      <c r="C72" s="1">
        <v>36453</v>
      </c>
      <c r="D72" t="s">
        <v>9512</v>
      </c>
      <c r="E72" t="str">
        <f t="shared" si="3"/>
        <v>서울특별시</v>
      </c>
      <c r="F72" t="str">
        <f t="shared" si="4"/>
        <v xml:space="preserve">강남구 </v>
      </c>
      <c r="G72" t="str">
        <f t="shared" si="5"/>
        <v>논현동</v>
      </c>
      <c r="H72" t="s">
        <v>9513</v>
      </c>
      <c r="I72">
        <v>6109</v>
      </c>
    </row>
    <row r="73" spans="1:9" x14ac:dyDescent="0.4">
      <c r="A73">
        <v>3220000</v>
      </c>
      <c r="B73" t="s">
        <v>10026</v>
      </c>
      <c r="C73" s="1">
        <v>43944</v>
      </c>
      <c r="D73" t="s">
        <v>10027</v>
      </c>
      <c r="E73" t="str">
        <f t="shared" si="3"/>
        <v>서울특별시</v>
      </c>
      <c r="F73" t="str">
        <f t="shared" si="4"/>
        <v xml:space="preserve">강남구 </v>
      </c>
      <c r="G73" t="str">
        <f t="shared" si="5"/>
        <v>논현동</v>
      </c>
      <c r="H73" t="s">
        <v>10028</v>
      </c>
      <c r="I73">
        <v>6109</v>
      </c>
    </row>
    <row r="74" spans="1:9" x14ac:dyDescent="0.4">
      <c r="A74">
        <v>3220000</v>
      </c>
      <c r="B74" t="s">
        <v>10029</v>
      </c>
      <c r="C74" s="1">
        <v>43944</v>
      </c>
      <c r="D74" t="s">
        <v>10027</v>
      </c>
      <c r="E74" t="str">
        <f t="shared" si="3"/>
        <v>서울특별시</v>
      </c>
      <c r="F74" t="str">
        <f t="shared" si="4"/>
        <v xml:space="preserve">강남구 </v>
      </c>
      <c r="G74" t="str">
        <f t="shared" si="5"/>
        <v>논현동</v>
      </c>
      <c r="H74" t="s">
        <v>10030</v>
      </c>
      <c r="I74">
        <v>6109</v>
      </c>
    </row>
    <row r="75" spans="1:9" x14ac:dyDescent="0.4">
      <c r="A75">
        <v>3220000</v>
      </c>
      <c r="B75" t="s">
        <v>9469</v>
      </c>
      <c r="C75" s="1">
        <v>40641</v>
      </c>
      <c r="D75" t="s">
        <v>9470</v>
      </c>
      <c r="E75" t="str">
        <f t="shared" si="3"/>
        <v>서울특별시</v>
      </c>
      <c r="F75" t="str">
        <f t="shared" si="4"/>
        <v xml:space="preserve">강남구 </v>
      </c>
      <c r="G75" t="str">
        <f t="shared" si="5"/>
        <v>논현동</v>
      </c>
      <c r="H75" t="s">
        <v>9471</v>
      </c>
      <c r="I75">
        <v>6109</v>
      </c>
    </row>
    <row r="76" spans="1:9" x14ac:dyDescent="0.4">
      <c r="A76">
        <v>3220000</v>
      </c>
      <c r="B76" t="s">
        <v>9634</v>
      </c>
      <c r="C76" s="1">
        <v>36671</v>
      </c>
      <c r="D76" t="s">
        <v>9470</v>
      </c>
      <c r="E76" t="str">
        <f t="shared" si="3"/>
        <v>서울특별시</v>
      </c>
      <c r="F76" t="str">
        <f t="shared" si="4"/>
        <v xml:space="preserve">강남구 </v>
      </c>
      <c r="G76" t="str">
        <f t="shared" si="5"/>
        <v>논현동</v>
      </c>
    </row>
    <row r="77" spans="1:9" x14ac:dyDescent="0.4">
      <c r="A77">
        <v>3220000</v>
      </c>
      <c r="B77" t="s">
        <v>10089</v>
      </c>
      <c r="C77" s="1">
        <v>42620</v>
      </c>
      <c r="D77" t="s">
        <v>9470</v>
      </c>
      <c r="E77" t="str">
        <f t="shared" si="3"/>
        <v>서울특별시</v>
      </c>
      <c r="F77" t="str">
        <f t="shared" si="4"/>
        <v xml:space="preserve">강남구 </v>
      </c>
      <c r="G77" t="str">
        <f t="shared" si="5"/>
        <v>논현동</v>
      </c>
      <c r="H77" t="s">
        <v>10090</v>
      </c>
      <c r="I77">
        <v>6109</v>
      </c>
    </row>
    <row r="78" spans="1:9" x14ac:dyDescent="0.4">
      <c r="A78">
        <v>3220000</v>
      </c>
      <c r="B78" t="s">
        <v>10290</v>
      </c>
      <c r="C78" s="1">
        <v>40654</v>
      </c>
      <c r="D78" t="s">
        <v>9470</v>
      </c>
      <c r="E78" t="str">
        <f t="shared" si="3"/>
        <v>서울특별시</v>
      </c>
      <c r="F78" t="str">
        <f t="shared" si="4"/>
        <v xml:space="preserve">강남구 </v>
      </c>
      <c r="G78" t="str">
        <f t="shared" si="5"/>
        <v>논현동</v>
      </c>
      <c r="H78" t="s">
        <v>9471</v>
      </c>
      <c r="I78">
        <v>6109</v>
      </c>
    </row>
    <row r="79" spans="1:9" x14ac:dyDescent="0.4">
      <c r="A79">
        <v>3220000</v>
      </c>
      <c r="B79" t="s">
        <v>10328</v>
      </c>
      <c r="C79" s="1">
        <v>40386</v>
      </c>
      <c r="D79" t="s">
        <v>9470</v>
      </c>
      <c r="E79" t="str">
        <f t="shared" si="3"/>
        <v>서울특별시</v>
      </c>
      <c r="F79" t="str">
        <f t="shared" si="4"/>
        <v xml:space="preserve">강남구 </v>
      </c>
      <c r="G79" t="str">
        <f t="shared" si="5"/>
        <v>논현동</v>
      </c>
      <c r="H79" t="s">
        <v>10329</v>
      </c>
      <c r="I79">
        <v>6109</v>
      </c>
    </row>
    <row r="80" spans="1:9" x14ac:dyDescent="0.4">
      <c r="A80">
        <v>3220000</v>
      </c>
      <c r="B80" t="s">
        <v>9504</v>
      </c>
      <c r="C80" s="1">
        <v>43451</v>
      </c>
      <c r="D80" t="s">
        <v>9505</v>
      </c>
      <c r="E80" t="str">
        <f t="shared" si="3"/>
        <v>서울특별시</v>
      </c>
      <c r="F80" t="str">
        <f t="shared" si="4"/>
        <v xml:space="preserve">강남구 </v>
      </c>
      <c r="G80" t="str">
        <f t="shared" si="5"/>
        <v>논현동</v>
      </c>
      <c r="H80" t="s">
        <v>9506</v>
      </c>
      <c r="I80">
        <v>6109</v>
      </c>
    </row>
    <row r="81" spans="1:9" x14ac:dyDescent="0.4">
      <c r="A81">
        <v>3220000</v>
      </c>
      <c r="B81" t="s">
        <v>9477</v>
      </c>
      <c r="C81" s="1">
        <v>41094</v>
      </c>
      <c r="D81" t="s">
        <v>9478</v>
      </c>
      <c r="E81" t="str">
        <f t="shared" si="3"/>
        <v>서울특별시</v>
      </c>
      <c r="F81" t="str">
        <f t="shared" si="4"/>
        <v xml:space="preserve">강남구 </v>
      </c>
      <c r="G81" t="str">
        <f t="shared" si="5"/>
        <v>논현동</v>
      </c>
      <c r="H81" t="s">
        <v>9479</v>
      </c>
      <c r="I81">
        <v>6109</v>
      </c>
    </row>
    <row r="82" spans="1:9" x14ac:dyDescent="0.4">
      <c r="A82">
        <v>3220000</v>
      </c>
      <c r="B82" t="s">
        <v>9458</v>
      </c>
      <c r="C82" s="1">
        <v>40548</v>
      </c>
      <c r="D82" t="s">
        <v>9459</v>
      </c>
      <c r="E82" t="str">
        <f t="shared" si="3"/>
        <v>서울특별시</v>
      </c>
      <c r="F82" t="str">
        <f t="shared" si="4"/>
        <v xml:space="preserve">강남구 </v>
      </c>
      <c r="G82" t="str">
        <f t="shared" si="5"/>
        <v>논현동</v>
      </c>
      <c r="H82" t="s">
        <v>9460</v>
      </c>
      <c r="I82">
        <v>6109</v>
      </c>
    </row>
    <row r="83" spans="1:9" x14ac:dyDescent="0.4">
      <c r="A83">
        <v>3220000</v>
      </c>
      <c r="B83" t="s">
        <v>10828</v>
      </c>
      <c r="C83" s="1">
        <v>39345</v>
      </c>
      <c r="D83" t="s">
        <v>10829</v>
      </c>
      <c r="E83" t="str">
        <f t="shared" si="3"/>
        <v>서울특별시</v>
      </c>
      <c r="F83" t="str">
        <f t="shared" si="4"/>
        <v xml:space="preserve">강남구 </v>
      </c>
      <c r="G83" t="str">
        <f t="shared" si="5"/>
        <v>논현동</v>
      </c>
      <c r="H83" t="s">
        <v>10830</v>
      </c>
      <c r="I83">
        <v>6109</v>
      </c>
    </row>
    <row r="84" spans="1:9" x14ac:dyDescent="0.4">
      <c r="A84">
        <v>3220000</v>
      </c>
      <c r="B84" t="s">
        <v>10107</v>
      </c>
      <c r="C84" s="1">
        <v>29859</v>
      </c>
      <c r="D84" t="s">
        <v>10108</v>
      </c>
      <c r="E84" t="str">
        <f t="shared" si="3"/>
        <v>서울특별시</v>
      </c>
      <c r="F84" t="str">
        <f t="shared" si="4"/>
        <v xml:space="preserve">강남구 </v>
      </c>
      <c r="G84" t="str">
        <f t="shared" si="5"/>
        <v>논현동</v>
      </c>
    </row>
    <row r="85" spans="1:9" x14ac:dyDescent="0.4">
      <c r="A85">
        <v>3220000</v>
      </c>
      <c r="B85" t="s">
        <v>10781</v>
      </c>
      <c r="C85" s="1">
        <v>30112</v>
      </c>
      <c r="D85" t="s">
        <v>10782</v>
      </c>
      <c r="E85" t="str">
        <f t="shared" si="3"/>
        <v>서울특별시</v>
      </c>
      <c r="F85" t="str">
        <f t="shared" si="4"/>
        <v xml:space="preserve">강남구 </v>
      </c>
      <c r="G85" t="str">
        <f t="shared" si="5"/>
        <v>논현동</v>
      </c>
      <c r="H85" t="s">
        <v>10783</v>
      </c>
      <c r="I85">
        <v>6109</v>
      </c>
    </row>
    <row r="86" spans="1:9" x14ac:dyDescent="0.4">
      <c r="A86">
        <v>3220000</v>
      </c>
      <c r="B86" t="s">
        <v>10048</v>
      </c>
      <c r="C86" s="1">
        <v>33427</v>
      </c>
      <c r="D86" t="s">
        <v>10049</v>
      </c>
      <c r="E86" t="str">
        <f t="shared" si="3"/>
        <v>서울특별시</v>
      </c>
      <c r="F86" t="str">
        <f t="shared" si="4"/>
        <v xml:space="preserve">강남구 </v>
      </c>
      <c r="G86" t="str">
        <f t="shared" si="5"/>
        <v>논현동</v>
      </c>
    </row>
    <row r="87" spans="1:9" x14ac:dyDescent="0.4">
      <c r="A87">
        <v>3220000</v>
      </c>
      <c r="B87" t="s">
        <v>9558</v>
      </c>
      <c r="C87" s="1">
        <v>31133</v>
      </c>
      <c r="D87" t="s">
        <v>9559</v>
      </c>
      <c r="E87" t="str">
        <f t="shared" si="3"/>
        <v>서울특별시</v>
      </c>
      <c r="F87" t="str">
        <f t="shared" si="4"/>
        <v xml:space="preserve">강남구 </v>
      </c>
      <c r="G87" t="str">
        <f t="shared" si="5"/>
        <v>논현동</v>
      </c>
      <c r="H87" t="s">
        <v>9560</v>
      </c>
      <c r="I87">
        <v>6099</v>
      </c>
    </row>
    <row r="88" spans="1:9" x14ac:dyDescent="0.4">
      <c r="A88">
        <v>3220000</v>
      </c>
      <c r="B88" t="s">
        <v>10733</v>
      </c>
      <c r="C88" s="1">
        <v>36777</v>
      </c>
      <c r="D88" t="s">
        <v>10734</v>
      </c>
      <c r="E88" t="str">
        <f t="shared" si="3"/>
        <v>서울특별시</v>
      </c>
      <c r="F88" t="str">
        <f t="shared" si="4"/>
        <v xml:space="preserve">강남구 </v>
      </c>
      <c r="G88" t="str">
        <f t="shared" si="5"/>
        <v>논현동</v>
      </c>
      <c r="H88" t="s">
        <v>10735</v>
      </c>
      <c r="I88">
        <v>6099</v>
      </c>
    </row>
    <row r="89" spans="1:9" x14ac:dyDescent="0.4">
      <c r="A89">
        <v>3220000</v>
      </c>
      <c r="B89" t="s">
        <v>10361</v>
      </c>
      <c r="C89" s="1">
        <v>31951</v>
      </c>
      <c r="D89" t="s">
        <v>10362</v>
      </c>
      <c r="E89" t="str">
        <f t="shared" si="3"/>
        <v>서울특별시</v>
      </c>
      <c r="F89" t="str">
        <f t="shared" si="4"/>
        <v xml:space="preserve">강남구 </v>
      </c>
      <c r="G89" t="str">
        <f t="shared" si="5"/>
        <v>논현동</v>
      </c>
      <c r="H89" t="s">
        <v>10363</v>
      </c>
      <c r="I89">
        <v>6099</v>
      </c>
    </row>
    <row r="90" spans="1:9" x14ac:dyDescent="0.4">
      <c r="A90">
        <v>3220000</v>
      </c>
      <c r="B90" t="s">
        <v>9699</v>
      </c>
      <c r="C90" s="1">
        <v>37443</v>
      </c>
      <c r="D90" t="s">
        <v>9700</v>
      </c>
      <c r="E90" t="str">
        <f t="shared" si="3"/>
        <v>서울특별시</v>
      </c>
      <c r="F90" t="str">
        <f t="shared" si="4"/>
        <v xml:space="preserve">강남구 </v>
      </c>
      <c r="G90" t="str">
        <f t="shared" si="5"/>
        <v>논현동</v>
      </c>
    </row>
    <row r="91" spans="1:9" x14ac:dyDescent="0.4">
      <c r="A91">
        <v>3220000</v>
      </c>
      <c r="B91" t="s">
        <v>10979</v>
      </c>
      <c r="C91" s="1">
        <v>30527</v>
      </c>
      <c r="D91" t="s">
        <v>10980</v>
      </c>
      <c r="E91" t="str">
        <f t="shared" si="3"/>
        <v>서울특별시</v>
      </c>
      <c r="F91" t="str">
        <f t="shared" si="4"/>
        <v xml:space="preserve">강남구 </v>
      </c>
      <c r="G91" t="str">
        <f t="shared" si="5"/>
        <v>논현동</v>
      </c>
      <c r="H91" t="s">
        <v>10981</v>
      </c>
      <c r="I91">
        <v>6099</v>
      </c>
    </row>
    <row r="92" spans="1:9" x14ac:dyDescent="0.4">
      <c r="A92">
        <v>3220000</v>
      </c>
      <c r="B92" t="s">
        <v>10811</v>
      </c>
      <c r="C92" s="1">
        <v>32769</v>
      </c>
      <c r="D92" t="s">
        <v>10812</v>
      </c>
      <c r="E92" t="str">
        <f t="shared" si="3"/>
        <v>서울특별시</v>
      </c>
      <c r="F92" t="str">
        <f t="shared" si="4"/>
        <v xml:space="preserve">강남구 </v>
      </c>
      <c r="G92" t="str">
        <f t="shared" si="5"/>
        <v>논현동</v>
      </c>
      <c r="H92" t="s">
        <v>10813</v>
      </c>
      <c r="I92">
        <v>6098</v>
      </c>
    </row>
    <row r="93" spans="1:9" x14ac:dyDescent="0.4">
      <c r="A93">
        <v>3220000</v>
      </c>
      <c r="B93" t="s">
        <v>11009</v>
      </c>
      <c r="C93" s="1">
        <v>43732</v>
      </c>
      <c r="D93" t="s">
        <v>11010</v>
      </c>
      <c r="E93" t="str">
        <f t="shared" si="3"/>
        <v>서울특별시</v>
      </c>
      <c r="F93" t="str">
        <f t="shared" si="4"/>
        <v xml:space="preserve">강남구 </v>
      </c>
      <c r="G93" t="str">
        <f t="shared" si="5"/>
        <v>논현동</v>
      </c>
      <c r="H93" t="s">
        <v>11011</v>
      </c>
      <c r="I93">
        <v>6098</v>
      </c>
    </row>
    <row r="94" spans="1:9" x14ac:dyDescent="0.4">
      <c r="A94">
        <v>3220000</v>
      </c>
      <c r="B94" t="s">
        <v>10775</v>
      </c>
      <c r="C94" s="1">
        <v>42352</v>
      </c>
      <c r="D94" t="s">
        <v>10776</v>
      </c>
      <c r="E94" t="str">
        <f t="shared" si="3"/>
        <v>서울특별시</v>
      </c>
      <c r="F94" t="str">
        <f t="shared" si="4"/>
        <v xml:space="preserve">강남구 </v>
      </c>
      <c r="G94" t="str">
        <f t="shared" si="5"/>
        <v>논현동</v>
      </c>
      <c r="H94" t="s">
        <v>10777</v>
      </c>
      <c r="I94">
        <v>6098</v>
      </c>
    </row>
    <row r="95" spans="1:9" x14ac:dyDescent="0.4">
      <c r="A95">
        <v>3220000</v>
      </c>
      <c r="B95" t="s">
        <v>10968</v>
      </c>
      <c r="C95" s="1">
        <v>38701</v>
      </c>
      <c r="D95" t="s">
        <v>10776</v>
      </c>
      <c r="E95" t="str">
        <f t="shared" si="3"/>
        <v>서울특별시</v>
      </c>
      <c r="F95" t="str">
        <f t="shared" si="4"/>
        <v xml:space="preserve">강남구 </v>
      </c>
      <c r="G95" t="str">
        <f t="shared" si="5"/>
        <v>논현동</v>
      </c>
      <c r="H95" t="s">
        <v>10969</v>
      </c>
      <c r="I95">
        <v>6098</v>
      </c>
    </row>
    <row r="96" spans="1:9" x14ac:dyDescent="0.4">
      <c r="A96">
        <v>3220000</v>
      </c>
      <c r="B96" t="s">
        <v>10242</v>
      </c>
      <c r="C96" s="1">
        <v>38701</v>
      </c>
      <c r="D96" t="s">
        <v>10243</v>
      </c>
      <c r="E96" t="str">
        <f t="shared" si="3"/>
        <v>서울특별시</v>
      </c>
      <c r="F96" t="str">
        <f t="shared" si="4"/>
        <v xml:space="preserve">강남구 </v>
      </c>
      <c r="G96" t="str">
        <f t="shared" si="5"/>
        <v>논현동</v>
      </c>
    </row>
    <row r="97" spans="1:9" x14ac:dyDescent="0.4">
      <c r="A97">
        <v>3220000</v>
      </c>
      <c r="B97" t="s">
        <v>9754</v>
      </c>
      <c r="C97" s="1">
        <v>31209</v>
      </c>
      <c r="D97" t="s">
        <v>9755</v>
      </c>
      <c r="E97" t="str">
        <f t="shared" si="3"/>
        <v>서울특별시</v>
      </c>
      <c r="F97" t="str">
        <f t="shared" si="4"/>
        <v xml:space="preserve">강남구 </v>
      </c>
      <c r="G97" t="str">
        <f t="shared" si="5"/>
        <v>논현동</v>
      </c>
    </row>
    <row r="98" spans="1:9" x14ac:dyDescent="0.4">
      <c r="A98">
        <v>3220000</v>
      </c>
      <c r="B98" t="s">
        <v>10264</v>
      </c>
      <c r="C98" s="1">
        <v>30784</v>
      </c>
      <c r="D98" t="s">
        <v>10265</v>
      </c>
      <c r="E98" t="str">
        <f t="shared" si="3"/>
        <v>서울특별시</v>
      </c>
      <c r="F98" t="str">
        <f t="shared" si="4"/>
        <v xml:space="preserve">강남구 </v>
      </c>
      <c r="G98" t="str">
        <f t="shared" si="5"/>
        <v>논현동</v>
      </c>
    </row>
    <row r="99" spans="1:9" x14ac:dyDescent="0.4">
      <c r="A99">
        <v>3220000</v>
      </c>
      <c r="B99" t="s">
        <v>10182</v>
      </c>
      <c r="C99" s="1">
        <v>31054</v>
      </c>
      <c r="D99" t="s">
        <v>10183</v>
      </c>
      <c r="E99" t="str">
        <f t="shared" si="3"/>
        <v>서울특별시</v>
      </c>
      <c r="F99" t="str">
        <f t="shared" si="4"/>
        <v xml:space="preserve">강남구 </v>
      </c>
      <c r="G99" t="str">
        <f t="shared" si="5"/>
        <v>논현동</v>
      </c>
    </row>
    <row r="100" spans="1:9" x14ac:dyDescent="0.4">
      <c r="A100">
        <v>3220000</v>
      </c>
      <c r="B100" t="s">
        <v>9777</v>
      </c>
      <c r="C100" s="1">
        <v>33415</v>
      </c>
      <c r="D100" t="s">
        <v>9778</v>
      </c>
      <c r="E100" t="str">
        <f t="shared" si="3"/>
        <v>서울특별시</v>
      </c>
      <c r="F100" t="str">
        <f t="shared" si="4"/>
        <v xml:space="preserve">강남구 </v>
      </c>
      <c r="G100" t="str">
        <f t="shared" si="5"/>
        <v>논현동</v>
      </c>
    </row>
    <row r="101" spans="1:9" x14ac:dyDescent="0.4">
      <c r="A101">
        <v>3220000</v>
      </c>
      <c r="B101" t="s">
        <v>9763</v>
      </c>
      <c r="C101" s="1">
        <v>30030</v>
      </c>
      <c r="D101" t="s">
        <v>9764</v>
      </c>
      <c r="E101" t="str">
        <f t="shared" si="3"/>
        <v>서울특별시</v>
      </c>
      <c r="F101" t="str">
        <f t="shared" si="4"/>
        <v xml:space="preserve">강남구 </v>
      </c>
      <c r="G101" t="str">
        <f t="shared" si="5"/>
        <v>논현동</v>
      </c>
      <c r="H101" t="s">
        <v>9765</v>
      </c>
      <c r="I101">
        <v>6039</v>
      </c>
    </row>
    <row r="102" spans="1:9" x14ac:dyDescent="0.4">
      <c r="A102">
        <v>3220000</v>
      </c>
      <c r="B102" t="s">
        <v>10472</v>
      </c>
      <c r="C102" s="1">
        <v>32329</v>
      </c>
      <c r="D102" t="s">
        <v>9764</v>
      </c>
      <c r="E102" t="str">
        <f t="shared" si="3"/>
        <v>서울특별시</v>
      </c>
      <c r="F102" t="str">
        <f t="shared" si="4"/>
        <v xml:space="preserve">강남구 </v>
      </c>
      <c r="G102" t="str">
        <f t="shared" si="5"/>
        <v>논현동</v>
      </c>
    </row>
    <row r="103" spans="1:9" x14ac:dyDescent="0.4">
      <c r="A103">
        <v>3220000</v>
      </c>
      <c r="B103" t="s">
        <v>10014</v>
      </c>
      <c r="C103" s="1">
        <v>28976</v>
      </c>
      <c r="D103" t="s">
        <v>10015</v>
      </c>
      <c r="E103" t="str">
        <f t="shared" si="3"/>
        <v>서울특별시</v>
      </c>
      <c r="F103" t="str">
        <f t="shared" si="4"/>
        <v xml:space="preserve">강남구 </v>
      </c>
      <c r="G103" t="str">
        <f t="shared" si="5"/>
        <v>논현동</v>
      </c>
      <c r="H103" t="s">
        <v>10016</v>
      </c>
      <c r="I103">
        <v>6040</v>
      </c>
    </row>
    <row r="104" spans="1:9" x14ac:dyDescent="0.4">
      <c r="A104">
        <v>3220000</v>
      </c>
      <c r="B104" t="s">
        <v>9781</v>
      </c>
      <c r="C104" s="1">
        <v>30224</v>
      </c>
      <c r="D104" t="s">
        <v>9782</v>
      </c>
      <c r="E104" t="str">
        <f t="shared" si="3"/>
        <v>서울특별시</v>
      </c>
      <c r="F104" t="str">
        <f t="shared" si="4"/>
        <v xml:space="preserve">강남구 </v>
      </c>
      <c r="G104" t="str">
        <f t="shared" si="5"/>
        <v>논현동</v>
      </c>
    </row>
    <row r="105" spans="1:9" x14ac:dyDescent="0.4">
      <c r="A105">
        <v>3220000</v>
      </c>
      <c r="B105" t="s">
        <v>10204</v>
      </c>
      <c r="C105" s="1">
        <v>36670</v>
      </c>
      <c r="D105" t="s">
        <v>10205</v>
      </c>
      <c r="E105" t="str">
        <f t="shared" si="3"/>
        <v>서울특별시</v>
      </c>
      <c r="F105" t="str">
        <f t="shared" si="4"/>
        <v xml:space="preserve">강남구 </v>
      </c>
      <c r="G105" t="str">
        <f t="shared" si="5"/>
        <v>논현동</v>
      </c>
    </row>
    <row r="106" spans="1:9" x14ac:dyDescent="0.4">
      <c r="A106">
        <v>3220000</v>
      </c>
      <c r="B106" t="s">
        <v>10843</v>
      </c>
      <c r="C106" s="1">
        <v>31863</v>
      </c>
      <c r="D106" t="s">
        <v>10844</v>
      </c>
      <c r="E106" t="str">
        <f t="shared" si="3"/>
        <v>서울특별시</v>
      </c>
      <c r="F106" t="str">
        <f t="shared" si="4"/>
        <v xml:space="preserve">강남구 </v>
      </c>
      <c r="G106" t="str">
        <f t="shared" si="5"/>
        <v>논현동</v>
      </c>
      <c r="H106" t="s">
        <v>10845</v>
      </c>
      <c r="I106">
        <v>6040</v>
      </c>
    </row>
    <row r="107" spans="1:9" x14ac:dyDescent="0.4">
      <c r="A107">
        <v>3220000</v>
      </c>
      <c r="B107" t="s">
        <v>10144</v>
      </c>
      <c r="C107" s="1">
        <v>38973</v>
      </c>
      <c r="D107" t="s">
        <v>10145</v>
      </c>
      <c r="E107" t="str">
        <f t="shared" si="3"/>
        <v>서울특별시</v>
      </c>
      <c r="F107" t="str">
        <f t="shared" si="4"/>
        <v xml:space="preserve">강남구 </v>
      </c>
      <c r="G107" t="str">
        <f t="shared" si="5"/>
        <v>논현동</v>
      </c>
      <c r="H107" t="s">
        <v>10146</v>
      </c>
      <c r="I107">
        <v>6040</v>
      </c>
    </row>
    <row r="108" spans="1:9" x14ac:dyDescent="0.4">
      <c r="A108">
        <v>3220000</v>
      </c>
      <c r="B108" t="s">
        <v>9498</v>
      </c>
      <c r="C108" s="1">
        <v>29197</v>
      </c>
      <c r="D108" t="s">
        <v>9499</v>
      </c>
      <c r="E108" t="str">
        <f t="shared" si="3"/>
        <v>서울특별시</v>
      </c>
      <c r="F108" t="str">
        <f t="shared" si="4"/>
        <v xml:space="preserve">강남구 </v>
      </c>
      <c r="G108" t="str">
        <f t="shared" si="5"/>
        <v>논현동</v>
      </c>
      <c r="H108" t="s">
        <v>9500</v>
      </c>
      <c r="I108">
        <v>6040</v>
      </c>
    </row>
    <row r="109" spans="1:9" x14ac:dyDescent="0.4">
      <c r="A109">
        <v>3220000</v>
      </c>
      <c r="B109" t="s">
        <v>10879</v>
      </c>
      <c r="C109" s="1">
        <v>36517</v>
      </c>
      <c r="D109" t="s">
        <v>10880</v>
      </c>
      <c r="E109" t="str">
        <f t="shared" si="3"/>
        <v>서울특별시</v>
      </c>
      <c r="F109" t="str">
        <f t="shared" si="4"/>
        <v xml:space="preserve">강남구 </v>
      </c>
      <c r="G109" t="str">
        <f t="shared" si="5"/>
        <v>논현동</v>
      </c>
      <c r="H109" t="s">
        <v>10881</v>
      </c>
      <c r="I109">
        <v>6040</v>
      </c>
    </row>
    <row r="110" spans="1:9" x14ac:dyDescent="0.4">
      <c r="A110">
        <v>3220000</v>
      </c>
      <c r="B110" t="s">
        <v>10667</v>
      </c>
      <c r="C110" s="1">
        <v>45282</v>
      </c>
      <c r="D110" t="s">
        <v>10668</v>
      </c>
      <c r="E110" t="str">
        <f t="shared" si="3"/>
        <v>서울특별시</v>
      </c>
      <c r="F110" t="str">
        <f t="shared" si="4"/>
        <v xml:space="preserve">강남구 </v>
      </c>
      <c r="G110" t="str">
        <f t="shared" si="5"/>
        <v>논현동</v>
      </c>
      <c r="H110" t="s">
        <v>10669</v>
      </c>
      <c r="I110">
        <v>6049</v>
      </c>
    </row>
    <row r="111" spans="1:9" x14ac:dyDescent="0.4">
      <c r="A111">
        <v>3220000</v>
      </c>
      <c r="B111" t="s">
        <v>10876</v>
      </c>
      <c r="C111" s="1">
        <v>37126</v>
      </c>
      <c r="D111" t="s">
        <v>10877</v>
      </c>
      <c r="E111" t="str">
        <f t="shared" si="3"/>
        <v>서울특별시</v>
      </c>
      <c r="F111" t="str">
        <f t="shared" si="4"/>
        <v xml:space="preserve">강남구 </v>
      </c>
      <c r="G111" t="str">
        <f t="shared" si="5"/>
        <v>논현동</v>
      </c>
      <c r="H111" t="s">
        <v>10878</v>
      </c>
      <c r="I111">
        <v>6053</v>
      </c>
    </row>
    <row r="112" spans="1:9" x14ac:dyDescent="0.4">
      <c r="A112">
        <v>3220000</v>
      </c>
      <c r="B112" t="s">
        <v>10442</v>
      </c>
      <c r="C112" s="1">
        <v>36910</v>
      </c>
      <c r="D112" t="s">
        <v>10443</v>
      </c>
      <c r="E112" t="str">
        <f t="shared" si="3"/>
        <v>서울특별시</v>
      </c>
      <c r="F112" t="str">
        <f t="shared" si="4"/>
        <v xml:space="preserve">강남구 </v>
      </c>
      <c r="G112" t="str">
        <f t="shared" si="5"/>
        <v>논현동</v>
      </c>
      <c r="H112" t="s">
        <v>10444</v>
      </c>
      <c r="I112">
        <v>6053</v>
      </c>
    </row>
    <row r="113" spans="1:9" x14ac:dyDescent="0.4">
      <c r="A113">
        <v>3220000</v>
      </c>
      <c r="B113" t="s">
        <v>9906</v>
      </c>
      <c r="C113" s="1">
        <v>37123</v>
      </c>
      <c r="D113" t="s">
        <v>9907</v>
      </c>
      <c r="E113" t="str">
        <f t="shared" si="3"/>
        <v>서울특별시</v>
      </c>
      <c r="F113" t="str">
        <f t="shared" si="4"/>
        <v xml:space="preserve">강남구 </v>
      </c>
      <c r="G113" t="str">
        <f t="shared" si="5"/>
        <v>논현동</v>
      </c>
      <c r="H113" t="s">
        <v>9908</v>
      </c>
      <c r="I113">
        <v>6054</v>
      </c>
    </row>
    <row r="114" spans="1:9" x14ac:dyDescent="0.4">
      <c r="A114">
        <v>3220000</v>
      </c>
      <c r="B114" t="s">
        <v>9455</v>
      </c>
      <c r="C114" s="1">
        <v>36696</v>
      </c>
      <c r="D114" t="s">
        <v>9456</v>
      </c>
      <c r="E114" t="str">
        <f t="shared" si="3"/>
        <v>서울특별시</v>
      </c>
      <c r="F114" t="str">
        <f t="shared" si="4"/>
        <v xml:space="preserve">강남구 </v>
      </c>
      <c r="G114" t="str">
        <f t="shared" si="5"/>
        <v>논현동</v>
      </c>
      <c r="H114" t="s">
        <v>9457</v>
      </c>
      <c r="I114">
        <v>6054</v>
      </c>
    </row>
    <row r="115" spans="1:9" x14ac:dyDescent="0.4">
      <c r="A115">
        <v>3220000</v>
      </c>
      <c r="B115" t="s">
        <v>9578</v>
      </c>
      <c r="C115" s="1">
        <v>37074</v>
      </c>
      <c r="D115" t="s">
        <v>9579</v>
      </c>
      <c r="E115" t="str">
        <f t="shared" si="3"/>
        <v>서울특별시</v>
      </c>
      <c r="F115" t="str">
        <f t="shared" si="4"/>
        <v xml:space="preserve">강남구 </v>
      </c>
      <c r="G115" t="str">
        <f t="shared" si="5"/>
        <v>논현동</v>
      </c>
      <c r="H115" t="s">
        <v>9580</v>
      </c>
      <c r="I115">
        <v>6055</v>
      </c>
    </row>
    <row r="116" spans="1:9" x14ac:dyDescent="0.4">
      <c r="A116">
        <v>3220000</v>
      </c>
      <c r="B116" t="s">
        <v>9615</v>
      </c>
      <c r="C116" s="1">
        <v>37187</v>
      </c>
      <c r="D116" t="s">
        <v>9616</v>
      </c>
      <c r="E116" t="str">
        <f t="shared" si="3"/>
        <v>서울특별시</v>
      </c>
      <c r="F116" t="str">
        <f t="shared" si="4"/>
        <v xml:space="preserve">강남구 </v>
      </c>
      <c r="G116" t="str">
        <f t="shared" si="5"/>
        <v>논현동</v>
      </c>
    </row>
    <row r="117" spans="1:9" x14ac:dyDescent="0.4">
      <c r="A117">
        <v>3220000</v>
      </c>
      <c r="B117" t="s">
        <v>10489</v>
      </c>
      <c r="C117" s="1">
        <v>41512</v>
      </c>
      <c r="D117" t="s">
        <v>10490</v>
      </c>
      <c r="E117" t="str">
        <f t="shared" si="3"/>
        <v>서울특별시</v>
      </c>
      <c r="F117" t="str">
        <f t="shared" si="4"/>
        <v xml:space="preserve">강남구 </v>
      </c>
      <c r="G117" t="str">
        <f t="shared" si="5"/>
        <v>논현동</v>
      </c>
      <c r="H117" t="s">
        <v>10491</v>
      </c>
      <c r="I117">
        <v>6057</v>
      </c>
    </row>
    <row r="118" spans="1:9" x14ac:dyDescent="0.4">
      <c r="A118">
        <v>3220000</v>
      </c>
      <c r="B118" t="s">
        <v>10238</v>
      </c>
      <c r="C118" s="1">
        <v>38659</v>
      </c>
      <c r="D118" t="s">
        <v>10239</v>
      </c>
      <c r="E118" t="str">
        <f t="shared" si="3"/>
        <v>서울특별시</v>
      </c>
      <c r="F118" t="str">
        <f t="shared" si="4"/>
        <v xml:space="preserve">강남구 </v>
      </c>
      <c r="G118" t="str">
        <f t="shared" si="5"/>
        <v>대치동</v>
      </c>
    </row>
    <row r="119" spans="1:9" x14ac:dyDescent="0.4">
      <c r="A119">
        <v>3220000</v>
      </c>
      <c r="B119" t="s">
        <v>10945</v>
      </c>
      <c r="C119" s="1">
        <v>38876</v>
      </c>
      <c r="D119" t="s">
        <v>10946</v>
      </c>
      <c r="E119" t="str">
        <f t="shared" si="3"/>
        <v>서울특별시</v>
      </c>
      <c r="F119" t="str">
        <f t="shared" si="4"/>
        <v xml:space="preserve">강남구 </v>
      </c>
      <c r="G119" t="str">
        <f t="shared" si="5"/>
        <v>대치동</v>
      </c>
      <c r="H119" t="s">
        <v>10947</v>
      </c>
      <c r="I119">
        <v>6193</v>
      </c>
    </row>
    <row r="120" spans="1:9" x14ac:dyDescent="0.4">
      <c r="A120">
        <v>3220000</v>
      </c>
      <c r="B120" t="s">
        <v>12</v>
      </c>
      <c r="C120" s="1">
        <v>37023</v>
      </c>
      <c r="D120" t="s">
        <v>13</v>
      </c>
      <c r="E120" t="str">
        <f t="shared" si="3"/>
        <v>서울특별시</v>
      </c>
      <c r="F120" t="str">
        <f t="shared" si="4"/>
        <v xml:space="preserve">강남구 </v>
      </c>
      <c r="G120" t="str">
        <f t="shared" si="5"/>
        <v>대치동</v>
      </c>
      <c r="H120" t="s">
        <v>14</v>
      </c>
      <c r="I120">
        <v>6193</v>
      </c>
    </row>
    <row r="121" spans="1:9" x14ac:dyDescent="0.4">
      <c r="A121">
        <v>3220000</v>
      </c>
      <c r="B121" t="s">
        <v>10897</v>
      </c>
      <c r="C121" s="1">
        <v>39785</v>
      </c>
      <c r="D121" t="s">
        <v>10898</v>
      </c>
      <c r="E121" t="str">
        <f t="shared" si="3"/>
        <v>서울특별시</v>
      </c>
      <c r="F121" t="str">
        <f t="shared" si="4"/>
        <v xml:space="preserve">강남구 </v>
      </c>
      <c r="G121" t="str">
        <f t="shared" si="5"/>
        <v>대치동</v>
      </c>
      <c r="H121" t="s">
        <v>10899</v>
      </c>
      <c r="I121">
        <v>6193</v>
      </c>
    </row>
    <row r="122" spans="1:9" x14ac:dyDescent="0.4">
      <c r="A122">
        <v>3220000</v>
      </c>
      <c r="B122" t="s">
        <v>10942</v>
      </c>
      <c r="C122" s="1">
        <v>39007</v>
      </c>
      <c r="D122" t="s">
        <v>10943</v>
      </c>
      <c r="E122" t="str">
        <f t="shared" si="3"/>
        <v>서울특별시</v>
      </c>
      <c r="F122" t="str">
        <f t="shared" si="4"/>
        <v xml:space="preserve">강남구 </v>
      </c>
      <c r="G122" t="str">
        <f t="shared" si="5"/>
        <v>대치동</v>
      </c>
      <c r="H122" t="s">
        <v>10944</v>
      </c>
      <c r="I122">
        <v>6193</v>
      </c>
    </row>
    <row r="123" spans="1:9" x14ac:dyDescent="0.4">
      <c r="A123">
        <v>3220000</v>
      </c>
      <c r="B123" t="s">
        <v>129</v>
      </c>
      <c r="C123" s="1">
        <v>38876</v>
      </c>
      <c r="D123" t="s">
        <v>130</v>
      </c>
      <c r="E123" t="str">
        <f t="shared" si="3"/>
        <v>서울특별시</v>
      </c>
      <c r="F123" t="str">
        <f t="shared" si="4"/>
        <v xml:space="preserve">강남구 </v>
      </c>
      <c r="G123" t="str">
        <f t="shared" si="5"/>
        <v>대치동</v>
      </c>
      <c r="H123" t="s">
        <v>131</v>
      </c>
      <c r="I123">
        <v>6193</v>
      </c>
    </row>
    <row r="124" spans="1:9" x14ac:dyDescent="0.4">
      <c r="A124">
        <v>3220000</v>
      </c>
      <c r="B124" t="s">
        <v>9533</v>
      </c>
      <c r="C124" s="1">
        <v>36360</v>
      </c>
      <c r="D124" t="s">
        <v>9534</v>
      </c>
      <c r="E124" t="str">
        <f t="shared" si="3"/>
        <v>서울특별시</v>
      </c>
      <c r="F124" t="str">
        <f t="shared" si="4"/>
        <v xml:space="preserve">강남구 </v>
      </c>
      <c r="G124" t="str">
        <f t="shared" si="5"/>
        <v>대치동</v>
      </c>
      <c r="H124" t="s">
        <v>9535</v>
      </c>
      <c r="I124">
        <v>6194</v>
      </c>
    </row>
    <row r="125" spans="1:9" x14ac:dyDescent="0.4">
      <c r="A125">
        <v>3220000</v>
      </c>
      <c r="B125" t="s">
        <v>10404</v>
      </c>
      <c r="C125" s="1">
        <v>39511</v>
      </c>
      <c r="D125" t="s">
        <v>10405</v>
      </c>
      <c r="E125" t="str">
        <f t="shared" si="3"/>
        <v>서울특별시</v>
      </c>
      <c r="F125" t="str">
        <f t="shared" si="4"/>
        <v xml:space="preserve">강남구 </v>
      </c>
      <c r="G125" t="str">
        <f t="shared" si="5"/>
        <v>대치동</v>
      </c>
      <c r="H125" t="s">
        <v>10406</v>
      </c>
      <c r="I125">
        <v>6194</v>
      </c>
    </row>
    <row r="126" spans="1:9" x14ac:dyDescent="0.4">
      <c r="A126">
        <v>3220000</v>
      </c>
      <c r="B126" t="s">
        <v>10391</v>
      </c>
      <c r="C126" s="1">
        <v>36875</v>
      </c>
      <c r="D126" t="s">
        <v>10392</v>
      </c>
      <c r="E126" t="str">
        <f t="shared" si="3"/>
        <v>서울특별시</v>
      </c>
      <c r="F126" t="str">
        <f t="shared" si="4"/>
        <v xml:space="preserve">강남구 </v>
      </c>
      <c r="G126" t="str">
        <f t="shared" si="5"/>
        <v>대치동</v>
      </c>
    </row>
    <row r="127" spans="1:9" x14ac:dyDescent="0.4">
      <c r="A127">
        <v>3220000</v>
      </c>
      <c r="B127" t="s">
        <v>10696</v>
      </c>
      <c r="C127" s="1">
        <v>41997</v>
      </c>
      <c r="D127" t="s">
        <v>10697</v>
      </c>
      <c r="E127" t="str">
        <f t="shared" si="3"/>
        <v>서울특별시</v>
      </c>
      <c r="F127" t="str">
        <f t="shared" si="4"/>
        <v xml:space="preserve">강남구 </v>
      </c>
      <c r="G127" t="str">
        <f t="shared" si="5"/>
        <v>대치동</v>
      </c>
      <c r="H127" t="s">
        <v>10698</v>
      </c>
      <c r="I127">
        <v>6194</v>
      </c>
    </row>
    <row r="128" spans="1:9" x14ac:dyDescent="0.4">
      <c r="A128">
        <v>3220000</v>
      </c>
      <c r="B128" t="s">
        <v>10513</v>
      </c>
      <c r="C128" s="1">
        <v>37699</v>
      </c>
      <c r="D128" t="s">
        <v>10514</v>
      </c>
      <c r="E128" t="str">
        <f t="shared" si="3"/>
        <v>서울특별시</v>
      </c>
      <c r="F128" t="str">
        <f t="shared" si="4"/>
        <v xml:space="preserve">강남구 </v>
      </c>
      <c r="G128" t="str">
        <f t="shared" si="5"/>
        <v>대치동</v>
      </c>
      <c r="H128" t="s">
        <v>10515</v>
      </c>
      <c r="I128">
        <v>6194</v>
      </c>
    </row>
    <row r="129" spans="1:9" x14ac:dyDescent="0.4">
      <c r="A129">
        <v>3220000</v>
      </c>
      <c r="B129" t="s">
        <v>9574</v>
      </c>
      <c r="C129" s="1">
        <v>37065</v>
      </c>
      <c r="D129" t="s">
        <v>9575</v>
      </c>
      <c r="E129" t="str">
        <f t="shared" si="3"/>
        <v>서울특별시</v>
      </c>
      <c r="F129" t="str">
        <f t="shared" si="4"/>
        <v xml:space="preserve">강남구 </v>
      </c>
      <c r="G129" t="str">
        <f t="shared" si="5"/>
        <v>도곡동</v>
      </c>
    </row>
    <row r="130" spans="1:9" x14ac:dyDescent="0.4">
      <c r="A130">
        <v>3220000</v>
      </c>
      <c r="B130" t="s">
        <v>9492</v>
      </c>
      <c r="C130" s="1">
        <v>29103</v>
      </c>
      <c r="D130" t="s">
        <v>9493</v>
      </c>
      <c r="E130" t="str">
        <f t="shared" si="3"/>
        <v>서울특별시</v>
      </c>
      <c r="F130" t="str">
        <f t="shared" si="4"/>
        <v xml:space="preserve">강남구 </v>
      </c>
      <c r="G130" t="str">
        <f t="shared" si="5"/>
        <v>삼성동</v>
      </c>
    </row>
    <row r="131" spans="1:9" x14ac:dyDescent="0.4">
      <c r="A131">
        <v>3220000</v>
      </c>
      <c r="B131" t="s">
        <v>10152</v>
      </c>
      <c r="C131" s="1">
        <v>30307</v>
      </c>
      <c r="D131" t="s">
        <v>10153</v>
      </c>
      <c r="E131" t="str">
        <f t="shared" ref="E131:E194" si="6">LEFT(D131,5)</f>
        <v>서울특별시</v>
      </c>
      <c r="F131" t="str">
        <f t="shared" ref="F131:F194" si="7">MID(D131,7,4)</f>
        <v xml:space="preserve">강남구 </v>
      </c>
      <c r="G131" t="str">
        <f t="shared" ref="G131:G194" si="8">MID(SUBSTITUTE(D131," ",""),9,3)</f>
        <v>삼성동</v>
      </c>
    </row>
    <row r="132" spans="1:9" x14ac:dyDescent="0.4">
      <c r="A132">
        <v>3220000</v>
      </c>
      <c r="B132" t="s">
        <v>10497</v>
      </c>
      <c r="C132" s="1">
        <v>41683</v>
      </c>
      <c r="D132" t="s">
        <v>10153</v>
      </c>
      <c r="E132" t="str">
        <f t="shared" si="6"/>
        <v>서울특별시</v>
      </c>
      <c r="F132" t="str">
        <f t="shared" si="7"/>
        <v xml:space="preserve">강남구 </v>
      </c>
      <c r="G132" t="str">
        <f t="shared" si="8"/>
        <v>삼성동</v>
      </c>
      <c r="H132" t="s">
        <v>10498</v>
      </c>
      <c r="I132">
        <v>6153</v>
      </c>
    </row>
    <row r="133" spans="1:9" x14ac:dyDescent="0.4">
      <c r="A133">
        <v>3220000</v>
      </c>
      <c r="B133" t="s">
        <v>9925</v>
      </c>
      <c r="C133" s="1">
        <v>36791</v>
      </c>
      <c r="D133" t="s">
        <v>9926</v>
      </c>
      <c r="E133" t="str">
        <f t="shared" si="6"/>
        <v>서울특별시</v>
      </c>
      <c r="F133" t="str">
        <f t="shared" si="7"/>
        <v xml:space="preserve">강남구 </v>
      </c>
      <c r="G133" t="str">
        <f t="shared" si="8"/>
        <v>삼성동</v>
      </c>
      <c r="H133" t="s">
        <v>9927</v>
      </c>
      <c r="I133">
        <v>6153</v>
      </c>
    </row>
    <row r="134" spans="1:9" x14ac:dyDescent="0.4">
      <c r="A134">
        <v>3220000</v>
      </c>
      <c r="B134" t="s">
        <v>10433</v>
      </c>
      <c r="C134" s="1">
        <v>36794</v>
      </c>
      <c r="D134" t="s">
        <v>9926</v>
      </c>
      <c r="E134" t="str">
        <f t="shared" si="6"/>
        <v>서울특별시</v>
      </c>
      <c r="F134" t="str">
        <f t="shared" si="7"/>
        <v xml:space="preserve">강남구 </v>
      </c>
      <c r="G134" t="str">
        <f t="shared" si="8"/>
        <v>삼성동</v>
      </c>
      <c r="H134" t="s">
        <v>9927</v>
      </c>
      <c r="I134">
        <v>6153</v>
      </c>
    </row>
    <row r="135" spans="1:9" x14ac:dyDescent="0.4">
      <c r="A135">
        <v>3220000</v>
      </c>
      <c r="B135" t="s">
        <v>10397</v>
      </c>
      <c r="C135" s="1">
        <v>36887</v>
      </c>
      <c r="D135" t="s">
        <v>10398</v>
      </c>
      <c r="E135" t="str">
        <f t="shared" si="6"/>
        <v>서울특별시</v>
      </c>
      <c r="F135" t="str">
        <f t="shared" si="7"/>
        <v xml:space="preserve">강남구 </v>
      </c>
      <c r="G135" t="str">
        <f t="shared" si="8"/>
        <v>삼성동</v>
      </c>
      <c r="H135" t="s">
        <v>10399</v>
      </c>
      <c r="I135">
        <v>6153</v>
      </c>
    </row>
    <row r="136" spans="1:9" x14ac:dyDescent="0.4">
      <c r="A136">
        <v>3220000</v>
      </c>
      <c r="B136" t="s">
        <v>9995</v>
      </c>
      <c r="C136" s="1">
        <v>39288</v>
      </c>
      <c r="D136" t="s">
        <v>9996</v>
      </c>
      <c r="E136" t="str">
        <f t="shared" si="6"/>
        <v>서울특별시</v>
      </c>
      <c r="F136" t="str">
        <f t="shared" si="7"/>
        <v xml:space="preserve">강남구 </v>
      </c>
      <c r="G136" t="str">
        <f t="shared" si="8"/>
        <v>삼성동</v>
      </c>
      <c r="H136" t="s">
        <v>9997</v>
      </c>
      <c r="I136">
        <v>6153</v>
      </c>
    </row>
    <row r="137" spans="1:9" x14ac:dyDescent="0.4">
      <c r="A137">
        <v>3220000</v>
      </c>
      <c r="B137" t="s">
        <v>10173</v>
      </c>
      <c r="C137" s="1">
        <v>38328</v>
      </c>
      <c r="D137" t="s">
        <v>9996</v>
      </c>
      <c r="E137" t="str">
        <f t="shared" si="6"/>
        <v>서울특별시</v>
      </c>
      <c r="F137" t="str">
        <f t="shared" si="7"/>
        <v xml:space="preserve">강남구 </v>
      </c>
      <c r="G137" t="str">
        <f t="shared" si="8"/>
        <v>삼성동</v>
      </c>
    </row>
    <row r="138" spans="1:9" x14ac:dyDescent="0.4">
      <c r="A138">
        <v>3220000</v>
      </c>
      <c r="B138" t="s">
        <v>10570</v>
      </c>
      <c r="C138" s="1">
        <v>41757</v>
      </c>
      <c r="D138" t="s">
        <v>10571</v>
      </c>
      <c r="E138" t="str">
        <f t="shared" si="6"/>
        <v>서울특별시</v>
      </c>
      <c r="F138" t="str">
        <f t="shared" si="7"/>
        <v xml:space="preserve">강남구 </v>
      </c>
      <c r="G138" t="str">
        <f t="shared" si="8"/>
        <v>삼성동</v>
      </c>
      <c r="H138" t="s">
        <v>10572</v>
      </c>
      <c r="I138">
        <v>6153</v>
      </c>
    </row>
    <row r="139" spans="1:9" x14ac:dyDescent="0.4">
      <c r="A139">
        <v>3220000</v>
      </c>
      <c r="B139" t="s">
        <v>9856</v>
      </c>
      <c r="C139" s="1">
        <v>31768</v>
      </c>
      <c r="D139" t="s">
        <v>9857</v>
      </c>
      <c r="E139" t="str">
        <f t="shared" si="6"/>
        <v>서울특별시</v>
      </c>
      <c r="F139" t="str">
        <f t="shared" si="7"/>
        <v xml:space="preserve">강남구 </v>
      </c>
      <c r="G139" t="str">
        <f t="shared" si="8"/>
        <v>삼성동</v>
      </c>
      <c r="H139" t="s">
        <v>9858</v>
      </c>
      <c r="I139">
        <v>6153</v>
      </c>
    </row>
    <row r="140" spans="1:9" x14ac:dyDescent="0.4">
      <c r="A140">
        <v>3220000</v>
      </c>
      <c r="B140" t="s">
        <v>10373</v>
      </c>
      <c r="C140" s="1">
        <v>36838</v>
      </c>
      <c r="D140" t="s">
        <v>10374</v>
      </c>
      <c r="E140" t="str">
        <f t="shared" si="6"/>
        <v>서울특별시</v>
      </c>
      <c r="F140" t="str">
        <f t="shared" si="7"/>
        <v xml:space="preserve">강남구 </v>
      </c>
      <c r="G140" t="str">
        <f t="shared" si="8"/>
        <v>삼성동</v>
      </c>
      <c r="H140" t="s">
        <v>10375</v>
      </c>
      <c r="I140">
        <v>6153</v>
      </c>
    </row>
    <row r="141" spans="1:9" x14ac:dyDescent="0.4">
      <c r="A141">
        <v>3220000</v>
      </c>
      <c r="B141" t="s">
        <v>10587</v>
      </c>
      <c r="C141" s="1">
        <v>31565</v>
      </c>
      <c r="D141" t="s">
        <v>10374</v>
      </c>
      <c r="E141" t="str">
        <f t="shared" si="6"/>
        <v>서울특별시</v>
      </c>
      <c r="F141" t="str">
        <f t="shared" si="7"/>
        <v xml:space="preserve">강남구 </v>
      </c>
      <c r="G141" t="str">
        <f t="shared" si="8"/>
        <v>삼성동</v>
      </c>
    </row>
    <row r="142" spans="1:9" x14ac:dyDescent="0.4">
      <c r="A142">
        <v>3220000</v>
      </c>
      <c r="B142" t="s">
        <v>9901</v>
      </c>
      <c r="C142" s="1">
        <v>37683</v>
      </c>
      <c r="D142" t="s">
        <v>9902</v>
      </c>
      <c r="E142" t="str">
        <f t="shared" si="6"/>
        <v>서울특별시</v>
      </c>
      <c r="F142" t="str">
        <f t="shared" si="7"/>
        <v xml:space="preserve">강남구 </v>
      </c>
      <c r="G142" t="str">
        <f t="shared" si="8"/>
        <v>삼성동</v>
      </c>
    </row>
    <row r="143" spans="1:9" x14ac:dyDescent="0.4">
      <c r="A143">
        <v>3220000</v>
      </c>
      <c r="B143" t="s">
        <v>10266</v>
      </c>
      <c r="C143" s="1">
        <v>31566</v>
      </c>
      <c r="D143" t="s">
        <v>10267</v>
      </c>
      <c r="E143" t="str">
        <f t="shared" si="6"/>
        <v>서울특별시</v>
      </c>
      <c r="F143" t="str">
        <f t="shared" si="7"/>
        <v xml:space="preserve">강남구 </v>
      </c>
      <c r="G143" t="str">
        <f t="shared" si="8"/>
        <v>삼성동</v>
      </c>
      <c r="H143" t="s">
        <v>10268</v>
      </c>
      <c r="I143">
        <v>6153</v>
      </c>
    </row>
    <row r="144" spans="1:9" x14ac:dyDescent="0.4">
      <c r="A144">
        <v>3220000</v>
      </c>
      <c r="B144" t="s">
        <v>9514</v>
      </c>
      <c r="C144" s="1">
        <v>36454</v>
      </c>
      <c r="D144" t="s">
        <v>9515</v>
      </c>
      <c r="E144" t="str">
        <f t="shared" si="6"/>
        <v>서울특별시</v>
      </c>
      <c r="F144" t="str">
        <f t="shared" si="7"/>
        <v xml:space="preserve">강남구 </v>
      </c>
      <c r="G144" t="str">
        <f t="shared" si="8"/>
        <v>삼성동</v>
      </c>
      <c r="H144" t="s">
        <v>9516</v>
      </c>
      <c r="I144">
        <v>6154</v>
      </c>
    </row>
    <row r="145" spans="1:9" x14ac:dyDescent="0.4">
      <c r="A145">
        <v>3220000</v>
      </c>
      <c r="B145" t="s">
        <v>9494</v>
      </c>
      <c r="C145" s="1">
        <v>29120</v>
      </c>
      <c r="D145" t="s">
        <v>9495</v>
      </c>
      <c r="E145" t="str">
        <f t="shared" si="6"/>
        <v>서울특별시</v>
      </c>
      <c r="F145" t="str">
        <f t="shared" si="7"/>
        <v xml:space="preserve">강남구 </v>
      </c>
      <c r="G145" t="str">
        <f t="shared" si="8"/>
        <v>삼성동</v>
      </c>
    </row>
    <row r="146" spans="1:9" x14ac:dyDescent="0.4">
      <c r="A146">
        <v>3220000</v>
      </c>
      <c r="B146" t="s">
        <v>10040</v>
      </c>
      <c r="C146" s="1">
        <v>28919</v>
      </c>
      <c r="D146" t="s">
        <v>9495</v>
      </c>
      <c r="E146" t="str">
        <f t="shared" si="6"/>
        <v>서울특별시</v>
      </c>
      <c r="F146" t="str">
        <f t="shared" si="7"/>
        <v xml:space="preserve">강남구 </v>
      </c>
      <c r="G146" t="str">
        <f t="shared" si="8"/>
        <v>삼성동</v>
      </c>
    </row>
    <row r="147" spans="1:9" x14ac:dyDescent="0.4">
      <c r="A147">
        <v>3220000</v>
      </c>
      <c r="B147" t="s">
        <v>10038</v>
      </c>
      <c r="C147" s="1">
        <v>28875</v>
      </c>
      <c r="D147" t="s">
        <v>10039</v>
      </c>
      <c r="E147" t="str">
        <f t="shared" si="6"/>
        <v>서울특별시</v>
      </c>
      <c r="F147" t="str">
        <f t="shared" si="7"/>
        <v xml:space="preserve">강남구 </v>
      </c>
      <c r="G147" t="str">
        <f t="shared" si="8"/>
        <v>삼성동</v>
      </c>
    </row>
    <row r="148" spans="1:9" x14ac:dyDescent="0.4">
      <c r="A148">
        <v>3220000</v>
      </c>
      <c r="B148" t="s">
        <v>9846</v>
      </c>
      <c r="C148" s="1">
        <v>37419</v>
      </c>
      <c r="D148" t="s">
        <v>9847</v>
      </c>
      <c r="E148" t="str">
        <f t="shared" si="6"/>
        <v>서울특별시</v>
      </c>
      <c r="F148" t="str">
        <f t="shared" si="7"/>
        <v xml:space="preserve">강남구 </v>
      </c>
      <c r="G148" t="str">
        <f t="shared" si="8"/>
        <v>삼성동</v>
      </c>
      <c r="H148" t="s">
        <v>9848</v>
      </c>
    </row>
    <row r="149" spans="1:9" x14ac:dyDescent="0.4">
      <c r="A149">
        <v>3220000</v>
      </c>
      <c r="B149" t="s">
        <v>10054</v>
      </c>
      <c r="C149" s="1">
        <v>29864</v>
      </c>
      <c r="D149" t="s">
        <v>9847</v>
      </c>
      <c r="E149" t="str">
        <f t="shared" si="6"/>
        <v>서울특별시</v>
      </c>
      <c r="F149" t="str">
        <f t="shared" si="7"/>
        <v xml:space="preserve">강남구 </v>
      </c>
      <c r="G149" t="str">
        <f t="shared" si="8"/>
        <v>삼성동</v>
      </c>
      <c r="H149" t="s">
        <v>10055</v>
      </c>
    </row>
    <row r="150" spans="1:9" x14ac:dyDescent="0.4">
      <c r="A150">
        <v>3220000</v>
      </c>
      <c r="B150" t="s">
        <v>10894</v>
      </c>
      <c r="C150" s="1">
        <v>40718</v>
      </c>
      <c r="D150" t="s">
        <v>10895</v>
      </c>
      <c r="E150" t="str">
        <f t="shared" si="6"/>
        <v>서울특별시</v>
      </c>
      <c r="F150" t="str">
        <f t="shared" si="7"/>
        <v xml:space="preserve">강남구 </v>
      </c>
      <c r="G150" t="str">
        <f t="shared" si="8"/>
        <v>삼성동</v>
      </c>
      <c r="H150" t="s">
        <v>10896</v>
      </c>
      <c r="I150">
        <v>6162</v>
      </c>
    </row>
    <row r="151" spans="1:9" x14ac:dyDescent="0.4">
      <c r="A151">
        <v>3220000</v>
      </c>
      <c r="B151" t="s">
        <v>10742</v>
      </c>
      <c r="C151" s="1">
        <v>37887</v>
      </c>
      <c r="D151" t="s">
        <v>10743</v>
      </c>
      <c r="E151" t="str">
        <f t="shared" si="6"/>
        <v>서울특별시</v>
      </c>
      <c r="F151" t="str">
        <f t="shared" si="7"/>
        <v xml:space="preserve">강남구 </v>
      </c>
      <c r="G151" t="str">
        <f t="shared" si="8"/>
        <v>삼성동</v>
      </c>
      <c r="H151" t="s">
        <v>10744</v>
      </c>
      <c r="I151">
        <v>6162</v>
      </c>
    </row>
    <row r="152" spans="1:9" x14ac:dyDescent="0.4">
      <c r="A152">
        <v>3220000</v>
      </c>
      <c r="B152" t="s">
        <v>10870</v>
      </c>
      <c r="C152" s="1">
        <v>37882</v>
      </c>
      <c r="D152" t="s">
        <v>10871</v>
      </c>
      <c r="E152" t="str">
        <f t="shared" si="6"/>
        <v>서울특별시</v>
      </c>
      <c r="F152" t="str">
        <f t="shared" si="7"/>
        <v xml:space="preserve">강남구 </v>
      </c>
      <c r="G152" t="str">
        <f t="shared" si="8"/>
        <v>삼성동</v>
      </c>
      <c r="H152" t="s">
        <v>10872</v>
      </c>
      <c r="I152">
        <v>6162</v>
      </c>
    </row>
    <row r="153" spans="1:9" x14ac:dyDescent="0.4">
      <c r="A153">
        <v>3220000</v>
      </c>
      <c r="B153" t="s">
        <v>9831</v>
      </c>
      <c r="C153" s="1">
        <v>37882</v>
      </c>
      <c r="D153" t="s">
        <v>9832</v>
      </c>
      <c r="E153" t="str">
        <f t="shared" si="6"/>
        <v>서울특별시</v>
      </c>
      <c r="F153" t="str">
        <f t="shared" si="7"/>
        <v xml:space="preserve">강남구 </v>
      </c>
      <c r="G153" t="str">
        <f t="shared" si="8"/>
        <v>삼성동</v>
      </c>
      <c r="H153" t="s">
        <v>9833</v>
      </c>
      <c r="I153">
        <v>6162</v>
      </c>
    </row>
    <row r="154" spans="1:9" x14ac:dyDescent="0.4">
      <c r="A154">
        <v>3220000</v>
      </c>
      <c r="B154" t="s">
        <v>9982</v>
      </c>
      <c r="C154" s="1">
        <v>30813</v>
      </c>
      <c r="D154" t="s">
        <v>9983</v>
      </c>
      <c r="E154" t="str">
        <f t="shared" si="6"/>
        <v>서울특별시</v>
      </c>
      <c r="F154" t="str">
        <f t="shared" si="7"/>
        <v xml:space="preserve">강남구 </v>
      </c>
      <c r="G154" t="str">
        <f t="shared" si="8"/>
        <v>삼성동</v>
      </c>
      <c r="H154" t="s">
        <v>9984</v>
      </c>
      <c r="I154">
        <v>6162</v>
      </c>
    </row>
    <row r="155" spans="1:9" x14ac:dyDescent="0.4">
      <c r="A155">
        <v>3220000</v>
      </c>
      <c r="B155" t="s">
        <v>10364</v>
      </c>
      <c r="C155" s="1">
        <v>31961</v>
      </c>
      <c r="D155" t="s">
        <v>10365</v>
      </c>
      <c r="E155" t="str">
        <f t="shared" si="6"/>
        <v>서울특별시</v>
      </c>
      <c r="F155" t="str">
        <f t="shared" si="7"/>
        <v xml:space="preserve">강남구 </v>
      </c>
      <c r="G155" t="str">
        <f t="shared" si="8"/>
        <v>삼성동</v>
      </c>
    </row>
    <row r="156" spans="1:9" x14ac:dyDescent="0.4">
      <c r="A156">
        <v>3220000</v>
      </c>
      <c r="B156" t="s">
        <v>10499</v>
      </c>
      <c r="C156" s="1">
        <v>41750</v>
      </c>
      <c r="D156" t="s">
        <v>10500</v>
      </c>
      <c r="E156" t="str">
        <f t="shared" si="6"/>
        <v>서울특별시</v>
      </c>
      <c r="F156" t="str">
        <f t="shared" si="7"/>
        <v xml:space="preserve">강남구 </v>
      </c>
      <c r="G156" t="str">
        <f t="shared" si="8"/>
        <v>삼성동</v>
      </c>
      <c r="H156" t="s">
        <v>10501</v>
      </c>
      <c r="I156">
        <v>6162</v>
      </c>
    </row>
    <row r="157" spans="1:9" x14ac:dyDescent="0.4">
      <c r="A157">
        <v>3220000</v>
      </c>
      <c r="B157" t="s">
        <v>9878</v>
      </c>
      <c r="C157" s="1">
        <v>43053</v>
      </c>
      <c r="D157" t="s">
        <v>9879</v>
      </c>
      <c r="E157" t="str">
        <f t="shared" si="6"/>
        <v>서울특별시</v>
      </c>
      <c r="F157" t="str">
        <f t="shared" si="7"/>
        <v xml:space="preserve">강남구 </v>
      </c>
      <c r="G157" t="str">
        <f t="shared" si="8"/>
        <v>삼성동</v>
      </c>
      <c r="H157" t="s">
        <v>9880</v>
      </c>
      <c r="I157">
        <v>6162</v>
      </c>
    </row>
    <row r="158" spans="1:9" x14ac:dyDescent="0.4">
      <c r="A158">
        <v>3220000</v>
      </c>
      <c r="B158" t="s">
        <v>10154</v>
      </c>
      <c r="C158" s="1">
        <v>38798</v>
      </c>
      <c r="D158" t="s">
        <v>10155</v>
      </c>
      <c r="E158" t="str">
        <f t="shared" si="6"/>
        <v>서울특별시</v>
      </c>
      <c r="F158" t="str">
        <f t="shared" si="7"/>
        <v xml:space="preserve">강남구 </v>
      </c>
      <c r="G158" t="str">
        <f t="shared" si="8"/>
        <v>삼성동</v>
      </c>
    </row>
    <row r="159" spans="1:9" x14ac:dyDescent="0.4">
      <c r="A159">
        <v>3220000</v>
      </c>
      <c r="B159" t="s">
        <v>9775</v>
      </c>
      <c r="C159" s="1">
        <v>33317</v>
      </c>
      <c r="D159" t="s">
        <v>9776</v>
      </c>
      <c r="E159" t="str">
        <f t="shared" si="6"/>
        <v>서울특별시</v>
      </c>
      <c r="F159" t="str">
        <f t="shared" si="7"/>
        <v xml:space="preserve">강남구 </v>
      </c>
      <c r="G159" t="str">
        <f t="shared" si="8"/>
        <v>삼성동</v>
      </c>
    </row>
    <row r="160" spans="1:9" x14ac:dyDescent="0.4">
      <c r="A160">
        <v>3220000</v>
      </c>
      <c r="B160" t="s">
        <v>10313</v>
      </c>
      <c r="C160" s="1">
        <v>32470</v>
      </c>
      <c r="D160" t="s">
        <v>10314</v>
      </c>
      <c r="E160" t="str">
        <f t="shared" si="6"/>
        <v>서울특별시</v>
      </c>
      <c r="F160" t="str">
        <f t="shared" si="7"/>
        <v xml:space="preserve">강남구 </v>
      </c>
      <c r="G160" t="str">
        <f t="shared" si="8"/>
        <v>삼성동</v>
      </c>
    </row>
    <row r="161" spans="1:9" x14ac:dyDescent="0.4">
      <c r="A161">
        <v>3220000</v>
      </c>
      <c r="B161" t="s">
        <v>9952</v>
      </c>
      <c r="C161" s="1">
        <v>40060</v>
      </c>
      <c r="D161" t="s">
        <v>9953</v>
      </c>
      <c r="E161" t="str">
        <f t="shared" si="6"/>
        <v>서울특별시</v>
      </c>
      <c r="F161" t="str">
        <f t="shared" si="7"/>
        <v xml:space="preserve">강남구 </v>
      </c>
      <c r="G161" t="str">
        <f t="shared" si="8"/>
        <v>삼성동</v>
      </c>
      <c r="H161" t="s">
        <v>9954</v>
      </c>
      <c r="I161">
        <v>6160</v>
      </c>
    </row>
    <row r="162" spans="1:9" x14ac:dyDescent="0.4">
      <c r="A162">
        <v>3220000</v>
      </c>
      <c r="B162" t="s">
        <v>9942</v>
      </c>
      <c r="C162" s="1">
        <v>37501</v>
      </c>
      <c r="D162" t="s">
        <v>9943</v>
      </c>
      <c r="E162" t="str">
        <f t="shared" si="6"/>
        <v>서울특별시</v>
      </c>
      <c r="F162" t="str">
        <f t="shared" si="7"/>
        <v xml:space="preserve">강남구 </v>
      </c>
      <c r="G162" t="str">
        <f t="shared" si="8"/>
        <v>삼성동</v>
      </c>
    </row>
    <row r="163" spans="1:9" x14ac:dyDescent="0.4">
      <c r="A163">
        <v>3220000</v>
      </c>
      <c r="B163" t="s">
        <v>9605</v>
      </c>
      <c r="C163" s="1">
        <v>39626</v>
      </c>
      <c r="D163" t="s">
        <v>9606</v>
      </c>
      <c r="E163" t="str">
        <f t="shared" si="6"/>
        <v>서울특별시</v>
      </c>
      <c r="F163" t="str">
        <f t="shared" si="7"/>
        <v xml:space="preserve">강남구 </v>
      </c>
      <c r="G163" t="str">
        <f t="shared" si="8"/>
        <v>삼성동</v>
      </c>
      <c r="H163" t="s">
        <v>9607</v>
      </c>
      <c r="I163">
        <v>6160</v>
      </c>
    </row>
    <row r="164" spans="1:9" x14ac:dyDescent="0.4">
      <c r="A164">
        <v>3220000</v>
      </c>
      <c r="B164" t="s">
        <v>10573</v>
      </c>
      <c r="C164" s="1">
        <v>37790</v>
      </c>
      <c r="D164" t="s">
        <v>10574</v>
      </c>
      <c r="E164" t="str">
        <f t="shared" si="6"/>
        <v>서울특별시</v>
      </c>
      <c r="F164" t="str">
        <f t="shared" si="7"/>
        <v xml:space="preserve">강남구 </v>
      </c>
      <c r="G164" t="str">
        <f t="shared" si="8"/>
        <v>삼성동</v>
      </c>
      <c r="H164" t="s">
        <v>10575</v>
      </c>
      <c r="I164">
        <v>6160</v>
      </c>
    </row>
    <row r="165" spans="1:9" x14ac:dyDescent="0.4">
      <c r="A165">
        <v>3220000</v>
      </c>
      <c r="B165" t="s">
        <v>10707</v>
      </c>
      <c r="C165" s="1">
        <v>37356</v>
      </c>
      <c r="D165" t="s">
        <v>10708</v>
      </c>
      <c r="E165" t="str">
        <f t="shared" si="6"/>
        <v>서울특별시</v>
      </c>
      <c r="F165" t="str">
        <f t="shared" si="7"/>
        <v xml:space="preserve">강남구 </v>
      </c>
      <c r="G165" t="str">
        <f t="shared" si="8"/>
        <v>삼성동</v>
      </c>
      <c r="H165" t="s">
        <v>10709</v>
      </c>
      <c r="I165">
        <v>6160</v>
      </c>
    </row>
    <row r="166" spans="1:9" x14ac:dyDescent="0.4">
      <c r="A166">
        <v>3220000</v>
      </c>
      <c r="B166" t="s">
        <v>10380</v>
      </c>
      <c r="C166" s="1">
        <v>37356</v>
      </c>
      <c r="D166" t="s">
        <v>10381</v>
      </c>
      <c r="E166" t="str">
        <f t="shared" si="6"/>
        <v>서울특별시</v>
      </c>
      <c r="F166" t="str">
        <f t="shared" si="7"/>
        <v xml:space="preserve">강남구 </v>
      </c>
      <c r="G166" t="str">
        <f t="shared" si="8"/>
        <v>삼성동</v>
      </c>
      <c r="H166" t="s">
        <v>10382</v>
      </c>
      <c r="I166">
        <v>6160</v>
      </c>
    </row>
    <row r="167" spans="1:9" x14ac:dyDescent="0.4">
      <c r="A167">
        <v>3220000</v>
      </c>
      <c r="B167" t="s">
        <v>9472</v>
      </c>
      <c r="C167" s="1">
        <v>37217</v>
      </c>
      <c r="D167" t="s">
        <v>9473</v>
      </c>
      <c r="E167" t="str">
        <f t="shared" si="6"/>
        <v>서울특별시</v>
      </c>
      <c r="F167" t="str">
        <f t="shared" si="7"/>
        <v xml:space="preserve">강남구 </v>
      </c>
      <c r="G167" t="str">
        <f t="shared" si="8"/>
        <v>삼성동</v>
      </c>
      <c r="H167" t="s">
        <v>9474</v>
      </c>
      <c r="I167">
        <v>6160</v>
      </c>
    </row>
    <row r="168" spans="1:9" x14ac:dyDescent="0.4">
      <c r="A168">
        <v>3220000</v>
      </c>
      <c r="B168" t="s">
        <v>10702</v>
      </c>
      <c r="C168" s="1">
        <v>42381</v>
      </c>
      <c r="D168" t="s">
        <v>10703</v>
      </c>
      <c r="E168" t="str">
        <f t="shared" si="6"/>
        <v>서울특별시</v>
      </c>
      <c r="F168" t="str">
        <f t="shared" si="7"/>
        <v xml:space="preserve">강남구 </v>
      </c>
      <c r="G168" t="str">
        <f t="shared" si="8"/>
        <v>삼성동</v>
      </c>
      <c r="H168" t="s">
        <v>10704</v>
      </c>
      <c r="I168">
        <v>6160</v>
      </c>
    </row>
    <row r="169" spans="1:9" x14ac:dyDescent="0.4">
      <c r="A169">
        <v>3220000</v>
      </c>
      <c r="B169" t="s">
        <v>9689</v>
      </c>
      <c r="C169" s="1">
        <v>37421</v>
      </c>
      <c r="D169" t="s">
        <v>9690</v>
      </c>
      <c r="E169" t="str">
        <f t="shared" si="6"/>
        <v>서울특별시</v>
      </c>
      <c r="F169" t="str">
        <f t="shared" si="7"/>
        <v xml:space="preserve">강남구 </v>
      </c>
      <c r="G169" t="str">
        <f t="shared" si="8"/>
        <v>삼성동</v>
      </c>
      <c r="H169" t="s">
        <v>9691</v>
      </c>
      <c r="I169">
        <v>6160</v>
      </c>
    </row>
    <row r="170" spans="1:9" x14ac:dyDescent="0.4">
      <c r="A170">
        <v>3220000</v>
      </c>
      <c r="B170" t="s">
        <v>9583</v>
      </c>
      <c r="C170" s="1">
        <v>32835</v>
      </c>
      <c r="D170" t="s">
        <v>9584</v>
      </c>
      <c r="E170" t="str">
        <f t="shared" si="6"/>
        <v>서울특별시</v>
      </c>
      <c r="F170" t="str">
        <f t="shared" si="7"/>
        <v xml:space="preserve">강남구 </v>
      </c>
      <c r="G170" t="str">
        <f t="shared" si="8"/>
        <v>삼성동</v>
      </c>
    </row>
    <row r="171" spans="1:9" x14ac:dyDescent="0.4">
      <c r="A171">
        <v>3220000</v>
      </c>
      <c r="B171" t="s">
        <v>10659</v>
      </c>
      <c r="C171" s="1">
        <v>44386</v>
      </c>
      <c r="D171" t="s">
        <v>10660</v>
      </c>
      <c r="E171" t="str">
        <f t="shared" si="6"/>
        <v>서울특별시</v>
      </c>
      <c r="F171" t="str">
        <f t="shared" si="7"/>
        <v xml:space="preserve">강남구 </v>
      </c>
      <c r="G171" t="str">
        <f t="shared" si="8"/>
        <v>삼성동</v>
      </c>
      <c r="H171" t="s">
        <v>10661</v>
      </c>
      <c r="I171">
        <v>6160</v>
      </c>
    </row>
    <row r="172" spans="1:9" x14ac:dyDescent="0.4">
      <c r="A172">
        <v>3220000</v>
      </c>
      <c r="B172" t="s">
        <v>10997</v>
      </c>
      <c r="C172" s="1">
        <v>38521</v>
      </c>
      <c r="D172" t="s">
        <v>10998</v>
      </c>
      <c r="E172" t="str">
        <f t="shared" si="6"/>
        <v>서울특별시</v>
      </c>
      <c r="F172" t="str">
        <f t="shared" si="7"/>
        <v xml:space="preserve">강남구 </v>
      </c>
      <c r="G172" t="str">
        <f t="shared" si="8"/>
        <v>삼성동</v>
      </c>
      <c r="H172" t="s">
        <v>10999</v>
      </c>
      <c r="I172">
        <v>6160</v>
      </c>
    </row>
    <row r="173" spans="1:9" x14ac:dyDescent="0.4">
      <c r="A173">
        <v>3220000</v>
      </c>
      <c r="B173" t="s">
        <v>10936</v>
      </c>
      <c r="C173" s="1">
        <v>38521</v>
      </c>
      <c r="D173" t="s">
        <v>10937</v>
      </c>
      <c r="E173" t="str">
        <f t="shared" si="6"/>
        <v>서울특별시</v>
      </c>
      <c r="F173" t="str">
        <f t="shared" si="7"/>
        <v xml:space="preserve">강남구 </v>
      </c>
      <c r="G173" t="str">
        <f t="shared" si="8"/>
        <v>삼성동</v>
      </c>
      <c r="H173" t="s">
        <v>10938</v>
      </c>
      <c r="I173">
        <v>6160</v>
      </c>
    </row>
    <row r="174" spans="1:9" x14ac:dyDescent="0.4">
      <c r="A174">
        <v>3220000</v>
      </c>
      <c r="B174" t="s">
        <v>10900</v>
      </c>
      <c r="C174" s="1">
        <v>39742</v>
      </c>
      <c r="D174" t="s">
        <v>10901</v>
      </c>
      <c r="E174" t="str">
        <f t="shared" si="6"/>
        <v>서울특별시</v>
      </c>
      <c r="F174" t="str">
        <f t="shared" si="7"/>
        <v xml:space="preserve">강남구 </v>
      </c>
      <c r="G174" t="str">
        <f t="shared" si="8"/>
        <v>삼성동</v>
      </c>
      <c r="H174" t="s">
        <v>10902</v>
      </c>
      <c r="I174">
        <v>6160</v>
      </c>
    </row>
    <row r="175" spans="1:9" x14ac:dyDescent="0.4">
      <c r="A175">
        <v>3220000</v>
      </c>
      <c r="B175" t="s">
        <v>10224</v>
      </c>
      <c r="C175" s="1">
        <v>38521</v>
      </c>
      <c r="D175" t="s">
        <v>10225</v>
      </c>
      <c r="E175" t="str">
        <f t="shared" si="6"/>
        <v>서울특별시</v>
      </c>
      <c r="F175" t="str">
        <f t="shared" si="7"/>
        <v xml:space="preserve">강남구 </v>
      </c>
      <c r="G175" t="str">
        <f t="shared" si="8"/>
        <v>삼성동</v>
      </c>
    </row>
    <row r="176" spans="1:9" x14ac:dyDescent="0.4">
      <c r="A176">
        <v>3220000</v>
      </c>
      <c r="B176" t="s">
        <v>9779</v>
      </c>
      <c r="C176" s="1">
        <v>33417</v>
      </c>
      <c r="D176" t="s">
        <v>9780</v>
      </c>
      <c r="E176" t="str">
        <f t="shared" si="6"/>
        <v>서울특별시</v>
      </c>
      <c r="F176" t="str">
        <f t="shared" si="7"/>
        <v xml:space="preserve">강남구 </v>
      </c>
      <c r="G176" t="str">
        <f t="shared" si="8"/>
        <v>삼성동</v>
      </c>
    </row>
    <row r="177" spans="1:9" x14ac:dyDescent="0.4">
      <c r="A177">
        <v>3220000</v>
      </c>
      <c r="B177" t="s">
        <v>10115</v>
      </c>
      <c r="C177" s="1">
        <v>36149</v>
      </c>
      <c r="D177" t="s">
        <v>9780</v>
      </c>
      <c r="E177" t="str">
        <f t="shared" si="6"/>
        <v>서울특별시</v>
      </c>
      <c r="F177" t="str">
        <f t="shared" si="7"/>
        <v xml:space="preserve">강남구 </v>
      </c>
      <c r="G177" t="str">
        <f t="shared" si="8"/>
        <v>삼성동</v>
      </c>
    </row>
    <row r="178" spans="1:9" x14ac:dyDescent="0.4">
      <c r="A178">
        <v>3220000</v>
      </c>
      <c r="B178" t="s">
        <v>658</v>
      </c>
      <c r="C178" s="1">
        <v>42654</v>
      </c>
      <c r="D178" t="s">
        <v>659</v>
      </c>
      <c r="E178" t="str">
        <f t="shared" si="6"/>
        <v>서울특별시</v>
      </c>
      <c r="F178" t="str">
        <f t="shared" si="7"/>
        <v xml:space="preserve">강남구 </v>
      </c>
      <c r="G178" t="str">
        <f t="shared" si="8"/>
        <v>삼성동</v>
      </c>
      <c r="H178" t="s">
        <v>660</v>
      </c>
      <c r="I178">
        <v>6160</v>
      </c>
    </row>
    <row r="179" spans="1:9" x14ac:dyDescent="0.4">
      <c r="A179">
        <v>3220000</v>
      </c>
      <c r="B179" t="s">
        <v>9980</v>
      </c>
      <c r="C179" s="1">
        <v>30798</v>
      </c>
      <c r="D179" t="s">
        <v>9981</v>
      </c>
      <c r="E179" t="str">
        <f t="shared" si="6"/>
        <v>서울특별시</v>
      </c>
      <c r="F179" t="str">
        <f t="shared" si="7"/>
        <v xml:space="preserve">강남구 </v>
      </c>
      <c r="G179" t="str">
        <f t="shared" si="8"/>
        <v>삼성동</v>
      </c>
    </row>
    <row r="180" spans="1:9" x14ac:dyDescent="0.4">
      <c r="A180">
        <v>3220000</v>
      </c>
      <c r="B180" t="s">
        <v>10718</v>
      </c>
      <c r="C180" s="1">
        <v>31792</v>
      </c>
      <c r="D180" t="s">
        <v>10719</v>
      </c>
      <c r="E180" t="str">
        <f t="shared" si="6"/>
        <v>서울특별시</v>
      </c>
      <c r="F180" t="str">
        <f t="shared" si="7"/>
        <v xml:space="preserve">강남구 </v>
      </c>
      <c r="G180" t="str">
        <f t="shared" si="8"/>
        <v>삼성동</v>
      </c>
      <c r="H180" t="s">
        <v>10720</v>
      </c>
      <c r="I180">
        <v>6160</v>
      </c>
    </row>
    <row r="181" spans="1:9" x14ac:dyDescent="0.4">
      <c r="A181">
        <v>3220000</v>
      </c>
      <c r="B181" t="s">
        <v>10648</v>
      </c>
      <c r="C181" s="1">
        <v>39289</v>
      </c>
      <c r="D181" t="s">
        <v>10649</v>
      </c>
      <c r="E181" t="str">
        <f t="shared" si="6"/>
        <v>서울특별시</v>
      </c>
      <c r="F181" t="str">
        <f t="shared" si="7"/>
        <v xml:space="preserve">강남구 </v>
      </c>
      <c r="G181" t="str">
        <f t="shared" si="8"/>
        <v>삼성동</v>
      </c>
      <c r="H181" t="s">
        <v>10650</v>
      </c>
      <c r="I181">
        <v>6159</v>
      </c>
    </row>
    <row r="182" spans="1:9" x14ac:dyDescent="0.4">
      <c r="A182">
        <v>3220000</v>
      </c>
      <c r="B182" t="s">
        <v>10710</v>
      </c>
      <c r="C182" s="1">
        <v>37382</v>
      </c>
      <c r="D182" t="s">
        <v>10711</v>
      </c>
      <c r="E182" t="str">
        <f t="shared" si="6"/>
        <v>서울특별시</v>
      </c>
      <c r="F182" t="str">
        <f t="shared" si="7"/>
        <v xml:space="preserve">강남구 </v>
      </c>
      <c r="G182" t="str">
        <f t="shared" si="8"/>
        <v>삼성동</v>
      </c>
      <c r="H182" t="s">
        <v>10712</v>
      </c>
      <c r="I182">
        <v>6159</v>
      </c>
    </row>
    <row r="183" spans="1:9" x14ac:dyDescent="0.4">
      <c r="A183">
        <v>3220000</v>
      </c>
      <c r="B183" t="s">
        <v>10201</v>
      </c>
      <c r="C183" s="1">
        <v>36668</v>
      </c>
      <c r="D183" t="s">
        <v>10202</v>
      </c>
      <c r="E183" t="str">
        <f t="shared" si="6"/>
        <v>서울특별시</v>
      </c>
      <c r="F183" t="str">
        <f t="shared" si="7"/>
        <v xml:space="preserve">강남구 </v>
      </c>
      <c r="G183" t="str">
        <f t="shared" si="8"/>
        <v>삼성동</v>
      </c>
      <c r="H183" t="s">
        <v>10203</v>
      </c>
      <c r="I183">
        <v>6159</v>
      </c>
    </row>
    <row r="184" spans="1:9" x14ac:dyDescent="0.4">
      <c r="A184">
        <v>3220000</v>
      </c>
      <c r="B184" t="s">
        <v>10282</v>
      </c>
      <c r="C184" s="1">
        <v>37148</v>
      </c>
      <c r="D184" t="s">
        <v>10283</v>
      </c>
      <c r="E184" t="str">
        <f t="shared" si="6"/>
        <v>서울특별시</v>
      </c>
      <c r="F184" t="str">
        <f t="shared" si="7"/>
        <v xml:space="preserve">강남구 </v>
      </c>
      <c r="G184" t="str">
        <f t="shared" si="8"/>
        <v>삼성동</v>
      </c>
    </row>
    <row r="185" spans="1:9" x14ac:dyDescent="0.4">
      <c r="A185">
        <v>3220000</v>
      </c>
      <c r="B185" t="s">
        <v>10939</v>
      </c>
      <c r="C185" s="1">
        <v>38831</v>
      </c>
      <c r="D185" t="s">
        <v>10940</v>
      </c>
      <c r="E185" t="str">
        <f t="shared" si="6"/>
        <v>서울특별시</v>
      </c>
      <c r="F185" t="str">
        <f t="shared" si="7"/>
        <v xml:space="preserve">강남구 </v>
      </c>
      <c r="G185" t="str">
        <f t="shared" si="8"/>
        <v>삼성동</v>
      </c>
      <c r="H185" t="s">
        <v>10941</v>
      </c>
      <c r="I185">
        <v>6159</v>
      </c>
    </row>
    <row r="186" spans="1:9" x14ac:dyDescent="0.4">
      <c r="A186">
        <v>3220000</v>
      </c>
      <c r="B186" t="s">
        <v>10301</v>
      </c>
      <c r="C186" s="1">
        <v>40338</v>
      </c>
      <c r="D186" t="s">
        <v>10302</v>
      </c>
      <c r="E186" t="str">
        <f t="shared" si="6"/>
        <v>서울특별시</v>
      </c>
      <c r="F186" t="str">
        <f t="shared" si="7"/>
        <v xml:space="preserve">강남구 </v>
      </c>
      <c r="G186" t="str">
        <f t="shared" si="8"/>
        <v>삼성동</v>
      </c>
      <c r="H186" t="s">
        <v>10303</v>
      </c>
      <c r="I186">
        <v>6159</v>
      </c>
    </row>
    <row r="187" spans="1:9" x14ac:dyDescent="0.4">
      <c r="A187">
        <v>3220000</v>
      </c>
      <c r="B187" t="s">
        <v>10325</v>
      </c>
      <c r="C187" s="1">
        <v>40339</v>
      </c>
      <c r="D187" t="s">
        <v>10326</v>
      </c>
      <c r="E187" t="str">
        <f t="shared" si="6"/>
        <v>서울특별시</v>
      </c>
      <c r="F187" t="str">
        <f t="shared" si="7"/>
        <v xml:space="preserve">강남구 </v>
      </c>
      <c r="G187" t="str">
        <f t="shared" si="8"/>
        <v>삼성동</v>
      </c>
      <c r="H187" t="s">
        <v>10327</v>
      </c>
      <c r="I187">
        <v>6159</v>
      </c>
    </row>
    <row r="188" spans="1:9" x14ac:dyDescent="0.4">
      <c r="A188">
        <v>3220000</v>
      </c>
      <c r="B188" t="s">
        <v>10219</v>
      </c>
      <c r="C188" s="1">
        <v>36608</v>
      </c>
      <c r="D188" t="s">
        <v>10220</v>
      </c>
      <c r="E188" t="str">
        <f t="shared" si="6"/>
        <v>서울특별시</v>
      </c>
      <c r="F188" t="str">
        <f t="shared" si="7"/>
        <v xml:space="preserve">강남구 </v>
      </c>
      <c r="G188" t="str">
        <f t="shared" si="8"/>
        <v>삼성동</v>
      </c>
    </row>
    <row r="189" spans="1:9" x14ac:dyDescent="0.4">
      <c r="A189">
        <v>3220000</v>
      </c>
      <c r="B189" t="s">
        <v>10081</v>
      </c>
      <c r="C189" s="1">
        <v>42444</v>
      </c>
      <c r="D189" t="s">
        <v>10082</v>
      </c>
      <c r="E189" t="str">
        <f t="shared" si="6"/>
        <v>서울특별시</v>
      </c>
      <c r="F189" t="str">
        <f t="shared" si="7"/>
        <v xml:space="preserve">강남구 </v>
      </c>
      <c r="G189" t="str">
        <f t="shared" si="8"/>
        <v>삼성동</v>
      </c>
      <c r="H189" t="s">
        <v>9977</v>
      </c>
      <c r="I189">
        <v>6159</v>
      </c>
    </row>
    <row r="190" spans="1:9" x14ac:dyDescent="0.4">
      <c r="A190">
        <v>3220000</v>
      </c>
      <c r="B190" t="s">
        <v>9975</v>
      </c>
      <c r="C190" s="1">
        <v>37596</v>
      </c>
      <c r="D190" t="s">
        <v>9976</v>
      </c>
      <c r="E190" t="str">
        <f t="shared" si="6"/>
        <v>서울특별시</v>
      </c>
      <c r="F190" t="str">
        <f t="shared" si="7"/>
        <v xml:space="preserve">강남구 </v>
      </c>
      <c r="G190" t="str">
        <f t="shared" si="8"/>
        <v>삼성동</v>
      </c>
      <c r="H190" t="s">
        <v>9977</v>
      </c>
      <c r="I190">
        <v>6159</v>
      </c>
    </row>
    <row r="191" spans="1:9" x14ac:dyDescent="0.4">
      <c r="A191">
        <v>3220000</v>
      </c>
      <c r="B191" t="s">
        <v>11019</v>
      </c>
      <c r="C191" s="1">
        <v>43810</v>
      </c>
      <c r="D191" t="s">
        <v>11020</v>
      </c>
      <c r="E191" t="str">
        <f t="shared" si="6"/>
        <v>서울특별시</v>
      </c>
      <c r="F191" t="str">
        <f t="shared" si="7"/>
        <v xml:space="preserve">강남구 </v>
      </c>
      <c r="G191" t="str">
        <f t="shared" si="8"/>
        <v>삼성동</v>
      </c>
      <c r="H191" t="s">
        <v>11021</v>
      </c>
      <c r="I191">
        <v>6159</v>
      </c>
    </row>
    <row r="192" spans="1:9" x14ac:dyDescent="0.4">
      <c r="A192">
        <v>3220000</v>
      </c>
      <c r="B192" t="s">
        <v>9576</v>
      </c>
      <c r="C192" s="1">
        <v>37068</v>
      </c>
      <c r="D192" t="s">
        <v>9577</v>
      </c>
      <c r="E192" t="str">
        <f t="shared" si="6"/>
        <v>서울특별시</v>
      </c>
      <c r="F192" t="str">
        <f t="shared" si="7"/>
        <v xml:space="preserve">강남구 </v>
      </c>
      <c r="G192" t="str">
        <f t="shared" si="8"/>
        <v>삼성동</v>
      </c>
    </row>
    <row r="193" spans="1:9" x14ac:dyDescent="0.4">
      <c r="A193">
        <v>3220000</v>
      </c>
      <c r="B193" t="s">
        <v>9464</v>
      </c>
      <c r="C193" s="1">
        <v>40589</v>
      </c>
      <c r="D193" t="s">
        <v>9465</v>
      </c>
      <c r="E193" t="str">
        <f t="shared" si="6"/>
        <v>서울특별시</v>
      </c>
      <c r="F193" t="str">
        <f t="shared" si="7"/>
        <v xml:space="preserve">강남구 </v>
      </c>
      <c r="G193" t="str">
        <f t="shared" si="8"/>
        <v>삼성동</v>
      </c>
    </row>
    <row r="194" spans="1:9" x14ac:dyDescent="0.4">
      <c r="A194">
        <v>3220000</v>
      </c>
      <c r="B194" t="s">
        <v>10457</v>
      </c>
      <c r="C194" s="1">
        <v>39316</v>
      </c>
      <c r="D194" t="s">
        <v>9465</v>
      </c>
      <c r="E194" t="str">
        <f t="shared" si="6"/>
        <v>서울특별시</v>
      </c>
      <c r="F194" t="str">
        <f t="shared" si="7"/>
        <v xml:space="preserve">강남구 </v>
      </c>
      <c r="G194" t="str">
        <f t="shared" si="8"/>
        <v>삼성동</v>
      </c>
    </row>
    <row r="195" spans="1:9" x14ac:dyDescent="0.4">
      <c r="A195">
        <v>3220000</v>
      </c>
      <c r="B195" t="s">
        <v>9509</v>
      </c>
      <c r="C195" s="1">
        <v>36453</v>
      </c>
      <c r="D195" t="s">
        <v>9510</v>
      </c>
      <c r="E195" t="str">
        <f t="shared" ref="E195:E258" si="9">LEFT(D195,5)</f>
        <v>서울특별시</v>
      </c>
      <c r="F195" t="str">
        <f t="shared" ref="F195:F258" si="10">MID(D195,7,4)</f>
        <v xml:space="preserve">강남구 </v>
      </c>
      <c r="G195" t="str">
        <f t="shared" ref="G195:G258" si="11">MID(SUBSTITUTE(D195," ",""),9,3)</f>
        <v>삼성동</v>
      </c>
    </row>
    <row r="196" spans="1:9" x14ac:dyDescent="0.4">
      <c r="A196">
        <v>3220000</v>
      </c>
      <c r="B196" t="s">
        <v>9798</v>
      </c>
      <c r="C196" s="1">
        <v>36271</v>
      </c>
      <c r="D196" t="s">
        <v>9799</v>
      </c>
      <c r="E196" t="str">
        <f t="shared" si="9"/>
        <v>서울특별시</v>
      </c>
      <c r="F196" t="str">
        <f t="shared" si="10"/>
        <v xml:space="preserve">강남구 </v>
      </c>
      <c r="G196" t="str">
        <f t="shared" si="11"/>
        <v>삼성동</v>
      </c>
    </row>
    <row r="197" spans="1:9" x14ac:dyDescent="0.4">
      <c r="A197">
        <v>3220000</v>
      </c>
      <c r="B197" t="s">
        <v>9571</v>
      </c>
      <c r="C197" s="1">
        <v>38169</v>
      </c>
      <c r="D197" t="s">
        <v>9572</v>
      </c>
      <c r="E197" t="str">
        <f t="shared" si="9"/>
        <v>서울특별시</v>
      </c>
      <c r="F197" t="str">
        <f t="shared" si="10"/>
        <v xml:space="preserve">강남구 </v>
      </c>
      <c r="G197" t="str">
        <f t="shared" si="11"/>
        <v>삼성동</v>
      </c>
      <c r="H197" t="s">
        <v>9573</v>
      </c>
      <c r="I197">
        <v>6159</v>
      </c>
    </row>
    <row r="198" spans="1:9" x14ac:dyDescent="0.4">
      <c r="A198">
        <v>3220000</v>
      </c>
      <c r="B198" t="s">
        <v>10600</v>
      </c>
      <c r="C198" s="1">
        <v>43781</v>
      </c>
      <c r="D198" t="s">
        <v>10601</v>
      </c>
      <c r="E198" t="str">
        <f t="shared" si="9"/>
        <v>서울특별시</v>
      </c>
      <c r="F198" t="str">
        <f t="shared" si="10"/>
        <v xml:space="preserve">강남구 </v>
      </c>
      <c r="G198" t="str">
        <f t="shared" si="11"/>
        <v>삼성동</v>
      </c>
      <c r="H198" t="s">
        <v>10602</v>
      </c>
      <c r="I198">
        <v>6159</v>
      </c>
    </row>
    <row r="199" spans="1:9" x14ac:dyDescent="0.4">
      <c r="A199">
        <v>3220000</v>
      </c>
      <c r="B199" t="s">
        <v>9461</v>
      </c>
      <c r="C199" s="1">
        <v>40556</v>
      </c>
      <c r="D199" t="s">
        <v>9462</v>
      </c>
      <c r="E199" t="str">
        <f t="shared" si="9"/>
        <v>서울특별시</v>
      </c>
      <c r="F199" t="str">
        <f t="shared" si="10"/>
        <v xml:space="preserve">강남구 </v>
      </c>
      <c r="G199" t="str">
        <f t="shared" si="11"/>
        <v>삼성동</v>
      </c>
      <c r="H199" t="s">
        <v>9463</v>
      </c>
      <c r="I199">
        <v>6159</v>
      </c>
    </row>
    <row r="200" spans="1:9" x14ac:dyDescent="0.4">
      <c r="A200">
        <v>3220000</v>
      </c>
      <c r="B200" t="s">
        <v>10171</v>
      </c>
      <c r="C200" s="1">
        <v>38169</v>
      </c>
      <c r="D200" t="s">
        <v>10172</v>
      </c>
      <c r="E200" t="str">
        <f t="shared" si="9"/>
        <v>서울특별시</v>
      </c>
      <c r="F200" t="str">
        <f t="shared" si="10"/>
        <v xml:space="preserve">강남구 </v>
      </c>
      <c r="G200" t="str">
        <f t="shared" si="11"/>
        <v>삼성동</v>
      </c>
    </row>
    <row r="201" spans="1:9" x14ac:dyDescent="0.4">
      <c r="A201">
        <v>3220000</v>
      </c>
      <c r="B201" t="s">
        <v>11006</v>
      </c>
      <c r="C201" s="1">
        <v>43735</v>
      </c>
      <c r="D201" t="s">
        <v>11007</v>
      </c>
      <c r="E201" t="str">
        <f t="shared" si="9"/>
        <v>서울특별시</v>
      </c>
      <c r="F201" t="str">
        <f t="shared" si="10"/>
        <v xml:space="preserve">강남구 </v>
      </c>
      <c r="G201" t="str">
        <f t="shared" si="11"/>
        <v>삼성동</v>
      </c>
      <c r="H201" t="s">
        <v>11008</v>
      </c>
      <c r="I201">
        <v>6159</v>
      </c>
    </row>
    <row r="202" spans="1:9" x14ac:dyDescent="0.4">
      <c r="A202">
        <v>3220000</v>
      </c>
      <c r="B202" t="s">
        <v>11015</v>
      </c>
      <c r="C202" s="1">
        <v>43725</v>
      </c>
      <c r="D202" t="s">
        <v>11007</v>
      </c>
      <c r="E202" t="str">
        <f t="shared" si="9"/>
        <v>서울특별시</v>
      </c>
      <c r="F202" t="str">
        <f t="shared" si="10"/>
        <v xml:space="preserve">강남구 </v>
      </c>
      <c r="G202" t="str">
        <f t="shared" si="11"/>
        <v>삼성동</v>
      </c>
      <c r="H202" t="s">
        <v>11016</v>
      </c>
      <c r="I202">
        <v>6159</v>
      </c>
    </row>
    <row r="203" spans="1:9" x14ac:dyDescent="0.4">
      <c r="A203">
        <v>3220000</v>
      </c>
      <c r="B203" t="s">
        <v>10766</v>
      </c>
      <c r="C203" s="1">
        <v>40165</v>
      </c>
      <c r="D203" t="s">
        <v>10767</v>
      </c>
      <c r="E203" t="str">
        <f t="shared" si="9"/>
        <v>서울특별시</v>
      </c>
      <c r="F203" t="str">
        <f t="shared" si="10"/>
        <v xml:space="preserve">강남구 </v>
      </c>
      <c r="G203" t="str">
        <f t="shared" si="11"/>
        <v>삼성동</v>
      </c>
      <c r="H203" t="s">
        <v>10768</v>
      </c>
      <c r="I203">
        <v>6159</v>
      </c>
    </row>
    <row r="204" spans="1:9" x14ac:dyDescent="0.4">
      <c r="A204">
        <v>3220000</v>
      </c>
      <c r="B204" t="s">
        <v>10445</v>
      </c>
      <c r="C204" s="1">
        <v>40826</v>
      </c>
      <c r="D204" t="s">
        <v>10446</v>
      </c>
      <c r="E204" t="str">
        <f t="shared" si="9"/>
        <v>서울특별시</v>
      </c>
      <c r="F204" t="str">
        <f t="shared" si="10"/>
        <v xml:space="preserve">강남구 </v>
      </c>
      <c r="G204" t="str">
        <f t="shared" si="11"/>
        <v>삼성동</v>
      </c>
      <c r="H204" t="s">
        <v>10447</v>
      </c>
      <c r="I204">
        <v>6159</v>
      </c>
    </row>
    <row r="205" spans="1:9" x14ac:dyDescent="0.4">
      <c r="A205">
        <v>3220000</v>
      </c>
      <c r="B205" t="s">
        <v>10645</v>
      </c>
      <c r="C205" s="1">
        <v>41151</v>
      </c>
      <c r="D205" t="s">
        <v>10646</v>
      </c>
      <c r="E205" t="str">
        <f t="shared" si="9"/>
        <v>서울특별시</v>
      </c>
      <c r="F205" t="str">
        <f t="shared" si="10"/>
        <v xml:space="preserve">강남구 </v>
      </c>
      <c r="G205" t="str">
        <f t="shared" si="11"/>
        <v>삼성동</v>
      </c>
      <c r="H205" t="s">
        <v>10647</v>
      </c>
      <c r="I205">
        <v>6159</v>
      </c>
    </row>
    <row r="206" spans="1:9" x14ac:dyDescent="0.4">
      <c r="A206">
        <v>3220000</v>
      </c>
      <c r="B206" t="s">
        <v>10529</v>
      </c>
      <c r="C206" s="1">
        <v>31425</v>
      </c>
      <c r="D206" t="s">
        <v>10530</v>
      </c>
      <c r="E206" t="str">
        <f t="shared" si="9"/>
        <v>서울특별시</v>
      </c>
      <c r="F206" t="str">
        <f t="shared" si="10"/>
        <v xml:space="preserve">강남구 </v>
      </c>
      <c r="G206" t="str">
        <f t="shared" si="11"/>
        <v>삼성동</v>
      </c>
      <c r="H206" t="s">
        <v>10531</v>
      </c>
      <c r="I206">
        <v>6159</v>
      </c>
    </row>
    <row r="207" spans="1:9" x14ac:dyDescent="0.4">
      <c r="A207">
        <v>3220000</v>
      </c>
      <c r="B207" t="s">
        <v>9475</v>
      </c>
      <c r="C207" s="1">
        <v>37226</v>
      </c>
      <c r="D207" t="s">
        <v>9476</v>
      </c>
      <c r="E207" t="str">
        <f t="shared" si="9"/>
        <v>서울특별시</v>
      </c>
      <c r="F207" t="str">
        <f t="shared" si="10"/>
        <v xml:space="preserve">강남구 </v>
      </c>
      <c r="G207" t="str">
        <f t="shared" si="11"/>
        <v>삼성동</v>
      </c>
    </row>
    <row r="208" spans="1:9" x14ac:dyDescent="0.4">
      <c r="A208">
        <v>3220000</v>
      </c>
      <c r="B208" t="s">
        <v>10296</v>
      </c>
      <c r="C208" s="1">
        <v>40207</v>
      </c>
      <c r="D208" t="s">
        <v>10297</v>
      </c>
      <c r="E208" t="str">
        <f t="shared" si="9"/>
        <v>서울특별시</v>
      </c>
      <c r="F208" t="str">
        <f t="shared" si="10"/>
        <v xml:space="preserve">강남구 </v>
      </c>
      <c r="G208" t="str">
        <f t="shared" si="11"/>
        <v>삼성동</v>
      </c>
    </row>
    <row r="209" spans="1:9" x14ac:dyDescent="0.4">
      <c r="A209">
        <v>3220000</v>
      </c>
      <c r="B209" t="s">
        <v>10906</v>
      </c>
      <c r="C209" s="1">
        <v>40429</v>
      </c>
      <c r="D209" t="s">
        <v>10907</v>
      </c>
      <c r="E209" t="str">
        <f t="shared" si="9"/>
        <v>서울특별시</v>
      </c>
      <c r="F209" t="str">
        <f t="shared" si="10"/>
        <v xml:space="preserve">강남구 </v>
      </c>
      <c r="G209" t="str">
        <f t="shared" si="11"/>
        <v>삼성동</v>
      </c>
      <c r="H209" t="s">
        <v>10908</v>
      </c>
      <c r="I209">
        <v>6159</v>
      </c>
    </row>
    <row r="210" spans="1:9" x14ac:dyDescent="0.4">
      <c r="A210">
        <v>3220000</v>
      </c>
      <c r="B210" t="s">
        <v>10287</v>
      </c>
      <c r="C210" s="1">
        <v>40648</v>
      </c>
      <c r="D210" t="s">
        <v>10288</v>
      </c>
      <c r="E210" t="str">
        <f t="shared" si="9"/>
        <v>서울특별시</v>
      </c>
      <c r="F210" t="str">
        <f t="shared" si="10"/>
        <v xml:space="preserve">강남구 </v>
      </c>
      <c r="G210" t="str">
        <f t="shared" si="11"/>
        <v>삼성동</v>
      </c>
      <c r="H210" t="s">
        <v>10289</v>
      </c>
      <c r="I210">
        <v>6159</v>
      </c>
    </row>
    <row r="211" spans="1:9" x14ac:dyDescent="0.4">
      <c r="A211">
        <v>3220000</v>
      </c>
      <c r="B211" t="s">
        <v>9692</v>
      </c>
      <c r="C211" s="1">
        <v>37426</v>
      </c>
      <c r="D211" t="s">
        <v>9693</v>
      </c>
      <c r="E211" t="str">
        <f t="shared" si="9"/>
        <v>서울특별시</v>
      </c>
      <c r="F211" t="str">
        <f t="shared" si="10"/>
        <v xml:space="preserve">강남구 </v>
      </c>
      <c r="G211" t="str">
        <f t="shared" si="11"/>
        <v>삼성동</v>
      </c>
    </row>
    <row r="212" spans="1:9" x14ac:dyDescent="0.4">
      <c r="A212">
        <v>3220000</v>
      </c>
      <c r="B212" t="s">
        <v>10534</v>
      </c>
      <c r="C212" s="1">
        <v>40850</v>
      </c>
      <c r="D212" t="s">
        <v>10535</v>
      </c>
      <c r="E212" t="str">
        <f t="shared" si="9"/>
        <v>서울특별시</v>
      </c>
      <c r="F212" t="str">
        <f t="shared" si="10"/>
        <v xml:space="preserve">강남구 </v>
      </c>
      <c r="G212" t="str">
        <f t="shared" si="11"/>
        <v>삼성동</v>
      </c>
      <c r="H212" t="s">
        <v>10536</v>
      </c>
      <c r="I212">
        <v>6159</v>
      </c>
    </row>
    <row r="213" spans="1:9" x14ac:dyDescent="0.4">
      <c r="A213">
        <v>3220000</v>
      </c>
      <c r="B213" t="s">
        <v>10820</v>
      </c>
      <c r="C213" s="1">
        <v>40520</v>
      </c>
      <c r="D213" t="s">
        <v>10535</v>
      </c>
      <c r="E213" t="str">
        <f t="shared" si="9"/>
        <v>서울특별시</v>
      </c>
      <c r="F213" t="str">
        <f t="shared" si="10"/>
        <v xml:space="preserve">강남구 </v>
      </c>
      <c r="G213" t="str">
        <f t="shared" si="11"/>
        <v>삼성동</v>
      </c>
      <c r="H213" t="s">
        <v>10821</v>
      </c>
      <c r="I213">
        <v>6159</v>
      </c>
    </row>
    <row r="214" spans="1:9" x14ac:dyDescent="0.4">
      <c r="A214">
        <v>3220000</v>
      </c>
      <c r="B214" t="s">
        <v>10240</v>
      </c>
      <c r="C214" s="1">
        <v>38665</v>
      </c>
      <c r="D214" t="s">
        <v>10241</v>
      </c>
      <c r="E214" t="str">
        <f t="shared" si="9"/>
        <v>서울특별시</v>
      </c>
      <c r="F214" t="str">
        <f t="shared" si="10"/>
        <v xml:space="preserve">강남구 </v>
      </c>
      <c r="G214" t="str">
        <f t="shared" si="11"/>
        <v>삼성동</v>
      </c>
    </row>
    <row r="215" spans="1:9" x14ac:dyDescent="0.4">
      <c r="A215">
        <v>3220000</v>
      </c>
      <c r="B215" t="s">
        <v>10005</v>
      </c>
      <c r="C215" s="1">
        <v>41004</v>
      </c>
      <c r="D215" t="s">
        <v>10006</v>
      </c>
      <c r="E215" t="str">
        <f t="shared" si="9"/>
        <v>서울특별시</v>
      </c>
      <c r="F215" t="str">
        <f t="shared" si="10"/>
        <v xml:space="preserve">강남구 </v>
      </c>
      <c r="G215" t="str">
        <f t="shared" si="11"/>
        <v>삼성동</v>
      </c>
      <c r="H215" t="s">
        <v>10007</v>
      </c>
      <c r="I215">
        <v>6159</v>
      </c>
    </row>
    <row r="216" spans="1:9" x14ac:dyDescent="0.4">
      <c r="A216">
        <v>3220000</v>
      </c>
      <c r="B216" t="s">
        <v>9501</v>
      </c>
      <c r="C216" s="1">
        <v>43389</v>
      </c>
      <c r="D216" t="s">
        <v>9502</v>
      </c>
      <c r="E216" t="str">
        <f t="shared" si="9"/>
        <v>서울특별시</v>
      </c>
      <c r="F216" t="str">
        <f t="shared" si="10"/>
        <v xml:space="preserve">강남구 </v>
      </c>
      <c r="G216" t="str">
        <f t="shared" si="11"/>
        <v>삼성동</v>
      </c>
      <c r="H216" t="s">
        <v>9503</v>
      </c>
      <c r="I216">
        <v>6159</v>
      </c>
    </row>
    <row r="217" spans="1:9" x14ac:dyDescent="0.4">
      <c r="A217">
        <v>3220000</v>
      </c>
      <c r="B217" t="s">
        <v>10458</v>
      </c>
      <c r="C217" s="1">
        <v>36812</v>
      </c>
      <c r="D217" t="s">
        <v>10459</v>
      </c>
      <c r="E217" t="str">
        <f t="shared" si="9"/>
        <v>서울특별시</v>
      </c>
      <c r="F217" t="str">
        <f t="shared" si="10"/>
        <v xml:space="preserve">강남구 </v>
      </c>
      <c r="G217" t="str">
        <f t="shared" si="11"/>
        <v>삼성동</v>
      </c>
      <c r="H217" t="s">
        <v>10460</v>
      </c>
      <c r="I217">
        <v>6159</v>
      </c>
    </row>
    <row r="218" spans="1:9" x14ac:dyDescent="0.4">
      <c r="A218">
        <v>3220000</v>
      </c>
      <c r="B218" t="s">
        <v>10516</v>
      </c>
      <c r="C218" s="1">
        <v>37704</v>
      </c>
      <c r="D218" t="s">
        <v>10517</v>
      </c>
      <c r="E218" t="str">
        <f t="shared" si="9"/>
        <v>서울특별시</v>
      </c>
      <c r="F218" t="str">
        <f t="shared" si="10"/>
        <v xml:space="preserve">강남구 </v>
      </c>
      <c r="G218" t="str">
        <f t="shared" si="11"/>
        <v>삼성동</v>
      </c>
      <c r="H218" t="s">
        <v>10518</v>
      </c>
      <c r="I218">
        <v>6158</v>
      </c>
    </row>
    <row r="219" spans="1:9" x14ac:dyDescent="0.4">
      <c r="A219">
        <v>3220000</v>
      </c>
      <c r="B219" t="s">
        <v>10187</v>
      </c>
      <c r="C219" s="1">
        <v>36634</v>
      </c>
      <c r="D219" t="s">
        <v>10188</v>
      </c>
      <c r="E219" t="str">
        <f t="shared" si="9"/>
        <v>서울특별시</v>
      </c>
      <c r="F219" t="str">
        <f t="shared" si="10"/>
        <v xml:space="preserve">강남구 </v>
      </c>
      <c r="G219" t="str">
        <f t="shared" si="11"/>
        <v>삼성동</v>
      </c>
      <c r="H219" t="s">
        <v>10189</v>
      </c>
      <c r="I219">
        <v>6158</v>
      </c>
    </row>
    <row r="220" spans="1:9" x14ac:dyDescent="0.4">
      <c r="A220">
        <v>3220000</v>
      </c>
      <c r="B220" t="s">
        <v>10915</v>
      </c>
      <c r="C220" s="1">
        <v>36872</v>
      </c>
      <c r="D220" t="s">
        <v>10916</v>
      </c>
      <c r="E220" t="str">
        <f t="shared" si="9"/>
        <v>서울특별시</v>
      </c>
      <c r="F220" t="str">
        <f t="shared" si="10"/>
        <v xml:space="preserve">강남구 </v>
      </c>
      <c r="G220" t="str">
        <f t="shared" si="11"/>
        <v>삼성동</v>
      </c>
      <c r="H220" t="s">
        <v>10917</v>
      </c>
      <c r="I220">
        <v>6158</v>
      </c>
    </row>
    <row r="221" spans="1:9" x14ac:dyDescent="0.4">
      <c r="A221">
        <v>3220000</v>
      </c>
      <c r="B221" t="s">
        <v>10250</v>
      </c>
      <c r="C221" s="1">
        <v>30834</v>
      </c>
      <c r="D221" t="s">
        <v>10251</v>
      </c>
      <c r="E221" t="str">
        <f t="shared" si="9"/>
        <v>서울특별시</v>
      </c>
      <c r="F221" t="str">
        <f t="shared" si="10"/>
        <v xml:space="preserve">강남구 </v>
      </c>
      <c r="G221" t="str">
        <f t="shared" si="11"/>
        <v>삼성동</v>
      </c>
      <c r="H221" t="s">
        <v>10252</v>
      </c>
      <c r="I221">
        <v>6158</v>
      </c>
    </row>
    <row r="222" spans="1:9" x14ac:dyDescent="0.4">
      <c r="A222">
        <v>3220000</v>
      </c>
      <c r="B222" t="s">
        <v>9931</v>
      </c>
      <c r="C222" s="1">
        <v>37921</v>
      </c>
      <c r="D222" t="s">
        <v>9932</v>
      </c>
      <c r="E222" t="str">
        <f t="shared" si="9"/>
        <v>서울특별시</v>
      </c>
      <c r="F222" t="str">
        <f t="shared" si="10"/>
        <v xml:space="preserve">강남구 </v>
      </c>
      <c r="G222" t="str">
        <f t="shared" si="11"/>
        <v>삼성동</v>
      </c>
      <c r="H222" t="s">
        <v>9933</v>
      </c>
      <c r="I222">
        <v>6158</v>
      </c>
    </row>
    <row r="223" spans="1:9" x14ac:dyDescent="0.4">
      <c r="A223">
        <v>3220000</v>
      </c>
      <c r="B223" t="s">
        <v>9821</v>
      </c>
      <c r="C223" s="1">
        <v>40795</v>
      </c>
      <c r="D223" t="s">
        <v>9822</v>
      </c>
      <c r="E223" t="str">
        <f t="shared" si="9"/>
        <v>서울특별시</v>
      </c>
      <c r="F223" t="str">
        <f t="shared" si="10"/>
        <v xml:space="preserve">강남구 </v>
      </c>
      <c r="G223" t="str">
        <f t="shared" si="11"/>
        <v>삼성동</v>
      </c>
      <c r="H223" t="s">
        <v>9823</v>
      </c>
    </row>
    <row r="224" spans="1:9" x14ac:dyDescent="0.4">
      <c r="A224">
        <v>3220000</v>
      </c>
      <c r="B224" t="s">
        <v>9714</v>
      </c>
      <c r="C224" s="1">
        <v>32752</v>
      </c>
      <c r="D224" t="s">
        <v>9715</v>
      </c>
      <c r="E224" t="str">
        <f t="shared" si="9"/>
        <v>서울특별시</v>
      </c>
      <c r="F224" t="str">
        <f t="shared" si="10"/>
        <v xml:space="preserve">강남구 </v>
      </c>
      <c r="G224" t="str">
        <f t="shared" si="11"/>
        <v>삼성동</v>
      </c>
    </row>
    <row r="225" spans="1:9" x14ac:dyDescent="0.4">
      <c r="A225">
        <v>3220000</v>
      </c>
      <c r="B225" t="s">
        <v>10387</v>
      </c>
      <c r="C225" s="1">
        <v>36853</v>
      </c>
      <c r="D225" t="s">
        <v>9715</v>
      </c>
      <c r="E225" t="str">
        <f t="shared" si="9"/>
        <v>서울특별시</v>
      </c>
      <c r="F225" t="str">
        <f t="shared" si="10"/>
        <v xml:space="preserve">강남구 </v>
      </c>
      <c r="G225" t="str">
        <f t="shared" si="11"/>
        <v>삼성동</v>
      </c>
    </row>
    <row r="226" spans="1:9" x14ac:dyDescent="0.4">
      <c r="A226">
        <v>3220000</v>
      </c>
      <c r="B226" t="s">
        <v>10657</v>
      </c>
      <c r="C226" s="1">
        <v>43312</v>
      </c>
      <c r="D226" t="s">
        <v>9715</v>
      </c>
      <c r="E226" t="str">
        <f t="shared" si="9"/>
        <v>서울특별시</v>
      </c>
      <c r="F226" t="str">
        <f t="shared" si="10"/>
        <v xml:space="preserve">강남구 </v>
      </c>
      <c r="G226" t="str">
        <f t="shared" si="11"/>
        <v>삼성동</v>
      </c>
      <c r="H226" t="s">
        <v>10658</v>
      </c>
      <c r="I226">
        <v>6158</v>
      </c>
    </row>
    <row r="227" spans="1:9" x14ac:dyDescent="0.4">
      <c r="A227">
        <v>3220000</v>
      </c>
      <c r="B227" t="s">
        <v>10307</v>
      </c>
      <c r="C227" s="1">
        <v>40795</v>
      </c>
      <c r="D227" t="s">
        <v>10308</v>
      </c>
      <c r="E227" t="str">
        <f t="shared" si="9"/>
        <v>서울특별시</v>
      </c>
      <c r="F227" t="str">
        <f t="shared" si="10"/>
        <v xml:space="preserve">강남구 </v>
      </c>
      <c r="G227" t="str">
        <f t="shared" si="11"/>
        <v>삼성동</v>
      </c>
      <c r="H227" t="s">
        <v>10309</v>
      </c>
      <c r="I227">
        <v>6158</v>
      </c>
    </row>
    <row r="228" spans="1:9" x14ac:dyDescent="0.4">
      <c r="A228">
        <v>3220000</v>
      </c>
      <c r="B228" t="s">
        <v>10545</v>
      </c>
      <c r="C228" s="1">
        <v>39751</v>
      </c>
      <c r="D228" t="s">
        <v>10546</v>
      </c>
      <c r="E228" t="str">
        <f t="shared" si="9"/>
        <v>서울특별시</v>
      </c>
      <c r="F228" t="str">
        <f t="shared" si="10"/>
        <v xml:space="preserve">강남구 </v>
      </c>
      <c r="G228" t="str">
        <f t="shared" si="11"/>
        <v>삼성동</v>
      </c>
    </row>
    <row r="229" spans="1:9" x14ac:dyDescent="0.4">
      <c r="A229">
        <v>3220000</v>
      </c>
      <c r="B229" t="s">
        <v>10130</v>
      </c>
      <c r="C229" s="1">
        <v>36654</v>
      </c>
      <c r="D229" t="s">
        <v>10131</v>
      </c>
      <c r="E229" t="str">
        <f t="shared" si="9"/>
        <v>서울특별시</v>
      </c>
      <c r="F229" t="str">
        <f t="shared" si="10"/>
        <v xml:space="preserve">강남구 </v>
      </c>
      <c r="G229" t="str">
        <f t="shared" si="11"/>
        <v>삼성동</v>
      </c>
    </row>
    <row r="230" spans="1:9" x14ac:dyDescent="0.4">
      <c r="A230">
        <v>3220000</v>
      </c>
      <c r="B230" t="s">
        <v>10378</v>
      </c>
      <c r="C230" s="1">
        <v>32384</v>
      </c>
      <c r="D230" t="s">
        <v>10379</v>
      </c>
      <c r="E230" t="str">
        <f t="shared" si="9"/>
        <v>서울특별시</v>
      </c>
      <c r="F230" t="str">
        <f t="shared" si="10"/>
        <v xml:space="preserve">강남구 </v>
      </c>
      <c r="G230" t="str">
        <f t="shared" si="11"/>
        <v>삼성동</v>
      </c>
    </row>
    <row r="231" spans="1:9" x14ac:dyDescent="0.4">
      <c r="A231">
        <v>3220000</v>
      </c>
      <c r="B231" t="s">
        <v>10376</v>
      </c>
      <c r="C231" s="1">
        <v>32384</v>
      </c>
      <c r="D231" t="s">
        <v>10377</v>
      </c>
      <c r="E231" t="str">
        <f t="shared" si="9"/>
        <v>서울특별시</v>
      </c>
      <c r="F231" t="str">
        <f t="shared" si="10"/>
        <v xml:space="preserve">강남구 </v>
      </c>
      <c r="G231" t="str">
        <f t="shared" si="11"/>
        <v>삼성동</v>
      </c>
    </row>
    <row r="232" spans="1:9" x14ac:dyDescent="0.4">
      <c r="A232">
        <v>3220000</v>
      </c>
      <c r="B232" t="s">
        <v>10383</v>
      </c>
      <c r="C232" s="1">
        <v>32402</v>
      </c>
      <c r="D232" t="s">
        <v>10377</v>
      </c>
      <c r="E232" t="str">
        <f t="shared" si="9"/>
        <v>서울특별시</v>
      </c>
      <c r="F232" t="str">
        <f t="shared" si="10"/>
        <v xml:space="preserve">강남구 </v>
      </c>
      <c r="G232" t="str">
        <f t="shared" si="11"/>
        <v>삼성동</v>
      </c>
    </row>
    <row r="233" spans="1:9" x14ac:dyDescent="0.4">
      <c r="A233">
        <v>3220000</v>
      </c>
      <c r="B233" t="s">
        <v>10933</v>
      </c>
      <c r="C233" s="1">
        <v>37046</v>
      </c>
      <c r="D233" t="s">
        <v>10934</v>
      </c>
      <c r="E233" t="str">
        <f t="shared" si="9"/>
        <v>서울특별시</v>
      </c>
      <c r="F233" t="str">
        <f t="shared" si="10"/>
        <v xml:space="preserve">강남구 </v>
      </c>
      <c r="G233" t="str">
        <f t="shared" si="11"/>
        <v>삼성동</v>
      </c>
      <c r="H233" t="s">
        <v>10935</v>
      </c>
      <c r="I233">
        <v>6097</v>
      </c>
    </row>
    <row r="234" spans="1:9" x14ac:dyDescent="0.4">
      <c r="A234">
        <v>3220000</v>
      </c>
      <c r="B234" t="s">
        <v>9448</v>
      </c>
      <c r="C234" s="1">
        <v>32949</v>
      </c>
      <c r="D234" t="s">
        <v>9449</v>
      </c>
      <c r="E234" t="str">
        <f t="shared" si="9"/>
        <v>서울특별시</v>
      </c>
      <c r="F234" t="str">
        <f t="shared" si="10"/>
        <v xml:space="preserve">강남구 </v>
      </c>
      <c r="G234" t="str">
        <f t="shared" si="11"/>
        <v>삼성동</v>
      </c>
    </row>
    <row r="235" spans="1:9" x14ac:dyDescent="0.4">
      <c r="A235">
        <v>3220000</v>
      </c>
      <c r="B235" t="s">
        <v>9650</v>
      </c>
      <c r="C235" s="1">
        <v>37077</v>
      </c>
      <c r="D235" t="s">
        <v>9651</v>
      </c>
      <c r="E235" t="str">
        <f t="shared" si="9"/>
        <v>서울특별시</v>
      </c>
      <c r="F235" t="str">
        <f t="shared" si="10"/>
        <v xml:space="preserve">강남구 </v>
      </c>
      <c r="G235" t="str">
        <f t="shared" si="11"/>
        <v>삼성동</v>
      </c>
      <c r="H235" t="s">
        <v>9652</v>
      </c>
      <c r="I235">
        <v>6097</v>
      </c>
    </row>
    <row r="236" spans="1:9" x14ac:dyDescent="0.4">
      <c r="A236">
        <v>3220000</v>
      </c>
      <c r="B236" t="s">
        <v>10855</v>
      </c>
      <c r="C236" s="1">
        <v>36678</v>
      </c>
      <c r="D236" t="s">
        <v>10856</v>
      </c>
      <c r="E236" t="str">
        <f t="shared" si="9"/>
        <v>서울특별시</v>
      </c>
      <c r="F236" t="str">
        <f t="shared" si="10"/>
        <v xml:space="preserve">강남구 </v>
      </c>
      <c r="G236" t="str">
        <f t="shared" si="11"/>
        <v>삼성동</v>
      </c>
      <c r="H236" t="s">
        <v>10857</v>
      </c>
      <c r="I236">
        <v>6097</v>
      </c>
    </row>
    <row r="237" spans="1:9" x14ac:dyDescent="0.4">
      <c r="A237">
        <v>3220000</v>
      </c>
      <c r="B237" t="s">
        <v>10524</v>
      </c>
      <c r="C237" s="1">
        <v>31380</v>
      </c>
      <c r="D237" t="s">
        <v>10525</v>
      </c>
      <c r="E237" t="str">
        <f t="shared" si="9"/>
        <v>서울특별시</v>
      </c>
      <c r="F237" t="str">
        <f t="shared" si="10"/>
        <v xml:space="preserve">강남구 </v>
      </c>
      <c r="G237" t="str">
        <f t="shared" si="11"/>
        <v>삼성동</v>
      </c>
      <c r="H237" t="s">
        <v>10526</v>
      </c>
      <c r="I237">
        <v>6097</v>
      </c>
    </row>
    <row r="238" spans="1:9" x14ac:dyDescent="0.4">
      <c r="A238">
        <v>3220000</v>
      </c>
      <c r="B238" t="s">
        <v>9745</v>
      </c>
      <c r="C238" s="1">
        <v>41827</v>
      </c>
      <c r="D238" t="s">
        <v>9746</v>
      </c>
      <c r="E238" t="str">
        <f t="shared" si="9"/>
        <v>서울특별시</v>
      </c>
      <c r="F238" t="str">
        <f t="shared" si="10"/>
        <v xml:space="preserve">강남구 </v>
      </c>
      <c r="G238" t="str">
        <f t="shared" si="11"/>
        <v>삼성동</v>
      </c>
      <c r="H238" t="s">
        <v>9619</v>
      </c>
      <c r="I238">
        <v>6097</v>
      </c>
    </row>
    <row r="239" spans="1:9" x14ac:dyDescent="0.4">
      <c r="A239">
        <v>3220000</v>
      </c>
      <c r="B239" t="s">
        <v>9617</v>
      </c>
      <c r="C239" s="1">
        <v>37189</v>
      </c>
      <c r="D239" t="s">
        <v>9618</v>
      </c>
      <c r="E239" t="str">
        <f t="shared" si="9"/>
        <v>서울특별시</v>
      </c>
      <c r="F239" t="str">
        <f t="shared" si="10"/>
        <v xml:space="preserve">강남구 </v>
      </c>
      <c r="G239" t="str">
        <f t="shared" si="11"/>
        <v>삼성동</v>
      </c>
      <c r="H239" t="s">
        <v>9619</v>
      </c>
      <c r="I239">
        <v>6097</v>
      </c>
    </row>
    <row r="240" spans="1:9" x14ac:dyDescent="0.4">
      <c r="A240">
        <v>3220000</v>
      </c>
      <c r="B240" t="s">
        <v>10921</v>
      </c>
      <c r="C240" s="1">
        <v>30436</v>
      </c>
      <c r="D240" t="s">
        <v>10922</v>
      </c>
      <c r="E240" t="str">
        <f t="shared" si="9"/>
        <v>서울특별시</v>
      </c>
      <c r="F240" t="str">
        <f t="shared" si="10"/>
        <v xml:space="preserve">강남구 </v>
      </c>
      <c r="G240" t="str">
        <f t="shared" si="11"/>
        <v>삼성동</v>
      </c>
      <c r="H240" t="s">
        <v>10923</v>
      </c>
      <c r="I240">
        <v>6096</v>
      </c>
    </row>
    <row r="241" spans="1:9" x14ac:dyDescent="0.4">
      <c r="A241">
        <v>3220000</v>
      </c>
      <c r="B241" t="s">
        <v>10763</v>
      </c>
      <c r="C241" s="1">
        <v>32093</v>
      </c>
      <c r="D241" t="s">
        <v>10764</v>
      </c>
      <c r="E241" t="str">
        <f t="shared" si="9"/>
        <v>서울특별시</v>
      </c>
      <c r="F241" t="str">
        <f t="shared" si="10"/>
        <v xml:space="preserve">강남구 </v>
      </c>
      <c r="G241" t="str">
        <f t="shared" si="11"/>
        <v>삼성동</v>
      </c>
      <c r="H241" t="s">
        <v>10765</v>
      </c>
      <c r="I241">
        <v>6096</v>
      </c>
    </row>
    <row r="242" spans="1:9" x14ac:dyDescent="0.4">
      <c r="A242">
        <v>3220000</v>
      </c>
      <c r="B242" t="s">
        <v>10315</v>
      </c>
      <c r="C242" s="1">
        <v>32489</v>
      </c>
      <c r="D242" t="s">
        <v>10316</v>
      </c>
      <c r="E242" t="str">
        <f t="shared" si="9"/>
        <v>서울특별시</v>
      </c>
      <c r="F242" t="str">
        <f t="shared" si="10"/>
        <v xml:space="preserve">강남구 </v>
      </c>
      <c r="G242" t="str">
        <f t="shared" si="11"/>
        <v>삼성동</v>
      </c>
    </row>
    <row r="243" spans="1:9" x14ac:dyDescent="0.4">
      <c r="A243">
        <v>3220000</v>
      </c>
      <c r="B243" t="s">
        <v>9552</v>
      </c>
      <c r="C243" s="1">
        <v>39603</v>
      </c>
      <c r="D243" t="s">
        <v>9553</v>
      </c>
      <c r="E243" t="str">
        <f t="shared" si="9"/>
        <v>서울특별시</v>
      </c>
      <c r="F243" t="str">
        <f t="shared" si="10"/>
        <v xml:space="preserve">강남구 </v>
      </c>
      <c r="G243" t="str">
        <f t="shared" si="11"/>
        <v>삼성동</v>
      </c>
      <c r="H243" t="s">
        <v>9554</v>
      </c>
      <c r="I243">
        <v>6096</v>
      </c>
    </row>
    <row r="244" spans="1:9" x14ac:dyDescent="0.4">
      <c r="A244">
        <v>3220000</v>
      </c>
      <c r="B244" t="s">
        <v>9912</v>
      </c>
      <c r="C244" s="1">
        <v>36725</v>
      </c>
      <c r="D244" t="s">
        <v>9913</v>
      </c>
      <c r="E244" t="str">
        <f t="shared" si="9"/>
        <v>서울특별시</v>
      </c>
      <c r="F244" t="str">
        <f t="shared" si="10"/>
        <v xml:space="preserve">강남구 </v>
      </c>
      <c r="G244" t="str">
        <f t="shared" si="11"/>
        <v>삼성동</v>
      </c>
    </row>
    <row r="245" spans="1:9" x14ac:dyDescent="0.4">
      <c r="A245">
        <v>3220000</v>
      </c>
      <c r="B245" t="s">
        <v>9641</v>
      </c>
      <c r="C245" s="1">
        <v>36682</v>
      </c>
      <c r="D245" t="s">
        <v>9642</v>
      </c>
      <c r="E245" t="str">
        <f t="shared" si="9"/>
        <v>서울특별시</v>
      </c>
      <c r="F245" t="str">
        <f t="shared" si="10"/>
        <v xml:space="preserve">강남구 </v>
      </c>
      <c r="G245" t="str">
        <f t="shared" si="11"/>
        <v>삼성동</v>
      </c>
      <c r="H245" t="s">
        <v>9643</v>
      </c>
      <c r="I245">
        <v>6096</v>
      </c>
    </row>
    <row r="246" spans="1:9" x14ac:dyDescent="0.4">
      <c r="A246">
        <v>3220000</v>
      </c>
      <c r="B246" t="s">
        <v>10424</v>
      </c>
      <c r="C246" s="1">
        <v>29370</v>
      </c>
      <c r="D246" t="s">
        <v>10425</v>
      </c>
      <c r="E246" t="str">
        <f t="shared" si="9"/>
        <v>서울특별시</v>
      </c>
      <c r="F246" t="str">
        <f t="shared" si="10"/>
        <v xml:space="preserve">강남구 </v>
      </c>
      <c r="G246" t="str">
        <f t="shared" si="11"/>
        <v>삼성동</v>
      </c>
    </row>
    <row r="247" spans="1:9" x14ac:dyDescent="0.4">
      <c r="A247">
        <v>3220000</v>
      </c>
      <c r="B247" t="s">
        <v>10621</v>
      </c>
      <c r="C247" s="1">
        <v>29332</v>
      </c>
      <c r="D247" t="s">
        <v>10622</v>
      </c>
      <c r="E247" t="str">
        <f t="shared" si="9"/>
        <v>서울특별시</v>
      </c>
      <c r="F247" t="str">
        <f t="shared" si="10"/>
        <v xml:space="preserve">강남구 </v>
      </c>
      <c r="G247" t="str">
        <f t="shared" si="11"/>
        <v>삼성동</v>
      </c>
      <c r="H247" t="s">
        <v>10623</v>
      </c>
    </row>
    <row r="248" spans="1:9" x14ac:dyDescent="0.4">
      <c r="A248">
        <v>3220000</v>
      </c>
      <c r="B248" t="s">
        <v>10310</v>
      </c>
      <c r="C248" s="1">
        <v>32448</v>
      </c>
      <c r="D248" t="s">
        <v>10311</v>
      </c>
      <c r="E248" t="str">
        <f t="shared" si="9"/>
        <v>서울특별시</v>
      </c>
      <c r="F248" t="str">
        <f t="shared" si="10"/>
        <v xml:space="preserve">강남구 </v>
      </c>
      <c r="G248" t="str">
        <f t="shared" si="11"/>
        <v>삼성동</v>
      </c>
      <c r="H248" t="s">
        <v>10312</v>
      </c>
      <c r="I248">
        <v>6087</v>
      </c>
    </row>
    <row r="249" spans="1:9" x14ac:dyDescent="0.4">
      <c r="A249">
        <v>3220000</v>
      </c>
      <c r="B249" t="s">
        <v>9810</v>
      </c>
      <c r="C249" s="1">
        <v>36327</v>
      </c>
      <c r="D249" t="s">
        <v>9811</v>
      </c>
      <c r="E249" t="str">
        <f t="shared" si="9"/>
        <v>서울특별시</v>
      </c>
      <c r="F249" t="str">
        <f t="shared" si="10"/>
        <v xml:space="preserve">강남구 </v>
      </c>
      <c r="G249" t="str">
        <f t="shared" si="11"/>
        <v>삼성동</v>
      </c>
    </row>
    <row r="250" spans="1:9" x14ac:dyDescent="0.4">
      <c r="A250">
        <v>3220000</v>
      </c>
      <c r="B250" t="s">
        <v>10581</v>
      </c>
      <c r="C250" s="1">
        <v>31551</v>
      </c>
      <c r="D250" t="s">
        <v>10582</v>
      </c>
      <c r="E250" t="str">
        <f t="shared" si="9"/>
        <v>서울특별시</v>
      </c>
      <c r="F250" t="str">
        <f t="shared" si="10"/>
        <v xml:space="preserve">강남구 </v>
      </c>
      <c r="G250" t="str">
        <f t="shared" si="11"/>
        <v>신사동</v>
      </c>
    </row>
    <row r="251" spans="1:9" x14ac:dyDescent="0.4">
      <c r="A251">
        <v>3220000</v>
      </c>
      <c r="B251" t="s">
        <v>9520</v>
      </c>
      <c r="C251" s="1">
        <v>36465</v>
      </c>
      <c r="D251" t="s">
        <v>9521</v>
      </c>
      <c r="E251" t="str">
        <f t="shared" si="9"/>
        <v>서울특별시</v>
      </c>
      <c r="F251" t="str">
        <f t="shared" si="10"/>
        <v xml:space="preserve">강남구 </v>
      </c>
      <c r="G251" t="str">
        <f t="shared" si="11"/>
        <v>신사동</v>
      </c>
    </row>
    <row r="252" spans="1:9" x14ac:dyDescent="0.4">
      <c r="A252">
        <v>3220000</v>
      </c>
      <c r="B252" t="s">
        <v>10050</v>
      </c>
      <c r="C252" s="1">
        <v>28986</v>
      </c>
      <c r="D252" t="s">
        <v>9521</v>
      </c>
      <c r="E252" t="str">
        <f t="shared" si="9"/>
        <v>서울특별시</v>
      </c>
      <c r="F252" t="str">
        <f t="shared" si="10"/>
        <v xml:space="preserve">강남구 </v>
      </c>
      <c r="G252" t="str">
        <f t="shared" si="11"/>
        <v>신사동</v>
      </c>
    </row>
    <row r="253" spans="1:9" x14ac:dyDescent="0.4">
      <c r="A253">
        <v>3220000</v>
      </c>
      <c r="B253" t="s">
        <v>11039</v>
      </c>
      <c r="C253" s="1">
        <v>44666</v>
      </c>
      <c r="D253" t="s">
        <v>11040</v>
      </c>
      <c r="E253" t="str">
        <f t="shared" si="9"/>
        <v>서울특별시</v>
      </c>
      <c r="F253" t="str">
        <f t="shared" si="10"/>
        <v xml:space="preserve">강남구 </v>
      </c>
      <c r="G253" t="str">
        <f t="shared" si="11"/>
        <v>신사동</v>
      </c>
      <c r="H253" t="s">
        <v>11041</v>
      </c>
      <c r="I253">
        <v>6035</v>
      </c>
    </row>
    <row r="254" spans="1:9" x14ac:dyDescent="0.4">
      <c r="A254">
        <v>3220000</v>
      </c>
      <c r="B254" t="s">
        <v>9701</v>
      </c>
      <c r="C254" s="1">
        <v>42346</v>
      </c>
      <c r="D254" t="s">
        <v>9702</v>
      </c>
      <c r="E254" t="str">
        <f t="shared" si="9"/>
        <v>서울특별시</v>
      </c>
      <c r="F254" t="str">
        <f t="shared" si="10"/>
        <v xml:space="preserve">강남구 </v>
      </c>
      <c r="G254" t="str">
        <f t="shared" si="11"/>
        <v>신사동</v>
      </c>
      <c r="H254" t="s">
        <v>9703</v>
      </c>
      <c r="I254">
        <v>6035</v>
      </c>
    </row>
    <row r="255" spans="1:9" x14ac:dyDescent="0.4">
      <c r="A255">
        <v>3220000</v>
      </c>
      <c r="B255" t="s">
        <v>10094</v>
      </c>
      <c r="C255" s="1">
        <v>28114</v>
      </c>
      <c r="D255" t="s">
        <v>10095</v>
      </c>
      <c r="E255" t="str">
        <f t="shared" si="9"/>
        <v>서울특별시</v>
      </c>
      <c r="F255" t="str">
        <f t="shared" si="10"/>
        <v xml:space="preserve">강남구 </v>
      </c>
      <c r="G255" t="str">
        <f t="shared" si="11"/>
        <v>신사동</v>
      </c>
    </row>
    <row r="256" spans="1:9" x14ac:dyDescent="0.4">
      <c r="A256">
        <v>3220000</v>
      </c>
      <c r="B256" t="s">
        <v>10769</v>
      </c>
      <c r="C256" s="1">
        <v>32730</v>
      </c>
      <c r="D256" t="s">
        <v>10770</v>
      </c>
      <c r="E256" t="str">
        <f t="shared" si="9"/>
        <v>서울특별시</v>
      </c>
      <c r="F256" t="str">
        <f t="shared" si="10"/>
        <v xml:space="preserve">강남구 </v>
      </c>
      <c r="G256" t="str">
        <f t="shared" si="11"/>
        <v>신사동</v>
      </c>
      <c r="H256" t="s">
        <v>10771</v>
      </c>
      <c r="I256">
        <v>6035</v>
      </c>
    </row>
    <row r="257" spans="1:9" x14ac:dyDescent="0.4">
      <c r="A257">
        <v>3220000</v>
      </c>
      <c r="B257" t="s">
        <v>10269</v>
      </c>
      <c r="C257" s="1">
        <v>36719</v>
      </c>
      <c r="D257" t="s">
        <v>10270</v>
      </c>
      <c r="E257" t="str">
        <f t="shared" si="9"/>
        <v>서울특별시</v>
      </c>
      <c r="F257" t="str">
        <f t="shared" si="10"/>
        <v xml:space="preserve">강남구 </v>
      </c>
      <c r="G257" t="str">
        <f t="shared" si="11"/>
        <v>신사동</v>
      </c>
    </row>
    <row r="258" spans="1:9" x14ac:dyDescent="0.4">
      <c r="A258">
        <v>3220000</v>
      </c>
      <c r="B258" t="s">
        <v>9536</v>
      </c>
      <c r="C258" s="1">
        <v>36375</v>
      </c>
      <c r="D258" t="s">
        <v>9537</v>
      </c>
      <c r="E258" t="str">
        <f t="shared" si="9"/>
        <v>서울특별시</v>
      </c>
      <c r="F258" t="str">
        <f t="shared" si="10"/>
        <v xml:space="preserve">강남구 </v>
      </c>
      <c r="G258" t="str">
        <f t="shared" si="11"/>
        <v>신사동</v>
      </c>
    </row>
    <row r="259" spans="1:9" x14ac:dyDescent="0.4">
      <c r="A259">
        <v>3220000</v>
      </c>
      <c r="B259" t="s">
        <v>9734</v>
      </c>
      <c r="C259" s="1">
        <v>28697</v>
      </c>
      <c r="D259" t="s">
        <v>9735</v>
      </c>
      <c r="E259" t="str">
        <f t="shared" ref="E259:E322" si="12">LEFT(D259,5)</f>
        <v>서울특별시</v>
      </c>
      <c r="F259" t="str">
        <f t="shared" ref="F259:F322" si="13">MID(D259,7,4)</f>
        <v xml:space="preserve">강남구 </v>
      </c>
      <c r="G259" t="str">
        <f t="shared" ref="G259:G322" si="14">MID(SUBSTITUTE(D259," ",""),9,3)</f>
        <v>신사동</v>
      </c>
    </row>
    <row r="260" spans="1:9" x14ac:dyDescent="0.4">
      <c r="A260">
        <v>3220000</v>
      </c>
      <c r="B260" t="s">
        <v>10690</v>
      </c>
      <c r="C260" s="1">
        <v>27769</v>
      </c>
      <c r="D260" t="s">
        <v>10691</v>
      </c>
      <c r="E260" t="str">
        <f t="shared" si="12"/>
        <v>서울특별시</v>
      </c>
      <c r="F260" t="str">
        <f t="shared" si="13"/>
        <v xml:space="preserve">강남구 </v>
      </c>
      <c r="G260" t="str">
        <f t="shared" si="14"/>
        <v>신사동</v>
      </c>
      <c r="H260" t="s">
        <v>10692</v>
      </c>
      <c r="I260">
        <v>6035</v>
      </c>
    </row>
    <row r="261" spans="1:9" x14ac:dyDescent="0.4">
      <c r="A261">
        <v>3220000</v>
      </c>
      <c r="B261" t="s">
        <v>9592</v>
      </c>
      <c r="C261" s="1">
        <v>31238</v>
      </c>
      <c r="D261" t="s">
        <v>9593</v>
      </c>
      <c r="E261" t="str">
        <f t="shared" si="12"/>
        <v>서울특별시</v>
      </c>
      <c r="F261" t="str">
        <f t="shared" si="13"/>
        <v xml:space="preserve">강남구 </v>
      </c>
      <c r="G261" t="str">
        <f t="shared" si="14"/>
        <v>신사동</v>
      </c>
    </row>
    <row r="262" spans="1:9" x14ac:dyDescent="0.4">
      <c r="A262">
        <v>3220000</v>
      </c>
      <c r="B262" t="s">
        <v>10156</v>
      </c>
      <c r="C262" s="1">
        <v>38812</v>
      </c>
      <c r="D262" t="s">
        <v>10157</v>
      </c>
      <c r="E262" t="str">
        <f t="shared" si="12"/>
        <v>서울특별시</v>
      </c>
      <c r="F262" t="str">
        <f t="shared" si="13"/>
        <v xml:space="preserve">강남구 </v>
      </c>
      <c r="G262" t="str">
        <f t="shared" si="14"/>
        <v>신사동</v>
      </c>
      <c r="H262" t="s">
        <v>10158</v>
      </c>
      <c r="I262">
        <v>6027</v>
      </c>
    </row>
    <row r="263" spans="1:9" x14ac:dyDescent="0.4">
      <c r="A263">
        <v>3220000</v>
      </c>
      <c r="B263" t="s">
        <v>9666</v>
      </c>
      <c r="C263" s="1">
        <v>37618</v>
      </c>
      <c r="D263" t="s">
        <v>9667</v>
      </c>
      <c r="E263" t="str">
        <f t="shared" si="12"/>
        <v>서울특별시</v>
      </c>
      <c r="F263" t="str">
        <f t="shared" si="13"/>
        <v xml:space="preserve">강남구 </v>
      </c>
      <c r="G263" t="str">
        <f t="shared" si="14"/>
        <v>신사동</v>
      </c>
      <c r="H263" t="s">
        <v>9668</v>
      </c>
      <c r="I263">
        <v>6027</v>
      </c>
    </row>
    <row r="264" spans="1:9" x14ac:dyDescent="0.4">
      <c r="A264">
        <v>3220000</v>
      </c>
      <c r="B264" t="s">
        <v>9785</v>
      </c>
      <c r="C264" s="1">
        <v>30265</v>
      </c>
      <c r="D264" t="s">
        <v>9786</v>
      </c>
      <c r="E264" t="str">
        <f t="shared" si="12"/>
        <v>서울특별시</v>
      </c>
      <c r="F264" t="str">
        <f t="shared" si="13"/>
        <v xml:space="preserve">강남구 </v>
      </c>
      <c r="G264" t="str">
        <f t="shared" si="14"/>
        <v>신사동</v>
      </c>
      <c r="H264" t="s">
        <v>9787</v>
      </c>
      <c r="I264">
        <v>6035</v>
      </c>
    </row>
    <row r="265" spans="1:9" x14ac:dyDescent="0.4">
      <c r="A265">
        <v>3220000</v>
      </c>
      <c r="B265" t="s">
        <v>10960</v>
      </c>
      <c r="C265" s="1">
        <v>36661</v>
      </c>
      <c r="D265" t="s">
        <v>10961</v>
      </c>
      <c r="E265" t="str">
        <f t="shared" si="12"/>
        <v>서울특별시</v>
      </c>
      <c r="F265" t="str">
        <f t="shared" si="13"/>
        <v xml:space="preserve">강남구 </v>
      </c>
      <c r="G265" t="str">
        <f t="shared" si="14"/>
        <v>신사동</v>
      </c>
      <c r="H265" t="s">
        <v>10962</v>
      </c>
      <c r="I265">
        <v>6036</v>
      </c>
    </row>
    <row r="266" spans="1:9" x14ac:dyDescent="0.4">
      <c r="A266">
        <v>3220000</v>
      </c>
      <c r="B266" t="s">
        <v>10840</v>
      </c>
      <c r="C266" s="1">
        <v>31524</v>
      </c>
      <c r="D266" t="s">
        <v>10841</v>
      </c>
      <c r="E266" t="str">
        <f t="shared" si="12"/>
        <v>서울특별시</v>
      </c>
      <c r="F266" t="str">
        <f t="shared" si="13"/>
        <v xml:space="preserve">강남구 </v>
      </c>
      <c r="G266" t="str">
        <f t="shared" si="14"/>
        <v>신사동</v>
      </c>
      <c r="H266" t="s">
        <v>10842</v>
      </c>
      <c r="I266">
        <v>6037</v>
      </c>
    </row>
    <row r="267" spans="1:9" x14ac:dyDescent="0.4">
      <c r="A267">
        <v>3220000</v>
      </c>
      <c r="B267" t="s">
        <v>10118</v>
      </c>
      <c r="C267" s="1">
        <v>36941</v>
      </c>
      <c r="D267" t="s">
        <v>10119</v>
      </c>
      <c r="E267" t="str">
        <f t="shared" si="12"/>
        <v>서울특별시</v>
      </c>
      <c r="F267" t="str">
        <f t="shared" si="13"/>
        <v xml:space="preserve">강남구 </v>
      </c>
      <c r="G267" t="str">
        <f t="shared" si="14"/>
        <v>신사동</v>
      </c>
    </row>
    <row r="268" spans="1:9" x14ac:dyDescent="0.4">
      <c r="A268">
        <v>3220000</v>
      </c>
      <c r="B268" t="s">
        <v>10505</v>
      </c>
      <c r="C268" s="1">
        <v>36824</v>
      </c>
      <c r="D268" t="s">
        <v>10506</v>
      </c>
      <c r="E268" t="str">
        <f t="shared" si="12"/>
        <v>서울특별시</v>
      </c>
      <c r="F268" t="str">
        <f t="shared" si="13"/>
        <v xml:space="preserve">강남구 </v>
      </c>
      <c r="G268" t="str">
        <f t="shared" si="14"/>
        <v>신사동</v>
      </c>
      <c r="H268" t="s">
        <v>10507</v>
      </c>
      <c r="I268">
        <v>6037</v>
      </c>
    </row>
    <row r="269" spans="1:9" x14ac:dyDescent="0.4">
      <c r="A269">
        <v>3220000</v>
      </c>
      <c r="B269" t="s">
        <v>9783</v>
      </c>
      <c r="C269" s="1">
        <v>30265</v>
      </c>
      <c r="D269" t="s">
        <v>9784</v>
      </c>
      <c r="E269" t="str">
        <f t="shared" si="12"/>
        <v>서울특별시</v>
      </c>
      <c r="F269" t="str">
        <f t="shared" si="13"/>
        <v xml:space="preserve">강남구 </v>
      </c>
      <c r="G269" t="str">
        <f t="shared" si="14"/>
        <v>신사동</v>
      </c>
    </row>
    <row r="270" spans="1:9" x14ac:dyDescent="0.4">
      <c r="A270">
        <v>3220000</v>
      </c>
      <c r="B270" t="s">
        <v>10463</v>
      </c>
      <c r="C270" s="1">
        <v>36817</v>
      </c>
      <c r="D270" t="s">
        <v>10464</v>
      </c>
      <c r="E270" t="str">
        <f t="shared" si="12"/>
        <v>서울특별시</v>
      </c>
      <c r="F270" t="str">
        <f t="shared" si="13"/>
        <v xml:space="preserve">강남구 </v>
      </c>
      <c r="G270" t="str">
        <f t="shared" si="14"/>
        <v>신사동</v>
      </c>
      <c r="H270" t="s">
        <v>10465</v>
      </c>
      <c r="I270">
        <v>6026</v>
      </c>
    </row>
    <row r="271" spans="1:9" x14ac:dyDescent="0.4">
      <c r="A271">
        <v>3220000</v>
      </c>
      <c r="B271" t="s">
        <v>11036</v>
      </c>
      <c r="C271" s="1">
        <v>44560</v>
      </c>
      <c r="D271" t="s">
        <v>11037</v>
      </c>
      <c r="E271" t="str">
        <f t="shared" si="12"/>
        <v>서울특별시</v>
      </c>
      <c r="F271" t="str">
        <f t="shared" si="13"/>
        <v xml:space="preserve">강남구 </v>
      </c>
      <c r="G271" t="str">
        <f t="shared" si="14"/>
        <v>신사동</v>
      </c>
      <c r="H271" t="s">
        <v>11038</v>
      </c>
      <c r="I271">
        <v>6026</v>
      </c>
    </row>
    <row r="272" spans="1:9" x14ac:dyDescent="0.4">
      <c r="A272">
        <v>3220000</v>
      </c>
      <c r="B272" t="s">
        <v>10597</v>
      </c>
      <c r="C272" s="1">
        <v>43777</v>
      </c>
      <c r="D272" t="s">
        <v>10598</v>
      </c>
      <c r="E272" t="str">
        <f t="shared" si="12"/>
        <v>서울특별시</v>
      </c>
      <c r="F272" t="str">
        <f t="shared" si="13"/>
        <v xml:space="preserve">강남구 </v>
      </c>
      <c r="G272" t="str">
        <f t="shared" si="14"/>
        <v>신사동</v>
      </c>
      <c r="H272" t="s">
        <v>10599</v>
      </c>
      <c r="I272">
        <v>6026</v>
      </c>
    </row>
    <row r="273" spans="1:9" x14ac:dyDescent="0.4">
      <c r="A273">
        <v>3220000</v>
      </c>
      <c r="B273" t="s">
        <v>10982</v>
      </c>
      <c r="C273" s="1">
        <v>44526</v>
      </c>
      <c r="D273" t="s">
        <v>10983</v>
      </c>
      <c r="E273" t="str">
        <f t="shared" si="12"/>
        <v>서울특별시</v>
      </c>
      <c r="F273" t="str">
        <f t="shared" si="13"/>
        <v xml:space="preserve">강남구 </v>
      </c>
      <c r="G273" t="str">
        <f t="shared" si="14"/>
        <v>신사동</v>
      </c>
      <c r="H273" t="s">
        <v>10984</v>
      </c>
      <c r="I273">
        <v>6026</v>
      </c>
    </row>
    <row r="274" spans="1:9" x14ac:dyDescent="0.4">
      <c r="A274">
        <v>3220000</v>
      </c>
      <c r="B274" t="s">
        <v>10985</v>
      </c>
      <c r="C274" s="1">
        <v>44526</v>
      </c>
      <c r="D274" t="s">
        <v>10986</v>
      </c>
      <c r="E274" t="str">
        <f t="shared" si="12"/>
        <v>서울특별시</v>
      </c>
      <c r="F274" t="str">
        <f t="shared" si="13"/>
        <v xml:space="preserve">강남구 </v>
      </c>
      <c r="G274" t="str">
        <f t="shared" si="14"/>
        <v>신사동</v>
      </c>
      <c r="H274" t="s">
        <v>10987</v>
      </c>
      <c r="I274">
        <v>6026</v>
      </c>
    </row>
    <row r="275" spans="1:9" x14ac:dyDescent="0.4">
      <c r="A275">
        <v>3220000</v>
      </c>
      <c r="B275" t="s">
        <v>9485</v>
      </c>
      <c r="C275" s="1">
        <v>39288</v>
      </c>
      <c r="D275" t="s">
        <v>9486</v>
      </c>
      <c r="E275" t="str">
        <f t="shared" si="12"/>
        <v>서울특별시</v>
      </c>
      <c r="F275" t="str">
        <f t="shared" si="13"/>
        <v xml:space="preserve">강남구 </v>
      </c>
      <c r="G275" t="str">
        <f t="shared" si="14"/>
        <v>신사동</v>
      </c>
      <c r="H275" t="s">
        <v>9487</v>
      </c>
      <c r="I275">
        <v>6026</v>
      </c>
    </row>
    <row r="276" spans="1:9" x14ac:dyDescent="0.4">
      <c r="A276">
        <v>3220000</v>
      </c>
      <c r="B276" t="s">
        <v>10685</v>
      </c>
      <c r="C276" s="1">
        <v>44508</v>
      </c>
      <c r="D276" t="s">
        <v>10686</v>
      </c>
      <c r="E276" t="str">
        <f t="shared" si="12"/>
        <v>서울특별시</v>
      </c>
      <c r="F276" t="str">
        <f t="shared" si="13"/>
        <v xml:space="preserve">강남구 </v>
      </c>
      <c r="G276" t="str">
        <f t="shared" si="14"/>
        <v>신사동</v>
      </c>
      <c r="H276" t="s">
        <v>10599</v>
      </c>
      <c r="I276">
        <v>6026</v>
      </c>
    </row>
    <row r="277" spans="1:9" x14ac:dyDescent="0.4">
      <c r="A277">
        <v>3220000</v>
      </c>
      <c r="B277" t="s">
        <v>9966</v>
      </c>
      <c r="C277" s="1">
        <v>37511</v>
      </c>
      <c r="D277" t="s">
        <v>9967</v>
      </c>
      <c r="E277" t="str">
        <f t="shared" si="12"/>
        <v>서울특별시</v>
      </c>
      <c r="F277" t="str">
        <f t="shared" si="13"/>
        <v xml:space="preserve">강남구 </v>
      </c>
      <c r="G277" t="str">
        <f t="shared" si="14"/>
        <v>신사동</v>
      </c>
      <c r="H277" t="s">
        <v>9968</v>
      </c>
      <c r="I277">
        <v>6026</v>
      </c>
    </row>
    <row r="278" spans="1:9" x14ac:dyDescent="0.4">
      <c r="A278">
        <v>3220000</v>
      </c>
      <c r="B278" t="s">
        <v>9875</v>
      </c>
      <c r="C278" s="1">
        <v>42909</v>
      </c>
      <c r="D278" t="s">
        <v>9876</v>
      </c>
      <c r="E278" t="str">
        <f t="shared" si="12"/>
        <v>서울특별시</v>
      </c>
      <c r="F278" t="str">
        <f t="shared" si="13"/>
        <v xml:space="preserve">강남구 </v>
      </c>
      <c r="G278" t="str">
        <f t="shared" si="14"/>
        <v>신사동</v>
      </c>
      <c r="H278" t="s">
        <v>9877</v>
      </c>
    </row>
    <row r="279" spans="1:9" x14ac:dyDescent="0.4">
      <c r="A279">
        <v>3220000</v>
      </c>
      <c r="B279" t="s">
        <v>9895</v>
      </c>
      <c r="C279" s="1">
        <v>36446</v>
      </c>
      <c r="D279" t="s">
        <v>9896</v>
      </c>
      <c r="E279" t="str">
        <f t="shared" si="12"/>
        <v>서울특별시</v>
      </c>
      <c r="F279" t="str">
        <f t="shared" si="13"/>
        <v xml:space="preserve">강남구 </v>
      </c>
      <c r="G279" t="str">
        <f t="shared" si="14"/>
        <v>신사동</v>
      </c>
      <c r="H279" t="s">
        <v>9897</v>
      </c>
      <c r="I279">
        <v>6026</v>
      </c>
    </row>
    <row r="280" spans="1:9" x14ac:dyDescent="0.4">
      <c r="A280">
        <v>3220000</v>
      </c>
      <c r="B280" t="s">
        <v>10495</v>
      </c>
      <c r="C280" s="1">
        <v>41659</v>
      </c>
      <c r="D280" t="s">
        <v>10496</v>
      </c>
      <c r="E280" t="str">
        <f t="shared" si="12"/>
        <v>서울특별시</v>
      </c>
      <c r="F280" t="str">
        <f t="shared" si="13"/>
        <v xml:space="preserve">강남구 </v>
      </c>
      <c r="G280" t="str">
        <f t="shared" si="14"/>
        <v>신사동</v>
      </c>
      <c r="H280" t="s">
        <v>10465</v>
      </c>
      <c r="I280">
        <v>6026</v>
      </c>
    </row>
    <row r="281" spans="1:9" x14ac:dyDescent="0.4">
      <c r="A281">
        <v>3220000</v>
      </c>
      <c r="B281" t="s">
        <v>10799</v>
      </c>
      <c r="C281" s="1">
        <v>36524</v>
      </c>
      <c r="D281" t="s">
        <v>10800</v>
      </c>
      <c r="E281" t="str">
        <f t="shared" si="12"/>
        <v>서울특별시</v>
      </c>
      <c r="F281" t="str">
        <f t="shared" si="13"/>
        <v xml:space="preserve">강남구 </v>
      </c>
      <c r="G281" t="str">
        <f t="shared" si="14"/>
        <v>신사동</v>
      </c>
      <c r="H281" t="s">
        <v>10801</v>
      </c>
      <c r="I281">
        <v>6026</v>
      </c>
    </row>
    <row r="282" spans="1:9" x14ac:dyDescent="0.4">
      <c r="A282">
        <v>3220000</v>
      </c>
      <c r="B282" t="s">
        <v>10814</v>
      </c>
      <c r="C282" s="1">
        <v>37195</v>
      </c>
      <c r="D282" t="s">
        <v>10815</v>
      </c>
      <c r="E282" t="str">
        <f t="shared" si="12"/>
        <v>서울특별시</v>
      </c>
      <c r="F282" t="str">
        <f t="shared" si="13"/>
        <v xml:space="preserve">강남구 </v>
      </c>
      <c r="G282" t="str">
        <f t="shared" si="14"/>
        <v>신사동</v>
      </c>
      <c r="H282" t="s">
        <v>10816</v>
      </c>
      <c r="I282">
        <v>6026</v>
      </c>
    </row>
    <row r="283" spans="1:9" x14ac:dyDescent="0.4">
      <c r="A283">
        <v>3220000</v>
      </c>
      <c r="B283" t="s">
        <v>9696</v>
      </c>
      <c r="C283" s="1">
        <v>37443</v>
      </c>
      <c r="D283" t="s">
        <v>9697</v>
      </c>
      <c r="E283" t="str">
        <f t="shared" si="12"/>
        <v>서울특별시</v>
      </c>
      <c r="F283" t="str">
        <f t="shared" si="13"/>
        <v xml:space="preserve">강남구 </v>
      </c>
      <c r="G283" t="str">
        <f t="shared" si="14"/>
        <v>신사동</v>
      </c>
      <c r="H283" t="s">
        <v>9698</v>
      </c>
      <c r="I283">
        <v>6026</v>
      </c>
    </row>
    <row r="284" spans="1:9" x14ac:dyDescent="0.4">
      <c r="A284">
        <v>3220000</v>
      </c>
      <c r="B284" t="s">
        <v>10127</v>
      </c>
      <c r="C284" s="1">
        <v>30448</v>
      </c>
      <c r="D284" t="s">
        <v>9697</v>
      </c>
      <c r="E284" t="str">
        <f t="shared" si="12"/>
        <v>서울특별시</v>
      </c>
      <c r="F284" t="str">
        <f t="shared" si="13"/>
        <v xml:space="preserve">강남구 </v>
      </c>
      <c r="G284" t="str">
        <f t="shared" si="14"/>
        <v>신사동</v>
      </c>
    </row>
    <row r="285" spans="1:9" x14ac:dyDescent="0.4">
      <c r="A285">
        <v>3220000</v>
      </c>
      <c r="B285" t="s">
        <v>9648</v>
      </c>
      <c r="C285" s="1">
        <v>37201</v>
      </c>
      <c r="D285" t="s">
        <v>9649</v>
      </c>
      <c r="E285" t="str">
        <f t="shared" si="12"/>
        <v>서울특별시</v>
      </c>
      <c r="F285" t="str">
        <f t="shared" si="13"/>
        <v xml:space="preserve">강남구 </v>
      </c>
      <c r="G285" t="str">
        <f t="shared" si="14"/>
        <v>신사동</v>
      </c>
    </row>
    <row r="286" spans="1:9" x14ac:dyDescent="0.4">
      <c r="A286">
        <v>3220000</v>
      </c>
      <c r="B286" t="s">
        <v>9684</v>
      </c>
      <c r="C286" s="1">
        <v>37259</v>
      </c>
      <c r="D286" t="s">
        <v>9685</v>
      </c>
      <c r="E286" t="str">
        <f t="shared" si="12"/>
        <v>서울특별시</v>
      </c>
      <c r="F286" t="str">
        <f t="shared" si="13"/>
        <v xml:space="preserve">강남구 </v>
      </c>
      <c r="G286" t="str">
        <f t="shared" si="14"/>
        <v>신사동</v>
      </c>
      <c r="H286" t="s">
        <v>9686</v>
      </c>
      <c r="I286">
        <v>6022</v>
      </c>
    </row>
    <row r="287" spans="1:9" x14ac:dyDescent="0.4">
      <c r="A287">
        <v>3220000</v>
      </c>
      <c r="B287" t="s">
        <v>9674</v>
      </c>
      <c r="C287" s="1">
        <v>29855</v>
      </c>
      <c r="D287" t="s">
        <v>9675</v>
      </c>
      <c r="E287" t="str">
        <f t="shared" si="12"/>
        <v>서울특별시</v>
      </c>
      <c r="F287" t="str">
        <f t="shared" si="13"/>
        <v xml:space="preserve">강남구 </v>
      </c>
      <c r="G287" t="str">
        <f t="shared" si="14"/>
        <v>신사동</v>
      </c>
    </row>
    <row r="288" spans="1:9" x14ac:dyDescent="0.4">
      <c r="A288">
        <v>3220000</v>
      </c>
      <c r="B288" t="s">
        <v>10413</v>
      </c>
      <c r="C288" s="1">
        <v>30324</v>
      </c>
      <c r="D288" t="s">
        <v>10414</v>
      </c>
      <c r="E288" t="str">
        <f t="shared" si="12"/>
        <v>서울특별시</v>
      </c>
      <c r="F288" t="str">
        <f t="shared" si="13"/>
        <v xml:space="preserve">강남구 </v>
      </c>
      <c r="G288" t="str">
        <f t="shared" si="14"/>
        <v>신사동</v>
      </c>
      <c r="H288" t="s">
        <v>10415</v>
      </c>
      <c r="I288">
        <v>6026</v>
      </c>
    </row>
    <row r="289" spans="1:9" x14ac:dyDescent="0.4">
      <c r="A289">
        <v>3220000</v>
      </c>
      <c r="B289" t="s">
        <v>9881</v>
      </c>
      <c r="C289" s="1">
        <v>43137</v>
      </c>
      <c r="D289" t="s">
        <v>9882</v>
      </c>
      <c r="E289" t="str">
        <f t="shared" si="12"/>
        <v>서울특별시</v>
      </c>
      <c r="F289" t="str">
        <f t="shared" si="13"/>
        <v xml:space="preserve">강남구 </v>
      </c>
      <c r="G289" t="str">
        <f t="shared" si="14"/>
        <v>신사동</v>
      </c>
      <c r="H289" t="s">
        <v>9883</v>
      </c>
      <c r="I289">
        <v>6021</v>
      </c>
    </row>
    <row r="290" spans="1:9" x14ac:dyDescent="0.4">
      <c r="A290">
        <v>3220000</v>
      </c>
      <c r="B290" t="s">
        <v>10147</v>
      </c>
      <c r="C290" s="1">
        <v>39260</v>
      </c>
      <c r="D290" t="s">
        <v>10148</v>
      </c>
      <c r="E290" t="str">
        <f t="shared" si="12"/>
        <v>서울특별시</v>
      </c>
      <c r="F290" t="str">
        <f t="shared" si="13"/>
        <v xml:space="preserve">강남구 </v>
      </c>
      <c r="G290" t="str">
        <f t="shared" si="14"/>
        <v>신사동</v>
      </c>
      <c r="H290" t="s">
        <v>10149</v>
      </c>
      <c r="I290">
        <v>6021</v>
      </c>
    </row>
    <row r="291" spans="1:9" x14ac:dyDescent="0.4">
      <c r="A291">
        <v>3220000</v>
      </c>
      <c r="B291" t="s">
        <v>10476</v>
      </c>
      <c r="C291" s="1">
        <v>36899</v>
      </c>
      <c r="D291" t="s">
        <v>10477</v>
      </c>
      <c r="E291" t="str">
        <f t="shared" si="12"/>
        <v>서울특별시</v>
      </c>
      <c r="F291" t="str">
        <f t="shared" si="13"/>
        <v xml:space="preserve">강남구 </v>
      </c>
      <c r="G291" t="str">
        <f t="shared" si="14"/>
        <v>신사동</v>
      </c>
    </row>
    <row r="292" spans="1:9" x14ac:dyDescent="0.4">
      <c r="A292">
        <v>3220000</v>
      </c>
      <c r="B292" t="s">
        <v>222</v>
      </c>
      <c r="C292" s="1">
        <v>42340</v>
      </c>
      <c r="D292" t="s">
        <v>223</v>
      </c>
      <c r="E292" t="str">
        <f t="shared" si="12"/>
        <v>서울특별시</v>
      </c>
      <c r="F292" t="str">
        <f t="shared" si="13"/>
        <v xml:space="preserve">강남구 </v>
      </c>
      <c r="G292" t="str">
        <f t="shared" si="14"/>
        <v>신사동</v>
      </c>
      <c r="H292" t="s">
        <v>224</v>
      </c>
      <c r="I292">
        <v>6019</v>
      </c>
    </row>
    <row r="293" spans="1:9" x14ac:dyDescent="0.4">
      <c r="A293">
        <v>3220000</v>
      </c>
      <c r="B293" t="s">
        <v>10255</v>
      </c>
      <c r="C293" s="1">
        <v>30842</v>
      </c>
      <c r="D293" t="s">
        <v>10256</v>
      </c>
      <c r="E293" t="str">
        <f t="shared" si="12"/>
        <v>서울특별시</v>
      </c>
      <c r="F293" t="str">
        <f t="shared" si="13"/>
        <v xml:space="preserve">강남구 </v>
      </c>
      <c r="G293" t="str">
        <f t="shared" si="14"/>
        <v>신사동</v>
      </c>
      <c r="H293" t="s">
        <v>224</v>
      </c>
      <c r="I293">
        <v>6019</v>
      </c>
    </row>
    <row r="294" spans="1:9" x14ac:dyDescent="0.4">
      <c r="A294">
        <v>3220000</v>
      </c>
      <c r="B294" t="s">
        <v>10724</v>
      </c>
      <c r="C294" s="1">
        <v>36438</v>
      </c>
      <c r="D294" t="s">
        <v>10725</v>
      </c>
      <c r="E294" t="str">
        <f t="shared" si="12"/>
        <v>서울특별시</v>
      </c>
      <c r="F294" t="str">
        <f t="shared" si="13"/>
        <v xml:space="preserve">강남구 </v>
      </c>
      <c r="G294" t="str">
        <f t="shared" si="14"/>
        <v>신사동</v>
      </c>
      <c r="H294" t="s">
        <v>10726</v>
      </c>
      <c r="I294">
        <v>6018</v>
      </c>
    </row>
    <row r="295" spans="1:9" x14ac:dyDescent="0.4">
      <c r="A295">
        <v>3220000</v>
      </c>
      <c r="B295" t="s">
        <v>9669</v>
      </c>
      <c r="C295" s="1">
        <v>37659</v>
      </c>
      <c r="D295" t="s">
        <v>9670</v>
      </c>
      <c r="E295" t="str">
        <f t="shared" si="12"/>
        <v>서울특별시</v>
      </c>
      <c r="F295" t="str">
        <f t="shared" si="13"/>
        <v xml:space="preserve">강남구 </v>
      </c>
      <c r="G295" t="str">
        <f t="shared" si="14"/>
        <v>신사동</v>
      </c>
      <c r="H295" t="s">
        <v>9671</v>
      </c>
      <c r="I295">
        <v>6019</v>
      </c>
    </row>
    <row r="296" spans="1:9" x14ac:dyDescent="0.4">
      <c r="A296">
        <v>3220000</v>
      </c>
      <c r="B296" t="s">
        <v>9871</v>
      </c>
      <c r="C296" s="1">
        <v>31828</v>
      </c>
      <c r="D296" t="s">
        <v>9670</v>
      </c>
      <c r="E296" t="str">
        <f t="shared" si="12"/>
        <v>서울특별시</v>
      </c>
      <c r="F296" t="str">
        <f t="shared" si="13"/>
        <v xml:space="preserve">강남구 </v>
      </c>
      <c r="G296" t="str">
        <f t="shared" si="14"/>
        <v>신사동</v>
      </c>
    </row>
    <row r="297" spans="1:9" x14ac:dyDescent="0.4">
      <c r="A297">
        <v>3220000</v>
      </c>
      <c r="B297" t="s">
        <v>9872</v>
      </c>
      <c r="C297" s="1">
        <v>31849</v>
      </c>
      <c r="D297" t="s">
        <v>9873</v>
      </c>
      <c r="E297" t="str">
        <f t="shared" si="12"/>
        <v>서울특별시</v>
      </c>
      <c r="F297" t="str">
        <f t="shared" si="13"/>
        <v xml:space="preserve">강남구 </v>
      </c>
      <c r="G297" t="str">
        <f t="shared" si="14"/>
        <v>신사동</v>
      </c>
      <c r="H297" t="s">
        <v>9874</v>
      </c>
      <c r="I297">
        <v>6019</v>
      </c>
    </row>
    <row r="298" spans="1:9" x14ac:dyDescent="0.4">
      <c r="A298">
        <v>3220000</v>
      </c>
      <c r="B298" t="s">
        <v>10426</v>
      </c>
      <c r="C298" s="1">
        <v>29412</v>
      </c>
      <c r="D298" t="s">
        <v>10427</v>
      </c>
      <c r="E298" t="str">
        <f t="shared" si="12"/>
        <v>서울특별시</v>
      </c>
      <c r="F298" t="str">
        <f t="shared" si="13"/>
        <v xml:space="preserve">강남구 </v>
      </c>
      <c r="G298" t="str">
        <f t="shared" si="14"/>
        <v>역삼동</v>
      </c>
      <c r="H298" t="s">
        <v>10428</v>
      </c>
      <c r="I298">
        <v>6123</v>
      </c>
    </row>
    <row r="299" spans="1:9" x14ac:dyDescent="0.4">
      <c r="A299">
        <v>3220000</v>
      </c>
      <c r="B299" t="s">
        <v>9654</v>
      </c>
      <c r="C299" s="1">
        <v>37088</v>
      </c>
      <c r="D299" t="s">
        <v>9655</v>
      </c>
      <c r="E299" t="str">
        <f t="shared" si="12"/>
        <v>서울특별시</v>
      </c>
      <c r="F299" t="str">
        <f t="shared" si="13"/>
        <v xml:space="preserve">강남구 </v>
      </c>
      <c r="G299" t="str">
        <f t="shared" si="14"/>
        <v>역삼동</v>
      </c>
      <c r="H299" t="s">
        <v>9656</v>
      </c>
      <c r="I299">
        <v>6123</v>
      </c>
    </row>
    <row r="300" spans="1:9" x14ac:dyDescent="0.4">
      <c r="A300">
        <v>3220000</v>
      </c>
      <c r="B300" t="s">
        <v>10965</v>
      </c>
      <c r="C300" s="1">
        <v>36619</v>
      </c>
      <c r="D300" t="s">
        <v>10966</v>
      </c>
      <c r="E300" t="str">
        <f t="shared" si="12"/>
        <v>서울특별시</v>
      </c>
      <c r="F300" t="str">
        <f t="shared" si="13"/>
        <v xml:space="preserve">강남구 </v>
      </c>
      <c r="G300" t="str">
        <f t="shared" si="14"/>
        <v>역삼동</v>
      </c>
      <c r="H300" t="s">
        <v>10967</v>
      </c>
      <c r="I300">
        <v>6123</v>
      </c>
    </row>
    <row r="301" spans="1:9" x14ac:dyDescent="0.4">
      <c r="A301">
        <v>3220000</v>
      </c>
      <c r="B301" t="s">
        <v>10339</v>
      </c>
      <c r="C301" s="1">
        <v>36853</v>
      </c>
      <c r="D301" t="s">
        <v>10340</v>
      </c>
      <c r="E301" t="str">
        <f t="shared" si="12"/>
        <v>서울특별시</v>
      </c>
      <c r="F301" t="str">
        <f t="shared" si="13"/>
        <v xml:space="preserve">강남구 </v>
      </c>
      <c r="G301" t="str">
        <f t="shared" si="14"/>
        <v>역삼동</v>
      </c>
      <c r="H301" t="s">
        <v>10341</v>
      </c>
      <c r="I301">
        <v>6123</v>
      </c>
    </row>
    <row r="302" spans="1:9" x14ac:dyDescent="0.4">
      <c r="A302">
        <v>3220000</v>
      </c>
      <c r="B302" t="s">
        <v>9884</v>
      </c>
      <c r="C302" s="1">
        <v>43144</v>
      </c>
      <c r="D302" t="s">
        <v>9885</v>
      </c>
      <c r="E302" t="str">
        <f t="shared" si="12"/>
        <v>서울특별시</v>
      </c>
      <c r="F302" t="str">
        <f t="shared" si="13"/>
        <v xml:space="preserve">강남구 </v>
      </c>
      <c r="G302" t="str">
        <f t="shared" si="14"/>
        <v>역삼동</v>
      </c>
      <c r="H302" t="s">
        <v>9886</v>
      </c>
      <c r="I302">
        <v>6124</v>
      </c>
    </row>
    <row r="303" spans="1:9" x14ac:dyDescent="0.4">
      <c r="A303">
        <v>3220000</v>
      </c>
      <c r="B303" t="s">
        <v>10001</v>
      </c>
      <c r="C303" s="1">
        <v>29479</v>
      </c>
      <c r="D303" t="s">
        <v>10002</v>
      </c>
      <c r="E303" t="str">
        <f t="shared" si="12"/>
        <v>서울특별시</v>
      </c>
      <c r="F303" t="str">
        <f t="shared" si="13"/>
        <v xml:space="preserve">강남구 </v>
      </c>
      <c r="G303" t="str">
        <f t="shared" si="14"/>
        <v>역삼동</v>
      </c>
    </row>
    <row r="304" spans="1:9" x14ac:dyDescent="0.4">
      <c r="A304">
        <v>3220000</v>
      </c>
      <c r="B304" t="s">
        <v>10317</v>
      </c>
      <c r="C304" s="1">
        <v>32504</v>
      </c>
      <c r="D304" t="s">
        <v>10002</v>
      </c>
      <c r="E304" t="str">
        <f t="shared" si="12"/>
        <v>서울특별시</v>
      </c>
      <c r="F304" t="str">
        <f t="shared" si="13"/>
        <v xml:space="preserve">강남구 </v>
      </c>
      <c r="G304" t="str">
        <f t="shared" si="14"/>
        <v>역삼동</v>
      </c>
    </row>
    <row r="305" spans="1:9" x14ac:dyDescent="0.4">
      <c r="A305">
        <v>3220000</v>
      </c>
      <c r="B305" t="s">
        <v>10244</v>
      </c>
      <c r="C305" s="1">
        <v>38706</v>
      </c>
      <c r="D305" t="s">
        <v>10245</v>
      </c>
      <c r="E305" t="str">
        <f t="shared" si="12"/>
        <v>서울특별시</v>
      </c>
      <c r="F305" t="str">
        <f t="shared" si="13"/>
        <v xml:space="preserve">강남구 </v>
      </c>
      <c r="G305" t="str">
        <f t="shared" si="14"/>
        <v>역삼동</v>
      </c>
      <c r="H305" t="s">
        <v>10246</v>
      </c>
      <c r="I305">
        <v>6124</v>
      </c>
    </row>
    <row r="306" spans="1:9" x14ac:dyDescent="0.4">
      <c r="A306">
        <v>3220000</v>
      </c>
      <c r="B306" t="s">
        <v>9547</v>
      </c>
      <c r="C306" s="1">
        <v>34304</v>
      </c>
      <c r="D306" t="s">
        <v>9548</v>
      </c>
      <c r="E306" t="str">
        <f t="shared" si="12"/>
        <v>서울특별시</v>
      </c>
      <c r="F306" t="str">
        <f t="shared" si="13"/>
        <v xml:space="preserve">강남구 </v>
      </c>
      <c r="G306" t="str">
        <f t="shared" si="14"/>
        <v>역삼동</v>
      </c>
    </row>
    <row r="307" spans="1:9" x14ac:dyDescent="0.4">
      <c r="A307">
        <v>3220000</v>
      </c>
      <c r="B307" t="s">
        <v>10417</v>
      </c>
      <c r="C307" s="1">
        <v>30337</v>
      </c>
      <c r="D307" t="s">
        <v>10418</v>
      </c>
      <c r="E307" t="str">
        <f t="shared" si="12"/>
        <v>서울특별시</v>
      </c>
      <c r="F307" t="str">
        <f t="shared" si="13"/>
        <v xml:space="preserve">강남구 </v>
      </c>
      <c r="G307" t="str">
        <f t="shared" si="14"/>
        <v>역삼동</v>
      </c>
    </row>
    <row r="308" spans="1:9" x14ac:dyDescent="0.4">
      <c r="A308">
        <v>3220000</v>
      </c>
      <c r="B308" t="s">
        <v>10502</v>
      </c>
      <c r="C308" s="1">
        <v>39443</v>
      </c>
      <c r="D308" t="s">
        <v>10503</v>
      </c>
      <c r="E308" t="str">
        <f t="shared" si="12"/>
        <v>서울특별시</v>
      </c>
      <c r="F308" t="str">
        <f t="shared" si="13"/>
        <v xml:space="preserve">강남구 </v>
      </c>
      <c r="G308" t="str">
        <f t="shared" si="14"/>
        <v>역삼동</v>
      </c>
      <c r="H308" t="s">
        <v>10504</v>
      </c>
    </row>
    <row r="309" spans="1:9" x14ac:dyDescent="0.4">
      <c r="A309">
        <v>3220000</v>
      </c>
      <c r="B309" t="s">
        <v>9887</v>
      </c>
      <c r="C309" s="1">
        <v>36441</v>
      </c>
      <c r="D309" t="s">
        <v>9888</v>
      </c>
      <c r="E309" t="str">
        <f t="shared" si="12"/>
        <v>서울특별시</v>
      </c>
      <c r="F309" t="str">
        <f t="shared" si="13"/>
        <v xml:space="preserve">강남구 </v>
      </c>
      <c r="G309" t="str">
        <f t="shared" si="14"/>
        <v>역삼동</v>
      </c>
      <c r="H309" t="s">
        <v>9889</v>
      </c>
      <c r="I309">
        <v>6124</v>
      </c>
    </row>
    <row r="310" spans="1:9" x14ac:dyDescent="0.4">
      <c r="A310">
        <v>3220000</v>
      </c>
      <c r="B310" t="s">
        <v>9543</v>
      </c>
      <c r="C310" s="1">
        <v>36396</v>
      </c>
      <c r="D310" t="s">
        <v>9544</v>
      </c>
      <c r="E310" t="str">
        <f t="shared" si="12"/>
        <v>서울특별시</v>
      </c>
      <c r="F310" t="str">
        <f t="shared" si="13"/>
        <v xml:space="preserve">강남구 </v>
      </c>
      <c r="G310" t="str">
        <f t="shared" si="14"/>
        <v>역삼동</v>
      </c>
    </row>
    <row r="311" spans="1:9" x14ac:dyDescent="0.4">
      <c r="A311">
        <v>3220000</v>
      </c>
      <c r="B311" t="s">
        <v>10778</v>
      </c>
      <c r="C311" s="1">
        <v>29991</v>
      </c>
      <c r="D311" t="s">
        <v>10779</v>
      </c>
      <c r="E311" t="str">
        <f t="shared" si="12"/>
        <v>서울특별시</v>
      </c>
      <c r="F311" t="str">
        <f t="shared" si="13"/>
        <v xml:space="preserve">강남구 </v>
      </c>
      <c r="G311" t="str">
        <f t="shared" si="14"/>
        <v>역삼동</v>
      </c>
      <c r="H311" t="s">
        <v>10780</v>
      </c>
      <c r="I311">
        <v>6125</v>
      </c>
    </row>
    <row r="312" spans="1:9" x14ac:dyDescent="0.4">
      <c r="A312">
        <v>3220000</v>
      </c>
      <c r="B312" t="s">
        <v>10139</v>
      </c>
      <c r="C312" s="1">
        <v>36501</v>
      </c>
      <c r="D312" t="s">
        <v>10140</v>
      </c>
      <c r="E312" t="str">
        <f t="shared" si="12"/>
        <v>서울특별시</v>
      </c>
      <c r="F312" t="str">
        <f t="shared" si="13"/>
        <v xml:space="preserve">강남구 </v>
      </c>
      <c r="G312" t="str">
        <f t="shared" si="14"/>
        <v>역삼동</v>
      </c>
    </row>
    <row r="313" spans="1:9" x14ac:dyDescent="0.4">
      <c r="A313">
        <v>3220000</v>
      </c>
      <c r="B313" t="s">
        <v>10400</v>
      </c>
      <c r="C313" s="1">
        <v>37028</v>
      </c>
      <c r="D313" t="s">
        <v>10401</v>
      </c>
      <c r="E313" t="str">
        <f t="shared" si="12"/>
        <v>서울특별시</v>
      </c>
      <c r="F313" t="str">
        <f t="shared" si="13"/>
        <v xml:space="preserve">강남구 </v>
      </c>
      <c r="G313" t="str">
        <f t="shared" si="14"/>
        <v>역삼동</v>
      </c>
      <c r="H313" t="s">
        <v>10402</v>
      </c>
      <c r="I313">
        <v>6125</v>
      </c>
    </row>
    <row r="314" spans="1:9" x14ac:dyDescent="0.4">
      <c r="A314">
        <v>3220000</v>
      </c>
      <c r="B314" t="s">
        <v>10195</v>
      </c>
      <c r="C314" s="1">
        <v>36664</v>
      </c>
      <c r="D314" t="s">
        <v>10196</v>
      </c>
      <c r="E314" t="str">
        <f t="shared" si="12"/>
        <v>서울특별시</v>
      </c>
      <c r="F314" t="str">
        <f t="shared" si="13"/>
        <v xml:space="preserve">강남구 </v>
      </c>
      <c r="G314" t="str">
        <f t="shared" si="14"/>
        <v>역삼동</v>
      </c>
      <c r="H314" t="s">
        <v>10197</v>
      </c>
    </row>
    <row r="315" spans="1:9" x14ac:dyDescent="0.4">
      <c r="A315">
        <v>3220000</v>
      </c>
      <c r="B315" t="s">
        <v>9443</v>
      </c>
      <c r="C315" s="1">
        <v>40505</v>
      </c>
      <c r="D315" t="s">
        <v>9444</v>
      </c>
      <c r="E315" t="str">
        <f t="shared" si="12"/>
        <v>서울특별시</v>
      </c>
      <c r="F315" t="str">
        <f t="shared" si="13"/>
        <v xml:space="preserve">강남구 </v>
      </c>
      <c r="G315" t="str">
        <f t="shared" si="14"/>
        <v>역삼동</v>
      </c>
      <c r="H315" t="s">
        <v>9445</v>
      </c>
      <c r="I315">
        <v>6125</v>
      </c>
    </row>
    <row r="316" spans="1:9" x14ac:dyDescent="0.4">
      <c r="A316">
        <v>3220000</v>
      </c>
      <c r="B316" t="s">
        <v>9626</v>
      </c>
      <c r="C316" s="1">
        <v>36711</v>
      </c>
      <c r="D316" t="s">
        <v>9627</v>
      </c>
      <c r="E316" t="str">
        <f t="shared" si="12"/>
        <v>서울특별시</v>
      </c>
      <c r="F316" t="str">
        <f t="shared" si="13"/>
        <v xml:space="preserve">강남구 </v>
      </c>
      <c r="G316" t="str">
        <f t="shared" si="14"/>
        <v>역삼동</v>
      </c>
      <c r="H316" t="s">
        <v>9628</v>
      </c>
      <c r="I316">
        <v>6125</v>
      </c>
    </row>
    <row r="317" spans="1:9" x14ac:dyDescent="0.4">
      <c r="A317">
        <v>3220000</v>
      </c>
      <c r="B317" t="s">
        <v>10474</v>
      </c>
      <c r="C317" s="1">
        <v>36896</v>
      </c>
      <c r="D317" t="s">
        <v>9627</v>
      </c>
      <c r="E317" t="str">
        <f t="shared" si="12"/>
        <v>서울특별시</v>
      </c>
      <c r="F317" t="str">
        <f t="shared" si="13"/>
        <v xml:space="preserve">강남구 </v>
      </c>
      <c r="G317" t="str">
        <f t="shared" si="14"/>
        <v>역삼동</v>
      </c>
      <c r="H317" t="s">
        <v>10475</v>
      </c>
      <c r="I317">
        <v>6125</v>
      </c>
    </row>
    <row r="318" spans="1:9" x14ac:dyDescent="0.4">
      <c r="A318">
        <v>3220000</v>
      </c>
      <c r="B318" t="s">
        <v>9687</v>
      </c>
      <c r="C318" s="1">
        <v>37266</v>
      </c>
      <c r="D318" t="s">
        <v>9688</v>
      </c>
      <c r="E318" t="str">
        <f t="shared" si="12"/>
        <v>서울특별시</v>
      </c>
      <c r="F318" t="str">
        <f t="shared" si="13"/>
        <v xml:space="preserve">강남구 </v>
      </c>
      <c r="G318" t="str">
        <f t="shared" si="14"/>
        <v>역삼동</v>
      </c>
    </row>
    <row r="319" spans="1:9" x14ac:dyDescent="0.4">
      <c r="A319">
        <v>3220000</v>
      </c>
      <c r="B319" t="s">
        <v>9563</v>
      </c>
      <c r="C319" s="1">
        <v>31148</v>
      </c>
      <c r="D319" t="s">
        <v>9564</v>
      </c>
      <c r="E319" t="str">
        <f t="shared" si="12"/>
        <v>서울특별시</v>
      </c>
      <c r="F319" t="str">
        <f t="shared" si="13"/>
        <v xml:space="preserve">강남구 </v>
      </c>
      <c r="G319" t="str">
        <f t="shared" si="14"/>
        <v>역삼동</v>
      </c>
      <c r="H319" t="s">
        <v>9565</v>
      </c>
      <c r="I319">
        <v>6132</v>
      </c>
    </row>
    <row r="320" spans="1:9" x14ac:dyDescent="0.4">
      <c r="A320">
        <v>3220000</v>
      </c>
      <c r="B320" t="s">
        <v>9791</v>
      </c>
      <c r="C320" s="1">
        <v>36452</v>
      </c>
      <c r="D320" t="s">
        <v>9792</v>
      </c>
      <c r="E320" t="str">
        <f t="shared" si="12"/>
        <v>서울특별시</v>
      </c>
      <c r="F320" t="str">
        <f t="shared" si="13"/>
        <v xml:space="preserve">강남구 </v>
      </c>
      <c r="G320" t="str">
        <f t="shared" si="14"/>
        <v>역삼동</v>
      </c>
    </row>
    <row r="321" spans="1:9" x14ac:dyDescent="0.4">
      <c r="A321">
        <v>3220000</v>
      </c>
      <c r="B321" t="s">
        <v>9720</v>
      </c>
      <c r="C321" s="1">
        <v>32763</v>
      </c>
      <c r="D321" t="s">
        <v>9721</v>
      </c>
      <c r="E321" t="str">
        <f t="shared" si="12"/>
        <v>서울특별시</v>
      </c>
      <c r="F321" t="str">
        <f t="shared" si="13"/>
        <v xml:space="preserve">강남구 </v>
      </c>
      <c r="G321" t="str">
        <f t="shared" si="14"/>
        <v>역삼동</v>
      </c>
      <c r="H321" t="s">
        <v>9722</v>
      </c>
      <c r="I321">
        <v>6133</v>
      </c>
    </row>
    <row r="322" spans="1:9" x14ac:dyDescent="0.4">
      <c r="A322">
        <v>3220000</v>
      </c>
      <c r="B322" t="s">
        <v>10613</v>
      </c>
      <c r="C322" s="1">
        <v>32625</v>
      </c>
      <c r="D322" t="s">
        <v>10614</v>
      </c>
      <c r="E322" t="str">
        <f t="shared" si="12"/>
        <v>서울특별시</v>
      </c>
      <c r="F322" t="str">
        <f t="shared" si="13"/>
        <v xml:space="preserve">강남구 </v>
      </c>
      <c r="G322" t="str">
        <f t="shared" si="14"/>
        <v>역삼동</v>
      </c>
      <c r="H322" t="s">
        <v>10615</v>
      </c>
    </row>
    <row r="323" spans="1:9" x14ac:dyDescent="0.4">
      <c r="A323">
        <v>3220000</v>
      </c>
      <c r="B323" t="s">
        <v>9450</v>
      </c>
      <c r="C323" s="1">
        <v>32976</v>
      </c>
      <c r="D323" t="s">
        <v>9451</v>
      </c>
      <c r="E323" t="str">
        <f t="shared" ref="E323:E386" si="15">LEFT(D323,5)</f>
        <v>서울특별시</v>
      </c>
      <c r="F323" t="str">
        <f t="shared" ref="F323:F386" si="16">MID(D323,7,4)</f>
        <v xml:space="preserve">강남구 </v>
      </c>
      <c r="G323" t="str">
        <f t="shared" ref="G323:G386" si="17">MID(SUBSTITUTE(D323," ",""),9,3)</f>
        <v>역삼동</v>
      </c>
      <c r="H323" t="s">
        <v>9452</v>
      </c>
      <c r="I323">
        <v>6133</v>
      </c>
    </row>
    <row r="324" spans="1:9" x14ac:dyDescent="0.4">
      <c r="A324">
        <v>3220000</v>
      </c>
      <c r="B324" t="s">
        <v>10483</v>
      </c>
      <c r="C324" s="1">
        <v>41253</v>
      </c>
      <c r="D324" t="s">
        <v>10484</v>
      </c>
      <c r="E324" t="str">
        <f t="shared" si="15"/>
        <v>서울특별시</v>
      </c>
      <c r="F324" t="str">
        <f t="shared" si="16"/>
        <v xml:space="preserve">강남구 </v>
      </c>
      <c r="G324" t="str">
        <f t="shared" si="17"/>
        <v>역삼동</v>
      </c>
      <c r="H324" t="s">
        <v>10485</v>
      </c>
      <c r="I324">
        <v>6133</v>
      </c>
    </row>
    <row r="325" spans="1:9" x14ac:dyDescent="0.4">
      <c r="A325">
        <v>3220000</v>
      </c>
      <c r="B325" t="s">
        <v>9841</v>
      </c>
      <c r="C325" s="1">
        <v>31568</v>
      </c>
      <c r="D325" t="s">
        <v>9842</v>
      </c>
      <c r="E325" t="str">
        <f t="shared" si="15"/>
        <v>서울특별시</v>
      </c>
      <c r="F325" t="str">
        <f t="shared" si="16"/>
        <v xml:space="preserve">강남구 </v>
      </c>
      <c r="G325" t="str">
        <f t="shared" si="17"/>
        <v>역삼동</v>
      </c>
      <c r="H325" t="s">
        <v>9843</v>
      </c>
      <c r="I325">
        <v>6133</v>
      </c>
    </row>
    <row r="326" spans="1:9" x14ac:dyDescent="0.4">
      <c r="A326">
        <v>3220000</v>
      </c>
      <c r="B326" t="s">
        <v>11017</v>
      </c>
      <c r="C326" s="1">
        <v>45575</v>
      </c>
      <c r="D326" t="s">
        <v>9842</v>
      </c>
      <c r="E326" t="str">
        <f t="shared" si="15"/>
        <v>서울특별시</v>
      </c>
      <c r="F326" t="str">
        <f t="shared" si="16"/>
        <v xml:space="preserve">강남구 </v>
      </c>
      <c r="G326" t="str">
        <f t="shared" si="17"/>
        <v>역삼동</v>
      </c>
      <c r="H326" t="s">
        <v>11018</v>
      </c>
      <c r="I326">
        <v>6133</v>
      </c>
    </row>
    <row r="327" spans="1:9" x14ac:dyDescent="0.4">
      <c r="A327">
        <v>3220000</v>
      </c>
      <c r="B327" t="s">
        <v>10174</v>
      </c>
      <c r="C327" s="1">
        <v>38335</v>
      </c>
      <c r="D327" t="s">
        <v>10175</v>
      </c>
      <c r="E327" t="str">
        <f t="shared" si="15"/>
        <v>서울특별시</v>
      </c>
      <c r="F327" t="str">
        <f t="shared" si="16"/>
        <v xml:space="preserve">강남구 </v>
      </c>
      <c r="G327" t="str">
        <f t="shared" si="17"/>
        <v>역삼동</v>
      </c>
      <c r="H327" t="s">
        <v>10176</v>
      </c>
      <c r="I327">
        <v>6133</v>
      </c>
    </row>
    <row r="328" spans="1:9" x14ac:dyDescent="0.4">
      <c r="A328">
        <v>3220000</v>
      </c>
      <c r="B328" t="s">
        <v>10805</v>
      </c>
      <c r="C328" s="1">
        <v>37278</v>
      </c>
      <c r="D328" t="s">
        <v>10806</v>
      </c>
      <c r="E328" t="str">
        <f t="shared" si="15"/>
        <v>서울특별시</v>
      </c>
      <c r="F328" t="str">
        <f t="shared" si="16"/>
        <v xml:space="preserve">강남구 </v>
      </c>
      <c r="G328" t="str">
        <f t="shared" si="17"/>
        <v>역삼동</v>
      </c>
      <c r="H328" t="s">
        <v>10807</v>
      </c>
      <c r="I328">
        <v>6134</v>
      </c>
    </row>
    <row r="329" spans="1:9" x14ac:dyDescent="0.4">
      <c r="A329">
        <v>3220000</v>
      </c>
      <c r="B329" t="s">
        <v>9990</v>
      </c>
      <c r="C329" s="1">
        <v>36540</v>
      </c>
      <c r="D329" t="s">
        <v>9991</v>
      </c>
      <c r="E329" t="str">
        <f t="shared" si="15"/>
        <v>서울특별시</v>
      </c>
      <c r="F329" t="str">
        <f t="shared" si="16"/>
        <v xml:space="preserve">강남구 </v>
      </c>
      <c r="G329" t="str">
        <f t="shared" si="17"/>
        <v>역삼동</v>
      </c>
    </row>
    <row r="330" spans="1:9" x14ac:dyDescent="0.4">
      <c r="A330">
        <v>3220000</v>
      </c>
      <c r="B330" t="s">
        <v>10036</v>
      </c>
      <c r="C330" s="1">
        <v>28854</v>
      </c>
      <c r="D330" t="s">
        <v>10037</v>
      </c>
      <c r="E330" t="str">
        <f t="shared" si="15"/>
        <v>서울특별시</v>
      </c>
      <c r="F330" t="str">
        <f t="shared" si="16"/>
        <v xml:space="preserve">강남구 </v>
      </c>
      <c r="G330" t="str">
        <f t="shared" si="17"/>
        <v>역삼동</v>
      </c>
    </row>
    <row r="331" spans="1:9" x14ac:dyDescent="0.4">
      <c r="A331">
        <v>3220000</v>
      </c>
      <c r="B331" t="s">
        <v>10333</v>
      </c>
      <c r="C331" s="1">
        <v>40429</v>
      </c>
      <c r="D331" t="s">
        <v>10334</v>
      </c>
      <c r="E331" t="str">
        <f t="shared" si="15"/>
        <v>서울특별시</v>
      </c>
      <c r="F331" t="str">
        <f t="shared" si="16"/>
        <v xml:space="preserve">강남구 </v>
      </c>
      <c r="G331" t="str">
        <f t="shared" si="17"/>
        <v>역삼동</v>
      </c>
      <c r="H331" t="s">
        <v>10335</v>
      </c>
    </row>
    <row r="332" spans="1:9" x14ac:dyDescent="0.4">
      <c r="A332">
        <v>3220000</v>
      </c>
      <c r="B332" t="s">
        <v>10882</v>
      </c>
      <c r="C332" s="1">
        <v>37138</v>
      </c>
      <c r="D332" t="s">
        <v>10883</v>
      </c>
      <c r="E332" t="str">
        <f t="shared" si="15"/>
        <v>서울특별시</v>
      </c>
      <c r="F332" t="str">
        <f t="shared" si="16"/>
        <v xml:space="preserve">강남구 </v>
      </c>
      <c r="G332" t="str">
        <f t="shared" si="17"/>
        <v>역삼동</v>
      </c>
      <c r="H332" t="s">
        <v>10884</v>
      </c>
      <c r="I332">
        <v>6135</v>
      </c>
    </row>
    <row r="333" spans="1:9" x14ac:dyDescent="0.4">
      <c r="A333">
        <v>3220000</v>
      </c>
      <c r="B333" t="s">
        <v>10435</v>
      </c>
      <c r="C333" s="1">
        <v>36805</v>
      </c>
      <c r="D333" t="s">
        <v>10436</v>
      </c>
      <c r="E333" t="str">
        <f t="shared" si="15"/>
        <v>서울특별시</v>
      </c>
      <c r="F333" t="str">
        <f t="shared" si="16"/>
        <v xml:space="preserve">강남구 </v>
      </c>
      <c r="G333" t="str">
        <f t="shared" si="17"/>
        <v>역삼동</v>
      </c>
    </row>
    <row r="334" spans="1:9" x14ac:dyDescent="0.4">
      <c r="A334">
        <v>3220000</v>
      </c>
      <c r="B334" t="s">
        <v>10676</v>
      </c>
      <c r="C334" s="1">
        <v>44168</v>
      </c>
      <c r="D334" t="s">
        <v>10677</v>
      </c>
      <c r="E334" t="str">
        <f t="shared" si="15"/>
        <v>서울특별시</v>
      </c>
      <c r="F334" t="str">
        <f t="shared" si="16"/>
        <v xml:space="preserve">강남구 </v>
      </c>
      <c r="G334" t="str">
        <f t="shared" si="17"/>
        <v>역삼동</v>
      </c>
      <c r="H334" t="s">
        <v>10678</v>
      </c>
      <c r="I334">
        <v>6135</v>
      </c>
    </row>
    <row r="335" spans="1:9" x14ac:dyDescent="0.4">
      <c r="A335">
        <v>3220000</v>
      </c>
      <c r="B335" t="s">
        <v>10469</v>
      </c>
      <c r="C335" s="1">
        <v>36824</v>
      </c>
      <c r="D335" t="s">
        <v>10470</v>
      </c>
      <c r="E335" t="str">
        <f t="shared" si="15"/>
        <v>서울특별시</v>
      </c>
      <c r="F335" t="str">
        <f t="shared" si="16"/>
        <v xml:space="preserve">강남구 </v>
      </c>
      <c r="G335" t="str">
        <f t="shared" si="17"/>
        <v>역삼동</v>
      </c>
      <c r="H335" t="s">
        <v>10471</v>
      </c>
      <c r="I335">
        <v>6135</v>
      </c>
    </row>
    <row r="336" spans="1:9" x14ac:dyDescent="0.4">
      <c r="A336">
        <v>3220000</v>
      </c>
      <c r="B336" t="s">
        <v>10951</v>
      </c>
      <c r="C336" s="1">
        <v>38958</v>
      </c>
      <c r="D336" t="s">
        <v>10952</v>
      </c>
      <c r="E336" t="str">
        <f t="shared" si="15"/>
        <v>서울특별시</v>
      </c>
      <c r="F336" t="str">
        <f t="shared" si="16"/>
        <v xml:space="preserve">강남구 </v>
      </c>
      <c r="G336" t="str">
        <f t="shared" si="17"/>
        <v>역삼동</v>
      </c>
      <c r="H336" t="s">
        <v>10953</v>
      </c>
      <c r="I336">
        <v>6135</v>
      </c>
    </row>
    <row r="337" spans="1:9" x14ac:dyDescent="0.4">
      <c r="A337">
        <v>3220000</v>
      </c>
      <c r="B337" t="s">
        <v>9613</v>
      </c>
      <c r="C337" s="1">
        <v>37175</v>
      </c>
      <c r="D337" t="s">
        <v>9614</v>
      </c>
      <c r="E337" t="str">
        <f t="shared" si="15"/>
        <v>서울특별시</v>
      </c>
      <c r="F337" t="str">
        <f t="shared" si="16"/>
        <v xml:space="preserve">강남구 </v>
      </c>
      <c r="G337" t="str">
        <f t="shared" si="17"/>
        <v>역삼동</v>
      </c>
    </row>
    <row r="338" spans="1:9" x14ac:dyDescent="0.4">
      <c r="A338">
        <v>3220000</v>
      </c>
      <c r="B338" t="s">
        <v>9760</v>
      </c>
      <c r="C338" s="1">
        <v>29973</v>
      </c>
      <c r="D338" t="s">
        <v>9761</v>
      </c>
      <c r="E338" t="str">
        <f t="shared" si="15"/>
        <v>서울특별시</v>
      </c>
      <c r="F338" t="str">
        <f t="shared" si="16"/>
        <v xml:space="preserve">강남구 </v>
      </c>
      <c r="G338" t="str">
        <f t="shared" si="17"/>
        <v>역삼동</v>
      </c>
      <c r="H338" t="s">
        <v>9762</v>
      </c>
      <c r="I338">
        <v>6135</v>
      </c>
    </row>
    <row r="339" spans="1:9" x14ac:dyDescent="0.4">
      <c r="A339">
        <v>3220000</v>
      </c>
      <c r="B339" t="s">
        <v>9766</v>
      </c>
      <c r="C339" s="1">
        <v>30050</v>
      </c>
      <c r="D339" t="s">
        <v>9761</v>
      </c>
      <c r="E339" t="str">
        <f t="shared" si="15"/>
        <v>서울특별시</v>
      </c>
      <c r="F339" t="str">
        <f t="shared" si="16"/>
        <v xml:space="preserve">강남구 </v>
      </c>
      <c r="G339" t="str">
        <f t="shared" si="17"/>
        <v>역삼동</v>
      </c>
      <c r="H339" t="s">
        <v>9762</v>
      </c>
      <c r="I339">
        <v>6135</v>
      </c>
    </row>
    <row r="340" spans="1:9" x14ac:dyDescent="0.4">
      <c r="A340">
        <v>3220000</v>
      </c>
      <c r="B340" t="s">
        <v>9610</v>
      </c>
      <c r="C340" s="1">
        <v>39667</v>
      </c>
      <c r="D340" t="s">
        <v>9611</v>
      </c>
      <c r="E340" t="str">
        <f t="shared" si="15"/>
        <v>서울특별시</v>
      </c>
      <c r="F340" t="str">
        <f t="shared" si="16"/>
        <v xml:space="preserve">강남구 </v>
      </c>
      <c r="G340" t="str">
        <f t="shared" si="17"/>
        <v>역삼동</v>
      </c>
      <c r="H340" t="s">
        <v>9612</v>
      </c>
      <c r="I340">
        <v>6138</v>
      </c>
    </row>
    <row r="341" spans="1:9" x14ac:dyDescent="0.4">
      <c r="A341">
        <v>3220000</v>
      </c>
      <c r="B341" t="s">
        <v>10422</v>
      </c>
      <c r="C341" s="1">
        <v>29363</v>
      </c>
      <c r="D341" t="s">
        <v>10423</v>
      </c>
      <c r="E341" t="str">
        <f t="shared" si="15"/>
        <v>서울특별시</v>
      </c>
      <c r="F341" t="str">
        <f t="shared" si="16"/>
        <v xml:space="preserve">강남구 </v>
      </c>
      <c r="G341" t="str">
        <f t="shared" si="17"/>
        <v>역삼동</v>
      </c>
    </row>
    <row r="342" spans="1:9" x14ac:dyDescent="0.4">
      <c r="A342">
        <v>3220000</v>
      </c>
      <c r="B342" t="s">
        <v>9620</v>
      </c>
      <c r="C342" s="1">
        <v>36707</v>
      </c>
      <c r="D342" t="s">
        <v>9621</v>
      </c>
      <c r="E342" t="str">
        <f t="shared" si="15"/>
        <v>서울특별시</v>
      </c>
      <c r="F342" t="str">
        <f t="shared" si="16"/>
        <v xml:space="preserve">강남구 </v>
      </c>
      <c r="G342" t="str">
        <f t="shared" si="17"/>
        <v>역삼동</v>
      </c>
      <c r="H342" t="s">
        <v>9622</v>
      </c>
      <c r="I342">
        <v>6138</v>
      </c>
    </row>
    <row r="343" spans="1:9" x14ac:dyDescent="0.4">
      <c r="A343">
        <v>3220000</v>
      </c>
      <c r="B343" t="s">
        <v>10808</v>
      </c>
      <c r="C343" s="1">
        <v>36705</v>
      </c>
      <c r="D343" t="s">
        <v>10809</v>
      </c>
      <c r="E343" t="str">
        <f t="shared" si="15"/>
        <v>서울특별시</v>
      </c>
      <c r="F343" t="str">
        <f t="shared" si="16"/>
        <v xml:space="preserve">강남구 </v>
      </c>
      <c r="G343" t="str">
        <f t="shared" si="17"/>
        <v>역삼동</v>
      </c>
      <c r="H343" t="s">
        <v>10810</v>
      </c>
      <c r="I343">
        <v>6138</v>
      </c>
    </row>
    <row r="344" spans="1:9" x14ac:dyDescent="0.4">
      <c r="A344">
        <v>3220000</v>
      </c>
      <c r="B344" t="s">
        <v>10547</v>
      </c>
      <c r="C344" s="1">
        <v>39755</v>
      </c>
      <c r="D344" t="s">
        <v>10548</v>
      </c>
      <c r="E344" t="str">
        <f t="shared" si="15"/>
        <v>서울특별시</v>
      </c>
      <c r="F344" t="str">
        <f t="shared" si="16"/>
        <v xml:space="preserve">강남구 </v>
      </c>
      <c r="G344" t="str">
        <f t="shared" si="17"/>
        <v>역삼동</v>
      </c>
      <c r="H344" t="s">
        <v>10549</v>
      </c>
      <c r="I344">
        <v>6138</v>
      </c>
    </row>
    <row r="345" spans="1:9" x14ac:dyDescent="0.4">
      <c r="A345">
        <v>3220000</v>
      </c>
      <c r="B345" t="s">
        <v>10330</v>
      </c>
      <c r="C345" s="1">
        <v>40387</v>
      </c>
      <c r="D345" t="s">
        <v>10331</v>
      </c>
      <c r="E345" t="str">
        <f t="shared" si="15"/>
        <v>서울특별시</v>
      </c>
      <c r="F345" t="str">
        <f t="shared" si="16"/>
        <v xml:space="preserve">강남구 </v>
      </c>
      <c r="G345" t="str">
        <f t="shared" si="17"/>
        <v>역삼동</v>
      </c>
      <c r="H345" t="s">
        <v>10332</v>
      </c>
      <c r="I345">
        <v>6138</v>
      </c>
    </row>
    <row r="346" spans="1:9" x14ac:dyDescent="0.4">
      <c r="A346">
        <v>3220000</v>
      </c>
      <c r="B346" t="s">
        <v>10550</v>
      </c>
      <c r="C346" s="1">
        <v>39756</v>
      </c>
      <c r="D346" t="s">
        <v>10551</v>
      </c>
      <c r="E346" t="str">
        <f t="shared" si="15"/>
        <v>서울특별시</v>
      </c>
      <c r="F346" t="str">
        <f t="shared" si="16"/>
        <v xml:space="preserve">강남구 </v>
      </c>
      <c r="G346" t="str">
        <f t="shared" si="17"/>
        <v>역삼동</v>
      </c>
      <c r="H346" t="s">
        <v>10552</v>
      </c>
      <c r="I346">
        <v>6138</v>
      </c>
    </row>
    <row r="347" spans="1:9" x14ac:dyDescent="0.4">
      <c r="A347">
        <v>3220000</v>
      </c>
      <c r="B347" t="s">
        <v>10448</v>
      </c>
      <c r="C347" s="1">
        <v>32304</v>
      </c>
      <c r="D347" t="s">
        <v>10449</v>
      </c>
      <c r="E347" t="str">
        <f t="shared" si="15"/>
        <v>서울특별시</v>
      </c>
      <c r="F347" t="str">
        <f t="shared" si="16"/>
        <v xml:space="preserve">강남구 </v>
      </c>
      <c r="G347" t="str">
        <f t="shared" si="17"/>
        <v>역삼동</v>
      </c>
      <c r="H347" t="s">
        <v>10450</v>
      </c>
    </row>
    <row r="348" spans="1:9" x14ac:dyDescent="0.4">
      <c r="A348">
        <v>3220000</v>
      </c>
      <c r="B348" t="s">
        <v>9717</v>
      </c>
      <c r="C348" s="1">
        <v>32762</v>
      </c>
      <c r="D348" t="s">
        <v>9718</v>
      </c>
      <c r="E348" t="str">
        <f t="shared" si="15"/>
        <v>서울특별시</v>
      </c>
      <c r="F348" t="str">
        <f t="shared" si="16"/>
        <v xml:space="preserve">강남구 </v>
      </c>
      <c r="G348" t="str">
        <f t="shared" si="17"/>
        <v>역삼동</v>
      </c>
      <c r="H348" t="s">
        <v>9719</v>
      </c>
      <c r="I348">
        <v>6142</v>
      </c>
    </row>
    <row r="349" spans="1:9" x14ac:dyDescent="0.4">
      <c r="A349">
        <v>3220000</v>
      </c>
      <c r="B349" t="s">
        <v>10257</v>
      </c>
      <c r="C349" s="1">
        <v>30629</v>
      </c>
      <c r="D349" t="s">
        <v>10258</v>
      </c>
      <c r="E349" t="str">
        <f t="shared" si="15"/>
        <v>서울특별시</v>
      </c>
      <c r="F349" t="str">
        <f t="shared" si="16"/>
        <v xml:space="preserve">강남구 </v>
      </c>
      <c r="G349" t="str">
        <f t="shared" si="17"/>
        <v>역삼동</v>
      </c>
      <c r="H349" t="s">
        <v>10259</v>
      </c>
      <c r="I349">
        <v>6142</v>
      </c>
    </row>
    <row r="350" spans="1:9" x14ac:dyDescent="0.4">
      <c r="A350">
        <v>3220000</v>
      </c>
      <c r="B350" t="s">
        <v>10745</v>
      </c>
      <c r="C350" s="1">
        <v>37982</v>
      </c>
      <c r="D350" t="s">
        <v>10746</v>
      </c>
      <c r="E350" t="str">
        <f t="shared" si="15"/>
        <v>서울특별시</v>
      </c>
      <c r="F350" t="str">
        <f t="shared" si="16"/>
        <v xml:space="preserve">강남구 </v>
      </c>
      <c r="G350" t="str">
        <f t="shared" si="17"/>
        <v>역삼동</v>
      </c>
      <c r="H350" t="s">
        <v>10747</v>
      </c>
      <c r="I350">
        <v>6142</v>
      </c>
    </row>
    <row r="351" spans="1:9" x14ac:dyDescent="0.4">
      <c r="A351">
        <v>3220000</v>
      </c>
      <c r="B351" t="s">
        <v>9936</v>
      </c>
      <c r="C351" s="1">
        <v>37982</v>
      </c>
      <c r="D351" t="s">
        <v>9937</v>
      </c>
      <c r="E351" t="str">
        <f t="shared" si="15"/>
        <v>서울특별시</v>
      </c>
      <c r="F351" t="str">
        <f t="shared" si="16"/>
        <v xml:space="preserve">강남구 </v>
      </c>
      <c r="G351" t="str">
        <f t="shared" si="17"/>
        <v>역삼동</v>
      </c>
    </row>
    <row r="352" spans="1:9" x14ac:dyDescent="0.4">
      <c r="A352">
        <v>3220000</v>
      </c>
      <c r="B352" t="s">
        <v>9710</v>
      </c>
      <c r="C352" s="1">
        <v>32709</v>
      </c>
      <c r="D352" t="s">
        <v>9711</v>
      </c>
      <c r="E352" t="str">
        <f t="shared" si="15"/>
        <v>서울특별시</v>
      </c>
      <c r="F352" t="str">
        <f t="shared" si="16"/>
        <v xml:space="preserve">강남구 </v>
      </c>
      <c r="G352" t="str">
        <f t="shared" si="17"/>
        <v>역삼동</v>
      </c>
    </row>
    <row r="353" spans="1:9" x14ac:dyDescent="0.4">
      <c r="A353">
        <v>3220000</v>
      </c>
      <c r="B353" t="s">
        <v>10135</v>
      </c>
      <c r="C353" s="1">
        <v>30480</v>
      </c>
      <c r="D353" t="s">
        <v>9711</v>
      </c>
      <c r="E353" t="str">
        <f t="shared" si="15"/>
        <v>서울특별시</v>
      </c>
      <c r="F353" t="str">
        <f t="shared" si="16"/>
        <v xml:space="preserve">강남구 </v>
      </c>
      <c r="G353" t="str">
        <f t="shared" si="17"/>
        <v>역삼동</v>
      </c>
      <c r="H353" t="s">
        <v>10136</v>
      </c>
      <c r="I353">
        <v>6142</v>
      </c>
    </row>
    <row r="354" spans="1:9" x14ac:dyDescent="0.4">
      <c r="A354">
        <v>3220000</v>
      </c>
      <c r="B354" t="s">
        <v>10064</v>
      </c>
      <c r="C354" s="1">
        <v>33539</v>
      </c>
      <c r="D354" t="s">
        <v>10065</v>
      </c>
      <c r="E354" t="str">
        <f t="shared" si="15"/>
        <v>서울특별시</v>
      </c>
      <c r="F354" t="str">
        <f t="shared" si="16"/>
        <v xml:space="preserve">강남구 </v>
      </c>
      <c r="G354" t="str">
        <f t="shared" si="17"/>
        <v>역삼동</v>
      </c>
    </row>
    <row r="355" spans="1:9" x14ac:dyDescent="0.4">
      <c r="A355">
        <v>3220000</v>
      </c>
      <c r="B355" t="s">
        <v>123</v>
      </c>
      <c r="C355" s="1">
        <v>42863</v>
      </c>
      <c r="D355" t="s">
        <v>124</v>
      </c>
      <c r="E355" t="str">
        <f t="shared" si="15"/>
        <v>서울특별시</v>
      </c>
      <c r="F355" t="str">
        <f t="shared" si="16"/>
        <v xml:space="preserve">강남구 </v>
      </c>
      <c r="G355" t="str">
        <f t="shared" si="17"/>
        <v>역삼동</v>
      </c>
      <c r="H355" t="s">
        <v>125</v>
      </c>
      <c r="I355">
        <v>6142</v>
      </c>
    </row>
    <row r="356" spans="1:9" x14ac:dyDescent="0.4">
      <c r="A356">
        <v>3220000</v>
      </c>
      <c r="B356" t="s">
        <v>10636</v>
      </c>
      <c r="C356" s="1">
        <v>40584</v>
      </c>
      <c r="D356" t="s">
        <v>10637</v>
      </c>
      <c r="E356" t="str">
        <f t="shared" si="15"/>
        <v>서울특별시</v>
      </c>
      <c r="F356" t="str">
        <f t="shared" si="16"/>
        <v xml:space="preserve">강남구 </v>
      </c>
      <c r="G356" t="str">
        <f t="shared" si="17"/>
        <v>역삼동</v>
      </c>
      <c r="H356" t="s">
        <v>10638</v>
      </c>
      <c r="I356">
        <v>6142</v>
      </c>
    </row>
    <row r="357" spans="1:9" x14ac:dyDescent="0.4">
      <c r="A357">
        <v>3220000</v>
      </c>
      <c r="B357" t="s">
        <v>10161</v>
      </c>
      <c r="C357" s="1">
        <v>38449</v>
      </c>
      <c r="D357" t="s">
        <v>10162</v>
      </c>
      <c r="E357" t="str">
        <f t="shared" si="15"/>
        <v>서울특별시</v>
      </c>
      <c r="F357" t="str">
        <f t="shared" si="16"/>
        <v xml:space="preserve">강남구 </v>
      </c>
      <c r="G357" t="str">
        <f t="shared" si="17"/>
        <v>역삼동</v>
      </c>
      <c r="H357" t="s">
        <v>10163</v>
      </c>
      <c r="I357">
        <v>6142</v>
      </c>
    </row>
    <row r="358" spans="1:9" x14ac:dyDescent="0.4">
      <c r="A358">
        <v>3220000</v>
      </c>
      <c r="B358" t="s">
        <v>10159</v>
      </c>
      <c r="C358" s="1">
        <v>38449</v>
      </c>
      <c r="D358" t="s">
        <v>10160</v>
      </c>
      <c r="E358" t="str">
        <f t="shared" si="15"/>
        <v>서울특별시</v>
      </c>
      <c r="F358" t="str">
        <f t="shared" si="16"/>
        <v xml:space="preserve">강남구 </v>
      </c>
      <c r="G358" t="str">
        <f t="shared" si="17"/>
        <v>역삼동</v>
      </c>
    </row>
    <row r="359" spans="1:9" x14ac:dyDescent="0.4">
      <c r="A359">
        <v>3220000</v>
      </c>
      <c r="B359" t="s">
        <v>9802</v>
      </c>
      <c r="C359" s="1">
        <v>37330</v>
      </c>
      <c r="D359" t="s">
        <v>9803</v>
      </c>
      <c r="E359" t="str">
        <f t="shared" si="15"/>
        <v>서울특별시</v>
      </c>
      <c r="F359" t="str">
        <f t="shared" si="16"/>
        <v xml:space="preserve">강남구 </v>
      </c>
      <c r="G359" t="str">
        <f t="shared" si="17"/>
        <v>역삼동</v>
      </c>
    </row>
    <row r="360" spans="1:9" x14ac:dyDescent="0.4">
      <c r="A360">
        <v>3220000</v>
      </c>
      <c r="B360" t="s">
        <v>9800</v>
      </c>
      <c r="C360" s="1">
        <v>37329</v>
      </c>
      <c r="D360" t="s">
        <v>9801</v>
      </c>
      <c r="E360" t="str">
        <f t="shared" si="15"/>
        <v>서울특별시</v>
      </c>
      <c r="F360" t="str">
        <f t="shared" si="16"/>
        <v xml:space="preserve">강남구 </v>
      </c>
      <c r="G360" t="str">
        <f t="shared" si="17"/>
        <v>역삼동</v>
      </c>
    </row>
    <row r="361" spans="1:9" x14ac:dyDescent="0.4">
      <c r="A361">
        <v>3220000</v>
      </c>
      <c r="B361" t="s">
        <v>9446</v>
      </c>
      <c r="C361" s="1">
        <v>32941</v>
      </c>
      <c r="D361" t="s">
        <v>9447</v>
      </c>
      <c r="E361" t="str">
        <f t="shared" si="15"/>
        <v>서울특별시</v>
      </c>
      <c r="F361" t="str">
        <f t="shared" si="16"/>
        <v xml:space="preserve">강남구 </v>
      </c>
      <c r="G361" t="str">
        <f t="shared" si="17"/>
        <v>역삼동</v>
      </c>
    </row>
    <row r="362" spans="1:9" x14ac:dyDescent="0.4">
      <c r="A362">
        <v>3220000</v>
      </c>
      <c r="B362" t="s">
        <v>10620</v>
      </c>
      <c r="C362" s="1">
        <v>32700</v>
      </c>
      <c r="D362" t="s">
        <v>9447</v>
      </c>
      <c r="E362" t="str">
        <f t="shared" si="15"/>
        <v>서울특별시</v>
      </c>
      <c r="F362" t="str">
        <f t="shared" si="16"/>
        <v xml:space="preserve">강남구 </v>
      </c>
      <c r="G362" t="str">
        <f t="shared" si="17"/>
        <v>역삼동</v>
      </c>
    </row>
    <row r="363" spans="1:9" x14ac:dyDescent="0.4">
      <c r="A363">
        <v>3220000</v>
      </c>
      <c r="B363" t="s">
        <v>9488</v>
      </c>
      <c r="C363" s="1">
        <v>39314</v>
      </c>
      <c r="D363" t="s">
        <v>9489</v>
      </c>
      <c r="E363" t="str">
        <f t="shared" si="15"/>
        <v>서울특별시</v>
      </c>
      <c r="F363" t="str">
        <f t="shared" si="16"/>
        <v xml:space="preserve">강남구 </v>
      </c>
      <c r="G363" t="str">
        <f t="shared" si="17"/>
        <v>역삼동</v>
      </c>
    </row>
    <row r="364" spans="1:9" x14ac:dyDescent="0.4">
      <c r="A364">
        <v>3220000</v>
      </c>
      <c r="B364" t="s">
        <v>9490</v>
      </c>
      <c r="C364" s="1">
        <v>39315</v>
      </c>
      <c r="D364" t="s">
        <v>9491</v>
      </c>
      <c r="E364" t="str">
        <f t="shared" si="15"/>
        <v>서울특별시</v>
      </c>
      <c r="F364" t="str">
        <f t="shared" si="16"/>
        <v xml:space="preserve">강남구 </v>
      </c>
      <c r="G364" t="str">
        <f t="shared" si="17"/>
        <v>역삼동</v>
      </c>
    </row>
    <row r="365" spans="1:9" x14ac:dyDescent="0.4">
      <c r="A365">
        <v>3220000</v>
      </c>
      <c r="B365" t="s">
        <v>10461</v>
      </c>
      <c r="C365" s="1">
        <v>36816</v>
      </c>
      <c r="D365" t="s">
        <v>10462</v>
      </c>
      <c r="E365" t="str">
        <f t="shared" si="15"/>
        <v>서울특별시</v>
      </c>
      <c r="F365" t="str">
        <f t="shared" si="16"/>
        <v xml:space="preserve">강남구 </v>
      </c>
      <c r="G365" t="str">
        <f t="shared" si="17"/>
        <v>역삼동</v>
      </c>
    </row>
    <row r="366" spans="1:9" x14ac:dyDescent="0.4">
      <c r="A366">
        <v>3220000</v>
      </c>
      <c r="B366" t="s">
        <v>10217</v>
      </c>
      <c r="C366" s="1">
        <v>36599</v>
      </c>
      <c r="D366" t="s">
        <v>10218</v>
      </c>
      <c r="E366" t="str">
        <f t="shared" si="15"/>
        <v>서울특별시</v>
      </c>
      <c r="F366" t="str">
        <f t="shared" si="16"/>
        <v xml:space="preserve">강남구 </v>
      </c>
      <c r="G366" t="str">
        <f t="shared" si="17"/>
        <v>역삼동</v>
      </c>
    </row>
    <row r="367" spans="1:9" x14ac:dyDescent="0.4">
      <c r="A367">
        <v>3220000</v>
      </c>
      <c r="B367" t="s">
        <v>10662</v>
      </c>
      <c r="C367" s="1">
        <v>44084</v>
      </c>
      <c r="D367" t="s">
        <v>10663</v>
      </c>
      <c r="E367" t="str">
        <f t="shared" si="15"/>
        <v>서울특별시</v>
      </c>
      <c r="F367" t="str">
        <f t="shared" si="16"/>
        <v xml:space="preserve">강남구 </v>
      </c>
      <c r="G367" t="str">
        <f t="shared" si="17"/>
        <v>역삼동</v>
      </c>
      <c r="H367" t="s">
        <v>10664</v>
      </c>
      <c r="I367">
        <v>6142</v>
      </c>
    </row>
    <row r="368" spans="1:9" x14ac:dyDescent="0.4">
      <c r="A368">
        <v>3220000</v>
      </c>
      <c r="B368" t="s">
        <v>10665</v>
      </c>
      <c r="C368" s="1">
        <v>44084</v>
      </c>
      <c r="D368" t="s">
        <v>10663</v>
      </c>
      <c r="E368" t="str">
        <f t="shared" si="15"/>
        <v>서울특별시</v>
      </c>
      <c r="F368" t="str">
        <f t="shared" si="16"/>
        <v xml:space="preserve">강남구 </v>
      </c>
      <c r="G368" t="str">
        <f t="shared" si="17"/>
        <v>역삼동</v>
      </c>
      <c r="H368" t="s">
        <v>10666</v>
      </c>
      <c r="I368">
        <v>6142</v>
      </c>
    </row>
    <row r="369" spans="1:9" x14ac:dyDescent="0.4">
      <c r="A369">
        <v>3220000</v>
      </c>
      <c r="B369" t="s">
        <v>10539</v>
      </c>
      <c r="C369" s="1">
        <v>31475</v>
      </c>
      <c r="D369" t="s">
        <v>10540</v>
      </c>
      <c r="E369" t="str">
        <f t="shared" si="15"/>
        <v>서울특별시</v>
      </c>
      <c r="F369" t="str">
        <f t="shared" si="16"/>
        <v xml:space="preserve">강남구 </v>
      </c>
      <c r="G369" t="str">
        <f t="shared" si="17"/>
        <v>역삼동</v>
      </c>
      <c r="H369" t="s">
        <v>10541</v>
      </c>
      <c r="I369">
        <v>6142</v>
      </c>
    </row>
    <row r="370" spans="1:9" x14ac:dyDescent="0.4">
      <c r="A370">
        <v>3220000</v>
      </c>
      <c r="B370" t="s">
        <v>9638</v>
      </c>
      <c r="C370" s="1">
        <v>36676</v>
      </c>
      <c r="D370" t="s">
        <v>9639</v>
      </c>
      <c r="E370" t="str">
        <f t="shared" si="15"/>
        <v>서울특별시</v>
      </c>
      <c r="F370" t="str">
        <f t="shared" si="16"/>
        <v xml:space="preserve">강남구 </v>
      </c>
      <c r="G370" t="str">
        <f t="shared" si="17"/>
        <v>역삼동</v>
      </c>
      <c r="H370" t="s">
        <v>9640</v>
      </c>
      <c r="I370">
        <v>6142</v>
      </c>
    </row>
    <row r="371" spans="1:9" x14ac:dyDescent="0.4">
      <c r="A371">
        <v>3220000</v>
      </c>
      <c r="B371" t="s">
        <v>10059</v>
      </c>
      <c r="C371" s="1">
        <v>33476</v>
      </c>
      <c r="D371" t="s">
        <v>10060</v>
      </c>
      <c r="E371" t="str">
        <f t="shared" si="15"/>
        <v>서울특별시</v>
      </c>
      <c r="F371" t="str">
        <f t="shared" si="16"/>
        <v xml:space="preserve">강남구 </v>
      </c>
      <c r="G371" t="str">
        <f t="shared" si="17"/>
        <v>역삼동</v>
      </c>
    </row>
    <row r="372" spans="1:9" x14ac:dyDescent="0.4">
      <c r="A372">
        <v>3220000</v>
      </c>
      <c r="B372" t="s">
        <v>9992</v>
      </c>
      <c r="C372" s="1">
        <v>41759</v>
      </c>
      <c r="D372" t="s">
        <v>9993</v>
      </c>
      <c r="E372" t="str">
        <f t="shared" si="15"/>
        <v>서울특별시</v>
      </c>
      <c r="F372" t="str">
        <f t="shared" si="16"/>
        <v xml:space="preserve">강남구 </v>
      </c>
      <c r="G372" t="str">
        <f t="shared" si="17"/>
        <v>역삼동</v>
      </c>
      <c r="H372" t="s">
        <v>9994</v>
      </c>
      <c r="I372">
        <v>6142</v>
      </c>
    </row>
    <row r="373" spans="1:9" x14ac:dyDescent="0.4">
      <c r="A373">
        <v>3220000</v>
      </c>
      <c r="B373" t="s">
        <v>9540</v>
      </c>
      <c r="C373" s="1">
        <v>36395</v>
      </c>
      <c r="D373" t="s">
        <v>9541</v>
      </c>
      <c r="E373" t="str">
        <f t="shared" si="15"/>
        <v>서울특별시</v>
      </c>
      <c r="F373" t="str">
        <f t="shared" si="16"/>
        <v xml:space="preserve">강남구 </v>
      </c>
      <c r="G373" t="str">
        <f t="shared" si="17"/>
        <v>역삼동</v>
      </c>
      <c r="H373" t="s">
        <v>9542</v>
      </c>
      <c r="I373">
        <v>6141</v>
      </c>
    </row>
    <row r="374" spans="1:9" x14ac:dyDescent="0.4">
      <c r="A374">
        <v>3220000</v>
      </c>
      <c r="B374" t="s">
        <v>9644</v>
      </c>
      <c r="C374" s="1">
        <v>36696</v>
      </c>
      <c r="D374" t="s">
        <v>9645</v>
      </c>
      <c r="E374" t="str">
        <f t="shared" si="15"/>
        <v>서울특별시</v>
      </c>
      <c r="F374" t="str">
        <f t="shared" si="16"/>
        <v xml:space="preserve">강남구 </v>
      </c>
      <c r="G374" t="str">
        <f t="shared" si="17"/>
        <v>역삼동</v>
      </c>
    </row>
    <row r="375" spans="1:9" x14ac:dyDescent="0.4">
      <c r="A375">
        <v>3220000</v>
      </c>
      <c r="B375" t="s">
        <v>10553</v>
      </c>
      <c r="C375" s="1">
        <v>39757</v>
      </c>
      <c r="D375" t="s">
        <v>10554</v>
      </c>
      <c r="E375" t="str">
        <f t="shared" si="15"/>
        <v>서울특별시</v>
      </c>
      <c r="F375" t="str">
        <f t="shared" si="16"/>
        <v xml:space="preserve">강남구 </v>
      </c>
      <c r="G375" t="str">
        <f t="shared" si="17"/>
        <v>역삼동</v>
      </c>
    </row>
    <row r="376" spans="1:9" x14ac:dyDescent="0.4">
      <c r="A376">
        <v>3220000</v>
      </c>
      <c r="B376" t="s">
        <v>10603</v>
      </c>
      <c r="C376" s="1">
        <v>40161</v>
      </c>
      <c r="D376" t="s">
        <v>10554</v>
      </c>
      <c r="E376" t="str">
        <f t="shared" si="15"/>
        <v>서울특별시</v>
      </c>
      <c r="F376" t="str">
        <f t="shared" si="16"/>
        <v xml:space="preserve">강남구 </v>
      </c>
      <c r="G376" t="str">
        <f t="shared" si="17"/>
        <v>역삼동</v>
      </c>
      <c r="H376" t="s">
        <v>10604</v>
      </c>
      <c r="I376">
        <v>6141</v>
      </c>
    </row>
    <row r="377" spans="1:9" x14ac:dyDescent="0.4">
      <c r="A377">
        <v>3220000</v>
      </c>
      <c r="B377" t="s">
        <v>10721</v>
      </c>
      <c r="C377" s="1">
        <v>31833</v>
      </c>
      <c r="D377" t="s">
        <v>10722</v>
      </c>
      <c r="E377" t="str">
        <f t="shared" si="15"/>
        <v>서울특별시</v>
      </c>
      <c r="F377" t="str">
        <f t="shared" si="16"/>
        <v xml:space="preserve">강남구 </v>
      </c>
      <c r="G377" t="str">
        <f t="shared" si="17"/>
        <v>역삼동</v>
      </c>
      <c r="H377" t="s">
        <v>10723</v>
      </c>
      <c r="I377">
        <v>6141</v>
      </c>
    </row>
    <row r="378" spans="1:9" x14ac:dyDescent="0.4">
      <c r="A378">
        <v>3220000</v>
      </c>
      <c r="B378" t="s">
        <v>10927</v>
      </c>
      <c r="C378" s="1">
        <v>38279</v>
      </c>
      <c r="D378" t="s">
        <v>10928</v>
      </c>
      <c r="E378" t="str">
        <f t="shared" si="15"/>
        <v>서울특별시</v>
      </c>
      <c r="F378" t="str">
        <f t="shared" si="16"/>
        <v xml:space="preserve">강남구 </v>
      </c>
      <c r="G378" t="str">
        <f t="shared" si="17"/>
        <v>역삼동</v>
      </c>
      <c r="H378" t="s">
        <v>10929</v>
      </c>
      <c r="I378">
        <v>6141</v>
      </c>
    </row>
    <row r="379" spans="1:9" x14ac:dyDescent="0.4">
      <c r="A379">
        <v>3220000</v>
      </c>
      <c r="B379" t="s">
        <v>10440</v>
      </c>
      <c r="C379" s="1">
        <v>32301</v>
      </c>
      <c r="D379" t="s">
        <v>10441</v>
      </c>
      <c r="E379" t="str">
        <f t="shared" si="15"/>
        <v>서울특별시</v>
      </c>
      <c r="F379" t="str">
        <f t="shared" si="16"/>
        <v xml:space="preserve">강남구 </v>
      </c>
      <c r="G379" t="str">
        <f t="shared" si="17"/>
        <v>역삼동</v>
      </c>
    </row>
    <row r="380" spans="1:9" x14ac:dyDescent="0.4">
      <c r="A380">
        <v>3220000</v>
      </c>
      <c r="B380" t="s">
        <v>10232</v>
      </c>
      <c r="C380" s="1">
        <v>30480</v>
      </c>
      <c r="D380" t="s">
        <v>10233</v>
      </c>
      <c r="E380" t="str">
        <f t="shared" si="15"/>
        <v>서울특별시</v>
      </c>
      <c r="F380" t="str">
        <f t="shared" si="16"/>
        <v xml:space="preserve">강남구 </v>
      </c>
      <c r="G380" t="str">
        <f t="shared" si="17"/>
        <v>역삼동</v>
      </c>
      <c r="H380" t="s">
        <v>10234</v>
      </c>
      <c r="I380">
        <v>6141</v>
      </c>
    </row>
    <row r="381" spans="1:9" x14ac:dyDescent="0.4">
      <c r="A381">
        <v>3220000</v>
      </c>
      <c r="B381" t="s">
        <v>9824</v>
      </c>
      <c r="C381" s="1">
        <v>40823</v>
      </c>
      <c r="D381" t="s">
        <v>9825</v>
      </c>
      <c r="E381" t="str">
        <f t="shared" si="15"/>
        <v>서울특별시</v>
      </c>
      <c r="F381" t="str">
        <f t="shared" si="16"/>
        <v xml:space="preserve">강남구 </v>
      </c>
      <c r="G381" t="str">
        <f t="shared" si="17"/>
        <v>역삼동</v>
      </c>
      <c r="H381" t="s">
        <v>9826</v>
      </c>
      <c r="I381">
        <v>6141</v>
      </c>
    </row>
    <row r="382" spans="1:9" x14ac:dyDescent="0.4">
      <c r="A382">
        <v>3220000</v>
      </c>
      <c r="B382" t="s">
        <v>10957</v>
      </c>
      <c r="C382" s="1">
        <v>38351</v>
      </c>
      <c r="D382" t="s">
        <v>10958</v>
      </c>
      <c r="E382" t="str">
        <f t="shared" si="15"/>
        <v>서울특별시</v>
      </c>
      <c r="F382" t="str">
        <f t="shared" si="16"/>
        <v xml:space="preserve">강남구 </v>
      </c>
      <c r="G382" t="str">
        <f t="shared" si="17"/>
        <v>역삼동</v>
      </c>
      <c r="H382" t="s">
        <v>10959</v>
      </c>
      <c r="I382">
        <v>6141</v>
      </c>
    </row>
    <row r="383" spans="1:9" x14ac:dyDescent="0.4">
      <c r="A383">
        <v>3220000</v>
      </c>
      <c r="B383" t="s">
        <v>10611</v>
      </c>
      <c r="C383" s="1">
        <v>32625</v>
      </c>
      <c r="D383" t="s">
        <v>10612</v>
      </c>
      <c r="E383" t="str">
        <f t="shared" si="15"/>
        <v>서울특별시</v>
      </c>
      <c r="F383" t="str">
        <f t="shared" si="16"/>
        <v xml:space="preserve">강남구 </v>
      </c>
      <c r="G383" t="str">
        <f t="shared" si="17"/>
        <v>역삼동</v>
      </c>
    </row>
    <row r="384" spans="1:9" x14ac:dyDescent="0.4">
      <c r="A384">
        <v>3220000</v>
      </c>
      <c r="B384" t="s">
        <v>9742</v>
      </c>
      <c r="C384" s="1">
        <v>37271</v>
      </c>
      <c r="D384" t="s">
        <v>9743</v>
      </c>
      <c r="E384" t="str">
        <f t="shared" si="15"/>
        <v>서울특별시</v>
      </c>
      <c r="F384" t="str">
        <f t="shared" si="16"/>
        <v xml:space="preserve">강남구 </v>
      </c>
      <c r="G384" t="str">
        <f t="shared" si="17"/>
        <v>역삼동</v>
      </c>
      <c r="H384" t="s">
        <v>9744</v>
      </c>
      <c r="I384">
        <v>6141</v>
      </c>
    </row>
    <row r="385" spans="1:9" x14ac:dyDescent="0.4">
      <c r="A385">
        <v>3220000</v>
      </c>
      <c r="B385" t="s">
        <v>10670</v>
      </c>
      <c r="C385" s="1">
        <v>43445</v>
      </c>
      <c r="D385" t="s">
        <v>10671</v>
      </c>
      <c r="E385" t="str">
        <f t="shared" si="15"/>
        <v>서울특별시</v>
      </c>
      <c r="F385" t="str">
        <f t="shared" si="16"/>
        <v xml:space="preserve">강남구 </v>
      </c>
      <c r="G385" t="str">
        <f t="shared" si="17"/>
        <v>역삼동</v>
      </c>
      <c r="H385" t="s">
        <v>10672</v>
      </c>
      <c r="I385">
        <v>6141</v>
      </c>
    </row>
    <row r="386" spans="1:9" x14ac:dyDescent="0.4">
      <c r="A386">
        <v>3220000</v>
      </c>
      <c r="B386" t="s">
        <v>10739</v>
      </c>
      <c r="C386" s="1">
        <v>39463</v>
      </c>
      <c r="D386" t="s">
        <v>10740</v>
      </c>
      <c r="E386" t="str">
        <f t="shared" si="15"/>
        <v>서울특별시</v>
      </c>
      <c r="F386" t="str">
        <f t="shared" si="16"/>
        <v xml:space="preserve">강남구 </v>
      </c>
      <c r="G386" t="str">
        <f t="shared" si="17"/>
        <v>역삼동</v>
      </c>
      <c r="H386" t="s">
        <v>10741</v>
      </c>
      <c r="I386">
        <v>6141</v>
      </c>
    </row>
    <row r="387" spans="1:9" x14ac:dyDescent="0.4">
      <c r="A387">
        <v>3220000</v>
      </c>
      <c r="B387" t="s">
        <v>9903</v>
      </c>
      <c r="C387" s="1">
        <v>37686</v>
      </c>
      <c r="D387" t="s">
        <v>9904</v>
      </c>
      <c r="E387" t="str">
        <f t="shared" ref="E387:E450" si="18">LEFT(D387,5)</f>
        <v>서울특별시</v>
      </c>
      <c r="F387" t="str">
        <f t="shared" ref="F387:F450" si="19">MID(D387,7,4)</f>
        <v xml:space="preserve">강남구 </v>
      </c>
      <c r="G387" t="str">
        <f t="shared" ref="G387:G450" si="20">MID(SUBSTITUTE(D387," ",""),9,3)</f>
        <v>역삼동</v>
      </c>
      <c r="H387" t="s">
        <v>9905</v>
      </c>
    </row>
    <row r="388" spans="1:9" x14ac:dyDescent="0.4">
      <c r="A388">
        <v>3220000</v>
      </c>
      <c r="B388" t="s">
        <v>10510</v>
      </c>
      <c r="C388" s="1">
        <v>37686</v>
      </c>
      <c r="D388" t="s">
        <v>10511</v>
      </c>
      <c r="E388" t="str">
        <f t="shared" si="18"/>
        <v>서울특별시</v>
      </c>
      <c r="F388" t="str">
        <f t="shared" si="19"/>
        <v xml:space="preserve">강남구 </v>
      </c>
      <c r="G388" t="str">
        <f t="shared" si="20"/>
        <v>역삼동</v>
      </c>
      <c r="H388" t="s">
        <v>10512</v>
      </c>
    </row>
    <row r="389" spans="1:9" x14ac:dyDescent="0.4">
      <c r="A389">
        <v>3220000</v>
      </c>
      <c r="B389" t="s">
        <v>9890</v>
      </c>
      <c r="C389" s="1">
        <v>36442</v>
      </c>
      <c r="D389" t="s">
        <v>9891</v>
      </c>
      <c r="E389" t="str">
        <f t="shared" si="18"/>
        <v>서울특별시</v>
      </c>
      <c r="F389" t="str">
        <f t="shared" si="19"/>
        <v xml:space="preserve">강남구 </v>
      </c>
      <c r="G389" t="str">
        <f t="shared" si="20"/>
        <v>역삼동</v>
      </c>
      <c r="H389" t="s">
        <v>9892</v>
      </c>
    </row>
    <row r="390" spans="1:9" x14ac:dyDescent="0.4">
      <c r="A390">
        <v>3220000</v>
      </c>
      <c r="B390" t="s">
        <v>10247</v>
      </c>
      <c r="C390" s="1">
        <v>30516</v>
      </c>
      <c r="D390" t="s">
        <v>10248</v>
      </c>
      <c r="E390" t="str">
        <f t="shared" si="18"/>
        <v>서울특별시</v>
      </c>
      <c r="F390" t="str">
        <f t="shared" si="19"/>
        <v xml:space="preserve">강남구 </v>
      </c>
      <c r="G390" t="str">
        <f t="shared" si="20"/>
        <v>역삼동</v>
      </c>
      <c r="H390" t="s">
        <v>10249</v>
      </c>
      <c r="I390">
        <v>6141</v>
      </c>
    </row>
    <row r="391" spans="1:9" x14ac:dyDescent="0.4">
      <c r="A391">
        <v>3220000</v>
      </c>
      <c r="B391" t="s">
        <v>9909</v>
      </c>
      <c r="C391" s="1">
        <v>37123</v>
      </c>
      <c r="D391" t="s">
        <v>9910</v>
      </c>
      <c r="E391" t="str">
        <f t="shared" si="18"/>
        <v>서울특별시</v>
      </c>
      <c r="F391" t="str">
        <f t="shared" si="19"/>
        <v xml:space="preserve">강남구 </v>
      </c>
      <c r="G391" t="str">
        <f t="shared" si="20"/>
        <v>역삼동</v>
      </c>
      <c r="H391" t="s">
        <v>9911</v>
      </c>
      <c r="I391">
        <v>6141</v>
      </c>
    </row>
    <row r="392" spans="1:9" x14ac:dyDescent="0.4">
      <c r="A392">
        <v>3220000</v>
      </c>
      <c r="B392" t="s">
        <v>10954</v>
      </c>
      <c r="C392" s="1">
        <v>38344</v>
      </c>
      <c r="D392" t="s">
        <v>10955</v>
      </c>
      <c r="E392" t="str">
        <f t="shared" si="18"/>
        <v>서울특별시</v>
      </c>
      <c r="F392" t="str">
        <f t="shared" si="19"/>
        <v xml:space="preserve">강남구 </v>
      </c>
      <c r="G392" t="str">
        <f t="shared" si="20"/>
        <v>역삼동</v>
      </c>
      <c r="H392" t="s">
        <v>10956</v>
      </c>
    </row>
    <row r="393" spans="1:9" x14ac:dyDescent="0.4">
      <c r="A393">
        <v>3220000</v>
      </c>
      <c r="B393" t="s">
        <v>10909</v>
      </c>
      <c r="C393" s="1">
        <v>36833</v>
      </c>
      <c r="D393" t="s">
        <v>10910</v>
      </c>
      <c r="E393" t="str">
        <f t="shared" si="18"/>
        <v>서울특별시</v>
      </c>
      <c r="F393" t="str">
        <f t="shared" si="19"/>
        <v xml:space="preserve">강남구 </v>
      </c>
      <c r="G393" t="str">
        <f t="shared" si="20"/>
        <v>역삼동</v>
      </c>
      <c r="H393" t="s">
        <v>10911</v>
      </c>
      <c r="I393">
        <v>6141</v>
      </c>
    </row>
    <row r="394" spans="1:9" x14ac:dyDescent="0.4">
      <c r="A394">
        <v>3220000</v>
      </c>
      <c r="B394" t="s">
        <v>10150</v>
      </c>
      <c r="C394" s="1">
        <v>30299</v>
      </c>
      <c r="D394" t="s">
        <v>10151</v>
      </c>
      <c r="E394" t="str">
        <f t="shared" si="18"/>
        <v>서울특별시</v>
      </c>
      <c r="F394" t="str">
        <f t="shared" si="19"/>
        <v xml:space="preserve">강남구 </v>
      </c>
      <c r="G394" t="str">
        <f t="shared" si="20"/>
        <v>역삼동</v>
      </c>
    </row>
    <row r="395" spans="1:9" x14ac:dyDescent="0.4">
      <c r="A395">
        <v>3220000</v>
      </c>
      <c r="B395" t="s">
        <v>10918</v>
      </c>
      <c r="C395" s="1">
        <v>39521</v>
      </c>
      <c r="D395" t="s">
        <v>10919</v>
      </c>
      <c r="E395" t="str">
        <f t="shared" si="18"/>
        <v>서울특별시</v>
      </c>
      <c r="F395" t="str">
        <f t="shared" si="19"/>
        <v xml:space="preserve">강남구 </v>
      </c>
      <c r="G395" t="str">
        <f t="shared" si="20"/>
        <v>역삼동</v>
      </c>
      <c r="H395" t="s">
        <v>10920</v>
      </c>
      <c r="I395">
        <v>6141</v>
      </c>
    </row>
    <row r="396" spans="1:9" x14ac:dyDescent="0.4">
      <c r="A396">
        <v>3220000</v>
      </c>
      <c r="B396" t="s">
        <v>10113</v>
      </c>
      <c r="C396" s="1">
        <v>36149</v>
      </c>
      <c r="D396" t="s">
        <v>10114</v>
      </c>
      <c r="E396" t="str">
        <f t="shared" si="18"/>
        <v>서울특별시</v>
      </c>
      <c r="F396" t="str">
        <f t="shared" si="19"/>
        <v xml:space="preserve">강남구 </v>
      </c>
      <c r="G396" t="str">
        <f t="shared" si="20"/>
        <v>역삼동</v>
      </c>
    </row>
    <row r="397" spans="1:9" x14ac:dyDescent="0.4">
      <c r="A397">
        <v>3220000</v>
      </c>
      <c r="B397" t="s">
        <v>9601</v>
      </c>
      <c r="C397" s="1">
        <v>31330</v>
      </c>
      <c r="D397" t="s">
        <v>9602</v>
      </c>
      <c r="E397" t="str">
        <f t="shared" si="18"/>
        <v>서울특별시</v>
      </c>
      <c r="F397" t="str">
        <f t="shared" si="19"/>
        <v xml:space="preserve">강남구 </v>
      </c>
      <c r="G397" t="str">
        <f t="shared" si="20"/>
        <v>역삼동</v>
      </c>
    </row>
    <row r="398" spans="1:9" x14ac:dyDescent="0.4">
      <c r="A398">
        <v>3220000</v>
      </c>
      <c r="B398" t="s">
        <v>10616</v>
      </c>
      <c r="C398" s="1">
        <v>32685</v>
      </c>
      <c r="D398" t="s">
        <v>10617</v>
      </c>
      <c r="E398" t="str">
        <f t="shared" si="18"/>
        <v>서울특별시</v>
      </c>
      <c r="F398" t="str">
        <f t="shared" si="19"/>
        <v xml:space="preserve">강남구 </v>
      </c>
      <c r="G398" t="str">
        <f t="shared" si="20"/>
        <v>역삼동</v>
      </c>
      <c r="H398" t="s">
        <v>10618</v>
      </c>
      <c r="I398">
        <v>6141</v>
      </c>
    </row>
    <row r="399" spans="1:9" x14ac:dyDescent="0.4">
      <c r="A399">
        <v>3220000</v>
      </c>
      <c r="B399" t="s">
        <v>10867</v>
      </c>
      <c r="C399" s="1">
        <v>36515</v>
      </c>
      <c r="D399" t="s">
        <v>10868</v>
      </c>
      <c r="E399" t="str">
        <f t="shared" si="18"/>
        <v>서울특별시</v>
      </c>
      <c r="F399" t="str">
        <f t="shared" si="19"/>
        <v xml:space="preserve">강남구 </v>
      </c>
      <c r="G399" t="str">
        <f t="shared" si="20"/>
        <v>역삼동</v>
      </c>
      <c r="H399" t="s">
        <v>10869</v>
      </c>
      <c r="I399">
        <v>6141</v>
      </c>
    </row>
    <row r="400" spans="1:9" x14ac:dyDescent="0.4">
      <c r="A400">
        <v>3220000</v>
      </c>
      <c r="B400" t="s">
        <v>10198</v>
      </c>
      <c r="C400" s="1">
        <v>36668</v>
      </c>
      <c r="D400" t="s">
        <v>10199</v>
      </c>
      <c r="E400" t="str">
        <f t="shared" si="18"/>
        <v>서울특별시</v>
      </c>
      <c r="F400" t="str">
        <f t="shared" si="19"/>
        <v xml:space="preserve">강남구 </v>
      </c>
      <c r="G400" t="str">
        <f t="shared" si="20"/>
        <v>역삼동</v>
      </c>
      <c r="H400" t="s">
        <v>10200</v>
      </c>
      <c r="I400">
        <v>6141</v>
      </c>
    </row>
    <row r="401" spans="1:9" x14ac:dyDescent="0.4">
      <c r="A401">
        <v>3220000</v>
      </c>
      <c r="B401" t="s">
        <v>9694</v>
      </c>
      <c r="C401" s="1">
        <v>37427</v>
      </c>
      <c r="D401" t="s">
        <v>9695</v>
      </c>
      <c r="E401" t="str">
        <f t="shared" si="18"/>
        <v>서울특별시</v>
      </c>
      <c r="F401" t="str">
        <f t="shared" si="19"/>
        <v xml:space="preserve">강남구 </v>
      </c>
      <c r="G401" t="str">
        <f t="shared" si="20"/>
        <v>역삼동</v>
      </c>
    </row>
    <row r="402" spans="1:9" x14ac:dyDescent="0.4">
      <c r="A402">
        <v>3220000</v>
      </c>
      <c r="B402" t="s">
        <v>10576</v>
      </c>
      <c r="C402" s="1">
        <v>37796</v>
      </c>
      <c r="D402" t="s">
        <v>10577</v>
      </c>
      <c r="E402" t="str">
        <f t="shared" si="18"/>
        <v>서울특별시</v>
      </c>
      <c r="F402" t="str">
        <f t="shared" si="19"/>
        <v xml:space="preserve">강남구 </v>
      </c>
      <c r="G402" t="str">
        <f t="shared" si="20"/>
        <v>역삼동</v>
      </c>
    </row>
    <row r="403" spans="1:9" x14ac:dyDescent="0.4">
      <c r="A403">
        <v>3220000</v>
      </c>
      <c r="B403" t="s">
        <v>10096</v>
      </c>
      <c r="C403" s="1">
        <v>33810</v>
      </c>
      <c r="D403" t="s">
        <v>10097</v>
      </c>
      <c r="E403" t="str">
        <f t="shared" si="18"/>
        <v>서울특별시</v>
      </c>
      <c r="F403" t="str">
        <f t="shared" si="19"/>
        <v xml:space="preserve">강남구 </v>
      </c>
      <c r="G403" t="str">
        <f t="shared" si="20"/>
        <v>역삼동</v>
      </c>
    </row>
    <row r="404" spans="1:9" x14ac:dyDescent="0.4">
      <c r="A404">
        <v>3220000</v>
      </c>
      <c r="B404" t="s">
        <v>9704</v>
      </c>
      <c r="C404" s="1">
        <v>37008</v>
      </c>
      <c r="D404" t="s">
        <v>9705</v>
      </c>
      <c r="E404" t="str">
        <f t="shared" si="18"/>
        <v>서울특별시</v>
      </c>
      <c r="F404" t="str">
        <f t="shared" si="19"/>
        <v xml:space="preserve">강남구 </v>
      </c>
      <c r="G404" t="str">
        <f t="shared" si="20"/>
        <v>역삼동</v>
      </c>
    </row>
    <row r="405" spans="1:9" x14ac:dyDescent="0.4">
      <c r="A405">
        <v>3220000</v>
      </c>
      <c r="B405" t="s">
        <v>10508</v>
      </c>
      <c r="C405" s="1">
        <v>36825</v>
      </c>
      <c r="D405" t="s">
        <v>10509</v>
      </c>
      <c r="E405" t="str">
        <f t="shared" si="18"/>
        <v>서울특별시</v>
      </c>
      <c r="F405" t="str">
        <f t="shared" si="19"/>
        <v xml:space="preserve">강남구 </v>
      </c>
      <c r="G405" t="str">
        <f t="shared" si="20"/>
        <v>역삼동</v>
      </c>
    </row>
    <row r="406" spans="1:9" x14ac:dyDescent="0.4">
      <c r="A406">
        <v>3220000</v>
      </c>
      <c r="B406" t="s">
        <v>10568</v>
      </c>
      <c r="C406" s="1">
        <v>36516</v>
      </c>
      <c r="D406" t="s">
        <v>10569</v>
      </c>
      <c r="E406" t="str">
        <f t="shared" si="18"/>
        <v>서울특별시</v>
      </c>
      <c r="F406" t="str">
        <f t="shared" si="19"/>
        <v xml:space="preserve">강남구 </v>
      </c>
      <c r="G406" t="str">
        <f t="shared" si="20"/>
        <v>역삼동</v>
      </c>
    </row>
    <row r="407" spans="1:9" x14ac:dyDescent="0.4">
      <c r="A407">
        <v>3220000</v>
      </c>
      <c r="B407" t="s">
        <v>10627</v>
      </c>
      <c r="C407" s="1">
        <v>37152</v>
      </c>
      <c r="D407" t="s">
        <v>10628</v>
      </c>
      <c r="E407" t="str">
        <f t="shared" si="18"/>
        <v>서울특별시</v>
      </c>
      <c r="F407" t="str">
        <f t="shared" si="19"/>
        <v xml:space="preserve">강남구 </v>
      </c>
      <c r="G407" t="str">
        <f t="shared" si="20"/>
        <v>역삼동</v>
      </c>
      <c r="H407" t="s">
        <v>10629</v>
      </c>
      <c r="I407">
        <v>6144</v>
      </c>
    </row>
    <row r="408" spans="1:9" x14ac:dyDescent="0.4">
      <c r="A408">
        <v>3220000</v>
      </c>
      <c r="B408" t="s">
        <v>10276</v>
      </c>
      <c r="C408" s="1">
        <v>37131</v>
      </c>
      <c r="D408" t="s">
        <v>10277</v>
      </c>
      <c r="E408" t="str">
        <f t="shared" si="18"/>
        <v>서울특별시</v>
      </c>
      <c r="F408" t="str">
        <f t="shared" si="19"/>
        <v xml:space="preserve">강남구 </v>
      </c>
      <c r="G408" t="str">
        <f t="shared" si="20"/>
        <v>역삼동</v>
      </c>
      <c r="H408" t="s">
        <v>10278</v>
      </c>
      <c r="I408">
        <v>6144</v>
      </c>
    </row>
    <row r="409" spans="1:9" x14ac:dyDescent="0.4">
      <c r="A409">
        <v>3220000</v>
      </c>
      <c r="B409" t="s">
        <v>6</v>
      </c>
      <c r="C409" s="1">
        <v>36603</v>
      </c>
      <c r="D409" t="s">
        <v>7</v>
      </c>
      <c r="E409" t="str">
        <f t="shared" si="18"/>
        <v>서울특별시</v>
      </c>
      <c r="F409" t="str">
        <f t="shared" si="19"/>
        <v xml:space="preserve">강남구 </v>
      </c>
      <c r="G409" t="str">
        <f t="shared" si="20"/>
        <v>역삼동</v>
      </c>
      <c r="H409" t="s">
        <v>8</v>
      </c>
      <c r="I409">
        <v>6144</v>
      </c>
    </row>
    <row r="410" spans="1:9" x14ac:dyDescent="0.4">
      <c r="A410">
        <v>3220000</v>
      </c>
      <c r="B410" t="s">
        <v>10566</v>
      </c>
      <c r="C410" s="1">
        <v>36514</v>
      </c>
      <c r="D410" t="s">
        <v>10567</v>
      </c>
      <c r="E410" t="str">
        <f t="shared" si="18"/>
        <v>서울특별시</v>
      </c>
      <c r="F410" t="str">
        <f t="shared" si="19"/>
        <v xml:space="preserve">강남구 </v>
      </c>
      <c r="G410" t="str">
        <f t="shared" si="20"/>
        <v>역삼동</v>
      </c>
    </row>
    <row r="411" spans="1:9" x14ac:dyDescent="0.4">
      <c r="A411">
        <v>3220000</v>
      </c>
      <c r="B411" t="s">
        <v>10045</v>
      </c>
      <c r="C411" s="1">
        <v>28964</v>
      </c>
      <c r="D411" t="s">
        <v>10046</v>
      </c>
      <c r="E411" t="str">
        <f t="shared" si="18"/>
        <v>서울특별시</v>
      </c>
      <c r="F411" t="str">
        <f t="shared" si="19"/>
        <v xml:space="preserve">강남구 </v>
      </c>
      <c r="G411" t="str">
        <f t="shared" si="20"/>
        <v>역삼동</v>
      </c>
      <c r="H411" t="s">
        <v>10047</v>
      </c>
      <c r="I411">
        <v>6147</v>
      </c>
    </row>
    <row r="412" spans="1:9" x14ac:dyDescent="0.4">
      <c r="A412">
        <v>3220000</v>
      </c>
      <c r="B412" t="s">
        <v>10393</v>
      </c>
      <c r="C412" s="1">
        <v>36878</v>
      </c>
      <c r="D412" t="s">
        <v>10394</v>
      </c>
      <c r="E412" t="str">
        <f t="shared" si="18"/>
        <v>서울특별시</v>
      </c>
      <c r="F412" t="str">
        <f t="shared" si="19"/>
        <v xml:space="preserve">강남구 </v>
      </c>
      <c r="G412" t="str">
        <f t="shared" si="20"/>
        <v>역삼동</v>
      </c>
    </row>
    <row r="413" spans="1:9" x14ac:dyDescent="0.4">
      <c r="A413">
        <v>3220000</v>
      </c>
      <c r="B413" t="s">
        <v>10466</v>
      </c>
      <c r="C413" s="1">
        <v>36818</v>
      </c>
      <c r="D413" t="s">
        <v>10467</v>
      </c>
      <c r="E413" t="str">
        <f t="shared" si="18"/>
        <v>서울특별시</v>
      </c>
      <c r="F413" t="str">
        <f t="shared" si="19"/>
        <v xml:space="preserve">강남구 </v>
      </c>
      <c r="G413" t="str">
        <f t="shared" si="20"/>
        <v>역삼동</v>
      </c>
      <c r="H413" t="s">
        <v>10468</v>
      </c>
      <c r="I413">
        <v>6147</v>
      </c>
    </row>
    <row r="414" spans="1:9" x14ac:dyDescent="0.4">
      <c r="A414">
        <v>3220000</v>
      </c>
      <c r="B414" t="s">
        <v>10619</v>
      </c>
      <c r="C414" s="1">
        <v>32700</v>
      </c>
      <c r="D414" t="s">
        <v>10467</v>
      </c>
      <c r="E414" t="str">
        <f t="shared" si="18"/>
        <v>서울특별시</v>
      </c>
      <c r="F414" t="str">
        <f t="shared" si="19"/>
        <v xml:space="preserve">강남구 </v>
      </c>
      <c r="G414" t="str">
        <f t="shared" si="20"/>
        <v>역삼동</v>
      </c>
    </row>
    <row r="415" spans="1:9" x14ac:dyDescent="0.4">
      <c r="A415">
        <v>3220000</v>
      </c>
      <c r="B415" t="s">
        <v>10455</v>
      </c>
      <c r="C415" s="1">
        <v>36413</v>
      </c>
      <c r="D415" t="s">
        <v>10456</v>
      </c>
      <c r="E415" t="str">
        <f t="shared" si="18"/>
        <v>서울특별시</v>
      </c>
      <c r="F415" t="str">
        <f t="shared" si="19"/>
        <v xml:space="preserve">강남구 </v>
      </c>
      <c r="G415" t="str">
        <f t="shared" si="20"/>
        <v>역삼동</v>
      </c>
    </row>
    <row r="416" spans="1:9" x14ac:dyDescent="0.4">
      <c r="A416">
        <v>3220000</v>
      </c>
      <c r="B416" t="s">
        <v>72</v>
      </c>
      <c r="C416" s="1">
        <v>42614</v>
      </c>
      <c r="D416" t="s">
        <v>73</v>
      </c>
      <c r="E416" t="str">
        <f t="shared" si="18"/>
        <v>서울특별시</v>
      </c>
      <c r="F416" t="str">
        <f t="shared" si="19"/>
        <v xml:space="preserve">강남구 </v>
      </c>
      <c r="G416" t="str">
        <f t="shared" si="20"/>
        <v>역삼동</v>
      </c>
      <c r="H416" t="s">
        <v>74</v>
      </c>
      <c r="I416">
        <v>6152</v>
      </c>
    </row>
    <row r="417" spans="1:9" x14ac:dyDescent="0.4">
      <c r="A417">
        <v>3220000</v>
      </c>
      <c r="B417" t="s">
        <v>10825</v>
      </c>
      <c r="C417" s="1">
        <v>41443</v>
      </c>
      <c r="D417" t="s">
        <v>10826</v>
      </c>
      <c r="E417" t="str">
        <f t="shared" si="18"/>
        <v>서울특별시</v>
      </c>
      <c r="F417" t="str">
        <f t="shared" si="19"/>
        <v xml:space="preserve">강남구 </v>
      </c>
      <c r="G417" t="str">
        <f t="shared" si="20"/>
        <v>역삼동</v>
      </c>
      <c r="H417" t="s">
        <v>10827</v>
      </c>
      <c r="I417">
        <v>6152</v>
      </c>
    </row>
    <row r="418" spans="1:9" x14ac:dyDescent="0.4">
      <c r="A418">
        <v>3220000</v>
      </c>
      <c r="B418" t="s">
        <v>9949</v>
      </c>
      <c r="C418" s="1">
        <v>40052</v>
      </c>
      <c r="D418" t="s">
        <v>9950</v>
      </c>
      <c r="E418" t="str">
        <f t="shared" si="18"/>
        <v>서울특별시</v>
      </c>
      <c r="F418" t="str">
        <f t="shared" si="19"/>
        <v xml:space="preserve">강남구 </v>
      </c>
      <c r="G418" t="str">
        <f t="shared" si="20"/>
        <v>역삼동</v>
      </c>
      <c r="H418" t="s">
        <v>9951</v>
      </c>
      <c r="I418">
        <v>6152</v>
      </c>
    </row>
    <row r="419" spans="1:9" x14ac:dyDescent="0.4">
      <c r="A419">
        <v>3220000</v>
      </c>
      <c r="B419" t="s">
        <v>10991</v>
      </c>
      <c r="C419" s="1">
        <v>30877</v>
      </c>
      <c r="D419" t="s">
        <v>10992</v>
      </c>
      <c r="E419" t="str">
        <f t="shared" si="18"/>
        <v>서울특별시</v>
      </c>
      <c r="F419" t="str">
        <f t="shared" si="19"/>
        <v xml:space="preserve">강남구 </v>
      </c>
      <c r="G419" t="str">
        <f t="shared" si="20"/>
        <v>역삼동</v>
      </c>
      <c r="H419" t="s">
        <v>10993</v>
      </c>
      <c r="I419">
        <v>6151</v>
      </c>
    </row>
    <row r="420" spans="1:9" x14ac:dyDescent="0.4">
      <c r="A420">
        <v>3220000</v>
      </c>
      <c r="B420" t="s">
        <v>10284</v>
      </c>
      <c r="C420" s="1">
        <v>37149</v>
      </c>
      <c r="D420" t="s">
        <v>10285</v>
      </c>
      <c r="E420" t="str">
        <f t="shared" si="18"/>
        <v>서울특별시</v>
      </c>
      <c r="F420" t="str">
        <f t="shared" si="19"/>
        <v xml:space="preserve">강남구 </v>
      </c>
      <c r="G420" t="str">
        <f t="shared" si="20"/>
        <v>역삼동</v>
      </c>
      <c r="H420" t="s">
        <v>10286</v>
      </c>
      <c r="I420">
        <v>6151</v>
      </c>
    </row>
    <row r="421" spans="1:9" x14ac:dyDescent="0.4">
      <c r="A421">
        <v>3220000</v>
      </c>
      <c r="B421" t="s">
        <v>9808</v>
      </c>
      <c r="C421" s="1">
        <v>36320</v>
      </c>
      <c r="D421" t="s">
        <v>9809</v>
      </c>
      <c r="E421" t="str">
        <f t="shared" si="18"/>
        <v>서울특별시</v>
      </c>
      <c r="F421" t="str">
        <f t="shared" si="19"/>
        <v xml:space="preserve">강남구 </v>
      </c>
      <c r="G421" t="str">
        <f t="shared" si="20"/>
        <v>역삼동</v>
      </c>
    </row>
    <row r="422" spans="1:9" x14ac:dyDescent="0.4">
      <c r="A422">
        <v>3220000</v>
      </c>
      <c r="B422" t="s">
        <v>117</v>
      </c>
      <c r="C422" s="1">
        <v>43763</v>
      </c>
      <c r="D422" t="s">
        <v>118</v>
      </c>
      <c r="E422" t="str">
        <f t="shared" si="18"/>
        <v>서울특별시</v>
      </c>
      <c r="F422" t="str">
        <f t="shared" si="19"/>
        <v xml:space="preserve">강남구 </v>
      </c>
      <c r="G422" t="str">
        <f t="shared" si="20"/>
        <v>역삼동</v>
      </c>
      <c r="H422" t="s">
        <v>119</v>
      </c>
      <c r="I422">
        <v>6151</v>
      </c>
    </row>
    <row r="423" spans="1:9" x14ac:dyDescent="0.4">
      <c r="A423">
        <v>3220000</v>
      </c>
      <c r="B423" t="s">
        <v>10802</v>
      </c>
      <c r="C423" s="1">
        <v>32762</v>
      </c>
      <c r="D423" t="s">
        <v>10803</v>
      </c>
      <c r="E423" t="str">
        <f t="shared" si="18"/>
        <v>서울특별시</v>
      </c>
      <c r="F423" t="str">
        <f t="shared" si="19"/>
        <v xml:space="preserve">강남구 </v>
      </c>
      <c r="G423" t="str">
        <f t="shared" si="20"/>
        <v>역삼동</v>
      </c>
      <c r="H423" t="s">
        <v>10804</v>
      </c>
      <c r="I423">
        <v>6151</v>
      </c>
    </row>
    <row r="424" spans="1:9" x14ac:dyDescent="0.4">
      <c r="A424">
        <v>3220000</v>
      </c>
      <c r="B424" t="s">
        <v>9898</v>
      </c>
      <c r="C424" s="1">
        <v>36447</v>
      </c>
      <c r="D424" t="s">
        <v>9899</v>
      </c>
      <c r="E424" t="str">
        <f t="shared" si="18"/>
        <v>서울특별시</v>
      </c>
      <c r="F424" t="str">
        <f t="shared" si="19"/>
        <v xml:space="preserve">강남구 </v>
      </c>
      <c r="G424" t="str">
        <f t="shared" si="20"/>
        <v>역삼동</v>
      </c>
      <c r="H424" t="s">
        <v>9900</v>
      </c>
      <c r="I424">
        <v>6151</v>
      </c>
    </row>
    <row r="425" spans="1:9" x14ac:dyDescent="0.4">
      <c r="A425">
        <v>3220000</v>
      </c>
      <c r="B425" t="s">
        <v>10852</v>
      </c>
      <c r="C425" s="1">
        <v>36813</v>
      </c>
      <c r="D425" t="s">
        <v>10853</v>
      </c>
      <c r="E425" t="str">
        <f t="shared" si="18"/>
        <v>서울특별시</v>
      </c>
      <c r="F425" t="str">
        <f t="shared" si="19"/>
        <v xml:space="preserve">강남구 </v>
      </c>
      <c r="G425" t="str">
        <f t="shared" si="20"/>
        <v>역삼동</v>
      </c>
      <c r="H425" t="s">
        <v>10854</v>
      </c>
      <c r="I425">
        <v>6151</v>
      </c>
    </row>
    <row r="426" spans="1:9" x14ac:dyDescent="0.4">
      <c r="A426">
        <v>3220000</v>
      </c>
      <c r="B426" t="s">
        <v>9978</v>
      </c>
      <c r="C426" s="1">
        <v>30784</v>
      </c>
      <c r="D426" t="s">
        <v>9979</v>
      </c>
      <c r="E426" t="str">
        <f t="shared" si="18"/>
        <v>서울특별시</v>
      </c>
      <c r="F426" t="str">
        <f t="shared" si="19"/>
        <v xml:space="preserve">강남구 </v>
      </c>
      <c r="G426" t="str">
        <f t="shared" si="20"/>
        <v>역삼동</v>
      </c>
    </row>
    <row r="427" spans="1:9" x14ac:dyDescent="0.4">
      <c r="A427">
        <v>3220000</v>
      </c>
      <c r="B427" t="s">
        <v>10003</v>
      </c>
      <c r="C427" s="1">
        <v>31399</v>
      </c>
      <c r="D427" t="s">
        <v>10004</v>
      </c>
      <c r="E427" t="str">
        <f t="shared" si="18"/>
        <v>서울특별시</v>
      </c>
      <c r="F427" t="str">
        <f t="shared" si="19"/>
        <v xml:space="preserve">강남구 </v>
      </c>
      <c r="G427" t="str">
        <f t="shared" si="20"/>
        <v>역삼동</v>
      </c>
    </row>
    <row r="428" spans="1:9" x14ac:dyDescent="0.4">
      <c r="A428">
        <v>3220000</v>
      </c>
      <c r="B428" t="s">
        <v>9507</v>
      </c>
      <c r="C428" s="1">
        <v>36340</v>
      </c>
      <c r="D428" t="s">
        <v>9508</v>
      </c>
      <c r="E428" t="str">
        <f t="shared" si="18"/>
        <v>서울특별시</v>
      </c>
      <c r="F428" t="str">
        <f t="shared" si="19"/>
        <v xml:space="preserve">강남구 </v>
      </c>
      <c r="G428" t="str">
        <f t="shared" si="20"/>
        <v>역삼동</v>
      </c>
    </row>
    <row r="429" spans="1:9" x14ac:dyDescent="0.4">
      <c r="A429">
        <v>3220000</v>
      </c>
      <c r="B429" t="s">
        <v>10132</v>
      </c>
      <c r="C429" s="1">
        <v>36658</v>
      </c>
      <c r="D429" t="s">
        <v>9508</v>
      </c>
      <c r="E429" t="str">
        <f t="shared" si="18"/>
        <v>서울특별시</v>
      </c>
      <c r="F429" t="str">
        <f t="shared" si="19"/>
        <v xml:space="preserve">강남구 </v>
      </c>
      <c r="G429" t="str">
        <f t="shared" si="20"/>
        <v>역삼동</v>
      </c>
    </row>
    <row r="430" spans="1:9" x14ac:dyDescent="0.4">
      <c r="A430">
        <v>3220000</v>
      </c>
      <c r="B430" t="s">
        <v>10403</v>
      </c>
      <c r="C430" s="1">
        <v>37057</v>
      </c>
      <c r="D430" t="s">
        <v>9508</v>
      </c>
      <c r="E430" t="str">
        <f t="shared" si="18"/>
        <v>서울특별시</v>
      </c>
      <c r="F430" t="str">
        <f t="shared" si="19"/>
        <v xml:space="preserve">강남구 </v>
      </c>
      <c r="G430" t="str">
        <f t="shared" si="20"/>
        <v>역삼동</v>
      </c>
    </row>
    <row r="431" spans="1:9" x14ac:dyDescent="0.4">
      <c r="A431">
        <v>3220000</v>
      </c>
      <c r="B431" t="s">
        <v>10215</v>
      </c>
      <c r="C431" s="1">
        <v>36598</v>
      </c>
      <c r="D431" t="s">
        <v>10216</v>
      </c>
      <c r="E431" t="str">
        <f t="shared" si="18"/>
        <v>서울특별시</v>
      </c>
      <c r="F431" t="str">
        <f t="shared" si="19"/>
        <v xml:space="preserve">강남구 </v>
      </c>
      <c r="G431" t="str">
        <f t="shared" si="20"/>
        <v>역삼동</v>
      </c>
    </row>
    <row r="432" spans="1:9" x14ac:dyDescent="0.4">
      <c r="A432">
        <v>3220000</v>
      </c>
      <c r="B432" t="s">
        <v>10419</v>
      </c>
      <c r="C432" s="1">
        <v>30351</v>
      </c>
      <c r="D432" t="s">
        <v>10216</v>
      </c>
      <c r="E432" t="str">
        <f t="shared" si="18"/>
        <v>서울특별시</v>
      </c>
      <c r="F432" t="str">
        <f t="shared" si="19"/>
        <v xml:space="preserve">강남구 </v>
      </c>
      <c r="G432" t="str">
        <f t="shared" si="20"/>
        <v>역삼동</v>
      </c>
    </row>
    <row r="433" spans="1:9" x14ac:dyDescent="0.4">
      <c r="A433">
        <v>3220000</v>
      </c>
      <c r="B433" t="s">
        <v>10837</v>
      </c>
      <c r="C433" s="1">
        <v>37782</v>
      </c>
      <c r="D433" t="s">
        <v>10838</v>
      </c>
      <c r="E433" t="str">
        <f t="shared" si="18"/>
        <v>서울특별시</v>
      </c>
      <c r="F433" t="str">
        <f t="shared" si="19"/>
        <v xml:space="preserve">강남구 </v>
      </c>
      <c r="G433" t="str">
        <f t="shared" si="20"/>
        <v>역삼동</v>
      </c>
      <c r="H433" t="s">
        <v>10839</v>
      </c>
      <c r="I433">
        <v>6151</v>
      </c>
    </row>
    <row r="434" spans="1:9" x14ac:dyDescent="0.4">
      <c r="A434">
        <v>3220000</v>
      </c>
      <c r="B434" t="s">
        <v>10164</v>
      </c>
      <c r="C434" s="1">
        <v>30933</v>
      </c>
      <c r="D434" t="s">
        <v>10165</v>
      </c>
      <c r="E434" t="str">
        <f t="shared" si="18"/>
        <v>서울특별시</v>
      </c>
      <c r="F434" t="str">
        <f t="shared" si="19"/>
        <v xml:space="preserve">강남구 </v>
      </c>
      <c r="G434" t="str">
        <f t="shared" si="20"/>
        <v>역삼동</v>
      </c>
    </row>
    <row r="435" spans="1:9" x14ac:dyDescent="0.4">
      <c r="A435">
        <v>3220000</v>
      </c>
      <c r="B435" t="s">
        <v>9581</v>
      </c>
      <c r="C435" s="1">
        <v>32833</v>
      </c>
      <c r="D435" t="s">
        <v>9582</v>
      </c>
      <c r="E435" t="str">
        <f t="shared" si="18"/>
        <v>서울특별시</v>
      </c>
      <c r="F435" t="str">
        <f t="shared" si="19"/>
        <v xml:space="preserve">강남구 </v>
      </c>
      <c r="G435" t="str">
        <f t="shared" si="20"/>
        <v>역삼동</v>
      </c>
    </row>
    <row r="436" spans="1:9" x14ac:dyDescent="0.4">
      <c r="A436">
        <v>3220000</v>
      </c>
      <c r="B436" t="s">
        <v>9517</v>
      </c>
      <c r="C436" s="1">
        <v>36458</v>
      </c>
      <c r="D436" t="s">
        <v>9518</v>
      </c>
      <c r="E436" t="str">
        <f t="shared" si="18"/>
        <v>서울특별시</v>
      </c>
      <c r="F436" t="str">
        <f t="shared" si="19"/>
        <v xml:space="preserve">강남구 </v>
      </c>
      <c r="G436" t="str">
        <f t="shared" si="20"/>
        <v>역삼동</v>
      </c>
      <c r="H436" t="s">
        <v>9519</v>
      </c>
      <c r="I436">
        <v>6151</v>
      </c>
    </row>
    <row r="437" spans="1:9" x14ac:dyDescent="0.4">
      <c r="A437">
        <v>3220000</v>
      </c>
      <c r="B437" t="s">
        <v>9708</v>
      </c>
      <c r="C437" s="1">
        <v>36432</v>
      </c>
      <c r="D437" t="s">
        <v>9709</v>
      </c>
      <c r="E437" t="str">
        <f t="shared" si="18"/>
        <v>서울특별시</v>
      </c>
      <c r="F437" t="str">
        <f t="shared" si="19"/>
        <v xml:space="preserve">강남구 </v>
      </c>
      <c r="G437" t="str">
        <f t="shared" si="20"/>
        <v>역삼동</v>
      </c>
    </row>
    <row r="438" spans="1:9" x14ac:dyDescent="0.4">
      <c r="A438">
        <v>3220000</v>
      </c>
      <c r="B438" t="s">
        <v>9538</v>
      </c>
      <c r="C438" s="1">
        <v>36384</v>
      </c>
      <c r="D438" t="s">
        <v>9539</v>
      </c>
      <c r="E438" t="str">
        <f t="shared" si="18"/>
        <v>서울특별시</v>
      </c>
      <c r="F438" t="str">
        <f t="shared" si="19"/>
        <v xml:space="preserve">강남구 </v>
      </c>
      <c r="G438" t="str">
        <f t="shared" si="20"/>
        <v>역삼동</v>
      </c>
    </row>
    <row r="439" spans="1:9" x14ac:dyDescent="0.4">
      <c r="A439">
        <v>3220000</v>
      </c>
      <c r="B439" t="s">
        <v>10630</v>
      </c>
      <c r="C439" s="1">
        <v>32944</v>
      </c>
      <c r="D439" t="s">
        <v>10631</v>
      </c>
      <c r="E439" t="str">
        <f t="shared" si="18"/>
        <v>서울특별시</v>
      </c>
      <c r="F439" t="str">
        <f t="shared" si="19"/>
        <v xml:space="preserve">강남구 </v>
      </c>
      <c r="G439" t="str">
        <f t="shared" si="20"/>
        <v>역삼동</v>
      </c>
      <c r="H439" t="s">
        <v>10632</v>
      </c>
      <c r="I439">
        <v>6150</v>
      </c>
    </row>
    <row r="440" spans="1:9" x14ac:dyDescent="0.4">
      <c r="A440">
        <v>3220000</v>
      </c>
      <c r="B440" t="s">
        <v>10727</v>
      </c>
      <c r="C440" s="1">
        <v>36444</v>
      </c>
      <c r="D440" t="s">
        <v>10728</v>
      </c>
      <c r="E440" t="str">
        <f t="shared" si="18"/>
        <v>서울특별시</v>
      </c>
      <c r="F440" t="str">
        <f t="shared" si="19"/>
        <v xml:space="preserve">강남구 </v>
      </c>
      <c r="G440" t="str">
        <f t="shared" si="20"/>
        <v>역삼동</v>
      </c>
      <c r="H440" t="s">
        <v>10729</v>
      </c>
      <c r="I440">
        <v>6150</v>
      </c>
    </row>
    <row r="441" spans="1:9" x14ac:dyDescent="0.4">
      <c r="A441">
        <v>3220000</v>
      </c>
      <c r="B441" t="s">
        <v>10345</v>
      </c>
      <c r="C441" s="1">
        <v>32504</v>
      </c>
      <c r="D441" t="s">
        <v>10346</v>
      </c>
      <c r="E441" t="str">
        <f t="shared" si="18"/>
        <v>서울특별시</v>
      </c>
      <c r="F441" t="str">
        <f t="shared" si="19"/>
        <v xml:space="preserve">강남구 </v>
      </c>
      <c r="G441" t="str">
        <f t="shared" si="20"/>
        <v>역삼동</v>
      </c>
    </row>
    <row r="442" spans="1:9" x14ac:dyDescent="0.4">
      <c r="A442">
        <v>3220000</v>
      </c>
      <c r="B442" t="s">
        <v>10519</v>
      </c>
      <c r="C442" s="1">
        <v>37706</v>
      </c>
      <c r="D442" t="s">
        <v>10520</v>
      </c>
      <c r="E442" t="str">
        <f t="shared" si="18"/>
        <v>서울특별시</v>
      </c>
      <c r="F442" t="str">
        <f t="shared" si="19"/>
        <v xml:space="preserve">강남구 </v>
      </c>
      <c r="G442" t="str">
        <f t="shared" si="20"/>
        <v>역삼동</v>
      </c>
      <c r="H442" t="s">
        <v>10521</v>
      </c>
      <c r="I442">
        <v>6150</v>
      </c>
    </row>
    <row r="443" spans="1:9" x14ac:dyDescent="0.4">
      <c r="A443">
        <v>3220000</v>
      </c>
      <c r="B443" t="s">
        <v>9752</v>
      </c>
      <c r="C443" s="1">
        <v>31195</v>
      </c>
      <c r="D443" t="s">
        <v>9753</v>
      </c>
      <c r="E443" t="str">
        <f t="shared" si="18"/>
        <v>서울특별시</v>
      </c>
      <c r="F443" t="str">
        <f t="shared" si="19"/>
        <v xml:space="preserve">강남구 </v>
      </c>
      <c r="G443" t="str">
        <f t="shared" si="20"/>
        <v>역삼동</v>
      </c>
    </row>
    <row r="444" spans="1:9" x14ac:dyDescent="0.4">
      <c r="A444">
        <v>3220000</v>
      </c>
      <c r="B444" t="s">
        <v>10323</v>
      </c>
      <c r="C444" s="1">
        <v>31919</v>
      </c>
      <c r="D444" t="s">
        <v>10324</v>
      </c>
      <c r="E444" t="str">
        <f t="shared" si="18"/>
        <v>서울특별시</v>
      </c>
      <c r="F444" t="str">
        <f t="shared" si="19"/>
        <v xml:space="preserve">강남구 </v>
      </c>
      <c r="G444" t="str">
        <f t="shared" si="20"/>
        <v>역삼동</v>
      </c>
    </row>
    <row r="445" spans="1:9" x14ac:dyDescent="0.4">
      <c r="A445">
        <v>3220000</v>
      </c>
      <c r="B445" t="s">
        <v>10137</v>
      </c>
      <c r="C445" s="1">
        <v>30480</v>
      </c>
      <c r="D445" t="s">
        <v>10138</v>
      </c>
      <c r="E445" t="str">
        <f t="shared" si="18"/>
        <v>서울특별시</v>
      </c>
      <c r="F445" t="str">
        <f t="shared" si="19"/>
        <v xml:space="preserve">강남구 </v>
      </c>
      <c r="G445" t="str">
        <f t="shared" si="20"/>
        <v>역삼동</v>
      </c>
    </row>
    <row r="446" spans="1:9" x14ac:dyDescent="0.4">
      <c r="A446">
        <v>3220000</v>
      </c>
      <c r="B446" t="s">
        <v>10772</v>
      </c>
      <c r="C446" s="1">
        <v>37280</v>
      </c>
      <c r="D446" t="s">
        <v>10773</v>
      </c>
      <c r="E446" t="str">
        <f t="shared" si="18"/>
        <v>서울특별시</v>
      </c>
      <c r="F446" t="str">
        <f t="shared" si="19"/>
        <v xml:space="preserve">강남구 </v>
      </c>
      <c r="G446" t="str">
        <f t="shared" si="20"/>
        <v>역삼동</v>
      </c>
      <c r="H446" t="s">
        <v>10774</v>
      </c>
      <c r="I446">
        <v>6150</v>
      </c>
    </row>
    <row r="447" spans="1:9" x14ac:dyDescent="0.4">
      <c r="A447">
        <v>3220000</v>
      </c>
      <c r="B447" t="s">
        <v>9629</v>
      </c>
      <c r="C447" s="1">
        <v>32777</v>
      </c>
      <c r="D447" t="s">
        <v>9630</v>
      </c>
      <c r="E447" t="str">
        <f t="shared" si="18"/>
        <v>서울특별시</v>
      </c>
      <c r="F447" t="str">
        <f t="shared" si="19"/>
        <v xml:space="preserve">강남구 </v>
      </c>
      <c r="G447" t="str">
        <f t="shared" si="20"/>
        <v>역삼동</v>
      </c>
      <c r="H447" t="s">
        <v>9631</v>
      </c>
      <c r="I447">
        <v>6150</v>
      </c>
    </row>
    <row r="448" spans="1:9" x14ac:dyDescent="0.4">
      <c r="A448">
        <v>3220000</v>
      </c>
      <c r="B448" t="s">
        <v>10822</v>
      </c>
      <c r="C448" s="1">
        <v>36410</v>
      </c>
      <c r="D448" t="s">
        <v>10823</v>
      </c>
      <c r="E448" t="str">
        <f t="shared" si="18"/>
        <v>서울특별시</v>
      </c>
      <c r="F448" t="str">
        <f t="shared" si="19"/>
        <v xml:space="preserve">강남구 </v>
      </c>
      <c r="G448" t="str">
        <f t="shared" si="20"/>
        <v>역삼동</v>
      </c>
      <c r="H448" t="s">
        <v>10824</v>
      </c>
      <c r="I448">
        <v>6150</v>
      </c>
    </row>
    <row r="449" spans="1:9" x14ac:dyDescent="0.4">
      <c r="A449">
        <v>3220000</v>
      </c>
      <c r="B449" t="s">
        <v>9712</v>
      </c>
      <c r="C449" s="1">
        <v>32749</v>
      </c>
      <c r="D449" t="s">
        <v>9713</v>
      </c>
      <c r="E449" t="str">
        <f t="shared" si="18"/>
        <v>서울특별시</v>
      </c>
      <c r="F449" t="str">
        <f t="shared" si="19"/>
        <v xml:space="preserve">강남구 </v>
      </c>
      <c r="G449" t="str">
        <f t="shared" si="20"/>
        <v>역삼동</v>
      </c>
    </row>
    <row r="450" spans="1:9" x14ac:dyDescent="0.4">
      <c r="A450">
        <v>3220000</v>
      </c>
      <c r="B450" t="s">
        <v>10451</v>
      </c>
      <c r="C450" s="1">
        <v>32307</v>
      </c>
      <c r="D450" t="s">
        <v>10452</v>
      </c>
      <c r="E450" t="str">
        <f t="shared" si="18"/>
        <v>서울특별시</v>
      </c>
      <c r="F450" t="str">
        <f t="shared" si="19"/>
        <v xml:space="preserve">강남구 </v>
      </c>
      <c r="G450" t="str">
        <f t="shared" si="20"/>
        <v>역삼동</v>
      </c>
      <c r="H450" t="s">
        <v>10453</v>
      </c>
      <c r="I450">
        <v>6220</v>
      </c>
    </row>
    <row r="451" spans="1:9" x14ac:dyDescent="0.4">
      <c r="A451">
        <v>3220000</v>
      </c>
      <c r="B451" t="s">
        <v>10693</v>
      </c>
      <c r="C451" s="1">
        <v>33482</v>
      </c>
      <c r="D451" t="s">
        <v>10694</v>
      </c>
      <c r="E451" t="str">
        <f t="shared" ref="E451:E514" si="21">LEFT(D451,5)</f>
        <v>서울특별시</v>
      </c>
      <c r="F451" t="str">
        <f t="shared" ref="F451:F514" si="22">MID(D451,7,4)</f>
        <v xml:space="preserve">강남구 </v>
      </c>
      <c r="G451" t="str">
        <f t="shared" ref="G451:G514" si="23">MID(SUBSTITUTE(D451," ",""),9,3)</f>
        <v>역삼동</v>
      </c>
      <c r="H451" t="s">
        <v>10695</v>
      </c>
      <c r="I451">
        <v>6220</v>
      </c>
    </row>
    <row r="452" spans="1:9" x14ac:dyDescent="0.4">
      <c r="A452">
        <v>3220000</v>
      </c>
      <c r="B452" t="s">
        <v>10976</v>
      </c>
      <c r="C452" s="1">
        <v>38735</v>
      </c>
      <c r="D452" t="s">
        <v>10977</v>
      </c>
      <c r="E452" t="str">
        <f t="shared" si="21"/>
        <v>서울특별시</v>
      </c>
      <c r="F452" t="str">
        <f t="shared" si="22"/>
        <v xml:space="preserve">강남구 </v>
      </c>
      <c r="G452" t="str">
        <f t="shared" si="23"/>
        <v>역삼동</v>
      </c>
      <c r="H452" t="s">
        <v>10978</v>
      </c>
      <c r="I452">
        <v>6220</v>
      </c>
    </row>
    <row r="453" spans="1:9" x14ac:dyDescent="0.4">
      <c r="A453">
        <v>3220000</v>
      </c>
      <c r="B453" t="s">
        <v>10888</v>
      </c>
      <c r="C453" s="1">
        <v>40210</v>
      </c>
      <c r="D453" t="s">
        <v>10889</v>
      </c>
      <c r="E453" t="str">
        <f t="shared" si="21"/>
        <v>서울특별시</v>
      </c>
      <c r="F453" t="str">
        <f t="shared" si="22"/>
        <v xml:space="preserve">강남구 </v>
      </c>
      <c r="G453" t="str">
        <f t="shared" si="23"/>
        <v>역삼동</v>
      </c>
      <c r="H453" t="s">
        <v>10890</v>
      </c>
      <c r="I453">
        <v>6220</v>
      </c>
    </row>
    <row r="454" spans="1:9" x14ac:dyDescent="0.4">
      <c r="A454">
        <v>3220000</v>
      </c>
      <c r="B454" t="s">
        <v>10177</v>
      </c>
      <c r="C454" s="1">
        <v>38422</v>
      </c>
      <c r="D454" t="s">
        <v>10178</v>
      </c>
      <c r="E454" t="str">
        <f t="shared" si="21"/>
        <v>서울특별시</v>
      </c>
      <c r="F454" t="str">
        <f t="shared" si="22"/>
        <v xml:space="preserve">강남구 </v>
      </c>
      <c r="G454" t="str">
        <f t="shared" si="23"/>
        <v>역삼동</v>
      </c>
    </row>
    <row r="455" spans="1:9" x14ac:dyDescent="0.4">
      <c r="A455">
        <v>3220000</v>
      </c>
      <c r="B455" t="s">
        <v>9788</v>
      </c>
      <c r="C455" s="1">
        <v>36452</v>
      </c>
      <c r="D455" t="s">
        <v>9789</v>
      </c>
      <c r="E455" t="str">
        <f t="shared" si="21"/>
        <v>서울특별시</v>
      </c>
      <c r="F455" t="str">
        <f t="shared" si="22"/>
        <v xml:space="preserve">강남구 </v>
      </c>
      <c r="G455" t="str">
        <f t="shared" si="23"/>
        <v>역삼동</v>
      </c>
      <c r="H455" t="s">
        <v>9790</v>
      </c>
      <c r="I455">
        <v>6220</v>
      </c>
    </row>
    <row r="456" spans="1:9" x14ac:dyDescent="0.4">
      <c r="A456">
        <v>3220000</v>
      </c>
      <c r="B456" t="s">
        <v>9747</v>
      </c>
      <c r="C456" s="1">
        <v>41917</v>
      </c>
      <c r="D456" t="s">
        <v>9748</v>
      </c>
      <c r="E456" t="str">
        <f t="shared" si="21"/>
        <v>서울특별시</v>
      </c>
      <c r="F456" t="str">
        <f t="shared" si="22"/>
        <v xml:space="preserve">강남구 </v>
      </c>
      <c r="G456" t="str">
        <f t="shared" si="23"/>
        <v>역삼동</v>
      </c>
      <c r="H456" t="s">
        <v>9749</v>
      </c>
      <c r="I456">
        <v>6220</v>
      </c>
    </row>
    <row r="457" spans="1:9" x14ac:dyDescent="0.4">
      <c r="A457">
        <v>3220000</v>
      </c>
      <c r="B457" t="s">
        <v>10891</v>
      </c>
      <c r="C457" s="1">
        <v>40282</v>
      </c>
      <c r="D457" t="s">
        <v>10892</v>
      </c>
      <c r="E457" t="str">
        <f t="shared" si="21"/>
        <v>서울특별시</v>
      </c>
      <c r="F457" t="str">
        <f t="shared" si="22"/>
        <v xml:space="preserve">강남구 </v>
      </c>
      <c r="G457" t="str">
        <f t="shared" si="23"/>
        <v>역삼동</v>
      </c>
      <c r="H457" t="s">
        <v>10893</v>
      </c>
      <c r="I457">
        <v>6220</v>
      </c>
    </row>
    <row r="458" spans="1:9" x14ac:dyDescent="0.4">
      <c r="A458">
        <v>3220000</v>
      </c>
      <c r="B458" t="s">
        <v>9964</v>
      </c>
      <c r="C458" s="1">
        <v>38111</v>
      </c>
      <c r="D458" t="s">
        <v>9965</v>
      </c>
      <c r="E458" t="str">
        <f t="shared" si="21"/>
        <v>서울특별시</v>
      </c>
      <c r="F458" t="str">
        <f t="shared" si="22"/>
        <v xml:space="preserve">강남구 </v>
      </c>
      <c r="G458" t="str">
        <f t="shared" si="23"/>
        <v>역삼동</v>
      </c>
    </row>
    <row r="459" spans="1:9" x14ac:dyDescent="0.4">
      <c r="A459">
        <v>3220000</v>
      </c>
      <c r="B459" t="s">
        <v>10169</v>
      </c>
      <c r="C459" s="1">
        <v>31020</v>
      </c>
      <c r="D459" t="s">
        <v>10170</v>
      </c>
      <c r="E459" t="str">
        <f t="shared" si="21"/>
        <v>서울특별시</v>
      </c>
      <c r="F459" t="str">
        <f t="shared" si="22"/>
        <v xml:space="preserve">강남구 </v>
      </c>
      <c r="G459" t="str">
        <f t="shared" si="23"/>
        <v>역삼동</v>
      </c>
    </row>
    <row r="460" spans="1:9" x14ac:dyDescent="0.4">
      <c r="A460">
        <v>3220000</v>
      </c>
      <c r="B460" t="s">
        <v>10434</v>
      </c>
      <c r="C460" s="1">
        <v>36803</v>
      </c>
      <c r="D460" t="s">
        <v>10170</v>
      </c>
      <c r="E460" t="str">
        <f t="shared" si="21"/>
        <v>서울특별시</v>
      </c>
      <c r="F460" t="str">
        <f t="shared" si="22"/>
        <v xml:space="preserve">강남구 </v>
      </c>
      <c r="G460" t="str">
        <f t="shared" si="23"/>
        <v>역삼동</v>
      </c>
    </row>
    <row r="461" spans="1:9" x14ac:dyDescent="0.4">
      <c r="A461">
        <v>3220000</v>
      </c>
      <c r="B461" t="s">
        <v>9549</v>
      </c>
      <c r="C461" s="1">
        <v>39584</v>
      </c>
      <c r="D461" t="s">
        <v>9550</v>
      </c>
      <c r="E461" t="str">
        <f t="shared" si="21"/>
        <v>서울특별시</v>
      </c>
      <c r="F461" t="str">
        <f t="shared" si="22"/>
        <v xml:space="preserve">강남구 </v>
      </c>
      <c r="G461" t="str">
        <f t="shared" si="23"/>
        <v>역삼동</v>
      </c>
      <c r="H461" t="s">
        <v>9551</v>
      </c>
    </row>
    <row r="462" spans="1:9" x14ac:dyDescent="0.4">
      <c r="A462">
        <v>3220000</v>
      </c>
      <c r="B462" t="s">
        <v>9676</v>
      </c>
      <c r="C462" s="1">
        <v>32107</v>
      </c>
      <c r="D462" t="s">
        <v>9677</v>
      </c>
      <c r="E462" t="str">
        <f t="shared" si="21"/>
        <v>서울특별시</v>
      </c>
      <c r="F462" t="str">
        <f t="shared" si="22"/>
        <v xml:space="preserve">강남구 </v>
      </c>
      <c r="G462" t="str">
        <f t="shared" si="23"/>
        <v>역삼동</v>
      </c>
    </row>
    <row r="463" spans="1:9" x14ac:dyDescent="0.4">
      <c r="A463">
        <v>3220000</v>
      </c>
      <c r="B463" t="s">
        <v>10713</v>
      </c>
      <c r="C463" s="1">
        <v>31775</v>
      </c>
      <c r="D463" t="s">
        <v>10714</v>
      </c>
      <c r="E463" t="str">
        <f t="shared" si="21"/>
        <v>서울특별시</v>
      </c>
      <c r="F463" t="str">
        <f t="shared" si="22"/>
        <v xml:space="preserve">강남구 </v>
      </c>
      <c r="G463" t="str">
        <f t="shared" si="23"/>
        <v>역삼동</v>
      </c>
      <c r="H463" t="s">
        <v>10715</v>
      </c>
      <c r="I463">
        <v>6220</v>
      </c>
    </row>
    <row r="464" spans="1:9" x14ac:dyDescent="0.4">
      <c r="A464">
        <v>3220000</v>
      </c>
      <c r="B464" t="s">
        <v>10679</v>
      </c>
      <c r="C464" s="1">
        <v>45251</v>
      </c>
      <c r="D464" t="s">
        <v>10680</v>
      </c>
      <c r="E464" t="str">
        <f t="shared" si="21"/>
        <v>서울특별시</v>
      </c>
      <c r="F464" t="str">
        <f t="shared" si="22"/>
        <v xml:space="preserve">강남구 </v>
      </c>
      <c r="G464" t="str">
        <f t="shared" si="23"/>
        <v>역삼동</v>
      </c>
      <c r="H464" t="s">
        <v>10681</v>
      </c>
      <c r="I464">
        <v>6221</v>
      </c>
    </row>
    <row r="465" spans="1:9" x14ac:dyDescent="0.4">
      <c r="A465">
        <v>3220000</v>
      </c>
      <c r="B465" t="s">
        <v>10235</v>
      </c>
      <c r="C465" s="1">
        <v>38638</v>
      </c>
      <c r="D465" t="s">
        <v>10236</v>
      </c>
      <c r="E465" t="str">
        <f t="shared" si="21"/>
        <v>서울특별시</v>
      </c>
      <c r="F465" t="str">
        <f t="shared" si="22"/>
        <v xml:space="preserve">강남구 </v>
      </c>
      <c r="G465" t="str">
        <f t="shared" si="23"/>
        <v>역삼동</v>
      </c>
      <c r="H465" t="s">
        <v>10237</v>
      </c>
      <c r="I465">
        <v>6221</v>
      </c>
    </row>
    <row r="466" spans="1:9" x14ac:dyDescent="0.4">
      <c r="A466">
        <v>3220000</v>
      </c>
      <c r="B466" t="s">
        <v>10588</v>
      </c>
      <c r="C466" s="1">
        <v>43584</v>
      </c>
      <c r="D466" t="s">
        <v>10589</v>
      </c>
      <c r="E466" t="str">
        <f t="shared" si="21"/>
        <v>서울특별시</v>
      </c>
      <c r="F466" t="str">
        <f t="shared" si="22"/>
        <v xml:space="preserve">강남구 </v>
      </c>
      <c r="G466" t="str">
        <f t="shared" si="23"/>
        <v>역삼동</v>
      </c>
      <c r="H466" t="s">
        <v>10590</v>
      </c>
      <c r="I466">
        <v>6221</v>
      </c>
    </row>
    <row r="467" spans="1:9" x14ac:dyDescent="0.4">
      <c r="A467">
        <v>3220000</v>
      </c>
      <c r="B467" t="s">
        <v>11033</v>
      </c>
      <c r="C467" s="1">
        <v>43579</v>
      </c>
      <c r="D467" t="s">
        <v>11034</v>
      </c>
      <c r="E467" t="str">
        <f t="shared" si="21"/>
        <v>서울특별시</v>
      </c>
      <c r="F467" t="str">
        <f t="shared" si="22"/>
        <v xml:space="preserve">강남구 </v>
      </c>
      <c r="G467" t="str">
        <f t="shared" si="23"/>
        <v>역삼동</v>
      </c>
      <c r="H467" t="s">
        <v>11035</v>
      </c>
      <c r="I467">
        <v>6221</v>
      </c>
    </row>
    <row r="468" spans="1:9" x14ac:dyDescent="0.4">
      <c r="A468">
        <v>3220000</v>
      </c>
      <c r="B468" t="s">
        <v>10083</v>
      </c>
      <c r="C468" s="1">
        <v>42460</v>
      </c>
      <c r="D468" t="s">
        <v>10084</v>
      </c>
      <c r="E468" t="str">
        <f t="shared" si="21"/>
        <v>서울특별시</v>
      </c>
      <c r="F468" t="str">
        <f t="shared" si="22"/>
        <v xml:space="preserve">강남구 </v>
      </c>
      <c r="G468" t="str">
        <f t="shared" si="23"/>
        <v>역삼동</v>
      </c>
      <c r="H468" t="s">
        <v>10085</v>
      </c>
      <c r="I468">
        <v>6221</v>
      </c>
    </row>
    <row r="469" spans="1:9" x14ac:dyDescent="0.4">
      <c r="A469">
        <v>3220000</v>
      </c>
      <c r="B469" t="s">
        <v>10274</v>
      </c>
      <c r="C469" s="1">
        <v>39826</v>
      </c>
      <c r="D469" t="s">
        <v>10084</v>
      </c>
      <c r="E469" t="str">
        <f t="shared" si="21"/>
        <v>서울특별시</v>
      </c>
      <c r="F469" t="str">
        <f t="shared" si="22"/>
        <v xml:space="preserve">강남구 </v>
      </c>
      <c r="G469" t="str">
        <f t="shared" si="23"/>
        <v>역삼동</v>
      </c>
      <c r="H469" t="s">
        <v>10275</v>
      </c>
      <c r="I469">
        <v>6221</v>
      </c>
    </row>
    <row r="470" spans="1:9" x14ac:dyDescent="0.4">
      <c r="A470">
        <v>3220000</v>
      </c>
      <c r="B470" t="s">
        <v>10557</v>
      </c>
      <c r="C470" s="1">
        <v>39798</v>
      </c>
      <c r="D470" t="s">
        <v>10558</v>
      </c>
      <c r="E470" t="str">
        <f t="shared" si="21"/>
        <v>서울특별시</v>
      </c>
      <c r="F470" t="str">
        <f t="shared" si="22"/>
        <v xml:space="preserve">강남구 </v>
      </c>
      <c r="G470" t="str">
        <f t="shared" si="23"/>
        <v>역삼동</v>
      </c>
      <c r="H470" t="s">
        <v>10559</v>
      </c>
      <c r="I470">
        <v>6221</v>
      </c>
    </row>
    <row r="471" spans="1:9" x14ac:dyDescent="0.4">
      <c r="A471">
        <v>3220000</v>
      </c>
      <c r="B471" t="s">
        <v>10086</v>
      </c>
      <c r="C471" s="1">
        <v>42460</v>
      </c>
      <c r="D471" t="s">
        <v>10087</v>
      </c>
      <c r="E471" t="str">
        <f t="shared" si="21"/>
        <v>서울특별시</v>
      </c>
      <c r="F471" t="str">
        <f t="shared" si="22"/>
        <v xml:space="preserve">강남구 </v>
      </c>
      <c r="G471" t="str">
        <f t="shared" si="23"/>
        <v>역삼동</v>
      </c>
      <c r="H471" t="s">
        <v>10088</v>
      </c>
      <c r="I471">
        <v>6221</v>
      </c>
    </row>
    <row r="472" spans="1:9" x14ac:dyDescent="0.4">
      <c r="A472">
        <v>3220000</v>
      </c>
      <c r="B472" t="s">
        <v>10226</v>
      </c>
      <c r="C472" s="1">
        <v>38554</v>
      </c>
      <c r="D472" t="s">
        <v>10227</v>
      </c>
      <c r="E472" t="str">
        <f t="shared" si="21"/>
        <v>서울특별시</v>
      </c>
      <c r="F472" t="str">
        <f t="shared" si="22"/>
        <v xml:space="preserve">강남구 </v>
      </c>
      <c r="G472" t="str">
        <f t="shared" si="23"/>
        <v>역삼동</v>
      </c>
      <c r="H472" t="s">
        <v>10228</v>
      </c>
      <c r="I472">
        <v>6221</v>
      </c>
    </row>
    <row r="473" spans="1:9" x14ac:dyDescent="0.4">
      <c r="A473">
        <v>3220000</v>
      </c>
      <c r="B473" t="s">
        <v>9816</v>
      </c>
      <c r="C473" s="1">
        <v>36966</v>
      </c>
      <c r="D473" t="s">
        <v>9817</v>
      </c>
      <c r="E473" t="str">
        <f t="shared" si="21"/>
        <v>서울특별시</v>
      </c>
      <c r="F473" t="str">
        <f t="shared" si="22"/>
        <v xml:space="preserve">강남구 </v>
      </c>
      <c r="G473" t="str">
        <f t="shared" si="23"/>
        <v>역삼동</v>
      </c>
      <c r="H473" t="s">
        <v>9818</v>
      </c>
      <c r="I473">
        <v>6221</v>
      </c>
    </row>
    <row r="474" spans="1:9" x14ac:dyDescent="0.4">
      <c r="A474">
        <v>3220000</v>
      </c>
      <c r="B474" t="s">
        <v>10024</v>
      </c>
      <c r="C474" s="1">
        <v>37152</v>
      </c>
      <c r="D474" t="s">
        <v>10025</v>
      </c>
      <c r="E474" t="str">
        <f t="shared" si="21"/>
        <v>서울특별시</v>
      </c>
      <c r="F474" t="str">
        <f t="shared" si="22"/>
        <v xml:space="preserve">강남구 </v>
      </c>
      <c r="G474" t="str">
        <f t="shared" si="23"/>
        <v>역삼동</v>
      </c>
    </row>
    <row r="475" spans="1:9" x14ac:dyDescent="0.4">
      <c r="A475">
        <v>3220000</v>
      </c>
      <c r="B475" t="s">
        <v>10366</v>
      </c>
      <c r="C475" s="1">
        <v>31962</v>
      </c>
      <c r="D475" t="s">
        <v>10367</v>
      </c>
      <c r="E475" t="str">
        <f t="shared" si="21"/>
        <v>서울특별시</v>
      </c>
      <c r="F475" t="str">
        <f t="shared" si="22"/>
        <v xml:space="preserve">강남구 </v>
      </c>
      <c r="G475" t="str">
        <f t="shared" si="23"/>
        <v>역삼동</v>
      </c>
      <c r="H475" t="s">
        <v>10368</v>
      </c>
      <c r="I475">
        <v>6221</v>
      </c>
    </row>
    <row r="476" spans="1:9" x14ac:dyDescent="0.4">
      <c r="A476">
        <v>3220000</v>
      </c>
      <c r="B476" t="s">
        <v>10578</v>
      </c>
      <c r="C476" s="1">
        <v>37802</v>
      </c>
      <c r="D476" t="s">
        <v>10579</v>
      </c>
      <c r="E476" t="str">
        <f t="shared" si="21"/>
        <v>서울특별시</v>
      </c>
      <c r="F476" t="str">
        <f t="shared" si="22"/>
        <v xml:space="preserve">강남구 </v>
      </c>
      <c r="G476" t="str">
        <f t="shared" si="23"/>
        <v>역삼동</v>
      </c>
      <c r="H476" t="s">
        <v>10580</v>
      </c>
      <c r="I476">
        <v>6221</v>
      </c>
    </row>
    <row r="477" spans="1:9" x14ac:dyDescent="0.4">
      <c r="A477">
        <v>3220000</v>
      </c>
      <c r="B477" t="s">
        <v>10041</v>
      </c>
      <c r="C477" s="1">
        <v>28929</v>
      </c>
      <c r="D477" t="s">
        <v>10042</v>
      </c>
      <c r="E477" t="str">
        <f t="shared" si="21"/>
        <v>서울특별시</v>
      </c>
      <c r="F477" t="str">
        <f t="shared" si="22"/>
        <v xml:space="preserve">강남구 </v>
      </c>
      <c r="G477" t="str">
        <f t="shared" si="23"/>
        <v>역삼동</v>
      </c>
    </row>
    <row r="478" spans="1:9" x14ac:dyDescent="0.4">
      <c r="A478">
        <v>3220000</v>
      </c>
      <c r="B478" t="s">
        <v>9603</v>
      </c>
      <c r="C478" s="1">
        <v>31387</v>
      </c>
      <c r="D478" t="s">
        <v>9604</v>
      </c>
      <c r="E478" t="str">
        <f t="shared" si="21"/>
        <v>서울특별시</v>
      </c>
      <c r="F478" t="str">
        <f t="shared" si="22"/>
        <v xml:space="preserve">강남구 </v>
      </c>
      <c r="G478" t="str">
        <f t="shared" si="23"/>
        <v>역삼동</v>
      </c>
    </row>
    <row r="479" spans="1:9" x14ac:dyDescent="0.4">
      <c r="A479">
        <v>3220000</v>
      </c>
      <c r="B479" t="s">
        <v>9947</v>
      </c>
      <c r="C479" s="1">
        <v>39997</v>
      </c>
      <c r="D479" t="s">
        <v>9948</v>
      </c>
      <c r="E479" t="str">
        <f t="shared" si="21"/>
        <v>서울특별시</v>
      </c>
      <c r="F479" t="str">
        <f t="shared" si="22"/>
        <v xml:space="preserve">강남구 </v>
      </c>
      <c r="G479" t="str">
        <f t="shared" si="23"/>
        <v>역삼동</v>
      </c>
    </row>
    <row r="480" spans="1:9" x14ac:dyDescent="0.4">
      <c r="A480">
        <v>3220000</v>
      </c>
      <c r="B480" t="s">
        <v>10492</v>
      </c>
      <c r="C480" s="1">
        <v>41631</v>
      </c>
      <c r="D480" t="s">
        <v>10493</v>
      </c>
      <c r="E480" t="str">
        <f t="shared" si="21"/>
        <v>서울특별시</v>
      </c>
      <c r="F480" t="str">
        <f t="shared" si="22"/>
        <v xml:space="preserve">강남구 </v>
      </c>
      <c r="G480" t="str">
        <f t="shared" si="23"/>
        <v>역삼동</v>
      </c>
      <c r="H480" t="s">
        <v>10494</v>
      </c>
      <c r="I480">
        <v>6221</v>
      </c>
    </row>
    <row r="481" spans="1:9" x14ac:dyDescent="0.4">
      <c r="A481">
        <v>3220000</v>
      </c>
      <c r="B481" t="s">
        <v>5621</v>
      </c>
      <c r="C481" s="1">
        <v>42689</v>
      </c>
      <c r="D481" t="s">
        <v>5622</v>
      </c>
      <c r="E481" t="str">
        <f t="shared" si="21"/>
        <v>서울특별시</v>
      </c>
      <c r="F481" t="str">
        <f t="shared" si="22"/>
        <v xml:space="preserve">강남구 </v>
      </c>
      <c r="G481" t="str">
        <f t="shared" si="23"/>
        <v>역삼동</v>
      </c>
      <c r="H481" t="s">
        <v>5623</v>
      </c>
    </row>
    <row r="482" spans="1:9" x14ac:dyDescent="0.4">
      <c r="A482">
        <v>3220000</v>
      </c>
      <c r="B482" t="s">
        <v>10716</v>
      </c>
      <c r="C482" s="1">
        <v>42705</v>
      </c>
      <c r="D482" t="s">
        <v>5622</v>
      </c>
      <c r="E482" t="str">
        <f t="shared" si="21"/>
        <v>서울특별시</v>
      </c>
      <c r="F482" t="str">
        <f t="shared" si="22"/>
        <v xml:space="preserve">강남구 </v>
      </c>
      <c r="G482" t="str">
        <f t="shared" si="23"/>
        <v>역삼동</v>
      </c>
      <c r="H482" t="s">
        <v>10717</v>
      </c>
      <c r="I482">
        <v>6235</v>
      </c>
    </row>
    <row r="483" spans="1:9" x14ac:dyDescent="0.4">
      <c r="A483">
        <v>3220000</v>
      </c>
      <c r="B483" t="s">
        <v>9854</v>
      </c>
      <c r="C483" s="1">
        <v>31745</v>
      </c>
      <c r="D483" t="s">
        <v>9855</v>
      </c>
      <c r="E483" t="str">
        <f t="shared" si="21"/>
        <v>서울특별시</v>
      </c>
      <c r="F483" t="str">
        <f t="shared" si="22"/>
        <v xml:space="preserve">강남구 </v>
      </c>
      <c r="G483" t="str">
        <f t="shared" si="23"/>
        <v>역삼동</v>
      </c>
    </row>
    <row r="484" spans="1:9" x14ac:dyDescent="0.4">
      <c r="A484">
        <v>3220000</v>
      </c>
      <c r="B484" t="s">
        <v>10454</v>
      </c>
      <c r="C484" s="1">
        <v>32329</v>
      </c>
      <c r="D484" t="s">
        <v>9855</v>
      </c>
      <c r="E484" t="str">
        <f t="shared" si="21"/>
        <v>서울특별시</v>
      </c>
      <c r="F484" t="str">
        <f t="shared" si="22"/>
        <v xml:space="preserve">강남구 </v>
      </c>
      <c r="G484" t="str">
        <f t="shared" si="23"/>
        <v>역삼동</v>
      </c>
    </row>
    <row r="485" spans="1:9" x14ac:dyDescent="0.4">
      <c r="A485">
        <v>3220000</v>
      </c>
      <c r="B485" t="s">
        <v>10682</v>
      </c>
      <c r="C485" s="1">
        <v>44522</v>
      </c>
      <c r="D485" t="s">
        <v>10683</v>
      </c>
      <c r="E485" t="str">
        <f t="shared" si="21"/>
        <v>서울특별시</v>
      </c>
      <c r="F485" t="str">
        <f t="shared" si="22"/>
        <v xml:space="preserve">강남구 </v>
      </c>
      <c r="G485" t="str">
        <f t="shared" si="23"/>
        <v>역삼동</v>
      </c>
      <c r="H485" t="s">
        <v>10684</v>
      </c>
      <c r="I485">
        <v>6235</v>
      </c>
    </row>
    <row r="486" spans="1:9" x14ac:dyDescent="0.4">
      <c r="A486">
        <v>3220000</v>
      </c>
      <c r="B486" t="s">
        <v>10141</v>
      </c>
      <c r="C486" s="1">
        <v>38889</v>
      </c>
      <c r="D486" t="s">
        <v>10142</v>
      </c>
      <c r="E486" t="str">
        <f t="shared" si="21"/>
        <v>서울특별시</v>
      </c>
      <c r="F486" t="str">
        <f t="shared" si="22"/>
        <v xml:space="preserve">강남구 </v>
      </c>
      <c r="G486" t="str">
        <f t="shared" si="23"/>
        <v>역삼동</v>
      </c>
      <c r="H486" t="s">
        <v>10143</v>
      </c>
      <c r="I486">
        <v>6235</v>
      </c>
    </row>
    <row r="487" spans="1:9" x14ac:dyDescent="0.4">
      <c r="A487">
        <v>3220000</v>
      </c>
      <c r="B487" t="s">
        <v>11051</v>
      </c>
      <c r="C487" s="1">
        <v>32171</v>
      </c>
      <c r="D487" t="s">
        <v>11052</v>
      </c>
      <c r="E487" t="str">
        <f t="shared" si="21"/>
        <v>서울특별시</v>
      </c>
      <c r="F487" t="str">
        <f t="shared" si="22"/>
        <v xml:space="preserve">강남구 </v>
      </c>
      <c r="G487" t="str">
        <f t="shared" si="23"/>
        <v>역삼동</v>
      </c>
      <c r="H487" t="s">
        <v>11053</v>
      </c>
      <c r="I487">
        <v>6235</v>
      </c>
    </row>
    <row r="488" spans="1:9" x14ac:dyDescent="0.4">
      <c r="A488">
        <v>3220000</v>
      </c>
      <c r="B488" t="s">
        <v>33</v>
      </c>
      <c r="C488" s="1">
        <v>39868</v>
      </c>
      <c r="D488" t="s">
        <v>34</v>
      </c>
      <c r="E488" t="str">
        <f t="shared" si="21"/>
        <v>서울특별시</v>
      </c>
      <c r="F488" t="str">
        <f t="shared" si="22"/>
        <v xml:space="preserve">강남구 </v>
      </c>
      <c r="G488" t="str">
        <f t="shared" si="23"/>
        <v>역삼동</v>
      </c>
      <c r="H488" t="s">
        <v>35</v>
      </c>
      <c r="I488">
        <v>6235</v>
      </c>
    </row>
    <row r="489" spans="1:9" x14ac:dyDescent="0.4">
      <c r="A489">
        <v>3220000</v>
      </c>
      <c r="B489" t="s">
        <v>10748</v>
      </c>
      <c r="C489" s="1">
        <v>39868</v>
      </c>
      <c r="D489" t="s">
        <v>10749</v>
      </c>
      <c r="E489" t="str">
        <f t="shared" si="21"/>
        <v>서울특별시</v>
      </c>
      <c r="F489" t="str">
        <f t="shared" si="22"/>
        <v xml:space="preserve">강남구 </v>
      </c>
      <c r="G489" t="str">
        <f t="shared" si="23"/>
        <v>역삼동</v>
      </c>
      <c r="H489" t="s">
        <v>10750</v>
      </c>
      <c r="I489">
        <v>6235</v>
      </c>
    </row>
    <row r="490" spans="1:9" x14ac:dyDescent="0.4">
      <c r="A490">
        <v>3220000</v>
      </c>
      <c r="B490" t="s">
        <v>9632</v>
      </c>
      <c r="C490" s="1">
        <v>32791</v>
      </c>
      <c r="D490" t="s">
        <v>9633</v>
      </c>
      <c r="E490" t="str">
        <f t="shared" si="21"/>
        <v>서울특별시</v>
      </c>
      <c r="F490" t="str">
        <f t="shared" si="22"/>
        <v xml:space="preserve">강남구 </v>
      </c>
      <c r="G490" t="str">
        <f t="shared" si="23"/>
        <v>역삼동</v>
      </c>
    </row>
    <row r="491" spans="1:9" x14ac:dyDescent="0.4">
      <c r="A491">
        <v>3220000</v>
      </c>
      <c r="B491" t="s">
        <v>10817</v>
      </c>
      <c r="C491" s="1">
        <v>40515</v>
      </c>
      <c r="D491" t="s">
        <v>10818</v>
      </c>
      <c r="E491" t="str">
        <f t="shared" si="21"/>
        <v>서울특별시</v>
      </c>
      <c r="F491" t="str">
        <f t="shared" si="22"/>
        <v xml:space="preserve">강남구 </v>
      </c>
      <c r="G491" t="str">
        <f t="shared" si="23"/>
        <v>역삼동</v>
      </c>
      <c r="H491" t="s">
        <v>10819</v>
      </c>
      <c r="I491">
        <v>6236</v>
      </c>
    </row>
    <row r="492" spans="1:9" x14ac:dyDescent="0.4">
      <c r="A492">
        <v>3220000</v>
      </c>
      <c r="B492" t="s">
        <v>9599</v>
      </c>
      <c r="C492" s="1">
        <v>31307</v>
      </c>
      <c r="D492" t="s">
        <v>9600</v>
      </c>
      <c r="E492" t="str">
        <f t="shared" si="21"/>
        <v>서울특별시</v>
      </c>
      <c r="F492" t="str">
        <f t="shared" si="22"/>
        <v xml:space="preserve">강남구 </v>
      </c>
      <c r="G492" t="str">
        <f t="shared" si="23"/>
        <v>역삼동</v>
      </c>
    </row>
    <row r="493" spans="1:9" x14ac:dyDescent="0.4">
      <c r="A493">
        <v>3220000</v>
      </c>
      <c r="B493" t="s">
        <v>10112</v>
      </c>
      <c r="C493" s="1">
        <v>34480</v>
      </c>
      <c r="D493" t="s">
        <v>9600</v>
      </c>
      <c r="E493" t="str">
        <f t="shared" si="21"/>
        <v>서울특별시</v>
      </c>
      <c r="F493" t="str">
        <f t="shared" si="22"/>
        <v xml:space="preserve">강남구 </v>
      </c>
      <c r="G493" t="str">
        <f t="shared" si="23"/>
        <v>역삼동</v>
      </c>
    </row>
    <row r="494" spans="1:9" x14ac:dyDescent="0.4">
      <c r="A494">
        <v>3220000</v>
      </c>
      <c r="B494" t="s">
        <v>10416</v>
      </c>
      <c r="C494" s="1">
        <v>30331</v>
      </c>
      <c r="D494" t="s">
        <v>9600</v>
      </c>
      <c r="E494" t="str">
        <f t="shared" si="21"/>
        <v>서울특별시</v>
      </c>
      <c r="F494" t="str">
        <f t="shared" si="22"/>
        <v xml:space="preserve">강남구 </v>
      </c>
      <c r="G494" t="str">
        <f t="shared" si="23"/>
        <v>역삼동</v>
      </c>
    </row>
    <row r="495" spans="1:9" x14ac:dyDescent="0.4">
      <c r="A495">
        <v>3220000</v>
      </c>
      <c r="B495" t="s">
        <v>10253</v>
      </c>
      <c r="C495" s="1">
        <v>30837</v>
      </c>
      <c r="D495" t="s">
        <v>10254</v>
      </c>
      <c r="E495" t="str">
        <f t="shared" si="21"/>
        <v>서울특별시</v>
      </c>
      <c r="F495" t="str">
        <f t="shared" si="22"/>
        <v xml:space="preserve">강남구 </v>
      </c>
      <c r="G495" t="str">
        <f t="shared" si="23"/>
        <v>역삼동</v>
      </c>
    </row>
    <row r="496" spans="1:9" x14ac:dyDescent="0.4">
      <c r="A496">
        <v>3220000</v>
      </c>
      <c r="B496" t="s">
        <v>10583</v>
      </c>
      <c r="C496" s="1">
        <v>31551</v>
      </c>
      <c r="D496" t="s">
        <v>10254</v>
      </c>
      <c r="E496" t="str">
        <f t="shared" si="21"/>
        <v>서울특별시</v>
      </c>
      <c r="F496" t="str">
        <f t="shared" si="22"/>
        <v xml:space="preserve">강남구 </v>
      </c>
      <c r="G496" t="str">
        <f t="shared" si="23"/>
        <v>역삼동</v>
      </c>
    </row>
    <row r="497" spans="1:9" x14ac:dyDescent="0.4">
      <c r="A497">
        <v>3220000</v>
      </c>
      <c r="B497" t="s">
        <v>10760</v>
      </c>
      <c r="C497" s="1">
        <v>40136</v>
      </c>
      <c r="D497" t="s">
        <v>10761</v>
      </c>
      <c r="E497" t="str">
        <f t="shared" si="21"/>
        <v>서울특별시</v>
      </c>
      <c r="F497" t="str">
        <f t="shared" si="22"/>
        <v xml:space="preserve">강남구 </v>
      </c>
      <c r="G497" t="str">
        <f t="shared" si="23"/>
        <v>역삼동</v>
      </c>
      <c r="H497" t="s">
        <v>10762</v>
      </c>
      <c r="I497">
        <v>6236</v>
      </c>
    </row>
    <row r="498" spans="1:9" x14ac:dyDescent="0.4">
      <c r="A498">
        <v>3220000</v>
      </c>
      <c r="B498" t="s">
        <v>11045</v>
      </c>
      <c r="C498" s="1">
        <v>40147</v>
      </c>
      <c r="D498" t="s">
        <v>11046</v>
      </c>
      <c r="E498" t="str">
        <f t="shared" si="21"/>
        <v>서울특별시</v>
      </c>
      <c r="F498" t="str">
        <f t="shared" si="22"/>
        <v xml:space="preserve">강남구 </v>
      </c>
      <c r="G498" t="str">
        <f t="shared" si="23"/>
        <v>역삼동</v>
      </c>
      <c r="H498" t="s">
        <v>11047</v>
      </c>
      <c r="I498">
        <v>6236</v>
      </c>
    </row>
    <row r="499" spans="1:9" x14ac:dyDescent="0.4">
      <c r="A499">
        <v>3220000</v>
      </c>
      <c r="B499" t="s">
        <v>11027</v>
      </c>
      <c r="C499" s="1">
        <v>45503</v>
      </c>
      <c r="D499" t="s">
        <v>11028</v>
      </c>
      <c r="E499" t="str">
        <f t="shared" si="21"/>
        <v>서울특별시</v>
      </c>
      <c r="F499" t="str">
        <f t="shared" si="22"/>
        <v xml:space="preserve">강남구 </v>
      </c>
      <c r="G499" t="str">
        <f t="shared" si="23"/>
        <v>역삼동</v>
      </c>
      <c r="H499" t="s">
        <v>11029</v>
      </c>
      <c r="I499">
        <v>6236</v>
      </c>
    </row>
    <row r="500" spans="1:9" x14ac:dyDescent="0.4">
      <c r="A500">
        <v>3220000</v>
      </c>
      <c r="B500" t="s">
        <v>10757</v>
      </c>
      <c r="C500" s="1">
        <v>40000</v>
      </c>
      <c r="D500" t="s">
        <v>10758</v>
      </c>
      <c r="E500" t="str">
        <f t="shared" si="21"/>
        <v>서울특별시</v>
      </c>
      <c r="F500" t="str">
        <f t="shared" si="22"/>
        <v xml:space="preserve">강남구 </v>
      </c>
      <c r="G500" t="str">
        <f t="shared" si="23"/>
        <v>역삼동</v>
      </c>
      <c r="H500" t="s">
        <v>10759</v>
      </c>
      <c r="I500">
        <v>6236</v>
      </c>
    </row>
    <row r="501" spans="1:9" x14ac:dyDescent="0.4">
      <c r="A501">
        <v>3220000</v>
      </c>
      <c r="B501" t="s">
        <v>10651</v>
      </c>
      <c r="C501" s="1">
        <v>39314</v>
      </c>
      <c r="D501" t="s">
        <v>10652</v>
      </c>
      <c r="E501" t="str">
        <f t="shared" si="21"/>
        <v>서울특별시</v>
      </c>
      <c r="F501" t="str">
        <f t="shared" si="22"/>
        <v xml:space="preserve">강남구 </v>
      </c>
      <c r="G501" t="str">
        <f t="shared" si="23"/>
        <v>역삼동</v>
      </c>
      <c r="H501" t="s">
        <v>10653</v>
      </c>
      <c r="I501">
        <v>6236</v>
      </c>
    </row>
    <row r="502" spans="1:9" x14ac:dyDescent="0.4">
      <c r="A502">
        <v>3220000</v>
      </c>
      <c r="B502" t="s">
        <v>11000</v>
      </c>
      <c r="C502" s="1">
        <v>43860</v>
      </c>
      <c r="D502" t="s">
        <v>11001</v>
      </c>
      <c r="E502" t="str">
        <f t="shared" si="21"/>
        <v>서울특별시</v>
      </c>
      <c r="F502" t="str">
        <f t="shared" si="22"/>
        <v xml:space="preserve">강남구 </v>
      </c>
      <c r="G502" t="str">
        <f t="shared" si="23"/>
        <v>역삼동</v>
      </c>
      <c r="H502" t="s">
        <v>11002</v>
      </c>
      <c r="I502">
        <v>6236</v>
      </c>
    </row>
    <row r="503" spans="1:9" x14ac:dyDescent="0.4">
      <c r="A503">
        <v>3220000</v>
      </c>
      <c r="B503" t="s">
        <v>9756</v>
      </c>
      <c r="C503" s="1">
        <v>36432</v>
      </c>
      <c r="D503" t="s">
        <v>9757</v>
      </c>
      <c r="E503" t="str">
        <f t="shared" si="21"/>
        <v>서울특별시</v>
      </c>
      <c r="F503" t="str">
        <f t="shared" si="22"/>
        <v xml:space="preserve">강남구 </v>
      </c>
      <c r="G503" t="str">
        <f t="shared" si="23"/>
        <v>역삼동</v>
      </c>
    </row>
    <row r="504" spans="1:9" x14ac:dyDescent="0.4">
      <c r="A504">
        <v>3220000</v>
      </c>
      <c r="B504" t="s">
        <v>9934</v>
      </c>
      <c r="C504" s="1">
        <v>37939</v>
      </c>
      <c r="D504" t="s">
        <v>9935</v>
      </c>
      <c r="E504" t="str">
        <f t="shared" si="21"/>
        <v>서울특별시</v>
      </c>
      <c r="F504" t="str">
        <f t="shared" si="22"/>
        <v xml:space="preserve">강남구 </v>
      </c>
      <c r="G504" t="str">
        <f t="shared" si="23"/>
        <v>역삼동</v>
      </c>
    </row>
    <row r="505" spans="1:9" x14ac:dyDescent="0.4">
      <c r="A505">
        <v>3220000</v>
      </c>
      <c r="B505" t="s">
        <v>9796</v>
      </c>
      <c r="C505" s="1">
        <v>36149</v>
      </c>
      <c r="D505" t="s">
        <v>9797</v>
      </c>
      <c r="E505" t="str">
        <f t="shared" si="21"/>
        <v>서울특별시</v>
      </c>
      <c r="F505" t="str">
        <f t="shared" si="22"/>
        <v xml:space="preserve">강남구 </v>
      </c>
      <c r="G505" t="str">
        <f t="shared" si="23"/>
        <v>역삼동</v>
      </c>
    </row>
    <row r="506" spans="1:9" x14ac:dyDescent="0.4">
      <c r="A506">
        <v>3220000</v>
      </c>
      <c r="B506" t="s">
        <v>10591</v>
      </c>
      <c r="C506" s="1">
        <v>43634</v>
      </c>
      <c r="D506" t="s">
        <v>10592</v>
      </c>
      <c r="E506" t="str">
        <f t="shared" si="21"/>
        <v>서울특별시</v>
      </c>
      <c r="F506" t="str">
        <f t="shared" si="22"/>
        <v xml:space="preserve">강남구 </v>
      </c>
      <c r="G506" t="str">
        <f t="shared" si="23"/>
        <v>역삼동</v>
      </c>
      <c r="H506" t="s">
        <v>10593</v>
      </c>
      <c r="I506">
        <v>6236</v>
      </c>
    </row>
    <row r="507" spans="1:9" x14ac:dyDescent="0.4">
      <c r="A507">
        <v>3220000</v>
      </c>
      <c r="B507" t="s">
        <v>9657</v>
      </c>
      <c r="C507" s="1">
        <v>37099</v>
      </c>
      <c r="D507" t="s">
        <v>9658</v>
      </c>
      <c r="E507" t="str">
        <f t="shared" si="21"/>
        <v>서울특별시</v>
      </c>
      <c r="F507" t="str">
        <f t="shared" si="22"/>
        <v xml:space="preserve">강남구 </v>
      </c>
      <c r="G507" t="str">
        <f t="shared" si="23"/>
        <v>역삼동</v>
      </c>
      <c r="H507" t="s">
        <v>9659</v>
      </c>
      <c r="I507">
        <v>6236</v>
      </c>
    </row>
    <row r="508" spans="1:9" x14ac:dyDescent="0.4">
      <c r="A508">
        <v>3220000</v>
      </c>
      <c r="B508" t="s">
        <v>9660</v>
      </c>
      <c r="C508" s="1">
        <v>37099</v>
      </c>
      <c r="D508" t="s">
        <v>9661</v>
      </c>
      <c r="E508" t="str">
        <f t="shared" si="21"/>
        <v>서울특별시</v>
      </c>
      <c r="F508" t="str">
        <f t="shared" si="22"/>
        <v xml:space="preserve">강남구 </v>
      </c>
      <c r="G508" t="str">
        <f t="shared" si="23"/>
        <v>역삼동</v>
      </c>
      <c r="H508" t="s">
        <v>9662</v>
      </c>
      <c r="I508">
        <v>6236</v>
      </c>
    </row>
    <row r="509" spans="1:9" x14ac:dyDescent="0.4">
      <c r="A509">
        <v>3220000</v>
      </c>
      <c r="B509" t="s">
        <v>10369</v>
      </c>
      <c r="C509" s="1">
        <v>32043</v>
      </c>
      <c r="D509" t="s">
        <v>10370</v>
      </c>
      <c r="E509" t="str">
        <f t="shared" si="21"/>
        <v>서울특별시</v>
      </c>
      <c r="F509" t="str">
        <f t="shared" si="22"/>
        <v xml:space="preserve">강남구 </v>
      </c>
      <c r="G509" t="str">
        <f t="shared" si="23"/>
        <v>역삼동</v>
      </c>
      <c r="H509" t="s">
        <v>10371</v>
      </c>
      <c r="I509">
        <v>6123</v>
      </c>
    </row>
    <row r="510" spans="1:9" x14ac:dyDescent="0.4">
      <c r="A510">
        <v>3220000</v>
      </c>
      <c r="B510" t="s">
        <v>10211</v>
      </c>
      <c r="C510" s="1">
        <v>36587</v>
      </c>
      <c r="D510" t="s">
        <v>10212</v>
      </c>
      <c r="E510" t="str">
        <f t="shared" si="21"/>
        <v>서울특별시</v>
      </c>
      <c r="F510" t="str">
        <f t="shared" si="22"/>
        <v xml:space="preserve">강남구 </v>
      </c>
      <c r="G510" t="str">
        <f t="shared" si="23"/>
        <v>역삼동</v>
      </c>
    </row>
    <row r="511" spans="1:9" x14ac:dyDescent="0.4">
      <c r="A511">
        <v>3220000</v>
      </c>
      <c r="B511" t="s">
        <v>9839</v>
      </c>
      <c r="C511" s="1">
        <v>36306</v>
      </c>
      <c r="D511" t="s">
        <v>9840</v>
      </c>
      <c r="E511" t="str">
        <f t="shared" si="21"/>
        <v>서울특별시</v>
      </c>
      <c r="F511" t="str">
        <f t="shared" si="22"/>
        <v xml:space="preserve">강남구 </v>
      </c>
      <c r="G511" t="str">
        <f t="shared" si="23"/>
        <v>역삼동</v>
      </c>
    </row>
    <row r="512" spans="1:9" x14ac:dyDescent="0.4">
      <c r="A512">
        <v>3220000</v>
      </c>
      <c r="B512" t="s">
        <v>168</v>
      </c>
      <c r="C512" s="1">
        <v>42216</v>
      </c>
      <c r="D512" t="s">
        <v>169</v>
      </c>
      <c r="E512" t="str">
        <f t="shared" si="21"/>
        <v>서울특별시</v>
      </c>
      <c r="F512" t="str">
        <f t="shared" si="22"/>
        <v xml:space="preserve">강남구 </v>
      </c>
      <c r="G512" t="str">
        <f t="shared" si="23"/>
        <v>역삼동</v>
      </c>
      <c r="H512" t="s">
        <v>170</v>
      </c>
      <c r="I512">
        <v>6134</v>
      </c>
    </row>
    <row r="513" spans="1:9" x14ac:dyDescent="0.4">
      <c r="A513">
        <v>3220000</v>
      </c>
      <c r="B513" t="s">
        <v>9585</v>
      </c>
      <c r="C513" s="1">
        <v>32864</v>
      </c>
      <c r="D513" t="s">
        <v>9586</v>
      </c>
      <c r="E513" t="str">
        <f t="shared" si="21"/>
        <v>서울특별시</v>
      </c>
      <c r="F513" t="str">
        <f t="shared" si="22"/>
        <v xml:space="preserve">강남구 </v>
      </c>
      <c r="G513" t="str">
        <f t="shared" si="23"/>
        <v>역삼동</v>
      </c>
    </row>
    <row r="514" spans="1:9" x14ac:dyDescent="0.4">
      <c r="A514">
        <v>3220000</v>
      </c>
      <c r="B514" t="s">
        <v>9830</v>
      </c>
      <c r="C514" s="1">
        <v>36498</v>
      </c>
      <c r="D514" t="s">
        <v>9586</v>
      </c>
      <c r="E514" t="str">
        <f t="shared" si="21"/>
        <v>서울특별시</v>
      </c>
      <c r="F514" t="str">
        <f t="shared" si="22"/>
        <v xml:space="preserve">강남구 </v>
      </c>
      <c r="G514" t="str">
        <f t="shared" si="23"/>
        <v>역삼동</v>
      </c>
    </row>
    <row r="515" spans="1:9" x14ac:dyDescent="0.4">
      <c r="A515">
        <v>3220000</v>
      </c>
      <c r="B515" t="s">
        <v>9738</v>
      </c>
      <c r="C515" s="1">
        <v>37267</v>
      </c>
      <c r="D515" t="s">
        <v>9739</v>
      </c>
      <c r="E515" t="str">
        <f t="shared" ref="E515:E578" si="24">LEFT(D515,5)</f>
        <v>서울특별시</v>
      </c>
      <c r="F515" t="str">
        <f t="shared" ref="F515:F578" si="25">MID(D515,7,4)</f>
        <v xml:space="preserve">강남구 </v>
      </c>
      <c r="G515" t="str">
        <f t="shared" ref="G515:G578" si="26">MID(SUBSTITUTE(D515," ",""),9,3)</f>
        <v>역삼동</v>
      </c>
    </row>
    <row r="516" spans="1:9" x14ac:dyDescent="0.4">
      <c r="A516">
        <v>3220000</v>
      </c>
      <c r="B516" t="s">
        <v>10736</v>
      </c>
      <c r="C516" s="1">
        <v>36790</v>
      </c>
      <c r="D516" t="s">
        <v>10737</v>
      </c>
      <c r="E516" t="str">
        <f t="shared" si="24"/>
        <v>서울특별시</v>
      </c>
      <c r="F516" t="str">
        <f t="shared" si="25"/>
        <v xml:space="preserve">강남구 </v>
      </c>
      <c r="G516" t="str">
        <f t="shared" si="26"/>
        <v>역삼동</v>
      </c>
      <c r="H516" t="s">
        <v>10738</v>
      </c>
      <c r="I516">
        <v>6134</v>
      </c>
    </row>
    <row r="517" spans="1:9" x14ac:dyDescent="0.4">
      <c r="A517">
        <v>3220000</v>
      </c>
      <c r="B517" t="s">
        <v>10873</v>
      </c>
      <c r="C517" s="1">
        <v>31558</v>
      </c>
      <c r="D517" t="s">
        <v>10874</v>
      </c>
      <c r="E517" t="str">
        <f t="shared" si="24"/>
        <v>서울특별시</v>
      </c>
      <c r="F517" t="str">
        <f t="shared" si="25"/>
        <v xml:space="preserve">강남구 </v>
      </c>
      <c r="G517" t="str">
        <f t="shared" si="26"/>
        <v>역삼동</v>
      </c>
      <c r="H517" t="s">
        <v>10875</v>
      </c>
      <c r="I517">
        <v>6134</v>
      </c>
    </row>
    <row r="518" spans="1:9" x14ac:dyDescent="0.4">
      <c r="A518">
        <v>3220000</v>
      </c>
      <c r="B518" t="s">
        <v>10291</v>
      </c>
      <c r="C518" s="1">
        <v>31906</v>
      </c>
      <c r="D518" t="s">
        <v>10292</v>
      </c>
      <c r="E518" t="str">
        <f t="shared" si="24"/>
        <v>서울특별시</v>
      </c>
      <c r="F518" t="str">
        <f t="shared" si="25"/>
        <v xml:space="preserve">강남구 </v>
      </c>
      <c r="G518" t="str">
        <f t="shared" si="26"/>
        <v>역삼동</v>
      </c>
    </row>
    <row r="519" spans="1:9" x14ac:dyDescent="0.4">
      <c r="A519">
        <v>3220000</v>
      </c>
      <c r="B519" t="s">
        <v>10410</v>
      </c>
      <c r="C519" s="1">
        <v>39576</v>
      </c>
      <c r="D519" t="s">
        <v>10411</v>
      </c>
      <c r="E519" t="str">
        <f t="shared" si="24"/>
        <v>서울특별시</v>
      </c>
      <c r="F519" t="str">
        <f t="shared" si="25"/>
        <v xml:space="preserve">강남구 </v>
      </c>
      <c r="G519" t="str">
        <f t="shared" si="26"/>
        <v>역삼동</v>
      </c>
      <c r="H519" t="s">
        <v>10412</v>
      </c>
      <c r="I519">
        <v>6134</v>
      </c>
    </row>
    <row r="520" spans="1:9" x14ac:dyDescent="0.4">
      <c r="A520">
        <v>3220000</v>
      </c>
      <c r="B520" t="s">
        <v>9955</v>
      </c>
      <c r="C520" s="1">
        <v>40066</v>
      </c>
      <c r="D520" t="s">
        <v>9956</v>
      </c>
      <c r="E520" t="str">
        <f t="shared" si="24"/>
        <v>서울특별시</v>
      </c>
      <c r="F520" t="str">
        <f t="shared" si="25"/>
        <v xml:space="preserve">강남구 </v>
      </c>
      <c r="G520" t="str">
        <f t="shared" si="26"/>
        <v>역삼동</v>
      </c>
      <c r="H520" t="s">
        <v>9957</v>
      </c>
      <c r="I520">
        <v>6134</v>
      </c>
    </row>
    <row r="521" spans="1:9" x14ac:dyDescent="0.4">
      <c r="A521">
        <v>3220000</v>
      </c>
      <c r="B521" t="s">
        <v>9851</v>
      </c>
      <c r="C521" s="1">
        <v>31719</v>
      </c>
      <c r="D521" t="s">
        <v>9852</v>
      </c>
      <c r="E521" t="str">
        <f t="shared" si="24"/>
        <v>서울특별시</v>
      </c>
      <c r="F521" t="str">
        <f t="shared" si="25"/>
        <v xml:space="preserve">강남구 </v>
      </c>
      <c r="G521" t="str">
        <f t="shared" si="26"/>
        <v>역삼동</v>
      </c>
      <c r="H521" t="s">
        <v>9853</v>
      </c>
      <c r="I521">
        <v>6234</v>
      </c>
    </row>
    <row r="522" spans="1:9" x14ac:dyDescent="0.4">
      <c r="A522">
        <v>3220000</v>
      </c>
      <c r="B522" t="s">
        <v>9928</v>
      </c>
      <c r="C522" s="1">
        <v>37895</v>
      </c>
      <c r="D522" t="s">
        <v>9929</v>
      </c>
      <c r="E522" t="str">
        <f t="shared" si="24"/>
        <v>서울특별시</v>
      </c>
      <c r="F522" t="str">
        <f t="shared" si="25"/>
        <v xml:space="preserve">강남구 </v>
      </c>
      <c r="G522" t="str">
        <f t="shared" si="26"/>
        <v>역삼동</v>
      </c>
      <c r="H522" t="s">
        <v>9930</v>
      </c>
      <c r="I522">
        <v>6234</v>
      </c>
    </row>
    <row r="523" spans="1:9" x14ac:dyDescent="0.4">
      <c r="A523">
        <v>3220000</v>
      </c>
      <c r="B523" t="s">
        <v>10352</v>
      </c>
      <c r="C523" s="1">
        <v>32622</v>
      </c>
      <c r="D523" t="s">
        <v>10353</v>
      </c>
      <c r="E523" t="str">
        <f t="shared" si="24"/>
        <v>서울특별시</v>
      </c>
      <c r="F523" t="str">
        <f t="shared" si="25"/>
        <v xml:space="preserve">강남구 </v>
      </c>
      <c r="G523" t="str">
        <f t="shared" si="26"/>
        <v>역삼동</v>
      </c>
      <c r="H523" t="s">
        <v>10354</v>
      </c>
      <c r="I523">
        <v>6234</v>
      </c>
    </row>
    <row r="524" spans="1:9" x14ac:dyDescent="0.4">
      <c r="A524">
        <v>3220000</v>
      </c>
      <c r="B524" t="s">
        <v>10229</v>
      </c>
      <c r="C524" s="1">
        <v>38566</v>
      </c>
      <c r="D524" t="s">
        <v>10230</v>
      </c>
      <c r="E524" t="str">
        <f t="shared" si="24"/>
        <v>서울특별시</v>
      </c>
      <c r="F524" t="str">
        <f t="shared" si="25"/>
        <v xml:space="preserve">강남구 </v>
      </c>
      <c r="G524" t="str">
        <f t="shared" si="26"/>
        <v>역삼동</v>
      </c>
      <c r="H524" t="s">
        <v>10231</v>
      </c>
      <c r="I524">
        <v>6234</v>
      </c>
    </row>
    <row r="525" spans="1:9" x14ac:dyDescent="0.4">
      <c r="A525">
        <v>3220000</v>
      </c>
      <c r="B525" t="s">
        <v>10116</v>
      </c>
      <c r="C525" s="1">
        <v>36928</v>
      </c>
      <c r="D525" t="s">
        <v>10117</v>
      </c>
      <c r="E525" t="str">
        <f t="shared" si="24"/>
        <v>서울특별시</v>
      </c>
      <c r="F525" t="str">
        <f t="shared" si="25"/>
        <v xml:space="preserve">강남구 </v>
      </c>
      <c r="G525" t="str">
        <f t="shared" si="26"/>
        <v>역삼동</v>
      </c>
    </row>
    <row r="526" spans="1:9" x14ac:dyDescent="0.4">
      <c r="A526">
        <v>3220000</v>
      </c>
      <c r="B526" t="s">
        <v>10223</v>
      </c>
      <c r="C526" s="1">
        <v>36613</v>
      </c>
      <c r="D526" t="s">
        <v>10117</v>
      </c>
      <c r="E526" t="str">
        <f t="shared" si="24"/>
        <v>서울특별시</v>
      </c>
      <c r="F526" t="str">
        <f t="shared" si="25"/>
        <v xml:space="preserve">강남구 </v>
      </c>
      <c r="G526" t="str">
        <f t="shared" si="26"/>
        <v>역삼동</v>
      </c>
    </row>
    <row r="527" spans="1:9" x14ac:dyDescent="0.4">
      <c r="A527">
        <v>3220000</v>
      </c>
      <c r="B527" t="s">
        <v>9921</v>
      </c>
      <c r="C527" s="1">
        <v>36761</v>
      </c>
      <c r="D527" t="s">
        <v>9922</v>
      </c>
      <c r="E527" t="str">
        <f t="shared" si="24"/>
        <v>서울특별시</v>
      </c>
      <c r="F527" t="str">
        <f t="shared" si="25"/>
        <v xml:space="preserve">강남구 </v>
      </c>
      <c r="G527" t="str">
        <f t="shared" si="26"/>
        <v>역삼동</v>
      </c>
    </row>
    <row r="528" spans="1:9" x14ac:dyDescent="0.4">
      <c r="A528">
        <v>3220000</v>
      </c>
      <c r="B528" t="s">
        <v>10673</v>
      </c>
      <c r="C528" s="1">
        <v>44176</v>
      </c>
      <c r="D528" t="s">
        <v>10674</v>
      </c>
      <c r="E528" t="str">
        <f t="shared" si="24"/>
        <v>서울특별시</v>
      </c>
      <c r="F528" t="str">
        <f t="shared" si="25"/>
        <v xml:space="preserve">강남구 </v>
      </c>
      <c r="G528" t="str">
        <f t="shared" si="26"/>
        <v>역삼동</v>
      </c>
      <c r="H528" t="s">
        <v>10675</v>
      </c>
      <c r="I528">
        <v>6234</v>
      </c>
    </row>
    <row r="529" spans="1:9" x14ac:dyDescent="0.4">
      <c r="A529">
        <v>3220000</v>
      </c>
      <c r="B529" t="s">
        <v>10294</v>
      </c>
      <c r="C529" s="1">
        <v>32335</v>
      </c>
      <c r="D529" t="s">
        <v>10295</v>
      </c>
      <c r="E529" t="str">
        <f t="shared" si="24"/>
        <v>서울특별시</v>
      </c>
      <c r="F529" t="str">
        <f t="shared" si="25"/>
        <v xml:space="preserve">강남구 </v>
      </c>
      <c r="G529" t="str">
        <f t="shared" si="26"/>
        <v>역삼동</v>
      </c>
    </row>
    <row r="530" spans="1:9" x14ac:dyDescent="0.4">
      <c r="A530">
        <v>3220000</v>
      </c>
      <c r="B530" t="s">
        <v>9566</v>
      </c>
      <c r="C530" s="1">
        <v>36532</v>
      </c>
      <c r="D530" t="s">
        <v>9567</v>
      </c>
      <c r="E530" t="str">
        <f t="shared" si="24"/>
        <v>서울특별시</v>
      </c>
      <c r="F530" t="str">
        <f t="shared" si="25"/>
        <v xml:space="preserve">강남구 </v>
      </c>
      <c r="G530" t="str">
        <f t="shared" si="26"/>
        <v>역삼동</v>
      </c>
    </row>
    <row r="531" spans="1:9" x14ac:dyDescent="0.4">
      <c r="A531">
        <v>3220000</v>
      </c>
      <c r="B531" t="s">
        <v>9568</v>
      </c>
      <c r="C531" s="1">
        <v>38132</v>
      </c>
      <c r="D531" t="s">
        <v>9569</v>
      </c>
      <c r="E531" t="str">
        <f t="shared" si="24"/>
        <v>서울특별시</v>
      </c>
      <c r="F531" t="str">
        <f t="shared" si="25"/>
        <v xml:space="preserve">강남구 </v>
      </c>
      <c r="G531" t="str">
        <f t="shared" si="26"/>
        <v>역삼동</v>
      </c>
      <c r="H531" t="s">
        <v>9570</v>
      </c>
      <c r="I531">
        <v>6234</v>
      </c>
    </row>
    <row r="532" spans="1:9" x14ac:dyDescent="0.4">
      <c r="A532">
        <v>3220000</v>
      </c>
      <c r="B532" t="s">
        <v>9859</v>
      </c>
      <c r="C532" s="1">
        <v>31776</v>
      </c>
      <c r="D532" t="s">
        <v>9860</v>
      </c>
      <c r="E532" t="str">
        <f t="shared" si="24"/>
        <v>서울특별시</v>
      </c>
      <c r="F532" t="str">
        <f t="shared" si="25"/>
        <v xml:space="preserve">강남구 </v>
      </c>
      <c r="G532" t="str">
        <f t="shared" si="26"/>
        <v>역삼동</v>
      </c>
      <c r="H532" t="s">
        <v>9861</v>
      </c>
      <c r="I532">
        <v>6234</v>
      </c>
    </row>
    <row r="533" spans="1:9" x14ac:dyDescent="0.4">
      <c r="A533">
        <v>3220000</v>
      </c>
      <c r="B533" t="s">
        <v>9723</v>
      </c>
      <c r="C533" s="1">
        <v>37113</v>
      </c>
      <c r="D533" t="s">
        <v>9724</v>
      </c>
      <c r="E533" t="str">
        <f t="shared" si="24"/>
        <v>서울특별시</v>
      </c>
      <c r="F533" t="str">
        <f t="shared" si="25"/>
        <v xml:space="preserve">강남구 </v>
      </c>
      <c r="G533" t="str">
        <f t="shared" si="26"/>
        <v>역삼동</v>
      </c>
      <c r="H533" t="s">
        <v>9725</v>
      </c>
      <c r="I533">
        <v>6234</v>
      </c>
    </row>
    <row r="534" spans="1:9" x14ac:dyDescent="0.4">
      <c r="A534">
        <v>3220000</v>
      </c>
      <c r="B534" t="s">
        <v>10079</v>
      </c>
      <c r="C534" s="1">
        <v>27486</v>
      </c>
      <c r="D534" t="s">
        <v>10080</v>
      </c>
      <c r="E534" t="str">
        <f t="shared" si="24"/>
        <v>서울특별시</v>
      </c>
      <c r="F534" t="str">
        <f t="shared" si="25"/>
        <v xml:space="preserve">강남구 </v>
      </c>
      <c r="G534" t="str">
        <f t="shared" si="26"/>
        <v>역삼동</v>
      </c>
    </row>
    <row r="535" spans="1:9" x14ac:dyDescent="0.4">
      <c r="A535">
        <v>3220000</v>
      </c>
      <c r="B535" t="s">
        <v>9527</v>
      </c>
      <c r="C535" s="1">
        <v>36497</v>
      </c>
      <c r="D535" t="s">
        <v>9528</v>
      </c>
      <c r="E535" t="str">
        <f t="shared" si="24"/>
        <v>서울특별시</v>
      </c>
      <c r="F535" t="str">
        <f t="shared" si="25"/>
        <v xml:space="preserve">강남구 </v>
      </c>
      <c r="G535" t="str">
        <f t="shared" si="26"/>
        <v>역삼동</v>
      </c>
      <c r="H535" t="s">
        <v>9529</v>
      </c>
      <c r="I535">
        <v>6234</v>
      </c>
    </row>
    <row r="536" spans="1:9" x14ac:dyDescent="0.4">
      <c r="A536">
        <v>3220000</v>
      </c>
      <c r="B536" t="s">
        <v>9827</v>
      </c>
      <c r="C536" s="1">
        <v>36497</v>
      </c>
      <c r="D536" t="s">
        <v>9828</v>
      </c>
      <c r="E536" t="str">
        <f t="shared" si="24"/>
        <v>서울특별시</v>
      </c>
      <c r="F536" t="str">
        <f t="shared" si="25"/>
        <v xml:space="preserve">강남구 </v>
      </c>
      <c r="G536" t="str">
        <f t="shared" si="26"/>
        <v>역삼동</v>
      </c>
      <c r="H536" t="s">
        <v>9829</v>
      </c>
      <c r="I536">
        <v>6234</v>
      </c>
    </row>
    <row r="537" spans="1:9" x14ac:dyDescent="0.4">
      <c r="A537">
        <v>3220000</v>
      </c>
      <c r="B537" t="s">
        <v>9918</v>
      </c>
      <c r="C537" s="1">
        <v>36747</v>
      </c>
      <c r="D537" t="s">
        <v>9919</v>
      </c>
      <c r="E537" t="str">
        <f t="shared" si="24"/>
        <v>서울특별시</v>
      </c>
      <c r="F537" t="str">
        <f t="shared" si="25"/>
        <v xml:space="preserve">강남구 </v>
      </c>
      <c r="G537" t="str">
        <f t="shared" si="26"/>
        <v>역삼동</v>
      </c>
      <c r="H537" t="s">
        <v>9920</v>
      </c>
      <c r="I537">
        <v>6234</v>
      </c>
    </row>
    <row r="538" spans="1:9" x14ac:dyDescent="0.4">
      <c r="A538">
        <v>3220000</v>
      </c>
      <c r="B538" t="s">
        <v>11042</v>
      </c>
      <c r="C538" s="1">
        <v>45475</v>
      </c>
      <c r="D538" t="s">
        <v>11043</v>
      </c>
      <c r="E538" t="str">
        <f t="shared" si="24"/>
        <v>서울특별시</v>
      </c>
      <c r="F538" t="str">
        <f t="shared" si="25"/>
        <v xml:space="preserve">강남구 </v>
      </c>
      <c r="G538" t="str">
        <f t="shared" si="26"/>
        <v>역삼동</v>
      </c>
      <c r="H538" t="s">
        <v>11044</v>
      </c>
      <c r="I538">
        <v>6234</v>
      </c>
    </row>
    <row r="539" spans="1:9" x14ac:dyDescent="0.4">
      <c r="A539">
        <v>3220000</v>
      </c>
      <c r="B539" t="s">
        <v>10070</v>
      </c>
      <c r="C539" s="1">
        <v>33757</v>
      </c>
      <c r="D539" t="s">
        <v>10071</v>
      </c>
      <c r="E539" t="str">
        <f t="shared" si="24"/>
        <v>서울특별시</v>
      </c>
      <c r="F539" t="str">
        <f t="shared" si="25"/>
        <v xml:space="preserve">강남구 </v>
      </c>
      <c r="G539" t="str">
        <f t="shared" si="26"/>
        <v>역삼동</v>
      </c>
      <c r="H539" t="s">
        <v>10072</v>
      </c>
      <c r="I539">
        <v>6234</v>
      </c>
    </row>
    <row r="540" spans="1:9" x14ac:dyDescent="0.4">
      <c r="A540">
        <v>3220000</v>
      </c>
      <c r="B540" t="s">
        <v>9635</v>
      </c>
      <c r="C540" s="1">
        <v>36675</v>
      </c>
      <c r="D540" t="s">
        <v>9636</v>
      </c>
      <c r="E540" t="str">
        <f t="shared" si="24"/>
        <v>서울특별시</v>
      </c>
      <c r="F540" t="str">
        <f t="shared" si="25"/>
        <v xml:space="preserve">강남구 </v>
      </c>
      <c r="G540" t="str">
        <f t="shared" si="26"/>
        <v>역삼동</v>
      </c>
      <c r="H540" t="s">
        <v>9637</v>
      </c>
      <c r="I540">
        <v>6234</v>
      </c>
    </row>
    <row r="541" spans="1:9" x14ac:dyDescent="0.4">
      <c r="A541">
        <v>3220000</v>
      </c>
      <c r="B541" t="s">
        <v>9716</v>
      </c>
      <c r="C541" s="1">
        <v>32758</v>
      </c>
      <c r="D541" t="s">
        <v>9636</v>
      </c>
      <c r="E541" t="str">
        <f t="shared" si="24"/>
        <v>서울특별시</v>
      </c>
      <c r="F541" t="str">
        <f t="shared" si="25"/>
        <v xml:space="preserve">강남구 </v>
      </c>
      <c r="G541" t="str">
        <f t="shared" si="26"/>
        <v>역삼동</v>
      </c>
    </row>
    <row r="542" spans="1:9" x14ac:dyDescent="0.4">
      <c r="A542">
        <v>3220000</v>
      </c>
      <c r="B542" t="s">
        <v>9663</v>
      </c>
      <c r="C542" s="1">
        <v>40438</v>
      </c>
      <c r="D542" t="s">
        <v>9664</v>
      </c>
      <c r="E542" t="str">
        <f t="shared" si="24"/>
        <v>서울특별시</v>
      </c>
      <c r="F542" t="str">
        <f t="shared" si="25"/>
        <v xml:space="preserve">강남구 </v>
      </c>
      <c r="G542" t="str">
        <f t="shared" si="26"/>
        <v>역삼동</v>
      </c>
      <c r="H542" t="s">
        <v>9665</v>
      </c>
      <c r="I542">
        <v>6234</v>
      </c>
    </row>
    <row r="543" spans="1:9" x14ac:dyDescent="0.4">
      <c r="A543">
        <v>3220000</v>
      </c>
      <c r="B543" t="s">
        <v>10167</v>
      </c>
      <c r="C543" s="1">
        <v>30999</v>
      </c>
      <c r="D543" t="s">
        <v>10168</v>
      </c>
      <c r="E543" t="str">
        <f t="shared" si="24"/>
        <v>서울특별시</v>
      </c>
      <c r="F543" t="str">
        <f t="shared" si="25"/>
        <v xml:space="preserve">강남구 </v>
      </c>
      <c r="G543" t="str">
        <f t="shared" si="26"/>
        <v>역삼동</v>
      </c>
    </row>
    <row r="544" spans="1:9" x14ac:dyDescent="0.4">
      <c r="A544">
        <v>3220000</v>
      </c>
      <c r="B544" t="s">
        <v>10298</v>
      </c>
      <c r="C544" s="1">
        <v>40225</v>
      </c>
      <c r="D544" t="s">
        <v>10299</v>
      </c>
      <c r="E544" t="str">
        <f t="shared" si="24"/>
        <v>서울특별시</v>
      </c>
      <c r="F544" t="str">
        <f t="shared" si="25"/>
        <v xml:space="preserve">강남구 </v>
      </c>
      <c r="G544" t="str">
        <f t="shared" si="26"/>
        <v>역삼동</v>
      </c>
      <c r="H544" t="s">
        <v>10300</v>
      </c>
      <c r="I544">
        <v>6234</v>
      </c>
    </row>
    <row r="545" spans="1:9" x14ac:dyDescent="0.4">
      <c r="A545">
        <v>3220000</v>
      </c>
      <c r="B545" t="s">
        <v>9998</v>
      </c>
      <c r="C545" s="1">
        <v>40163</v>
      </c>
      <c r="D545" t="s">
        <v>9999</v>
      </c>
      <c r="E545" t="str">
        <f t="shared" si="24"/>
        <v>서울특별시</v>
      </c>
      <c r="F545" t="str">
        <f t="shared" si="25"/>
        <v xml:space="preserve">강남구 </v>
      </c>
      <c r="G545" t="str">
        <f t="shared" si="26"/>
        <v>역삼동</v>
      </c>
      <c r="H545" t="s">
        <v>10000</v>
      </c>
      <c r="I545">
        <v>6234</v>
      </c>
    </row>
    <row r="546" spans="1:9" x14ac:dyDescent="0.4">
      <c r="A546">
        <v>3220000</v>
      </c>
      <c r="B546" t="s">
        <v>10342</v>
      </c>
      <c r="C546" s="1">
        <v>32504</v>
      </c>
      <c r="D546" t="s">
        <v>10343</v>
      </c>
      <c r="E546" t="str">
        <f t="shared" si="24"/>
        <v>서울특별시</v>
      </c>
      <c r="F546" t="str">
        <f t="shared" si="25"/>
        <v xml:space="preserve">강남구 </v>
      </c>
      <c r="G546" t="str">
        <f t="shared" si="26"/>
        <v>역삼동</v>
      </c>
      <c r="H546" t="s">
        <v>10344</v>
      </c>
      <c r="I546">
        <v>6234</v>
      </c>
    </row>
    <row r="547" spans="1:9" x14ac:dyDescent="0.4">
      <c r="A547">
        <v>3220000</v>
      </c>
      <c r="B547" t="s">
        <v>9608</v>
      </c>
      <c r="C547" s="1">
        <v>39638</v>
      </c>
      <c r="D547" t="s">
        <v>9609</v>
      </c>
      <c r="E547" t="str">
        <f t="shared" si="24"/>
        <v>서울특별시</v>
      </c>
      <c r="F547" t="str">
        <f t="shared" si="25"/>
        <v xml:space="preserve">강남구 </v>
      </c>
      <c r="G547" t="str">
        <f t="shared" si="26"/>
        <v>역삼동</v>
      </c>
    </row>
    <row r="548" spans="1:9" x14ac:dyDescent="0.4">
      <c r="A548">
        <v>3220000</v>
      </c>
      <c r="B548" t="s">
        <v>9483</v>
      </c>
      <c r="C548" s="1">
        <v>39274</v>
      </c>
      <c r="D548" t="s">
        <v>9484</v>
      </c>
      <c r="E548" t="str">
        <f t="shared" si="24"/>
        <v>서울특별시</v>
      </c>
      <c r="F548" t="str">
        <f t="shared" si="25"/>
        <v xml:space="preserve">강남구 </v>
      </c>
      <c r="G548" t="str">
        <f t="shared" si="26"/>
        <v>역삼동</v>
      </c>
    </row>
    <row r="549" spans="1:9" x14ac:dyDescent="0.4">
      <c r="A549">
        <v>3220000</v>
      </c>
      <c r="B549" t="s">
        <v>9653</v>
      </c>
      <c r="C549" s="1">
        <v>37088</v>
      </c>
      <c r="D549" t="s">
        <v>9484</v>
      </c>
      <c r="E549" t="str">
        <f t="shared" si="24"/>
        <v>서울특별시</v>
      </c>
      <c r="F549" t="str">
        <f t="shared" si="25"/>
        <v xml:space="preserve">강남구 </v>
      </c>
      <c r="G549" t="str">
        <f t="shared" si="26"/>
        <v>역삼동</v>
      </c>
    </row>
    <row r="550" spans="1:9" x14ac:dyDescent="0.4">
      <c r="A550">
        <v>3220000</v>
      </c>
      <c r="B550" t="s">
        <v>10754</v>
      </c>
      <c r="C550" s="1">
        <v>37497</v>
      </c>
      <c r="D550" t="s">
        <v>10755</v>
      </c>
      <c r="E550" t="str">
        <f t="shared" si="24"/>
        <v>서울특별시</v>
      </c>
      <c r="F550" t="str">
        <f t="shared" si="25"/>
        <v xml:space="preserve">강남구 </v>
      </c>
      <c r="G550" t="str">
        <f t="shared" si="26"/>
        <v>역삼동</v>
      </c>
      <c r="H550" t="s">
        <v>10756</v>
      </c>
      <c r="I550">
        <v>6233</v>
      </c>
    </row>
    <row r="551" spans="1:9" x14ac:dyDescent="0.4">
      <c r="A551">
        <v>3220000</v>
      </c>
      <c r="B551" t="s">
        <v>10437</v>
      </c>
      <c r="C551" s="1">
        <v>36810</v>
      </c>
      <c r="D551" t="s">
        <v>10438</v>
      </c>
      <c r="E551" t="str">
        <f t="shared" si="24"/>
        <v>서울특별시</v>
      </c>
      <c r="F551" t="str">
        <f t="shared" si="25"/>
        <v xml:space="preserve">강남구 </v>
      </c>
      <c r="G551" t="str">
        <f t="shared" si="26"/>
        <v>역삼동</v>
      </c>
      <c r="H551" t="s">
        <v>10439</v>
      </c>
      <c r="I551">
        <v>6233</v>
      </c>
    </row>
    <row r="552" spans="1:9" x14ac:dyDescent="0.4">
      <c r="A552">
        <v>3220000</v>
      </c>
      <c r="B552" t="s">
        <v>10347</v>
      </c>
      <c r="C552" s="1">
        <v>32543</v>
      </c>
      <c r="D552" t="s">
        <v>10348</v>
      </c>
      <c r="E552" t="str">
        <f t="shared" si="24"/>
        <v>서울특별시</v>
      </c>
      <c r="F552" t="str">
        <f t="shared" si="25"/>
        <v xml:space="preserve">강남구 </v>
      </c>
      <c r="G552" t="str">
        <f t="shared" si="26"/>
        <v>역삼동</v>
      </c>
    </row>
    <row r="553" spans="1:9" x14ac:dyDescent="0.4">
      <c r="A553">
        <v>3220000</v>
      </c>
      <c r="B553" t="s">
        <v>10609</v>
      </c>
      <c r="C553" s="1">
        <v>32622</v>
      </c>
      <c r="D553" t="s">
        <v>10610</v>
      </c>
      <c r="E553" t="str">
        <f t="shared" si="24"/>
        <v>서울특별시</v>
      </c>
      <c r="F553" t="str">
        <f t="shared" si="25"/>
        <v xml:space="preserve">강남구 </v>
      </c>
      <c r="G553" t="str">
        <f t="shared" si="26"/>
        <v>역삼동</v>
      </c>
    </row>
    <row r="554" spans="1:9" x14ac:dyDescent="0.4">
      <c r="A554">
        <v>3220000</v>
      </c>
      <c r="B554" t="s">
        <v>10654</v>
      </c>
      <c r="C554" s="1">
        <v>43321</v>
      </c>
      <c r="D554" t="s">
        <v>10655</v>
      </c>
      <c r="E554" t="str">
        <f t="shared" si="24"/>
        <v>서울특별시</v>
      </c>
      <c r="F554" t="str">
        <f t="shared" si="25"/>
        <v xml:space="preserve">강남구 </v>
      </c>
      <c r="G554" t="str">
        <f t="shared" si="26"/>
        <v>역삼동</v>
      </c>
      <c r="H554" t="s">
        <v>10656</v>
      </c>
      <c r="I554">
        <v>6233</v>
      </c>
    </row>
    <row r="555" spans="1:9" x14ac:dyDescent="0.4">
      <c r="A555">
        <v>3220000</v>
      </c>
      <c r="B555" t="s">
        <v>225</v>
      </c>
      <c r="C555" s="1">
        <v>39860</v>
      </c>
      <c r="D555" t="s">
        <v>226</v>
      </c>
      <c r="E555" t="str">
        <f t="shared" si="24"/>
        <v>서울특별시</v>
      </c>
      <c r="F555" t="str">
        <f t="shared" si="25"/>
        <v xml:space="preserve">강남구 </v>
      </c>
      <c r="G555" t="str">
        <f t="shared" si="26"/>
        <v>역삼동</v>
      </c>
      <c r="H555" t="s">
        <v>227</v>
      </c>
      <c r="I555">
        <v>6233</v>
      </c>
    </row>
    <row r="556" spans="1:9" x14ac:dyDescent="0.4">
      <c r="A556">
        <v>3220000</v>
      </c>
      <c r="B556" t="s">
        <v>39</v>
      </c>
      <c r="C556" s="1">
        <v>39860</v>
      </c>
      <c r="D556" t="s">
        <v>40</v>
      </c>
      <c r="E556" t="str">
        <f t="shared" si="24"/>
        <v>서울특별시</v>
      </c>
      <c r="F556" t="str">
        <f t="shared" si="25"/>
        <v xml:space="preserve">강남구 </v>
      </c>
      <c r="G556" t="str">
        <f t="shared" si="26"/>
        <v>역삼동</v>
      </c>
      <c r="H556" t="s">
        <v>41</v>
      </c>
      <c r="I556">
        <v>6233</v>
      </c>
    </row>
    <row r="557" spans="1:9" x14ac:dyDescent="0.4">
      <c r="A557">
        <v>3220000</v>
      </c>
      <c r="B557" t="s">
        <v>10633</v>
      </c>
      <c r="C557" s="1">
        <v>33282</v>
      </c>
      <c r="D557" t="s">
        <v>10634</v>
      </c>
      <c r="E557" t="str">
        <f t="shared" si="24"/>
        <v>서울특별시</v>
      </c>
      <c r="F557" t="str">
        <f t="shared" si="25"/>
        <v xml:space="preserve">강남구 </v>
      </c>
      <c r="G557" t="str">
        <f t="shared" si="26"/>
        <v>역삼동</v>
      </c>
      <c r="H557" t="s">
        <v>10635</v>
      </c>
      <c r="I557">
        <v>6233</v>
      </c>
    </row>
    <row r="558" spans="1:9" x14ac:dyDescent="0.4">
      <c r="A558">
        <v>3220000</v>
      </c>
      <c r="B558" t="s">
        <v>10705</v>
      </c>
      <c r="C558" s="1">
        <v>42466</v>
      </c>
      <c r="D558" t="s">
        <v>10634</v>
      </c>
      <c r="E558" t="str">
        <f t="shared" si="24"/>
        <v>서울특별시</v>
      </c>
      <c r="F558" t="str">
        <f t="shared" si="25"/>
        <v xml:space="preserve">강남구 </v>
      </c>
      <c r="G558" t="str">
        <f t="shared" si="26"/>
        <v>역삼동</v>
      </c>
      <c r="H558" t="s">
        <v>10706</v>
      </c>
      <c r="I558">
        <v>6233</v>
      </c>
    </row>
    <row r="559" spans="1:9" x14ac:dyDescent="0.4">
      <c r="A559">
        <v>3220000</v>
      </c>
      <c r="B559" t="s">
        <v>9561</v>
      </c>
      <c r="C559" s="1">
        <v>31146</v>
      </c>
      <c r="D559" t="s">
        <v>9562</v>
      </c>
      <c r="E559" t="str">
        <f t="shared" si="24"/>
        <v>서울특별시</v>
      </c>
      <c r="F559" t="str">
        <f t="shared" si="25"/>
        <v xml:space="preserve">강남구 </v>
      </c>
      <c r="G559" t="str">
        <f t="shared" si="26"/>
        <v>역삼동</v>
      </c>
    </row>
    <row r="560" spans="1:9" x14ac:dyDescent="0.4">
      <c r="A560">
        <v>3220000</v>
      </c>
      <c r="B560" t="s">
        <v>9985</v>
      </c>
      <c r="C560" s="1">
        <v>30818</v>
      </c>
      <c r="D560" t="s">
        <v>9986</v>
      </c>
      <c r="E560" t="str">
        <f t="shared" si="24"/>
        <v>서울특별시</v>
      </c>
      <c r="F560" t="str">
        <f t="shared" si="25"/>
        <v xml:space="preserve">강남구 </v>
      </c>
      <c r="G560" t="str">
        <f t="shared" si="26"/>
        <v>역삼동</v>
      </c>
    </row>
    <row r="561" spans="1:9" x14ac:dyDescent="0.4">
      <c r="A561">
        <v>3220000</v>
      </c>
      <c r="B561" t="s">
        <v>10624</v>
      </c>
      <c r="C561" s="1">
        <v>29355</v>
      </c>
      <c r="D561" t="s">
        <v>10625</v>
      </c>
      <c r="E561" t="str">
        <f t="shared" si="24"/>
        <v>서울특별시</v>
      </c>
      <c r="F561" t="str">
        <f t="shared" si="25"/>
        <v xml:space="preserve">강남구 </v>
      </c>
      <c r="G561" t="str">
        <f t="shared" si="26"/>
        <v>역삼동</v>
      </c>
      <c r="H561" t="s">
        <v>10626</v>
      </c>
      <c r="I561">
        <v>6232</v>
      </c>
    </row>
    <row r="562" spans="1:9" x14ac:dyDescent="0.4">
      <c r="A562">
        <v>3220000</v>
      </c>
      <c r="B562" t="s">
        <v>10420</v>
      </c>
      <c r="C562" s="1">
        <v>30398</v>
      </c>
      <c r="D562" t="s">
        <v>10421</v>
      </c>
      <c r="E562" t="str">
        <f t="shared" si="24"/>
        <v>서울특별시</v>
      </c>
      <c r="F562" t="str">
        <f t="shared" si="25"/>
        <v xml:space="preserve">강남구 </v>
      </c>
      <c r="G562" t="str">
        <f t="shared" si="26"/>
        <v>역삼동</v>
      </c>
    </row>
    <row r="563" spans="1:9" x14ac:dyDescent="0.4">
      <c r="A563">
        <v>3220000</v>
      </c>
      <c r="B563" t="s">
        <v>9646</v>
      </c>
      <c r="C563" s="1">
        <v>37195</v>
      </c>
      <c r="D563" t="s">
        <v>9647</v>
      </c>
      <c r="E563" t="str">
        <f t="shared" si="24"/>
        <v>서울특별시</v>
      </c>
      <c r="F563" t="str">
        <f t="shared" si="25"/>
        <v xml:space="preserve">강남구 </v>
      </c>
      <c r="G563" t="str">
        <f t="shared" si="26"/>
        <v>역삼동</v>
      </c>
    </row>
    <row r="564" spans="1:9" x14ac:dyDescent="0.4">
      <c r="A564">
        <v>3220000</v>
      </c>
      <c r="B564" t="s">
        <v>10104</v>
      </c>
      <c r="C564" s="1">
        <v>42255</v>
      </c>
      <c r="D564" t="s">
        <v>10105</v>
      </c>
      <c r="E564" t="str">
        <f t="shared" si="24"/>
        <v>서울특별시</v>
      </c>
      <c r="F564" t="str">
        <f t="shared" si="25"/>
        <v xml:space="preserve">강남구 </v>
      </c>
      <c r="G564" t="str">
        <f t="shared" si="26"/>
        <v>역삼동</v>
      </c>
      <c r="H564" t="s">
        <v>10106</v>
      </c>
      <c r="I564">
        <v>6232</v>
      </c>
    </row>
    <row r="565" spans="1:9" x14ac:dyDescent="0.4">
      <c r="A565">
        <v>3220000</v>
      </c>
      <c r="B565" t="s">
        <v>10260</v>
      </c>
      <c r="C565" s="1">
        <v>30751</v>
      </c>
      <c r="D565" t="s">
        <v>10261</v>
      </c>
      <c r="E565" t="str">
        <f t="shared" si="24"/>
        <v>서울특별시</v>
      </c>
      <c r="F565" t="str">
        <f t="shared" si="25"/>
        <v xml:space="preserve">강남구 </v>
      </c>
      <c r="G565" t="str">
        <f t="shared" si="26"/>
        <v>역삼동</v>
      </c>
    </row>
    <row r="566" spans="1:9" x14ac:dyDescent="0.4">
      <c r="A566">
        <v>3220000</v>
      </c>
      <c r="B566" t="s">
        <v>9555</v>
      </c>
      <c r="C566" s="1">
        <v>39612</v>
      </c>
      <c r="D566" t="s">
        <v>9556</v>
      </c>
      <c r="E566" t="str">
        <f t="shared" si="24"/>
        <v>서울특별시</v>
      </c>
      <c r="F566" t="str">
        <f t="shared" si="25"/>
        <v xml:space="preserve">강남구 </v>
      </c>
      <c r="G566" t="str">
        <f t="shared" si="26"/>
        <v>역삼동</v>
      </c>
      <c r="H566" t="s">
        <v>9557</v>
      </c>
      <c r="I566">
        <v>6232</v>
      </c>
    </row>
    <row r="567" spans="1:9" x14ac:dyDescent="0.4">
      <c r="A567">
        <v>3220000</v>
      </c>
      <c r="B567" t="s">
        <v>10031</v>
      </c>
      <c r="C567" s="1">
        <v>44538</v>
      </c>
      <c r="D567" t="s">
        <v>10032</v>
      </c>
      <c r="E567" t="str">
        <f t="shared" si="24"/>
        <v>서울특별시</v>
      </c>
      <c r="F567" t="str">
        <f t="shared" si="25"/>
        <v xml:space="preserve">강남구 </v>
      </c>
      <c r="G567" t="str">
        <f t="shared" si="26"/>
        <v>역삼동</v>
      </c>
      <c r="H567" t="s">
        <v>10033</v>
      </c>
      <c r="I567">
        <v>6232</v>
      </c>
    </row>
    <row r="568" spans="1:9" x14ac:dyDescent="0.4">
      <c r="A568">
        <v>3220000</v>
      </c>
      <c r="B568" t="s">
        <v>9969</v>
      </c>
      <c r="C568" s="1">
        <v>37522</v>
      </c>
      <c r="D568" t="s">
        <v>9970</v>
      </c>
      <c r="E568" t="str">
        <f t="shared" si="24"/>
        <v>서울특별시</v>
      </c>
      <c r="F568" t="str">
        <f t="shared" si="25"/>
        <v xml:space="preserve">강남구 </v>
      </c>
      <c r="G568" t="str">
        <f t="shared" si="26"/>
        <v>역삼동</v>
      </c>
      <c r="H568" t="s">
        <v>9971</v>
      </c>
      <c r="I568">
        <v>6232</v>
      </c>
    </row>
    <row r="569" spans="1:9" x14ac:dyDescent="0.4">
      <c r="A569">
        <v>3220000</v>
      </c>
      <c r="B569" t="s">
        <v>10051</v>
      </c>
      <c r="C569" s="1">
        <v>33429</v>
      </c>
      <c r="D569" t="s">
        <v>10052</v>
      </c>
      <c r="E569" t="str">
        <f t="shared" si="24"/>
        <v>서울특별시</v>
      </c>
      <c r="F569" t="str">
        <f t="shared" si="25"/>
        <v xml:space="preserve">강남구 </v>
      </c>
      <c r="G569" t="str">
        <f t="shared" si="26"/>
        <v>역삼동</v>
      </c>
      <c r="H569" t="s">
        <v>10053</v>
      </c>
      <c r="I569">
        <v>6232</v>
      </c>
    </row>
    <row r="570" spans="1:9" x14ac:dyDescent="0.4">
      <c r="A570">
        <v>3220000</v>
      </c>
      <c r="B570" t="s">
        <v>10122</v>
      </c>
      <c r="C570" s="1">
        <v>30403</v>
      </c>
      <c r="D570" t="s">
        <v>10123</v>
      </c>
      <c r="E570" t="str">
        <f t="shared" si="24"/>
        <v>서울특별시</v>
      </c>
      <c r="F570" t="str">
        <f t="shared" si="25"/>
        <v xml:space="preserve">강남구 </v>
      </c>
      <c r="G570" t="str">
        <f t="shared" si="26"/>
        <v>역삼동</v>
      </c>
    </row>
    <row r="571" spans="1:9" x14ac:dyDescent="0.4">
      <c r="A571">
        <v>3220000</v>
      </c>
      <c r="B571" t="s">
        <v>9868</v>
      </c>
      <c r="C571" s="1">
        <v>40952</v>
      </c>
      <c r="D571" t="s">
        <v>9869</v>
      </c>
      <c r="E571" t="str">
        <f t="shared" si="24"/>
        <v>서울특별시</v>
      </c>
      <c r="F571" t="str">
        <f t="shared" si="25"/>
        <v xml:space="preserve">강남구 </v>
      </c>
      <c r="G571" t="str">
        <f t="shared" si="26"/>
        <v>역삼동</v>
      </c>
      <c r="H571" t="s">
        <v>9870</v>
      </c>
    </row>
    <row r="572" spans="1:9" x14ac:dyDescent="0.4">
      <c r="A572">
        <v>3220000</v>
      </c>
      <c r="B572" t="s">
        <v>9672</v>
      </c>
      <c r="C572" s="1">
        <v>37680</v>
      </c>
      <c r="D572" t="s">
        <v>9673</v>
      </c>
      <c r="E572" t="str">
        <f t="shared" si="24"/>
        <v>서울특별시</v>
      </c>
      <c r="F572" t="str">
        <f t="shared" si="25"/>
        <v xml:space="preserve">강남구 </v>
      </c>
      <c r="G572" t="str">
        <f t="shared" si="26"/>
        <v>역삼동</v>
      </c>
    </row>
    <row r="573" spans="1:9" x14ac:dyDescent="0.4">
      <c r="A573">
        <v>3220000</v>
      </c>
      <c r="B573" t="s">
        <v>9938</v>
      </c>
      <c r="C573" s="1">
        <v>38030</v>
      </c>
      <c r="D573" t="s">
        <v>9673</v>
      </c>
      <c r="E573" t="str">
        <f t="shared" si="24"/>
        <v>서울특별시</v>
      </c>
      <c r="F573" t="str">
        <f t="shared" si="25"/>
        <v xml:space="preserve">강남구 </v>
      </c>
      <c r="G573" t="str">
        <f t="shared" si="26"/>
        <v>역삼동</v>
      </c>
    </row>
    <row r="574" spans="1:9" x14ac:dyDescent="0.4">
      <c r="A574">
        <v>3220000</v>
      </c>
      <c r="B574" t="s">
        <v>10179</v>
      </c>
      <c r="C574" s="1">
        <v>31044</v>
      </c>
      <c r="D574" t="s">
        <v>10180</v>
      </c>
      <c r="E574" t="str">
        <f t="shared" si="24"/>
        <v>서울특별시</v>
      </c>
      <c r="F574" t="str">
        <f t="shared" si="25"/>
        <v xml:space="preserve">강남구 </v>
      </c>
      <c r="G574" t="str">
        <f t="shared" si="26"/>
        <v>역삼동</v>
      </c>
      <c r="H574" t="s">
        <v>10181</v>
      </c>
      <c r="I574">
        <v>6241</v>
      </c>
    </row>
    <row r="575" spans="1:9" x14ac:dyDescent="0.4">
      <c r="A575">
        <v>3220000</v>
      </c>
      <c r="B575" t="s">
        <v>9773</v>
      </c>
      <c r="C575" s="1">
        <v>37446</v>
      </c>
      <c r="D575" t="s">
        <v>9774</v>
      </c>
      <c r="E575" t="str">
        <f t="shared" si="24"/>
        <v>서울특별시</v>
      </c>
      <c r="F575" t="str">
        <f t="shared" si="25"/>
        <v xml:space="preserve">강남구 </v>
      </c>
      <c r="G575" t="str">
        <f t="shared" si="26"/>
        <v>역삼동</v>
      </c>
    </row>
    <row r="576" spans="1:9" x14ac:dyDescent="0.4">
      <c r="A576">
        <v>3220000</v>
      </c>
      <c r="B576" t="s">
        <v>10066</v>
      </c>
      <c r="C576" s="1">
        <v>33602</v>
      </c>
      <c r="D576" t="s">
        <v>10067</v>
      </c>
      <c r="E576" t="str">
        <f t="shared" si="24"/>
        <v>서울특별시</v>
      </c>
      <c r="F576" t="str">
        <f t="shared" si="25"/>
        <v xml:space="preserve">강남구 </v>
      </c>
      <c r="G576" t="str">
        <f t="shared" si="26"/>
        <v>역삼동</v>
      </c>
    </row>
    <row r="577" spans="1:9" x14ac:dyDescent="0.4">
      <c r="A577">
        <v>3220000</v>
      </c>
      <c r="B577" t="s">
        <v>10372</v>
      </c>
      <c r="C577" s="1">
        <v>32049</v>
      </c>
      <c r="D577" t="s">
        <v>10067</v>
      </c>
      <c r="E577" t="str">
        <f t="shared" si="24"/>
        <v>서울특별시</v>
      </c>
      <c r="F577" t="str">
        <f t="shared" si="25"/>
        <v xml:space="preserve">강남구 </v>
      </c>
      <c r="G577" t="str">
        <f t="shared" si="26"/>
        <v>역삼동</v>
      </c>
    </row>
    <row r="578" spans="1:9" x14ac:dyDescent="0.4">
      <c r="A578">
        <v>3220000</v>
      </c>
      <c r="B578" t="s">
        <v>10751</v>
      </c>
      <c r="C578" s="1">
        <v>36756</v>
      </c>
      <c r="D578" t="s">
        <v>10752</v>
      </c>
      <c r="E578" t="str">
        <f t="shared" si="24"/>
        <v>서울특별시</v>
      </c>
      <c r="F578" t="str">
        <f t="shared" si="25"/>
        <v xml:space="preserve">강남구 </v>
      </c>
      <c r="G578" t="str">
        <f t="shared" si="26"/>
        <v>역삼동</v>
      </c>
      <c r="H578" t="s">
        <v>10753</v>
      </c>
      <c r="I578">
        <v>6241</v>
      </c>
    </row>
    <row r="579" spans="1:9" x14ac:dyDescent="0.4">
      <c r="A579">
        <v>3220000</v>
      </c>
      <c r="B579" t="s">
        <v>11003</v>
      </c>
      <c r="C579" s="1">
        <v>43572</v>
      </c>
      <c r="D579" t="s">
        <v>11004</v>
      </c>
      <c r="E579" t="str">
        <f t="shared" ref="E579:E642" si="27">LEFT(D579,5)</f>
        <v>서울특별시</v>
      </c>
      <c r="F579" t="str">
        <f t="shared" ref="F579:F642" si="28">MID(D579,7,4)</f>
        <v xml:space="preserve">강남구 </v>
      </c>
      <c r="G579" t="str">
        <f t="shared" ref="G579:G642" si="29">MID(SUBSTITUTE(D579," ",""),9,3)</f>
        <v>역삼동</v>
      </c>
      <c r="H579" t="s">
        <v>11005</v>
      </c>
      <c r="I579">
        <v>6241</v>
      </c>
    </row>
    <row r="580" spans="1:9" x14ac:dyDescent="0.4">
      <c r="A580">
        <v>3220000</v>
      </c>
      <c r="B580" t="s">
        <v>9678</v>
      </c>
      <c r="C580" s="1">
        <v>37256</v>
      </c>
      <c r="D580" t="s">
        <v>9679</v>
      </c>
      <c r="E580" t="str">
        <f t="shared" si="27"/>
        <v>서울특별시</v>
      </c>
      <c r="F580" t="str">
        <f t="shared" si="28"/>
        <v xml:space="preserve">강남구 </v>
      </c>
      <c r="G580" t="str">
        <f t="shared" si="29"/>
        <v>역삼동</v>
      </c>
      <c r="H580" t="s">
        <v>9680</v>
      </c>
      <c r="I580">
        <v>6241</v>
      </c>
    </row>
    <row r="581" spans="1:9" x14ac:dyDescent="0.4">
      <c r="A581">
        <v>3220000</v>
      </c>
      <c r="B581" t="s">
        <v>10061</v>
      </c>
      <c r="C581" s="1">
        <v>41982</v>
      </c>
      <c r="D581" t="s">
        <v>10062</v>
      </c>
      <c r="E581" t="str">
        <f t="shared" si="27"/>
        <v>서울특별시</v>
      </c>
      <c r="F581" t="str">
        <f t="shared" si="28"/>
        <v xml:space="preserve">강남구 </v>
      </c>
      <c r="G581" t="str">
        <f t="shared" si="29"/>
        <v>역삼동</v>
      </c>
      <c r="H581" t="s">
        <v>10063</v>
      </c>
      <c r="I581">
        <v>6241</v>
      </c>
    </row>
    <row r="582" spans="1:9" x14ac:dyDescent="0.4">
      <c r="A582">
        <v>3220000</v>
      </c>
      <c r="B582" t="s">
        <v>10190</v>
      </c>
      <c r="C582" s="1">
        <v>30820</v>
      </c>
      <c r="D582" t="s">
        <v>10191</v>
      </c>
      <c r="E582" t="str">
        <f t="shared" si="27"/>
        <v>서울특별시</v>
      </c>
      <c r="F582" t="str">
        <f t="shared" si="28"/>
        <v xml:space="preserve">강남구 </v>
      </c>
      <c r="G582" t="str">
        <f t="shared" si="29"/>
        <v>역삼동</v>
      </c>
      <c r="H582" t="s">
        <v>10192</v>
      </c>
      <c r="I582">
        <v>6241</v>
      </c>
    </row>
    <row r="583" spans="1:9" x14ac:dyDescent="0.4">
      <c r="A583">
        <v>3220000</v>
      </c>
      <c r="B583" t="s">
        <v>10973</v>
      </c>
      <c r="C583" s="1">
        <v>36546</v>
      </c>
      <c r="D583" t="s">
        <v>10974</v>
      </c>
      <c r="E583" t="str">
        <f t="shared" si="27"/>
        <v>서울특별시</v>
      </c>
      <c r="F583" t="str">
        <f t="shared" si="28"/>
        <v xml:space="preserve">강남구 </v>
      </c>
      <c r="G583" t="str">
        <f t="shared" si="29"/>
        <v>역삼동</v>
      </c>
      <c r="H583" t="s">
        <v>10975</v>
      </c>
      <c r="I583">
        <v>6241</v>
      </c>
    </row>
    <row r="584" spans="1:9" x14ac:dyDescent="0.4">
      <c r="A584">
        <v>3220000</v>
      </c>
      <c r="B584" t="s">
        <v>10699</v>
      </c>
      <c r="C584" s="1">
        <v>42009</v>
      </c>
      <c r="D584" t="s">
        <v>10700</v>
      </c>
      <c r="E584" t="str">
        <f t="shared" si="27"/>
        <v>서울특별시</v>
      </c>
      <c r="F584" t="str">
        <f t="shared" si="28"/>
        <v xml:space="preserve">강남구 </v>
      </c>
      <c r="G584" t="str">
        <f t="shared" si="29"/>
        <v>역삼동</v>
      </c>
      <c r="H584" t="s">
        <v>10701</v>
      </c>
      <c r="I584">
        <v>6241</v>
      </c>
    </row>
    <row r="585" spans="1:9" x14ac:dyDescent="0.4">
      <c r="A585">
        <v>3220000</v>
      </c>
      <c r="B585" t="s">
        <v>9972</v>
      </c>
      <c r="C585" s="1">
        <v>37523</v>
      </c>
      <c r="D585" t="s">
        <v>9973</v>
      </c>
      <c r="E585" t="str">
        <f t="shared" si="27"/>
        <v>서울특별시</v>
      </c>
      <c r="F585" t="str">
        <f t="shared" si="28"/>
        <v xml:space="preserve">강남구 </v>
      </c>
      <c r="G585" t="str">
        <f t="shared" si="29"/>
        <v>역삼동</v>
      </c>
      <c r="H585" t="s">
        <v>9974</v>
      </c>
      <c r="I585">
        <v>6241</v>
      </c>
    </row>
    <row r="586" spans="1:9" x14ac:dyDescent="0.4">
      <c r="A586">
        <v>3220000</v>
      </c>
      <c r="B586" t="s">
        <v>9594</v>
      </c>
      <c r="C586" s="1">
        <v>31285</v>
      </c>
      <c r="D586" t="s">
        <v>9595</v>
      </c>
      <c r="E586" t="str">
        <f t="shared" si="27"/>
        <v>서울특별시</v>
      </c>
      <c r="F586" t="str">
        <f t="shared" si="28"/>
        <v xml:space="preserve">강남구 </v>
      </c>
      <c r="G586" t="str">
        <f t="shared" si="29"/>
        <v>역삼동</v>
      </c>
      <c r="H586" t="s">
        <v>9596</v>
      </c>
      <c r="I586">
        <v>6242</v>
      </c>
    </row>
    <row r="587" spans="1:9" x14ac:dyDescent="0.4">
      <c r="A587">
        <v>3220000</v>
      </c>
      <c r="B587" t="s">
        <v>10796</v>
      </c>
      <c r="C587" s="1">
        <v>37292</v>
      </c>
      <c r="D587" t="s">
        <v>10797</v>
      </c>
      <c r="E587" t="str">
        <f t="shared" si="27"/>
        <v>서울특별시</v>
      </c>
      <c r="F587" t="str">
        <f t="shared" si="28"/>
        <v xml:space="preserve">강남구 </v>
      </c>
      <c r="G587" t="str">
        <f t="shared" si="29"/>
        <v>역삼동</v>
      </c>
      <c r="H587" t="s">
        <v>10798</v>
      </c>
      <c r="I587">
        <v>6242</v>
      </c>
    </row>
    <row r="588" spans="1:9" x14ac:dyDescent="0.4">
      <c r="A588">
        <v>3220000</v>
      </c>
      <c r="B588" t="s">
        <v>10221</v>
      </c>
      <c r="C588" s="1">
        <v>36609</v>
      </c>
      <c r="D588" t="s">
        <v>10222</v>
      </c>
      <c r="E588" t="str">
        <f t="shared" si="27"/>
        <v>서울특별시</v>
      </c>
      <c r="F588" t="str">
        <f t="shared" si="28"/>
        <v xml:space="preserve">강남구 </v>
      </c>
      <c r="G588" t="str">
        <f t="shared" si="29"/>
        <v>역삼동</v>
      </c>
    </row>
    <row r="589" spans="1:9" x14ac:dyDescent="0.4">
      <c r="A589">
        <v>3220000</v>
      </c>
      <c r="B589" t="s">
        <v>9726</v>
      </c>
      <c r="C589" s="1">
        <v>37117</v>
      </c>
      <c r="D589" t="s">
        <v>9727</v>
      </c>
      <c r="E589" t="str">
        <f t="shared" si="27"/>
        <v>서울특별시</v>
      </c>
      <c r="F589" t="str">
        <f t="shared" si="28"/>
        <v xml:space="preserve">강남구 </v>
      </c>
      <c r="G589" t="str">
        <f t="shared" si="29"/>
        <v>역삼동</v>
      </c>
      <c r="H589" t="s">
        <v>9728</v>
      </c>
      <c r="I589">
        <v>6242</v>
      </c>
    </row>
    <row r="590" spans="1:9" x14ac:dyDescent="0.4">
      <c r="A590">
        <v>3220000</v>
      </c>
      <c r="B590" t="s">
        <v>9814</v>
      </c>
      <c r="C590" s="1">
        <v>36957</v>
      </c>
      <c r="D590" t="s">
        <v>9815</v>
      </c>
      <c r="E590" t="str">
        <f t="shared" si="27"/>
        <v>서울특별시</v>
      </c>
      <c r="F590" t="str">
        <f t="shared" si="28"/>
        <v xml:space="preserve">강남구 </v>
      </c>
      <c r="G590" t="str">
        <f t="shared" si="29"/>
        <v>역삼동</v>
      </c>
    </row>
    <row r="591" spans="1:9" x14ac:dyDescent="0.4">
      <c r="A591">
        <v>3220000</v>
      </c>
      <c r="B591" t="s">
        <v>198</v>
      </c>
      <c r="C591" s="1">
        <v>39680</v>
      </c>
      <c r="D591" t="s">
        <v>199</v>
      </c>
      <c r="E591" t="str">
        <f t="shared" si="27"/>
        <v>서울특별시</v>
      </c>
      <c r="F591" t="str">
        <f t="shared" si="28"/>
        <v xml:space="preserve">강남구 </v>
      </c>
      <c r="G591" t="str">
        <f t="shared" si="29"/>
        <v>역삼동</v>
      </c>
      <c r="H591" t="s">
        <v>200</v>
      </c>
      <c r="I591">
        <v>6242</v>
      </c>
    </row>
    <row r="592" spans="1:9" x14ac:dyDescent="0.4">
      <c r="A592">
        <v>3220000</v>
      </c>
      <c r="B592" t="s">
        <v>10522</v>
      </c>
      <c r="C592" s="1">
        <v>37720</v>
      </c>
      <c r="D592" t="s">
        <v>10523</v>
      </c>
      <c r="E592" t="str">
        <f t="shared" si="27"/>
        <v>서울특별시</v>
      </c>
      <c r="F592" t="str">
        <f t="shared" si="28"/>
        <v xml:space="preserve">강남구 </v>
      </c>
      <c r="G592" t="str">
        <f t="shared" si="29"/>
        <v>역삼동</v>
      </c>
    </row>
    <row r="593" spans="1:9" x14ac:dyDescent="0.4">
      <c r="A593">
        <v>3220000</v>
      </c>
      <c r="B593" t="s">
        <v>10846</v>
      </c>
      <c r="C593" s="1">
        <v>31884</v>
      </c>
      <c r="D593" t="s">
        <v>10847</v>
      </c>
      <c r="E593" t="str">
        <f t="shared" si="27"/>
        <v>서울특별시</v>
      </c>
      <c r="F593" t="str">
        <f t="shared" si="28"/>
        <v xml:space="preserve">강남구 </v>
      </c>
      <c r="G593" t="str">
        <f t="shared" si="29"/>
        <v>역삼동</v>
      </c>
      <c r="H593" t="s">
        <v>10848</v>
      </c>
      <c r="I593">
        <v>6242</v>
      </c>
    </row>
    <row r="594" spans="1:9" x14ac:dyDescent="0.4">
      <c r="A594">
        <v>3220000</v>
      </c>
      <c r="B594" t="s">
        <v>10642</v>
      </c>
      <c r="C594" s="1">
        <v>37236</v>
      </c>
      <c r="D594" t="s">
        <v>10643</v>
      </c>
      <c r="E594" t="str">
        <f t="shared" si="27"/>
        <v>서울특별시</v>
      </c>
      <c r="F594" t="str">
        <f t="shared" si="28"/>
        <v xml:space="preserve">강남구 </v>
      </c>
      <c r="G594" t="str">
        <f t="shared" si="29"/>
        <v>역삼동</v>
      </c>
      <c r="H594" t="s">
        <v>10644</v>
      </c>
      <c r="I594">
        <v>6242</v>
      </c>
    </row>
    <row r="595" spans="1:9" x14ac:dyDescent="0.4">
      <c r="A595">
        <v>3220000</v>
      </c>
      <c r="B595" t="s">
        <v>9987</v>
      </c>
      <c r="C595" s="1">
        <v>36539</v>
      </c>
      <c r="D595" t="s">
        <v>9988</v>
      </c>
      <c r="E595" t="str">
        <f t="shared" si="27"/>
        <v>서울특별시</v>
      </c>
      <c r="F595" t="str">
        <f t="shared" si="28"/>
        <v xml:space="preserve">강남구 </v>
      </c>
      <c r="G595" t="str">
        <f t="shared" si="29"/>
        <v>역삼동</v>
      </c>
      <c r="H595" t="s">
        <v>9989</v>
      </c>
      <c r="I595">
        <v>6242</v>
      </c>
    </row>
    <row r="596" spans="1:9" x14ac:dyDescent="0.4">
      <c r="A596">
        <v>3220000</v>
      </c>
      <c r="B596" t="s">
        <v>10073</v>
      </c>
      <c r="C596" s="1">
        <v>33767</v>
      </c>
      <c r="D596" t="s">
        <v>10074</v>
      </c>
      <c r="E596" t="str">
        <f t="shared" si="27"/>
        <v>서울특별시</v>
      </c>
      <c r="F596" t="str">
        <f t="shared" si="28"/>
        <v xml:space="preserve">강남구 </v>
      </c>
      <c r="G596" t="str">
        <f t="shared" si="29"/>
        <v>역삼동</v>
      </c>
    </row>
    <row r="597" spans="1:9" x14ac:dyDescent="0.4">
      <c r="A597">
        <v>3220000</v>
      </c>
      <c r="B597" t="s">
        <v>9804</v>
      </c>
      <c r="C597" s="1">
        <v>36308</v>
      </c>
      <c r="D597" t="s">
        <v>9805</v>
      </c>
      <c r="E597" t="str">
        <f t="shared" si="27"/>
        <v>서울특별시</v>
      </c>
      <c r="F597" t="str">
        <f t="shared" si="28"/>
        <v xml:space="preserve">강남구 </v>
      </c>
      <c r="G597" t="str">
        <f t="shared" si="29"/>
        <v>역삼동</v>
      </c>
    </row>
    <row r="598" spans="1:9" x14ac:dyDescent="0.4">
      <c r="A598">
        <v>3220000</v>
      </c>
      <c r="B598" t="s">
        <v>10022</v>
      </c>
      <c r="C598" s="1">
        <v>36501</v>
      </c>
      <c r="D598" t="s">
        <v>10023</v>
      </c>
      <c r="E598" t="str">
        <f t="shared" si="27"/>
        <v>서울특별시</v>
      </c>
      <c r="F598" t="str">
        <f t="shared" si="28"/>
        <v xml:space="preserve">강남구 </v>
      </c>
      <c r="G598" t="str">
        <f t="shared" si="29"/>
        <v>역삼동</v>
      </c>
    </row>
    <row r="599" spans="1:9" x14ac:dyDescent="0.4">
      <c r="A599">
        <v>3220000</v>
      </c>
      <c r="B599" t="s">
        <v>10355</v>
      </c>
      <c r="C599" s="1">
        <v>37023</v>
      </c>
      <c r="D599" t="s">
        <v>10356</v>
      </c>
      <c r="E599" t="str">
        <f t="shared" si="27"/>
        <v>서울특별시</v>
      </c>
      <c r="F599" t="str">
        <f t="shared" si="28"/>
        <v xml:space="preserve">강남구 </v>
      </c>
      <c r="G599" t="str">
        <f t="shared" si="29"/>
        <v>역삼동</v>
      </c>
      <c r="H599" t="s">
        <v>10357</v>
      </c>
      <c r="I599">
        <v>6242</v>
      </c>
    </row>
    <row r="600" spans="1:9" x14ac:dyDescent="0.4">
      <c r="A600">
        <v>3220000</v>
      </c>
      <c r="B600" t="s">
        <v>10185</v>
      </c>
      <c r="C600" s="1">
        <v>36626</v>
      </c>
      <c r="D600" t="s">
        <v>10186</v>
      </c>
      <c r="E600" t="str">
        <f t="shared" si="27"/>
        <v>서울특별시</v>
      </c>
      <c r="F600" t="str">
        <f t="shared" si="28"/>
        <v xml:space="preserve">강남구 </v>
      </c>
      <c r="G600" t="str">
        <f t="shared" si="29"/>
        <v>역삼동</v>
      </c>
    </row>
    <row r="601" spans="1:9" x14ac:dyDescent="0.4">
      <c r="A601">
        <v>3220000</v>
      </c>
      <c r="B601" t="s">
        <v>10790</v>
      </c>
      <c r="C601" s="1">
        <v>31159</v>
      </c>
      <c r="D601" t="s">
        <v>10791</v>
      </c>
      <c r="E601" t="str">
        <f t="shared" si="27"/>
        <v>서울특별시</v>
      </c>
      <c r="F601" t="str">
        <f t="shared" si="28"/>
        <v xml:space="preserve">강남구 </v>
      </c>
      <c r="G601" t="str">
        <f t="shared" si="29"/>
        <v>역삼동</v>
      </c>
      <c r="H601" t="s">
        <v>10792</v>
      </c>
      <c r="I601">
        <v>6242</v>
      </c>
    </row>
    <row r="602" spans="1:9" x14ac:dyDescent="0.4">
      <c r="A602">
        <v>3220000</v>
      </c>
      <c r="B602" t="s">
        <v>9923</v>
      </c>
      <c r="C602" s="1">
        <v>36770</v>
      </c>
      <c r="D602" t="s">
        <v>9924</v>
      </c>
      <c r="E602" t="str">
        <f t="shared" si="27"/>
        <v>서울특별시</v>
      </c>
      <c r="F602" t="str">
        <f t="shared" si="28"/>
        <v xml:space="preserve">강남구 </v>
      </c>
      <c r="G602" t="str">
        <f t="shared" si="29"/>
        <v>역삼동</v>
      </c>
    </row>
    <row r="603" spans="1:9" x14ac:dyDescent="0.4">
      <c r="A603">
        <v>3220000</v>
      </c>
      <c r="B603" t="s">
        <v>10994</v>
      </c>
      <c r="C603" s="1">
        <v>30723</v>
      </c>
      <c r="D603" t="s">
        <v>10995</v>
      </c>
      <c r="E603" t="str">
        <f t="shared" si="27"/>
        <v>서울특별시</v>
      </c>
      <c r="F603" t="str">
        <f t="shared" si="28"/>
        <v xml:space="preserve">강남구 </v>
      </c>
      <c r="G603" t="str">
        <f t="shared" si="29"/>
        <v>역삼동</v>
      </c>
      <c r="H603" t="s">
        <v>10996</v>
      </c>
      <c r="I603">
        <v>6242</v>
      </c>
    </row>
    <row r="604" spans="1:9" x14ac:dyDescent="0.4">
      <c r="A604">
        <v>3220000</v>
      </c>
      <c r="B604" t="s">
        <v>10787</v>
      </c>
      <c r="C604" s="1">
        <v>31125</v>
      </c>
      <c r="D604" t="s">
        <v>10788</v>
      </c>
      <c r="E604" t="str">
        <f t="shared" si="27"/>
        <v>서울특별시</v>
      </c>
      <c r="F604" t="str">
        <f t="shared" si="28"/>
        <v xml:space="preserve">강남구 </v>
      </c>
      <c r="G604" t="str">
        <f t="shared" si="29"/>
        <v>역삼동</v>
      </c>
      <c r="H604" t="s">
        <v>10789</v>
      </c>
      <c r="I604">
        <v>6242</v>
      </c>
    </row>
    <row r="605" spans="1:9" x14ac:dyDescent="0.4">
      <c r="A605">
        <v>3220000</v>
      </c>
      <c r="B605" t="s">
        <v>10336</v>
      </c>
      <c r="C605" s="1">
        <v>36851</v>
      </c>
      <c r="D605" t="s">
        <v>10337</v>
      </c>
      <c r="E605" t="str">
        <f t="shared" si="27"/>
        <v>서울특별시</v>
      </c>
      <c r="F605" t="str">
        <f t="shared" si="28"/>
        <v xml:space="preserve">강남구 </v>
      </c>
      <c r="G605" t="str">
        <f t="shared" si="29"/>
        <v>역삼동</v>
      </c>
      <c r="H605" t="s">
        <v>10338</v>
      </c>
      <c r="I605">
        <v>6242</v>
      </c>
    </row>
    <row r="606" spans="1:9" x14ac:dyDescent="0.4">
      <c r="A606">
        <v>3220000</v>
      </c>
      <c r="B606" t="s">
        <v>10077</v>
      </c>
      <c r="C606" s="1">
        <v>37253</v>
      </c>
      <c r="D606" t="s">
        <v>10078</v>
      </c>
      <c r="E606" t="str">
        <f t="shared" si="27"/>
        <v>서울특별시</v>
      </c>
      <c r="F606" t="str">
        <f t="shared" si="28"/>
        <v xml:space="preserve">강남구 </v>
      </c>
      <c r="G606" t="str">
        <f t="shared" si="29"/>
        <v>역삼동</v>
      </c>
    </row>
    <row r="607" spans="1:9" x14ac:dyDescent="0.4">
      <c r="A607">
        <v>3220000</v>
      </c>
      <c r="B607" t="s">
        <v>10605</v>
      </c>
      <c r="C607" s="1">
        <v>32274</v>
      </c>
      <c r="D607" t="s">
        <v>10606</v>
      </c>
      <c r="E607" t="str">
        <f t="shared" si="27"/>
        <v>서울특별시</v>
      </c>
      <c r="F607" t="str">
        <f t="shared" si="28"/>
        <v xml:space="preserve">강남구 </v>
      </c>
      <c r="G607" t="str">
        <f t="shared" si="29"/>
        <v>역삼동</v>
      </c>
      <c r="H607" t="s">
        <v>10607</v>
      </c>
      <c r="I607">
        <v>6252</v>
      </c>
    </row>
    <row r="608" spans="1:9" x14ac:dyDescent="0.4">
      <c r="A608">
        <v>3220000</v>
      </c>
      <c r="B608" t="s">
        <v>9587</v>
      </c>
      <c r="C608" s="1">
        <v>32869</v>
      </c>
      <c r="D608" t="s">
        <v>9588</v>
      </c>
      <c r="E608" t="str">
        <f t="shared" si="27"/>
        <v>서울특별시</v>
      </c>
      <c r="F608" t="str">
        <f t="shared" si="28"/>
        <v xml:space="preserve">강남구 </v>
      </c>
      <c r="G608" t="str">
        <f t="shared" si="29"/>
        <v>역삼동</v>
      </c>
      <c r="H608" t="s">
        <v>9589</v>
      </c>
      <c r="I608">
        <v>6252</v>
      </c>
    </row>
    <row r="609" spans="1:9" x14ac:dyDescent="0.4">
      <c r="A609">
        <v>3220000</v>
      </c>
      <c r="B609" t="s">
        <v>10793</v>
      </c>
      <c r="C609" s="1">
        <v>37603</v>
      </c>
      <c r="D609" t="s">
        <v>10794</v>
      </c>
      <c r="E609" t="str">
        <f t="shared" si="27"/>
        <v>서울특별시</v>
      </c>
      <c r="F609" t="str">
        <f t="shared" si="28"/>
        <v xml:space="preserve">강남구 </v>
      </c>
      <c r="G609" t="str">
        <f t="shared" si="29"/>
        <v>역삼동</v>
      </c>
      <c r="H609" t="s">
        <v>10795</v>
      </c>
      <c r="I609">
        <v>6252</v>
      </c>
    </row>
    <row r="610" spans="1:9" x14ac:dyDescent="0.4">
      <c r="A610">
        <v>3220000</v>
      </c>
      <c r="B610" t="s">
        <v>10948</v>
      </c>
      <c r="C610" s="1">
        <v>38980</v>
      </c>
      <c r="D610" t="s">
        <v>10949</v>
      </c>
      <c r="E610" t="str">
        <f t="shared" si="27"/>
        <v>서울특별시</v>
      </c>
      <c r="F610" t="str">
        <f t="shared" si="28"/>
        <v xml:space="preserve">강남구 </v>
      </c>
      <c r="G610" t="str">
        <f t="shared" si="29"/>
        <v>역삼동</v>
      </c>
      <c r="H610" t="s">
        <v>10950</v>
      </c>
      <c r="I610">
        <v>6252</v>
      </c>
    </row>
    <row r="611" spans="1:9" x14ac:dyDescent="0.4">
      <c r="A611">
        <v>3220000</v>
      </c>
      <c r="B611" t="s">
        <v>237</v>
      </c>
      <c r="C611" s="1">
        <v>45960</v>
      </c>
      <c r="D611" t="s">
        <v>238</v>
      </c>
      <c r="E611" t="str">
        <f t="shared" si="27"/>
        <v>서울특별시</v>
      </c>
      <c r="F611" t="str">
        <f t="shared" si="28"/>
        <v xml:space="preserve">강남구 </v>
      </c>
      <c r="G611" t="str">
        <f t="shared" si="29"/>
        <v>역삼동</v>
      </c>
      <c r="H611" t="s">
        <v>239</v>
      </c>
      <c r="I611">
        <v>6252</v>
      </c>
    </row>
    <row r="612" spans="1:9" x14ac:dyDescent="0.4">
      <c r="A612">
        <v>3220000</v>
      </c>
      <c r="B612" t="s">
        <v>10019</v>
      </c>
      <c r="C612" s="1">
        <v>37603</v>
      </c>
      <c r="D612" t="s">
        <v>10020</v>
      </c>
      <c r="E612" t="str">
        <f t="shared" si="27"/>
        <v>서울특별시</v>
      </c>
      <c r="F612" t="str">
        <f t="shared" si="28"/>
        <v xml:space="preserve">강남구 </v>
      </c>
      <c r="G612" t="str">
        <f t="shared" si="29"/>
        <v>역삼동</v>
      </c>
      <c r="H612" t="s">
        <v>10021</v>
      </c>
      <c r="I612">
        <v>6252</v>
      </c>
    </row>
    <row r="613" spans="1:9" x14ac:dyDescent="0.4">
      <c r="A613">
        <v>3220000</v>
      </c>
      <c r="B613" t="s">
        <v>9740</v>
      </c>
      <c r="C613" s="1">
        <v>37270</v>
      </c>
      <c r="D613" t="s">
        <v>9741</v>
      </c>
      <c r="E613" t="str">
        <f t="shared" si="27"/>
        <v>서울특별시</v>
      </c>
      <c r="F613" t="str">
        <f t="shared" si="28"/>
        <v xml:space="preserve">강남구 </v>
      </c>
      <c r="G613" t="str">
        <f t="shared" si="29"/>
        <v>역삼동</v>
      </c>
    </row>
    <row r="614" spans="1:9" x14ac:dyDescent="0.4">
      <c r="A614">
        <v>3220000</v>
      </c>
      <c r="B614" t="s">
        <v>10639</v>
      </c>
      <c r="C614" s="1">
        <v>40625</v>
      </c>
      <c r="D614" t="s">
        <v>10640</v>
      </c>
      <c r="E614" t="str">
        <f t="shared" si="27"/>
        <v>서울특별시</v>
      </c>
      <c r="F614" t="str">
        <f t="shared" si="28"/>
        <v xml:space="preserve">강남구 </v>
      </c>
      <c r="G614" t="str">
        <f t="shared" si="29"/>
        <v>역삼동</v>
      </c>
      <c r="H614" t="s">
        <v>10641</v>
      </c>
      <c r="I614">
        <v>6253</v>
      </c>
    </row>
    <row r="615" spans="1:9" x14ac:dyDescent="0.4">
      <c r="A615">
        <v>3220000</v>
      </c>
      <c r="B615" t="s">
        <v>10407</v>
      </c>
      <c r="C615" s="1">
        <v>39549</v>
      </c>
      <c r="D615" t="s">
        <v>10408</v>
      </c>
      <c r="E615" t="str">
        <f t="shared" si="27"/>
        <v>서울특별시</v>
      </c>
      <c r="F615" t="str">
        <f t="shared" si="28"/>
        <v xml:space="preserve">강남구 </v>
      </c>
      <c r="G615" t="str">
        <f t="shared" si="29"/>
        <v>역삼동</v>
      </c>
    </row>
    <row r="616" spans="1:9" x14ac:dyDescent="0.4">
      <c r="A616">
        <v>3220000</v>
      </c>
      <c r="B616" t="s">
        <v>10193</v>
      </c>
      <c r="C616" s="1">
        <v>36658</v>
      </c>
      <c r="D616" t="s">
        <v>10194</v>
      </c>
      <c r="E616" t="str">
        <f t="shared" si="27"/>
        <v>서울특별시</v>
      </c>
      <c r="F616" t="str">
        <f t="shared" si="28"/>
        <v xml:space="preserve">강남구 </v>
      </c>
      <c r="G616" t="str">
        <f t="shared" si="29"/>
        <v>역삼동</v>
      </c>
    </row>
    <row r="617" spans="1:9" x14ac:dyDescent="0.4">
      <c r="A617">
        <v>3220000</v>
      </c>
      <c r="B617" t="s">
        <v>10864</v>
      </c>
      <c r="C617" s="1">
        <v>36510</v>
      </c>
      <c r="D617" t="s">
        <v>10865</v>
      </c>
      <c r="E617" t="str">
        <f t="shared" si="27"/>
        <v>서울특별시</v>
      </c>
      <c r="F617" t="str">
        <f t="shared" si="28"/>
        <v xml:space="preserve">강남구 </v>
      </c>
      <c r="G617" t="str">
        <f t="shared" si="29"/>
        <v>청담동</v>
      </c>
      <c r="H617" t="s">
        <v>10866</v>
      </c>
      <c r="I617">
        <v>6012</v>
      </c>
    </row>
    <row r="618" spans="1:9" x14ac:dyDescent="0.4">
      <c r="A618">
        <v>3220000</v>
      </c>
      <c r="B618" t="s">
        <v>10903</v>
      </c>
      <c r="C618" s="1">
        <v>37137</v>
      </c>
      <c r="D618" t="s">
        <v>10904</v>
      </c>
      <c r="E618" t="str">
        <f t="shared" si="27"/>
        <v>서울특별시</v>
      </c>
      <c r="F618" t="str">
        <f t="shared" si="28"/>
        <v xml:space="preserve">강남구 </v>
      </c>
      <c r="G618" t="str">
        <f t="shared" si="29"/>
        <v>청담동</v>
      </c>
      <c r="H618" t="s">
        <v>10905</v>
      </c>
      <c r="I618">
        <v>6013</v>
      </c>
    </row>
    <row r="619" spans="1:9" x14ac:dyDescent="0.4">
      <c r="A619">
        <v>3220000</v>
      </c>
      <c r="B619" t="s">
        <v>10560</v>
      </c>
      <c r="C619" s="1">
        <v>36505</v>
      </c>
      <c r="D619" t="s">
        <v>10561</v>
      </c>
      <c r="E619" t="str">
        <f t="shared" si="27"/>
        <v>서울특별시</v>
      </c>
      <c r="F619" t="str">
        <f t="shared" si="28"/>
        <v xml:space="preserve">강남구 </v>
      </c>
      <c r="G619" t="str">
        <f t="shared" si="29"/>
        <v>청담동</v>
      </c>
      <c r="H619" t="s">
        <v>10562</v>
      </c>
      <c r="I619">
        <v>6013</v>
      </c>
    </row>
    <row r="620" spans="1:9" x14ac:dyDescent="0.4">
      <c r="A620">
        <v>3220000</v>
      </c>
      <c r="B620" t="s">
        <v>10849</v>
      </c>
      <c r="C620" s="1">
        <v>37195</v>
      </c>
      <c r="D620" t="s">
        <v>10850</v>
      </c>
      <c r="E620" t="str">
        <f t="shared" si="27"/>
        <v>서울특별시</v>
      </c>
      <c r="F620" t="str">
        <f t="shared" si="28"/>
        <v xml:space="preserve">강남구 </v>
      </c>
      <c r="G620" t="str">
        <f t="shared" si="29"/>
        <v>청담동</v>
      </c>
      <c r="H620" t="s">
        <v>10851</v>
      </c>
      <c r="I620">
        <v>6013</v>
      </c>
    </row>
    <row r="621" spans="1:9" x14ac:dyDescent="0.4">
      <c r="A621">
        <v>3220000</v>
      </c>
      <c r="B621" t="s">
        <v>150</v>
      </c>
      <c r="C621" s="1">
        <v>37337</v>
      </c>
      <c r="D621" t="s">
        <v>151</v>
      </c>
      <c r="E621" t="str">
        <f t="shared" si="27"/>
        <v>서울특별시</v>
      </c>
      <c r="F621" t="str">
        <f t="shared" si="28"/>
        <v xml:space="preserve">강남구 </v>
      </c>
      <c r="G621" t="str">
        <f t="shared" si="29"/>
        <v>청담동</v>
      </c>
      <c r="H621" t="s">
        <v>152</v>
      </c>
      <c r="I621">
        <v>6013</v>
      </c>
    </row>
    <row r="622" spans="1:9" x14ac:dyDescent="0.4">
      <c r="A622">
        <v>3220000</v>
      </c>
      <c r="B622" t="s">
        <v>10858</v>
      </c>
      <c r="C622" s="1">
        <v>36502</v>
      </c>
      <c r="D622" t="s">
        <v>10859</v>
      </c>
      <c r="E622" t="str">
        <f t="shared" si="27"/>
        <v>서울특별시</v>
      </c>
      <c r="F622" t="str">
        <f t="shared" si="28"/>
        <v xml:space="preserve">강남구 </v>
      </c>
      <c r="G622" t="str">
        <f t="shared" si="29"/>
        <v>청담동</v>
      </c>
      <c r="H622" t="s">
        <v>10860</v>
      </c>
      <c r="I622">
        <v>6013</v>
      </c>
    </row>
    <row r="623" spans="1:9" x14ac:dyDescent="0.4">
      <c r="A623">
        <v>3220000</v>
      </c>
      <c r="B623" t="s">
        <v>9525</v>
      </c>
      <c r="C623" s="1">
        <v>36488</v>
      </c>
      <c r="D623" t="s">
        <v>9526</v>
      </c>
      <c r="E623" t="str">
        <f t="shared" si="27"/>
        <v>서울특별시</v>
      </c>
      <c r="F623" t="str">
        <f t="shared" si="28"/>
        <v xml:space="preserve">강남구 </v>
      </c>
      <c r="G623" t="str">
        <f t="shared" si="29"/>
        <v>청담동</v>
      </c>
    </row>
    <row r="624" spans="1:9" x14ac:dyDescent="0.4">
      <c r="A624">
        <v>3220000</v>
      </c>
      <c r="B624" t="s">
        <v>10068</v>
      </c>
      <c r="C624" s="1">
        <v>33716</v>
      </c>
      <c r="D624" t="s">
        <v>10069</v>
      </c>
      <c r="E624" t="str">
        <f t="shared" si="27"/>
        <v>서울특별시</v>
      </c>
      <c r="F624" t="str">
        <f t="shared" si="28"/>
        <v xml:space="preserve">강남구 </v>
      </c>
      <c r="G624" t="str">
        <f t="shared" si="29"/>
        <v>청담동</v>
      </c>
    </row>
    <row r="625" spans="1:9" x14ac:dyDescent="0.4">
      <c r="A625">
        <v>3220000</v>
      </c>
      <c r="B625" t="s">
        <v>10008</v>
      </c>
      <c r="C625" s="1">
        <v>33716</v>
      </c>
      <c r="D625" t="s">
        <v>10009</v>
      </c>
      <c r="E625" t="str">
        <f t="shared" si="27"/>
        <v>서울특별시</v>
      </c>
      <c r="F625" t="str">
        <f t="shared" si="28"/>
        <v xml:space="preserve">강남구 </v>
      </c>
      <c r="G625" t="str">
        <f t="shared" si="29"/>
        <v>청담동</v>
      </c>
      <c r="H625" t="s">
        <v>10010</v>
      </c>
    </row>
    <row r="626" spans="1:9" x14ac:dyDescent="0.4">
      <c r="A626">
        <v>3220000</v>
      </c>
      <c r="B626" t="s">
        <v>9806</v>
      </c>
      <c r="C626" s="1">
        <v>36319</v>
      </c>
      <c r="D626" t="s">
        <v>9807</v>
      </c>
      <c r="E626" t="str">
        <f t="shared" si="27"/>
        <v>서울특별시</v>
      </c>
      <c r="F626" t="str">
        <f t="shared" si="28"/>
        <v xml:space="preserve">강남구 </v>
      </c>
      <c r="G626" t="str">
        <f t="shared" si="29"/>
        <v>청담동</v>
      </c>
    </row>
    <row r="627" spans="1:9" x14ac:dyDescent="0.4">
      <c r="A627">
        <v>3220000</v>
      </c>
      <c r="B627" t="s">
        <v>10594</v>
      </c>
      <c r="C627" s="1">
        <v>43727</v>
      </c>
      <c r="D627" t="s">
        <v>10595</v>
      </c>
      <c r="E627" t="str">
        <f t="shared" si="27"/>
        <v>서울특별시</v>
      </c>
      <c r="F627" t="str">
        <f t="shared" si="28"/>
        <v xml:space="preserve">강남구 </v>
      </c>
      <c r="G627" t="str">
        <f t="shared" si="29"/>
        <v>청담동</v>
      </c>
      <c r="H627" t="s">
        <v>10596</v>
      </c>
      <c r="I627">
        <v>6013</v>
      </c>
    </row>
    <row r="628" spans="1:9" x14ac:dyDescent="0.4">
      <c r="A628">
        <v>3220000</v>
      </c>
      <c r="B628" t="s">
        <v>10075</v>
      </c>
      <c r="C628" s="1">
        <v>37238</v>
      </c>
      <c r="D628" t="s">
        <v>10076</v>
      </c>
      <c r="E628" t="str">
        <f t="shared" si="27"/>
        <v>서울특별시</v>
      </c>
      <c r="F628" t="str">
        <f t="shared" si="28"/>
        <v xml:space="preserve">강남구 </v>
      </c>
      <c r="G628" t="str">
        <f t="shared" si="29"/>
        <v>청담동</v>
      </c>
    </row>
    <row r="629" spans="1:9" x14ac:dyDescent="0.4">
      <c r="A629">
        <v>3220000</v>
      </c>
      <c r="B629" t="s">
        <v>10480</v>
      </c>
      <c r="C629" s="1">
        <v>29089</v>
      </c>
      <c r="D629" t="s">
        <v>10481</v>
      </c>
      <c r="E629" t="str">
        <f t="shared" si="27"/>
        <v>서울특별시</v>
      </c>
      <c r="F629" t="str">
        <f t="shared" si="28"/>
        <v xml:space="preserve">강남구 </v>
      </c>
      <c r="G629" t="str">
        <f t="shared" si="29"/>
        <v>청담동</v>
      </c>
    </row>
    <row r="630" spans="1:9" x14ac:dyDescent="0.4">
      <c r="A630">
        <v>3220000</v>
      </c>
      <c r="B630" t="s">
        <v>10017</v>
      </c>
      <c r="C630" s="1">
        <v>31118</v>
      </c>
      <c r="D630" t="s">
        <v>10018</v>
      </c>
      <c r="E630" t="str">
        <f t="shared" si="27"/>
        <v>서울특별시</v>
      </c>
      <c r="F630" t="str">
        <f t="shared" si="28"/>
        <v xml:space="preserve">강남구 </v>
      </c>
      <c r="G630" t="str">
        <f t="shared" si="29"/>
        <v>청담동</v>
      </c>
    </row>
    <row r="631" spans="1:9" x14ac:dyDescent="0.4">
      <c r="A631">
        <v>3220000</v>
      </c>
      <c r="B631" t="s">
        <v>10184</v>
      </c>
      <c r="C631" s="1">
        <v>31118</v>
      </c>
      <c r="D631" t="s">
        <v>10018</v>
      </c>
      <c r="E631" t="str">
        <f t="shared" si="27"/>
        <v>서울특별시</v>
      </c>
      <c r="F631" t="str">
        <f t="shared" si="28"/>
        <v xml:space="preserve">강남구 </v>
      </c>
      <c r="G631" t="str">
        <f t="shared" si="29"/>
        <v>청담동</v>
      </c>
    </row>
    <row r="632" spans="1:9" x14ac:dyDescent="0.4">
      <c r="A632">
        <v>3220000</v>
      </c>
      <c r="B632" t="s">
        <v>10608</v>
      </c>
      <c r="C632" s="1">
        <v>32280</v>
      </c>
      <c r="D632" t="s">
        <v>10018</v>
      </c>
      <c r="E632" t="str">
        <f t="shared" si="27"/>
        <v>서울특별시</v>
      </c>
      <c r="F632" t="str">
        <f t="shared" si="28"/>
        <v xml:space="preserve">강남구 </v>
      </c>
      <c r="G632" t="str">
        <f t="shared" si="29"/>
        <v>청담동</v>
      </c>
    </row>
    <row r="633" spans="1:9" x14ac:dyDescent="0.4">
      <c r="A633">
        <v>3220000</v>
      </c>
      <c r="B633" t="s">
        <v>10304</v>
      </c>
      <c r="C633" s="1">
        <v>40662</v>
      </c>
      <c r="D633" t="s">
        <v>10305</v>
      </c>
      <c r="E633" t="str">
        <f t="shared" si="27"/>
        <v>서울특별시</v>
      </c>
      <c r="F633" t="str">
        <f t="shared" si="28"/>
        <v xml:space="preserve">강남구 </v>
      </c>
      <c r="G633" t="str">
        <f t="shared" si="29"/>
        <v>청담동</v>
      </c>
      <c r="H633" t="s">
        <v>10306</v>
      </c>
    </row>
    <row r="634" spans="1:9" x14ac:dyDescent="0.4">
      <c r="A634">
        <v>3220000</v>
      </c>
      <c r="B634" t="s">
        <v>10834</v>
      </c>
      <c r="C634" s="1">
        <v>39394</v>
      </c>
      <c r="D634" t="s">
        <v>10835</v>
      </c>
      <c r="E634" t="str">
        <f t="shared" si="27"/>
        <v>서울특별시</v>
      </c>
      <c r="F634" t="str">
        <f t="shared" si="28"/>
        <v xml:space="preserve">강남구 </v>
      </c>
      <c r="G634" t="str">
        <f t="shared" si="29"/>
        <v>청담동</v>
      </c>
      <c r="H634" t="s">
        <v>10836</v>
      </c>
      <c r="I634">
        <v>6075</v>
      </c>
    </row>
    <row r="635" spans="1:9" x14ac:dyDescent="0.4">
      <c r="A635">
        <v>3220000</v>
      </c>
      <c r="B635" t="s">
        <v>9834</v>
      </c>
      <c r="C635" s="1">
        <v>36304</v>
      </c>
      <c r="D635" t="s">
        <v>9835</v>
      </c>
      <c r="E635" t="str">
        <f t="shared" si="27"/>
        <v>서울특별시</v>
      </c>
      <c r="F635" t="str">
        <f t="shared" si="28"/>
        <v xml:space="preserve">강남구 </v>
      </c>
      <c r="G635" t="str">
        <f t="shared" si="29"/>
        <v>청담동</v>
      </c>
    </row>
    <row r="636" spans="1:9" x14ac:dyDescent="0.4">
      <c r="A636">
        <v>3220000</v>
      </c>
      <c r="B636" t="s">
        <v>10128</v>
      </c>
      <c r="C636" s="1">
        <v>36649</v>
      </c>
      <c r="D636" t="s">
        <v>10129</v>
      </c>
      <c r="E636" t="str">
        <f t="shared" si="27"/>
        <v>서울특별시</v>
      </c>
      <c r="F636" t="str">
        <f t="shared" si="28"/>
        <v xml:space="preserve">강남구 </v>
      </c>
      <c r="G636" t="str">
        <f t="shared" si="29"/>
        <v>청담동</v>
      </c>
    </row>
    <row r="637" spans="1:9" x14ac:dyDescent="0.4">
      <c r="A637">
        <v>3220000</v>
      </c>
      <c r="B637" t="s">
        <v>9812</v>
      </c>
      <c r="C637" s="1">
        <v>36957</v>
      </c>
      <c r="D637" t="s">
        <v>9813</v>
      </c>
      <c r="E637" t="str">
        <f t="shared" si="27"/>
        <v>서울특별시</v>
      </c>
      <c r="F637" t="str">
        <f t="shared" si="28"/>
        <v xml:space="preserve">강남구 </v>
      </c>
      <c r="G637" t="str">
        <f t="shared" si="29"/>
        <v>청담동</v>
      </c>
    </row>
    <row r="638" spans="1:9" x14ac:dyDescent="0.4">
      <c r="A638">
        <v>3220000</v>
      </c>
      <c r="B638" t="s">
        <v>10206</v>
      </c>
      <c r="C638" s="1">
        <v>36578</v>
      </c>
      <c r="D638" t="s">
        <v>10207</v>
      </c>
      <c r="E638" t="str">
        <f t="shared" si="27"/>
        <v>서울특별시</v>
      </c>
      <c r="F638" t="str">
        <f t="shared" si="28"/>
        <v xml:space="preserve">강남구 </v>
      </c>
      <c r="G638" t="str">
        <f t="shared" si="29"/>
        <v>청담동</v>
      </c>
      <c r="H638" t="s">
        <v>10208</v>
      </c>
      <c r="I638">
        <v>6069</v>
      </c>
    </row>
    <row r="639" spans="1:9" x14ac:dyDescent="0.4">
      <c r="A639">
        <v>3220000</v>
      </c>
      <c r="B639" t="s">
        <v>10034</v>
      </c>
      <c r="C639" s="1">
        <v>28844</v>
      </c>
      <c r="D639" t="s">
        <v>10035</v>
      </c>
      <c r="E639" t="str">
        <f t="shared" si="27"/>
        <v>서울특별시</v>
      </c>
      <c r="F639" t="str">
        <f t="shared" si="28"/>
        <v xml:space="preserve">강남구 </v>
      </c>
      <c r="G639" t="str">
        <f t="shared" si="29"/>
        <v>청담동</v>
      </c>
    </row>
    <row r="640" spans="1:9" x14ac:dyDescent="0.4">
      <c r="A640">
        <v>3220000</v>
      </c>
      <c r="B640" t="s">
        <v>9893</v>
      </c>
      <c r="C640" s="1">
        <v>36444</v>
      </c>
      <c r="D640" t="s">
        <v>9894</v>
      </c>
      <c r="E640" t="str">
        <f t="shared" si="27"/>
        <v>서울특별시</v>
      </c>
      <c r="F640" t="str">
        <f t="shared" si="28"/>
        <v xml:space="preserve">강남구 </v>
      </c>
      <c r="G640" t="str">
        <f t="shared" si="29"/>
        <v>청담동</v>
      </c>
    </row>
    <row r="641" spans="1:9" x14ac:dyDescent="0.4">
      <c r="A641">
        <v>3220000</v>
      </c>
      <c r="B641" t="s">
        <v>11030</v>
      </c>
      <c r="C641" s="1">
        <v>43880</v>
      </c>
      <c r="D641" t="s">
        <v>11031</v>
      </c>
      <c r="E641" t="str">
        <f t="shared" si="27"/>
        <v>서울특별시</v>
      </c>
      <c r="F641" t="str">
        <f t="shared" si="28"/>
        <v xml:space="preserve">강남구 </v>
      </c>
      <c r="G641" t="str">
        <f t="shared" si="29"/>
        <v>청담동</v>
      </c>
      <c r="H641" t="s">
        <v>11032</v>
      </c>
      <c r="I641">
        <v>6071</v>
      </c>
    </row>
    <row r="642" spans="1:9" x14ac:dyDescent="0.4">
      <c r="A642">
        <v>3220000</v>
      </c>
      <c r="B642" t="s">
        <v>9466</v>
      </c>
      <c r="C642" s="1">
        <v>40631</v>
      </c>
      <c r="D642" t="s">
        <v>9467</v>
      </c>
      <c r="E642" t="str">
        <f t="shared" si="27"/>
        <v>서울특별시</v>
      </c>
      <c r="F642" t="str">
        <f t="shared" si="28"/>
        <v xml:space="preserve">강남구 </v>
      </c>
      <c r="G642" t="str">
        <f t="shared" si="29"/>
        <v>청담동</v>
      </c>
      <c r="H642" t="s">
        <v>9468</v>
      </c>
      <c r="I642">
        <v>6071</v>
      </c>
    </row>
    <row r="643" spans="1:9" x14ac:dyDescent="0.4">
      <c r="A643">
        <v>3220000</v>
      </c>
      <c r="B643" t="s">
        <v>9681</v>
      </c>
      <c r="C643" s="1">
        <v>37259</v>
      </c>
      <c r="D643" t="s">
        <v>9682</v>
      </c>
      <c r="E643" t="str">
        <f t="shared" ref="E643:E706" si="30">LEFT(D643,5)</f>
        <v>서울특별시</v>
      </c>
      <c r="F643" t="str">
        <f t="shared" ref="F643:F706" si="31">MID(D643,7,4)</f>
        <v xml:space="preserve">강남구 </v>
      </c>
      <c r="G643" t="str">
        <f t="shared" ref="G643:G660" si="32">MID(SUBSTITUTE(D643," ",""),9,3)</f>
        <v>청담동</v>
      </c>
      <c r="H643" t="s">
        <v>9683</v>
      </c>
      <c r="I643">
        <v>6071</v>
      </c>
    </row>
    <row r="644" spans="1:9" x14ac:dyDescent="0.4">
      <c r="A644">
        <v>3220000</v>
      </c>
      <c r="B644" t="s">
        <v>9750</v>
      </c>
      <c r="C644" s="1">
        <v>42360</v>
      </c>
      <c r="D644" t="s">
        <v>9682</v>
      </c>
      <c r="E644" t="str">
        <f t="shared" si="30"/>
        <v>서울특별시</v>
      </c>
      <c r="F644" t="str">
        <f t="shared" si="31"/>
        <v xml:space="preserve">강남구 </v>
      </c>
      <c r="G644" t="str">
        <f t="shared" si="32"/>
        <v>청담동</v>
      </c>
      <c r="H644" t="s">
        <v>9751</v>
      </c>
      <c r="I644">
        <v>6071</v>
      </c>
    </row>
    <row r="645" spans="1:9" x14ac:dyDescent="0.4">
      <c r="A645">
        <v>3220000</v>
      </c>
      <c r="B645" t="s">
        <v>10384</v>
      </c>
      <c r="C645" s="1">
        <v>32408</v>
      </c>
      <c r="D645" t="s">
        <v>10385</v>
      </c>
      <c r="E645" t="str">
        <f t="shared" si="30"/>
        <v>서울특별시</v>
      </c>
      <c r="F645" t="str">
        <f t="shared" si="31"/>
        <v xml:space="preserve">강남구 </v>
      </c>
      <c r="G645" t="str">
        <f t="shared" si="32"/>
        <v>청담동</v>
      </c>
      <c r="H645" t="s">
        <v>10386</v>
      </c>
      <c r="I645">
        <v>6071</v>
      </c>
    </row>
    <row r="646" spans="1:9" x14ac:dyDescent="0.4">
      <c r="A646">
        <v>3220000</v>
      </c>
      <c r="B646" t="s">
        <v>11012</v>
      </c>
      <c r="C646" s="1">
        <v>43740</v>
      </c>
      <c r="D646" t="s">
        <v>11013</v>
      </c>
      <c r="E646" t="str">
        <f t="shared" si="30"/>
        <v>서울특별시</v>
      </c>
      <c r="F646" t="str">
        <f t="shared" si="31"/>
        <v xml:space="preserve">강남구 </v>
      </c>
      <c r="G646" t="str">
        <f t="shared" si="32"/>
        <v>청담동</v>
      </c>
      <c r="H646" t="s">
        <v>11014</v>
      </c>
      <c r="I646">
        <v>6071</v>
      </c>
    </row>
    <row r="647" spans="1:9" x14ac:dyDescent="0.4">
      <c r="A647">
        <v>3220000</v>
      </c>
      <c r="B647" t="s">
        <v>9706</v>
      </c>
      <c r="C647" s="1">
        <v>37015</v>
      </c>
      <c r="D647" t="s">
        <v>9707</v>
      </c>
      <c r="E647" t="str">
        <f t="shared" si="30"/>
        <v>서울특별시</v>
      </c>
      <c r="F647" t="str">
        <f t="shared" si="31"/>
        <v xml:space="preserve">강남구 </v>
      </c>
      <c r="G647" t="str">
        <f t="shared" si="32"/>
        <v>청담동</v>
      </c>
    </row>
    <row r="648" spans="1:9" x14ac:dyDescent="0.4">
      <c r="A648">
        <v>3220000</v>
      </c>
      <c r="B648" t="s">
        <v>10111</v>
      </c>
      <c r="C648" s="1">
        <v>34478</v>
      </c>
      <c r="D648" t="s">
        <v>9707</v>
      </c>
      <c r="E648" t="str">
        <f t="shared" si="30"/>
        <v>서울특별시</v>
      </c>
      <c r="F648" t="str">
        <f t="shared" si="31"/>
        <v xml:space="preserve">강남구 </v>
      </c>
      <c r="G648" t="str">
        <f t="shared" si="32"/>
        <v>청담동</v>
      </c>
    </row>
    <row r="649" spans="1:9" x14ac:dyDescent="0.4">
      <c r="A649">
        <v>3220000</v>
      </c>
      <c r="B649" t="s">
        <v>10293</v>
      </c>
      <c r="C649" s="1">
        <v>31909</v>
      </c>
      <c r="D649" t="s">
        <v>9707</v>
      </c>
      <c r="E649" t="str">
        <f t="shared" si="30"/>
        <v>서울특별시</v>
      </c>
      <c r="F649" t="str">
        <f t="shared" si="31"/>
        <v xml:space="preserve">강남구 </v>
      </c>
      <c r="G649" t="str">
        <f t="shared" si="32"/>
        <v>청담동</v>
      </c>
    </row>
    <row r="650" spans="1:9" x14ac:dyDescent="0.4">
      <c r="A650">
        <v>3220000</v>
      </c>
      <c r="B650" t="s">
        <v>9793</v>
      </c>
      <c r="C650" s="1">
        <v>36435</v>
      </c>
      <c r="D650" t="s">
        <v>9794</v>
      </c>
      <c r="E650" t="str">
        <f t="shared" si="30"/>
        <v>서울특별시</v>
      </c>
      <c r="F650" t="str">
        <f t="shared" si="31"/>
        <v xml:space="preserve">강남구 </v>
      </c>
      <c r="G650" t="str">
        <f t="shared" si="32"/>
        <v>청담동</v>
      </c>
      <c r="H650" t="s">
        <v>9795</v>
      </c>
      <c r="I650">
        <v>6071</v>
      </c>
    </row>
    <row r="651" spans="1:9" x14ac:dyDescent="0.4">
      <c r="A651">
        <v>3220000</v>
      </c>
      <c r="B651" t="s">
        <v>10970</v>
      </c>
      <c r="C651" s="1">
        <v>38714</v>
      </c>
      <c r="D651" t="s">
        <v>10971</v>
      </c>
      <c r="E651" t="str">
        <f t="shared" si="30"/>
        <v>서울특별시</v>
      </c>
      <c r="F651" t="str">
        <f t="shared" si="31"/>
        <v xml:space="preserve">강남구 </v>
      </c>
      <c r="G651" t="str">
        <f t="shared" si="32"/>
        <v>청담동</v>
      </c>
      <c r="H651" t="s">
        <v>10972</v>
      </c>
      <c r="I651">
        <v>6071</v>
      </c>
    </row>
    <row r="652" spans="1:9" x14ac:dyDescent="0.4">
      <c r="A652">
        <v>3220000</v>
      </c>
      <c r="B652" t="s">
        <v>10831</v>
      </c>
      <c r="C652" s="1">
        <v>39372</v>
      </c>
      <c r="D652" t="s">
        <v>10832</v>
      </c>
      <c r="E652" t="str">
        <f t="shared" si="30"/>
        <v>서울특별시</v>
      </c>
      <c r="F652" t="str">
        <f t="shared" si="31"/>
        <v xml:space="preserve">강남구 </v>
      </c>
      <c r="G652" t="str">
        <f t="shared" si="32"/>
        <v>청담동</v>
      </c>
      <c r="H652" t="s">
        <v>10833</v>
      </c>
      <c r="I652">
        <v>6071</v>
      </c>
    </row>
    <row r="653" spans="1:9" x14ac:dyDescent="0.4">
      <c r="A653">
        <v>3220000</v>
      </c>
      <c r="B653" t="s">
        <v>11048</v>
      </c>
      <c r="C653" s="1">
        <v>32122</v>
      </c>
      <c r="D653" t="s">
        <v>11049</v>
      </c>
      <c r="E653" t="str">
        <f t="shared" si="30"/>
        <v>서울특별시</v>
      </c>
      <c r="F653" t="str">
        <f t="shared" si="31"/>
        <v xml:space="preserve">강남구 </v>
      </c>
      <c r="G653" t="str">
        <f t="shared" si="32"/>
        <v>청담동</v>
      </c>
      <c r="H653" t="s">
        <v>11050</v>
      </c>
      <c r="I653">
        <v>6071</v>
      </c>
    </row>
    <row r="654" spans="1:9" x14ac:dyDescent="0.4">
      <c r="A654">
        <v>3220000</v>
      </c>
      <c r="B654" t="s">
        <v>10213</v>
      </c>
      <c r="C654" s="1">
        <v>36595</v>
      </c>
      <c r="D654" t="s">
        <v>10214</v>
      </c>
      <c r="E654" t="str">
        <f t="shared" si="30"/>
        <v>서울특별시</v>
      </c>
      <c r="F654" t="str">
        <f t="shared" si="31"/>
        <v xml:space="preserve">강남구 </v>
      </c>
      <c r="G654" t="str">
        <f t="shared" si="32"/>
        <v>청담동</v>
      </c>
    </row>
    <row r="655" spans="1:9" x14ac:dyDescent="0.4">
      <c r="A655">
        <v>3220000</v>
      </c>
      <c r="B655" t="s">
        <v>9836</v>
      </c>
      <c r="C655" s="1">
        <v>36305</v>
      </c>
      <c r="D655" t="s">
        <v>9837</v>
      </c>
      <c r="E655" t="str">
        <f t="shared" si="30"/>
        <v>서울특별시</v>
      </c>
      <c r="F655" t="str">
        <f t="shared" si="31"/>
        <v xml:space="preserve">강남구 </v>
      </c>
      <c r="G655" t="str">
        <f t="shared" si="32"/>
        <v>청담동</v>
      </c>
      <c r="H655" t="s">
        <v>9838</v>
      </c>
      <c r="I655">
        <v>6072</v>
      </c>
    </row>
    <row r="656" spans="1:9" x14ac:dyDescent="0.4">
      <c r="A656">
        <v>3220000</v>
      </c>
      <c r="B656" t="s">
        <v>9916</v>
      </c>
      <c r="C656" s="1">
        <v>36736</v>
      </c>
      <c r="D656" t="s">
        <v>9917</v>
      </c>
      <c r="E656" t="str">
        <f t="shared" si="30"/>
        <v>서울특별시</v>
      </c>
      <c r="F656" t="str">
        <f t="shared" si="31"/>
        <v xml:space="preserve">강남구 </v>
      </c>
      <c r="G656" t="str">
        <f t="shared" si="32"/>
        <v>청담동</v>
      </c>
    </row>
    <row r="657" spans="1:9" x14ac:dyDescent="0.4">
      <c r="A657">
        <v>3220000</v>
      </c>
      <c r="B657" t="s">
        <v>10133</v>
      </c>
      <c r="C657" s="1">
        <v>30457</v>
      </c>
      <c r="D657" t="s">
        <v>10134</v>
      </c>
      <c r="E657" t="str">
        <f t="shared" si="30"/>
        <v>서울특별시</v>
      </c>
      <c r="F657" t="str">
        <f t="shared" si="31"/>
        <v xml:space="preserve">강남구 </v>
      </c>
      <c r="G657" t="str">
        <f t="shared" si="32"/>
        <v>청담동</v>
      </c>
    </row>
    <row r="658" spans="1:9" x14ac:dyDescent="0.4">
      <c r="A658">
        <v>3220000</v>
      </c>
      <c r="B658" t="s">
        <v>10043</v>
      </c>
      <c r="C658" s="1">
        <v>28962</v>
      </c>
      <c r="D658" t="s">
        <v>10044</v>
      </c>
      <c r="E658" t="str">
        <f t="shared" si="30"/>
        <v>서울특별시</v>
      </c>
      <c r="F658" t="str">
        <f t="shared" si="31"/>
        <v xml:space="preserve">강남구 </v>
      </c>
      <c r="G658" t="str">
        <f t="shared" si="32"/>
        <v>청담동</v>
      </c>
    </row>
    <row r="659" spans="1:9" x14ac:dyDescent="0.4">
      <c r="A659">
        <v>3220000</v>
      </c>
      <c r="B659" t="s">
        <v>10091</v>
      </c>
      <c r="C659" s="1">
        <v>27946</v>
      </c>
      <c r="D659" t="s">
        <v>10092</v>
      </c>
      <c r="E659" t="str">
        <f t="shared" si="30"/>
        <v>서울특별시</v>
      </c>
      <c r="F659" t="str">
        <f t="shared" si="31"/>
        <v xml:space="preserve">강남구 </v>
      </c>
      <c r="G659" t="str">
        <f t="shared" si="32"/>
        <v>청담동</v>
      </c>
      <c r="H659" t="s">
        <v>10093</v>
      </c>
    </row>
    <row r="660" spans="1:9" x14ac:dyDescent="0.4">
      <c r="A660">
        <v>3220000</v>
      </c>
      <c r="B660" t="s">
        <v>10912</v>
      </c>
      <c r="C660" s="1">
        <v>36860</v>
      </c>
      <c r="D660" t="s">
        <v>10913</v>
      </c>
      <c r="E660" t="str">
        <f t="shared" si="30"/>
        <v>서울특별시</v>
      </c>
      <c r="F660" t="str">
        <f t="shared" si="31"/>
        <v xml:space="preserve">강남구 </v>
      </c>
      <c r="G660" t="str">
        <f t="shared" si="32"/>
        <v>청담동</v>
      </c>
      <c r="H660" t="s">
        <v>10914</v>
      </c>
      <c r="I660">
        <v>6015</v>
      </c>
    </row>
    <row r="661" spans="1:9" x14ac:dyDescent="0.4">
      <c r="A661">
        <v>3240000</v>
      </c>
      <c r="B661" t="s">
        <v>12093</v>
      </c>
      <c r="C661" s="1">
        <v>36343</v>
      </c>
      <c r="D661" t="s">
        <v>12094</v>
      </c>
      <c r="E661" t="str">
        <f t="shared" si="30"/>
        <v>서울특별시</v>
      </c>
      <c r="F661" t="str">
        <f t="shared" si="31"/>
        <v xml:space="preserve">강동구 </v>
      </c>
      <c r="G661" t="str">
        <f>MID(SUBSTITUTE(D661," ",""),9,2)</f>
        <v>길동</v>
      </c>
    </row>
    <row r="662" spans="1:9" x14ac:dyDescent="0.4">
      <c r="A662">
        <v>3240000</v>
      </c>
      <c r="B662" t="s">
        <v>11649</v>
      </c>
      <c r="C662" s="1">
        <v>40423</v>
      </c>
      <c r="D662" t="s">
        <v>11650</v>
      </c>
      <c r="E662" t="str">
        <f t="shared" si="30"/>
        <v>서울특별시</v>
      </c>
      <c r="F662" t="str">
        <f t="shared" si="31"/>
        <v xml:space="preserve">강동구 </v>
      </c>
      <c r="G662" t="str">
        <f t="shared" ref="G662:G725" si="33">MID(SUBSTITUTE(D662," ",""),9,2)</f>
        <v>길동</v>
      </c>
      <c r="H662" t="s">
        <v>11651</v>
      </c>
      <c r="I662">
        <v>5354</v>
      </c>
    </row>
    <row r="663" spans="1:9" x14ac:dyDescent="0.4">
      <c r="A663">
        <v>3240000</v>
      </c>
      <c r="B663" t="s">
        <v>11579</v>
      </c>
      <c r="C663" s="1">
        <v>37564</v>
      </c>
      <c r="D663" t="s">
        <v>11580</v>
      </c>
      <c r="E663" t="str">
        <f t="shared" si="30"/>
        <v>서울특별시</v>
      </c>
      <c r="F663" t="str">
        <f t="shared" si="31"/>
        <v xml:space="preserve">강동구 </v>
      </c>
      <c r="G663" t="str">
        <f t="shared" si="33"/>
        <v>길동</v>
      </c>
      <c r="H663" t="s">
        <v>11581</v>
      </c>
      <c r="I663">
        <v>5353</v>
      </c>
    </row>
    <row r="664" spans="1:9" x14ac:dyDescent="0.4">
      <c r="A664">
        <v>3240000</v>
      </c>
      <c r="B664" t="s">
        <v>11687</v>
      </c>
      <c r="C664" s="1">
        <v>40252</v>
      </c>
      <c r="D664" t="s">
        <v>11688</v>
      </c>
      <c r="E664" t="str">
        <f t="shared" si="30"/>
        <v>서울특별시</v>
      </c>
      <c r="F664" t="str">
        <f t="shared" si="31"/>
        <v xml:space="preserve">강동구 </v>
      </c>
      <c r="G664" t="str">
        <f t="shared" si="33"/>
        <v>길동</v>
      </c>
      <c r="H664" t="s">
        <v>11689</v>
      </c>
      <c r="I664">
        <v>5353</v>
      </c>
    </row>
    <row r="665" spans="1:9" x14ac:dyDescent="0.4">
      <c r="A665">
        <v>3240000</v>
      </c>
      <c r="B665" t="s">
        <v>11663</v>
      </c>
      <c r="C665" s="1">
        <v>37414</v>
      </c>
      <c r="D665" t="s">
        <v>11664</v>
      </c>
      <c r="E665" t="str">
        <f t="shared" si="30"/>
        <v>서울특별시</v>
      </c>
      <c r="F665" t="str">
        <f t="shared" si="31"/>
        <v xml:space="preserve">강동구 </v>
      </c>
      <c r="G665" t="str">
        <f t="shared" si="33"/>
        <v>길동</v>
      </c>
      <c r="H665" t="s">
        <v>11665</v>
      </c>
      <c r="I665">
        <v>5353</v>
      </c>
    </row>
    <row r="666" spans="1:9" x14ac:dyDescent="0.4">
      <c r="A666">
        <v>3240000</v>
      </c>
      <c r="B666" t="s">
        <v>12111</v>
      </c>
      <c r="C666" s="1">
        <v>41584</v>
      </c>
      <c r="D666" t="s">
        <v>12112</v>
      </c>
      <c r="E666" t="str">
        <f t="shared" si="30"/>
        <v>서울특별시</v>
      </c>
      <c r="F666" t="str">
        <f t="shared" si="31"/>
        <v xml:space="preserve">강동구 </v>
      </c>
      <c r="G666" t="str">
        <f t="shared" si="33"/>
        <v>길동</v>
      </c>
      <c r="H666" t="s">
        <v>12113</v>
      </c>
      <c r="I666">
        <v>5353</v>
      </c>
    </row>
    <row r="667" spans="1:9" x14ac:dyDescent="0.4">
      <c r="A667">
        <v>3240000</v>
      </c>
      <c r="B667" t="s">
        <v>12096</v>
      </c>
      <c r="C667" s="1">
        <v>36465</v>
      </c>
      <c r="D667" t="s">
        <v>12097</v>
      </c>
      <c r="E667" t="str">
        <f t="shared" si="30"/>
        <v>서울특별시</v>
      </c>
      <c r="F667" t="str">
        <f t="shared" si="31"/>
        <v xml:space="preserve">강동구 </v>
      </c>
      <c r="G667" t="str">
        <f t="shared" si="33"/>
        <v>길동</v>
      </c>
    </row>
    <row r="668" spans="1:9" x14ac:dyDescent="0.4">
      <c r="A668">
        <v>3240000</v>
      </c>
      <c r="B668" t="s">
        <v>11744</v>
      </c>
      <c r="C668" s="1">
        <v>33050</v>
      </c>
      <c r="D668" t="s">
        <v>11745</v>
      </c>
      <c r="E668" t="str">
        <f t="shared" si="30"/>
        <v>서울특별시</v>
      </c>
      <c r="F668" t="str">
        <f t="shared" si="31"/>
        <v xml:space="preserve">강동구 </v>
      </c>
      <c r="G668" t="str">
        <f t="shared" si="33"/>
        <v>길동</v>
      </c>
      <c r="H668" t="s">
        <v>11746</v>
      </c>
      <c r="I668">
        <v>5353</v>
      </c>
    </row>
    <row r="669" spans="1:9" x14ac:dyDescent="0.4">
      <c r="A669">
        <v>3240000</v>
      </c>
      <c r="B669" t="s">
        <v>11769</v>
      </c>
      <c r="C669" s="1">
        <v>36403</v>
      </c>
      <c r="D669" t="s">
        <v>11770</v>
      </c>
      <c r="E669" t="str">
        <f t="shared" si="30"/>
        <v>서울특별시</v>
      </c>
      <c r="F669" t="str">
        <f t="shared" si="31"/>
        <v xml:space="preserve">강동구 </v>
      </c>
      <c r="G669" t="str">
        <f t="shared" si="33"/>
        <v>길동</v>
      </c>
      <c r="H669" t="s">
        <v>11771</v>
      </c>
      <c r="I669">
        <v>5353</v>
      </c>
    </row>
    <row r="670" spans="1:9" x14ac:dyDescent="0.4">
      <c r="A670">
        <v>3240000</v>
      </c>
      <c r="B670" t="s">
        <v>11734</v>
      </c>
      <c r="C670" s="1">
        <v>37210</v>
      </c>
      <c r="D670" t="s">
        <v>11735</v>
      </c>
      <c r="E670" t="str">
        <f t="shared" si="30"/>
        <v>서울특별시</v>
      </c>
      <c r="F670" t="str">
        <f t="shared" si="31"/>
        <v xml:space="preserve">강동구 </v>
      </c>
      <c r="G670" t="str">
        <f t="shared" si="33"/>
        <v>길동</v>
      </c>
      <c r="H670" t="s">
        <v>11736</v>
      </c>
      <c r="I670">
        <v>5353</v>
      </c>
    </row>
    <row r="671" spans="1:9" x14ac:dyDescent="0.4">
      <c r="A671">
        <v>3240000</v>
      </c>
      <c r="B671" t="s">
        <v>11816</v>
      </c>
      <c r="C671" s="1">
        <v>32788</v>
      </c>
      <c r="D671" t="s">
        <v>11817</v>
      </c>
      <c r="E671" t="str">
        <f t="shared" si="30"/>
        <v>서울특별시</v>
      </c>
      <c r="F671" t="str">
        <f t="shared" si="31"/>
        <v xml:space="preserve">강동구 </v>
      </c>
      <c r="G671" t="str">
        <f t="shared" si="33"/>
        <v>길동</v>
      </c>
    </row>
    <row r="672" spans="1:9" x14ac:dyDescent="0.4">
      <c r="A672">
        <v>3240000</v>
      </c>
      <c r="B672" t="s">
        <v>11813</v>
      </c>
      <c r="C672" s="1">
        <v>32745</v>
      </c>
      <c r="D672" t="s">
        <v>11814</v>
      </c>
      <c r="E672" t="str">
        <f t="shared" si="30"/>
        <v>서울특별시</v>
      </c>
      <c r="F672" t="str">
        <f t="shared" si="31"/>
        <v xml:space="preserve">강동구 </v>
      </c>
      <c r="G672" t="str">
        <f t="shared" si="33"/>
        <v>길동</v>
      </c>
      <c r="H672" t="s">
        <v>11815</v>
      </c>
    </row>
    <row r="673" spans="1:9" x14ac:dyDescent="0.4">
      <c r="A673">
        <v>3240000</v>
      </c>
      <c r="B673" t="s">
        <v>11794</v>
      </c>
      <c r="C673" s="1">
        <v>39910</v>
      </c>
      <c r="D673" t="s">
        <v>11795</v>
      </c>
      <c r="E673" t="str">
        <f t="shared" si="30"/>
        <v>서울특별시</v>
      </c>
      <c r="F673" t="str">
        <f t="shared" si="31"/>
        <v xml:space="preserve">강동구 </v>
      </c>
      <c r="G673" t="str">
        <f t="shared" si="33"/>
        <v>길동</v>
      </c>
      <c r="H673" t="s">
        <v>11796</v>
      </c>
      <c r="I673">
        <v>5353</v>
      </c>
    </row>
    <row r="674" spans="1:9" x14ac:dyDescent="0.4">
      <c r="A674">
        <v>3240000</v>
      </c>
      <c r="B674" t="s">
        <v>11699</v>
      </c>
      <c r="C674" s="1">
        <v>40900</v>
      </c>
      <c r="D674" t="s">
        <v>11700</v>
      </c>
      <c r="E674" t="str">
        <f t="shared" si="30"/>
        <v>서울특별시</v>
      </c>
      <c r="F674" t="str">
        <f t="shared" si="31"/>
        <v xml:space="preserve">강동구 </v>
      </c>
      <c r="G674" t="str">
        <f t="shared" si="33"/>
        <v>길동</v>
      </c>
      <c r="H674" t="s">
        <v>11701</v>
      </c>
      <c r="I674">
        <v>5353</v>
      </c>
    </row>
    <row r="675" spans="1:9" x14ac:dyDescent="0.4">
      <c r="A675">
        <v>3240000</v>
      </c>
      <c r="B675" t="s">
        <v>11747</v>
      </c>
      <c r="C675" s="1">
        <v>30491</v>
      </c>
      <c r="D675" t="s">
        <v>11748</v>
      </c>
      <c r="E675" t="str">
        <f t="shared" si="30"/>
        <v>서울특별시</v>
      </c>
      <c r="F675" t="str">
        <f t="shared" si="31"/>
        <v xml:space="preserve">강동구 </v>
      </c>
      <c r="G675" t="str">
        <f t="shared" si="33"/>
        <v>길동</v>
      </c>
      <c r="H675" t="s">
        <v>11692</v>
      </c>
      <c r="I675">
        <v>5353</v>
      </c>
    </row>
    <row r="676" spans="1:9" x14ac:dyDescent="0.4">
      <c r="A676">
        <v>3240000</v>
      </c>
      <c r="B676" t="s">
        <v>11690</v>
      </c>
      <c r="C676" s="1">
        <v>40870</v>
      </c>
      <c r="D676" t="s">
        <v>11691</v>
      </c>
      <c r="E676" t="str">
        <f t="shared" si="30"/>
        <v>서울특별시</v>
      </c>
      <c r="F676" t="str">
        <f t="shared" si="31"/>
        <v xml:space="preserve">강동구 </v>
      </c>
      <c r="G676" t="str">
        <f t="shared" si="33"/>
        <v>길동</v>
      </c>
      <c r="H676" t="s">
        <v>11692</v>
      </c>
      <c r="I676">
        <v>5353</v>
      </c>
    </row>
    <row r="677" spans="1:9" x14ac:dyDescent="0.4">
      <c r="A677">
        <v>3240000</v>
      </c>
      <c r="B677" t="s">
        <v>853</v>
      </c>
      <c r="C677" s="1">
        <v>36475</v>
      </c>
      <c r="D677" t="s">
        <v>854</v>
      </c>
      <c r="E677" t="str">
        <f t="shared" si="30"/>
        <v>서울특별시</v>
      </c>
      <c r="F677" t="str">
        <f t="shared" si="31"/>
        <v xml:space="preserve">강동구 </v>
      </c>
      <c r="G677" t="str">
        <f t="shared" si="33"/>
        <v>길동</v>
      </c>
    </row>
    <row r="678" spans="1:9" x14ac:dyDescent="0.4">
      <c r="A678">
        <v>3240000</v>
      </c>
      <c r="B678" t="s">
        <v>11970</v>
      </c>
      <c r="C678" s="1">
        <v>31131</v>
      </c>
      <c r="D678" t="s">
        <v>854</v>
      </c>
      <c r="E678" t="str">
        <f t="shared" si="30"/>
        <v>서울특별시</v>
      </c>
      <c r="F678" t="str">
        <f t="shared" si="31"/>
        <v xml:space="preserve">강동구 </v>
      </c>
      <c r="G678" t="str">
        <f t="shared" si="33"/>
        <v>길동</v>
      </c>
      <c r="H678" t="s">
        <v>11822</v>
      </c>
      <c r="I678">
        <v>5353</v>
      </c>
    </row>
    <row r="679" spans="1:9" x14ac:dyDescent="0.4">
      <c r="A679">
        <v>3240000</v>
      </c>
      <c r="B679" t="s">
        <v>11820</v>
      </c>
      <c r="C679" s="1">
        <v>42724</v>
      </c>
      <c r="D679" t="s">
        <v>11821</v>
      </c>
      <c r="E679" t="str">
        <f t="shared" si="30"/>
        <v>서울특별시</v>
      </c>
      <c r="F679" t="str">
        <f t="shared" si="31"/>
        <v xml:space="preserve">강동구 </v>
      </c>
      <c r="G679" t="str">
        <f t="shared" si="33"/>
        <v>길동</v>
      </c>
      <c r="H679" t="s">
        <v>11822</v>
      </c>
      <c r="I679">
        <v>5353</v>
      </c>
    </row>
    <row r="680" spans="1:9" x14ac:dyDescent="0.4">
      <c r="A680">
        <v>3240000</v>
      </c>
      <c r="B680" t="s">
        <v>11591</v>
      </c>
      <c r="C680" s="1">
        <v>36888</v>
      </c>
      <c r="D680" t="s">
        <v>11592</v>
      </c>
      <c r="E680" t="str">
        <f t="shared" si="30"/>
        <v>서울특별시</v>
      </c>
      <c r="F680" t="str">
        <f t="shared" si="31"/>
        <v xml:space="preserve">강동구 </v>
      </c>
      <c r="G680" t="str">
        <f t="shared" si="33"/>
        <v>길동</v>
      </c>
      <c r="H680" t="s">
        <v>11593</v>
      </c>
      <c r="I680">
        <v>5353</v>
      </c>
    </row>
    <row r="681" spans="1:9" x14ac:dyDescent="0.4">
      <c r="A681">
        <v>3240000</v>
      </c>
      <c r="B681" t="s">
        <v>11761</v>
      </c>
      <c r="C681" s="1">
        <v>41219</v>
      </c>
      <c r="D681" t="s">
        <v>11762</v>
      </c>
      <c r="E681" t="str">
        <f t="shared" si="30"/>
        <v>서울특별시</v>
      </c>
      <c r="F681" t="str">
        <f t="shared" si="31"/>
        <v xml:space="preserve">강동구 </v>
      </c>
      <c r="G681" t="str">
        <f t="shared" si="33"/>
        <v>길동</v>
      </c>
      <c r="H681" t="s">
        <v>11763</v>
      </c>
      <c r="I681">
        <v>5353</v>
      </c>
    </row>
    <row r="682" spans="1:9" x14ac:dyDescent="0.4">
      <c r="A682">
        <v>3240000</v>
      </c>
      <c r="B682" t="s">
        <v>11614</v>
      </c>
      <c r="C682" s="1">
        <v>37818</v>
      </c>
      <c r="D682" t="s">
        <v>11615</v>
      </c>
      <c r="E682" t="str">
        <f t="shared" si="30"/>
        <v>서울특별시</v>
      </c>
      <c r="F682" t="str">
        <f t="shared" si="31"/>
        <v xml:space="preserve">강동구 </v>
      </c>
      <c r="G682" t="str">
        <f t="shared" si="33"/>
        <v>길동</v>
      </c>
      <c r="H682" t="s">
        <v>11616</v>
      </c>
      <c r="I682">
        <v>5353</v>
      </c>
    </row>
    <row r="683" spans="1:9" x14ac:dyDescent="0.4">
      <c r="A683">
        <v>3240000</v>
      </c>
      <c r="B683" t="s">
        <v>11879</v>
      </c>
      <c r="C683" s="1">
        <v>31354</v>
      </c>
      <c r="D683" t="s">
        <v>11615</v>
      </c>
      <c r="E683" t="str">
        <f t="shared" si="30"/>
        <v>서울특별시</v>
      </c>
      <c r="F683" t="str">
        <f t="shared" si="31"/>
        <v xml:space="preserve">강동구 </v>
      </c>
      <c r="G683" t="str">
        <f t="shared" si="33"/>
        <v>길동</v>
      </c>
    </row>
    <row r="684" spans="1:9" x14ac:dyDescent="0.4">
      <c r="A684">
        <v>3240000</v>
      </c>
      <c r="B684" t="s">
        <v>12074</v>
      </c>
      <c r="C684" s="1">
        <v>30471</v>
      </c>
      <c r="D684" t="s">
        <v>11615</v>
      </c>
      <c r="E684" t="str">
        <f t="shared" si="30"/>
        <v>서울특별시</v>
      </c>
      <c r="F684" t="str">
        <f t="shared" si="31"/>
        <v xml:space="preserve">강동구 </v>
      </c>
      <c r="G684" t="str">
        <f t="shared" si="33"/>
        <v>길동</v>
      </c>
    </row>
    <row r="685" spans="1:9" x14ac:dyDescent="0.4">
      <c r="A685">
        <v>3240000</v>
      </c>
      <c r="B685" t="s">
        <v>11801</v>
      </c>
      <c r="C685" s="1">
        <v>36889</v>
      </c>
      <c r="D685" t="s">
        <v>11802</v>
      </c>
      <c r="E685" t="str">
        <f t="shared" si="30"/>
        <v>서울특별시</v>
      </c>
      <c r="F685" t="str">
        <f t="shared" si="31"/>
        <v xml:space="preserve">강동구 </v>
      </c>
      <c r="G685" t="str">
        <f t="shared" si="33"/>
        <v>길동</v>
      </c>
    </row>
    <row r="686" spans="1:9" x14ac:dyDescent="0.4">
      <c r="A686">
        <v>3240000</v>
      </c>
      <c r="B686" t="s">
        <v>11588</v>
      </c>
      <c r="C686" s="1">
        <v>36476</v>
      </c>
      <c r="D686" t="s">
        <v>11589</v>
      </c>
      <c r="E686" t="str">
        <f t="shared" si="30"/>
        <v>서울특별시</v>
      </c>
      <c r="F686" t="str">
        <f t="shared" si="31"/>
        <v xml:space="preserve">강동구 </v>
      </c>
      <c r="G686" t="str">
        <f t="shared" si="33"/>
        <v>길동</v>
      </c>
      <c r="H686" t="s">
        <v>11590</v>
      </c>
      <c r="I686">
        <v>5353</v>
      </c>
    </row>
    <row r="687" spans="1:9" x14ac:dyDescent="0.4">
      <c r="A687">
        <v>3240000</v>
      </c>
      <c r="B687" t="s">
        <v>84</v>
      </c>
      <c r="C687" s="1">
        <v>36295</v>
      </c>
      <c r="D687" t="s">
        <v>85</v>
      </c>
      <c r="E687" t="str">
        <f t="shared" si="30"/>
        <v>서울특별시</v>
      </c>
      <c r="F687" t="str">
        <f t="shared" si="31"/>
        <v xml:space="preserve">강동구 </v>
      </c>
      <c r="G687" t="str">
        <f t="shared" si="33"/>
        <v>길동</v>
      </c>
      <c r="H687" t="s">
        <v>86</v>
      </c>
      <c r="I687">
        <v>5353</v>
      </c>
    </row>
    <row r="688" spans="1:9" x14ac:dyDescent="0.4">
      <c r="A688">
        <v>3240000</v>
      </c>
      <c r="B688" t="s">
        <v>11811</v>
      </c>
      <c r="C688" s="1">
        <v>32737</v>
      </c>
      <c r="D688" t="s">
        <v>11812</v>
      </c>
      <c r="E688" t="str">
        <f t="shared" si="30"/>
        <v>서울특별시</v>
      </c>
      <c r="F688" t="str">
        <f t="shared" si="31"/>
        <v xml:space="preserve">강동구 </v>
      </c>
      <c r="G688" t="str">
        <f t="shared" si="33"/>
        <v>길동</v>
      </c>
    </row>
    <row r="689" spans="1:9" x14ac:dyDescent="0.4">
      <c r="A689">
        <v>3240000</v>
      </c>
      <c r="B689" t="s">
        <v>11955</v>
      </c>
      <c r="C689" s="1">
        <v>29539</v>
      </c>
      <c r="D689" t="s">
        <v>11812</v>
      </c>
      <c r="E689" t="str">
        <f t="shared" si="30"/>
        <v>서울특별시</v>
      </c>
      <c r="F689" t="str">
        <f t="shared" si="31"/>
        <v xml:space="preserve">강동구 </v>
      </c>
      <c r="G689" t="str">
        <f t="shared" si="33"/>
        <v>길동</v>
      </c>
    </row>
    <row r="690" spans="1:9" x14ac:dyDescent="0.4">
      <c r="A690">
        <v>3240000</v>
      </c>
      <c r="B690" t="s">
        <v>12102</v>
      </c>
      <c r="C690" s="1">
        <v>39974</v>
      </c>
      <c r="D690" t="s">
        <v>11812</v>
      </c>
      <c r="E690" t="str">
        <f t="shared" si="30"/>
        <v>서울특별시</v>
      </c>
      <c r="F690" t="str">
        <f t="shared" si="31"/>
        <v xml:space="preserve">강동구 </v>
      </c>
      <c r="G690" t="str">
        <f t="shared" si="33"/>
        <v>길동</v>
      </c>
      <c r="H690" t="s">
        <v>12103</v>
      </c>
      <c r="I690">
        <v>5353</v>
      </c>
    </row>
    <row r="691" spans="1:9" x14ac:dyDescent="0.4">
      <c r="A691">
        <v>3240000</v>
      </c>
      <c r="B691" t="s">
        <v>5376</v>
      </c>
      <c r="C691" s="1">
        <v>37978</v>
      </c>
      <c r="D691" t="s">
        <v>5377</v>
      </c>
      <c r="E691" t="str">
        <f t="shared" si="30"/>
        <v>서울특별시</v>
      </c>
      <c r="F691" t="str">
        <f t="shared" si="31"/>
        <v xml:space="preserve">강동구 </v>
      </c>
      <c r="G691" t="str">
        <f t="shared" si="33"/>
        <v>길동</v>
      </c>
      <c r="H691" t="s">
        <v>5378</v>
      </c>
      <c r="I691">
        <v>5353</v>
      </c>
    </row>
    <row r="692" spans="1:9" x14ac:dyDescent="0.4">
      <c r="A692">
        <v>3240000</v>
      </c>
      <c r="B692" t="s">
        <v>12030</v>
      </c>
      <c r="C692" s="1">
        <v>37139</v>
      </c>
      <c r="D692" t="s">
        <v>5377</v>
      </c>
      <c r="E692" t="str">
        <f t="shared" si="30"/>
        <v>서울특별시</v>
      </c>
      <c r="F692" t="str">
        <f t="shared" si="31"/>
        <v xml:space="preserve">강동구 </v>
      </c>
      <c r="G692" t="str">
        <f t="shared" si="33"/>
        <v>길동</v>
      </c>
    </row>
    <row r="693" spans="1:9" x14ac:dyDescent="0.4">
      <c r="A693">
        <v>3240000</v>
      </c>
      <c r="B693" t="s">
        <v>11833</v>
      </c>
      <c r="C693" s="1">
        <v>32240</v>
      </c>
      <c r="D693" t="s">
        <v>11834</v>
      </c>
      <c r="E693" t="str">
        <f t="shared" si="30"/>
        <v>서울특별시</v>
      </c>
      <c r="F693" t="str">
        <f t="shared" si="31"/>
        <v xml:space="preserve">강동구 </v>
      </c>
      <c r="G693" t="str">
        <f t="shared" si="33"/>
        <v>길동</v>
      </c>
      <c r="H693" t="s">
        <v>11835</v>
      </c>
      <c r="I693">
        <v>5353</v>
      </c>
    </row>
    <row r="694" spans="1:9" x14ac:dyDescent="0.4">
      <c r="A694">
        <v>3240000</v>
      </c>
      <c r="B694" t="s">
        <v>12127</v>
      </c>
      <c r="C694" s="1">
        <v>31817</v>
      </c>
      <c r="D694" t="s">
        <v>11834</v>
      </c>
      <c r="E694" t="str">
        <f t="shared" si="30"/>
        <v>서울특별시</v>
      </c>
      <c r="F694" t="str">
        <f t="shared" si="31"/>
        <v xml:space="preserve">강동구 </v>
      </c>
      <c r="G694" t="str">
        <f t="shared" si="33"/>
        <v>길동</v>
      </c>
      <c r="H694" t="s">
        <v>11835</v>
      </c>
      <c r="I694">
        <v>5353</v>
      </c>
    </row>
    <row r="695" spans="1:9" x14ac:dyDescent="0.4">
      <c r="A695">
        <v>3240000</v>
      </c>
      <c r="B695" t="s">
        <v>11623</v>
      </c>
      <c r="C695" s="1">
        <v>31040</v>
      </c>
      <c r="D695" t="s">
        <v>11624</v>
      </c>
      <c r="E695" t="str">
        <f t="shared" si="30"/>
        <v>서울특별시</v>
      </c>
      <c r="F695" t="str">
        <f t="shared" si="31"/>
        <v xml:space="preserve">강동구 </v>
      </c>
      <c r="G695" t="str">
        <f t="shared" si="33"/>
        <v>길동</v>
      </c>
      <c r="H695" t="s">
        <v>11625</v>
      </c>
      <c r="I695">
        <v>5353</v>
      </c>
    </row>
    <row r="696" spans="1:9" x14ac:dyDescent="0.4">
      <c r="A696">
        <v>3240000</v>
      </c>
      <c r="B696" t="s">
        <v>11877</v>
      </c>
      <c r="C696" s="1">
        <v>31322</v>
      </c>
      <c r="D696" t="s">
        <v>11878</v>
      </c>
      <c r="E696" t="str">
        <f t="shared" si="30"/>
        <v>서울특별시</v>
      </c>
      <c r="F696" t="str">
        <f t="shared" si="31"/>
        <v xml:space="preserve">강동구 </v>
      </c>
      <c r="G696" t="str">
        <f t="shared" si="33"/>
        <v>길동</v>
      </c>
    </row>
    <row r="697" spans="1:9" x14ac:dyDescent="0.4">
      <c r="A697">
        <v>3240000</v>
      </c>
      <c r="B697" t="s">
        <v>11611</v>
      </c>
      <c r="C697" s="1">
        <v>37788</v>
      </c>
      <c r="D697" t="s">
        <v>11612</v>
      </c>
      <c r="E697" t="str">
        <f t="shared" si="30"/>
        <v>서울특별시</v>
      </c>
      <c r="F697" t="str">
        <f t="shared" si="31"/>
        <v xml:space="preserve">강동구 </v>
      </c>
      <c r="G697" t="str">
        <f t="shared" si="33"/>
        <v>길동</v>
      </c>
      <c r="H697" t="s">
        <v>11613</v>
      </c>
      <c r="I697">
        <v>5353</v>
      </c>
    </row>
    <row r="698" spans="1:9" x14ac:dyDescent="0.4">
      <c r="A698">
        <v>3240000</v>
      </c>
      <c r="B698" t="s">
        <v>11806</v>
      </c>
      <c r="C698" s="1">
        <v>39723</v>
      </c>
      <c r="D698" t="s">
        <v>11807</v>
      </c>
      <c r="E698" t="str">
        <f t="shared" si="30"/>
        <v>서울특별시</v>
      </c>
      <c r="F698" t="str">
        <f t="shared" si="31"/>
        <v xml:space="preserve">강동구 </v>
      </c>
      <c r="G698" t="str">
        <f t="shared" si="33"/>
        <v>길동</v>
      </c>
      <c r="H698" t="s">
        <v>11808</v>
      </c>
      <c r="I698">
        <v>5353</v>
      </c>
    </row>
    <row r="699" spans="1:9" x14ac:dyDescent="0.4">
      <c r="A699">
        <v>3240000</v>
      </c>
      <c r="B699" t="s">
        <v>159</v>
      </c>
      <c r="C699" s="1">
        <v>40605</v>
      </c>
      <c r="D699" t="s">
        <v>160</v>
      </c>
      <c r="E699" t="str">
        <f t="shared" si="30"/>
        <v>서울특별시</v>
      </c>
      <c r="F699" t="str">
        <f t="shared" si="31"/>
        <v xml:space="preserve">강동구 </v>
      </c>
      <c r="G699" t="str">
        <f t="shared" si="33"/>
        <v>길동</v>
      </c>
      <c r="H699" t="s">
        <v>161</v>
      </c>
      <c r="I699">
        <v>5353</v>
      </c>
    </row>
    <row r="700" spans="1:9" x14ac:dyDescent="0.4">
      <c r="A700">
        <v>3240000</v>
      </c>
      <c r="B700" t="s">
        <v>11562</v>
      </c>
      <c r="C700" s="1">
        <v>31608</v>
      </c>
      <c r="D700" t="s">
        <v>11563</v>
      </c>
      <c r="E700" t="str">
        <f t="shared" si="30"/>
        <v>서울특별시</v>
      </c>
      <c r="F700" t="str">
        <f t="shared" si="31"/>
        <v xml:space="preserve">강동구 </v>
      </c>
      <c r="G700" t="str">
        <f t="shared" si="33"/>
        <v>길동</v>
      </c>
      <c r="H700" t="s">
        <v>161</v>
      </c>
      <c r="I700">
        <v>5353</v>
      </c>
    </row>
    <row r="701" spans="1:9" x14ac:dyDescent="0.4">
      <c r="A701">
        <v>3240000</v>
      </c>
      <c r="B701" t="s">
        <v>11727</v>
      </c>
      <c r="C701" s="1">
        <v>37025</v>
      </c>
      <c r="D701" t="s">
        <v>11563</v>
      </c>
      <c r="E701" t="str">
        <f t="shared" si="30"/>
        <v>서울특별시</v>
      </c>
      <c r="F701" t="str">
        <f t="shared" si="31"/>
        <v xml:space="preserve">강동구 </v>
      </c>
      <c r="G701" t="str">
        <f t="shared" si="33"/>
        <v>길동</v>
      </c>
      <c r="H701" t="s">
        <v>161</v>
      </c>
      <c r="I701">
        <v>5353</v>
      </c>
    </row>
    <row r="702" spans="1:9" x14ac:dyDescent="0.4">
      <c r="A702">
        <v>3240000</v>
      </c>
      <c r="B702" t="s">
        <v>12021</v>
      </c>
      <c r="C702" s="1">
        <v>37412</v>
      </c>
      <c r="D702" t="s">
        <v>11563</v>
      </c>
      <c r="E702" t="str">
        <f t="shared" si="30"/>
        <v>서울특별시</v>
      </c>
      <c r="F702" t="str">
        <f t="shared" si="31"/>
        <v xml:space="preserve">강동구 </v>
      </c>
      <c r="G702" t="str">
        <f t="shared" si="33"/>
        <v>길동</v>
      </c>
    </row>
    <row r="703" spans="1:9" x14ac:dyDescent="0.4">
      <c r="A703">
        <v>3240000</v>
      </c>
      <c r="B703" t="s">
        <v>11725</v>
      </c>
      <c r="C703" s="1">
        <v>37963</v>
      </c>
      <c r="D703" t="s">
        <v>11726</v>
      </c>
      <c r="E703" t="str">
        <f t="shared" si="30"/>
        <v>서울특별시</v>
      </c>
      <c r="F703" t="str">
        <f t="shared" si="31"/>
        <v xml:space="preserve">강동구 </v>
      </c>
      <c r="G703" t="str">
        <f t="shared" si="33"/>
        <v>길동</v>
      </c>
    </row>
    <row r="704" spans="1:9" x14ac:dyDescent="0.4">
      <c r="A704">
        <v>3240000</v>
      </c>
      <c r="B704" t="s">
        <v>11641</v>
      </c>
      <c r="C704" s="1">
        <v>40605</v>
      </c>
      <c r="D704" t="s">
        <v>11642</v>
      </c>
      <c r="E704" t="str">
        <f t="shared" si="30"/>
        <v>서울특별시</v>
      </c>
      <c r="F704" t="str">
        <f t="shared" si="31"/>
        <v xml:space="preserve">강동구 </v>
      </c>
      <c r="G704" t="str">
        <f t="shared" si="33"/>
        <v>길동</v>
      </c>
      <c r="H704" t="s">
        <v>11643</v>
      </c>
      <c r="I704">
        <v>5353</v>
      </c>
    </row>
    <row r="705" spans="1:9" x14ac:dyDescent="0.4">
      <c r="A705">
        <v>3240000</v>
      </c>
      <c r="B705" t="s">
        <v>11600</v>
      </c>
      <c r="C705" s="1">
        <v>36700</v>
      </c>
      <c r="D705" t="s">
        <v>11601</v>
      </c>
      <c r="E705" t="str">
        <f t="shared" si="30"/>
        <v>서울특별시</v>
      </c>
      <c r="F705" t="str">
        <f t="shared" si="31"/>
        <v xml:space="preserve">강동구 </v>
      </c>
      <c r="G705" t="str">
        <f t="shared" si="33"/>
        <v>길동</v>
      </c>
      <c r="H705" t="s">
        <v>11602</v>
      </c>
      <c r="I705">
        <v>5353</v>
      </c>
    </row>
    <row r="706" spans="1:9" x14ac:dyDescent="0.4">
      <c r="A706">
        <v>3240000</v>
      </c>
      <c r="B706" t="s">
        <v>11597</v>
      </c>
      <c r="C706" s="1">
        <v>36692</v>
      </c>
      <c r="D706" t="s">
        <v>11598</v>
      </c>
      <c r="E706" t="str">
        <f t="shared" si="30"/>
        <v>서울특별시</v>
      </c>
      <c r="F706" t="str">
        <f t="shared" si="31"/>
        <v xml:space="preserve">강동구 </v>
      </c>
      <c r="G706" t="str">
        <f t="shared" si="33"/>
        <v>길동</v>
      </c>
      <c r="H706" t="s">
        <v>11599</v>
      </c>
      <c r="I706">
        <v>5353</v>
      </c>
    </row>
    <row r="707" spans="1:9" x14ac:dyDescent="0.4">
      <c r="A707">
        <v>3240000</v>
      </c>
      <c r="B707" t="s">
        <v>11644</v>
      </c>
      <c r="C707" s="1">
        <v>37718</v>
      </c>
      <c r="D707" t="s">
        <v>11645</v>
      </c>
      <c r="E707" t="str">
        <f t="shared" ref="E707:E770" si="34">LEFT(D707,5)</f>
        <v>서울특별시</v>
      </c>
      <c r="F707" t="str">
        <f t="shared" ref="F707:F770" si="35">MID(D707,7,4)</f>
        <v xml:space="preserve">강동구 </v>
      </c>
      <c r="G707" t="str">
        <f t="shared" si="33"/>
        <v>길동</v>
      </c>
      <c r="H707" t="s">
        <v>11646</v>
      </c>
      <c r="I707">
        <v>5353</v>
      </c>
    </row>
    <row r="708" spans="1:9" x14ac:dyDescent="0.4">
      <c r="A708">
        <v>3240000</v>
      </c>
      <c r="B708" t="s">
        <v>11772</v>
      </c>
      <c r="C708" s="1">
        <v>36434</v>
      </c>
      <c r="D708" t="s">
        <v>11773</v>
      </c>
      <c r="E708" t="str">
        <f t="shared" si="34"/>
        <v>서울특별시</v>
      </c>
      <c r="F708" t="str">
        <f t="shared" si="35"/>
        <v xml:space="preserve">강동구 </v>
      </c>
      <c r="G708" t="str">
        <f t="shared" si="33"/>
        <v>길동</v>
      </c>
      <c r="H708" t="s">
        <v>11774</v>
      </c>
      <c r="I708">
        <v>5353</v>
      </c>
    </row>
    <row r="709" spans="1:9" x14ac:dyDescent="0.4">
      <c r="A709">
        <v>3240000</v>
      </c>
      <c r="B709" t="s">
        <v>11719</v>
      </c>
      <c r="C709" s="1">
        <v>38344</v>
      </c>
      <c r="D709" t="s">
        <v>11720</v>
      </c>
      <c r="E709" t="str">
        <f t="shared" si="34"/>
        <v>서울특별시</v>
      </c>
      <c r="F709" t="str">
        <f t="shared" si="35"/>
        <v xml:space="preserve">강동구 </v>
      </c>
      <c r="G709" t="str">
        <f t="shared" si="33"/>
        <v>길동</v>
      </c>
      <c r="H709" t="s">
        <v>11721</v>
      </c>
      <c r="I709">
        <v>5353</v>
      </c>
    </row>
    <row r="710" spans="1:9" x14ac:dyDescent="0.4">
      <c r="A710">
        <v>3240000</v>
      </c>
      <c r="B710" t="s">
        <v>11787</v>
      </c>
      <c r="C710" s="1">
        <v>36908</v>
      </c>
      <c r="D710" t="s">
        <v>11720</v>
      </c>
      <c r="E710" t="str">
        <f t="shared" si="34"/>
        <v>서울특별시</v>
      </c>
      <c r="F710" t="str">
        <f t="shared" si="35"/>
        <v xml:space="preserve">강동구 </v>
      </c>
      <c r="G710" t="str">
        <f t="shared" si="33"/>
        <v>길동</v>
      </c>
      <c r="H710" t="s">
        <v>11721</v>
      </c>
      <c r="I710">
        <v>5353</v>
      </c>
    </row>
    <row r="711" spans="1:9" x14ac:dyDescent="0.4">
      <c r="A711">
        <v>3240000</v>
      </c>
      <c r="B711" t="s">
        <v>11780</v>
      </c>
      <c r="C711" s="1">
        <v>36848</v>
      </c>
      <c r="D711" t="s">
        <v>11781</v>
      </c>
      <c r="E711" t="str">
        <f t="shared" si="34"/>
        <v>서울특별시</v>
      </c>
      <c r="F711" t="str">
        <f t="shared" si="35"/>
        <v xml:space="preserve">강동구 </v>
      </c>
      <c r="G711" t="str">
        <f t="shared" si="33"/>
        <v>길동</v>
      </c>
      <c r="H711" t="s">
        <v>11782</v>
      </c>
      <c r="I711">
        <v>5353</v>
      </c>
    </row>
    <row r="712" spans="1:9" x14ac:dyDescent="0.4">
      <c r="A712">
        <v>3240000</v>
      </c>
      <c r="B712" t="s">
        <v>11608</v>
      </c>
      <c r="C712" s="1">
        <v>39073</v>
      </c>
      <c r="D712" t="s">
        <v>11609</v>
      </c>
      <c r="E712" t="str">
        <f t="shared" si="34"/>
        <v>서울특별시</v>
      </c>
      <c r="F712" t="str">
        <f t="shared" si="35"/>
        <v xml:space="preserve">강동구 </v>
      </c>
      <c r="G712" t="str">
        <f t="shared" si="33"/>
        <v>길동</v>
      </c>
      <c r="H712" t="s">
        <v>11610</v>
      </c>
      <c r="I712">
        <v>5353</v>
      </c>
    </row>
    <row r="713" spans="1:9" x14ac:dyDescent="0.4">
      <c r="A713">
        <v>3240000</v>
      </c>
      <c r="B713" t="s">
        <v>12006</v>
      </c>
      <c r="C713" s="1">
        <v>36908</v>
      </c>
      <c r="D713" t="s">
        <v>12007</v>
      </c>
      <c r="E713" t="str">
        <f t="shared" si="34"/>
        <v>서울특별시</v>
      </c>
      <c r="F713" t="str">
        <f t="shared" si="35"/>
        <v xml:space="preserve">강동구 </v>
      </c>
      <c r="G713" t="str">
        <f t="shared" si="33"/>
        <v>길동</v>
      </c>
    </row>
    <row r="714" spans="1:9" x14ac:dyDescent="0.4">
      <c r="A714">
        <v>3240000</v>
      </c>
      <c r="B714" t="s">
        <v>12119</v>
      </c>
      <c r="C714" s="1">
        <v>31516</v>
      </c>
      <c r="D714" t="s">
        <v>12007</v>
      </c>
      <c r="E714" t="str">
        <f t="shared" si="34"/>
        <v>서울특별시</v>
      </c>
      <c r="F714" t="str">
        <f t="shared" si="35"/>
        <v xml:space="preserve">강동구 </v>
      </c>
      <c r="G714" t="str">
        <f t="shared" si="33"/>
        <v>길동</v>
      </c>
    </row>
    <row r="715" spans="1:9" x14ac:dyDescent="0.4">
      <c r="A715">
        <v>3240000</v>
      </c>
      <c r="B715" t="s">
        <v>11784</v>
      </c>
      <c r="C715" s="1">
        <v>36893</v>
      </c>
      <c r="D715" t="s">
        <v>11785</v>
      </c>
      <c r="E715" t="str">
        <f t="shared" si="34"/>
        <v>서울특별시</v>
      </c>
      <c r="F715" t="str">
        <f t="shared" si="35"/>
        <v xml:space="preserve">강동구 </v>
      </c>
      <c r="G715" t="str">
        <f t="shared" si="33"/>
        <v>길동</v>
      </c>
      <c r="H715" t="s">
        <v>11786</v>
      </c>
      <c r="I715">
        <v>5353</v>
      </c>
    </row>
    <row r="716" spans="1:9" x14ac:dyDescent="0.4">
      <c r="A716">
        <v>3240000</v>
      </c>
      <c r="B716" t="s">
        <v>11893</v>
      </c>
      <c r="C716" s="1">
        <v>30841</v>
      </c>
      <c r="D716" t="s">
        <v>11894</v>
      </c>
      <c r="E716" t="str">
        <f t="shared" si="34"/>
        <v>서울특별시</v>
      </c>
      <c r="F716" t="str">
        <f t="shared" si="35"/>
        <v xml:space="preserve">강동구 </v>
      </c>
      <c r="G716" t="str">
        <f t="shared" si="33"/>
        <v>길동</v>
      </c>
    </row>
    <row r="717" spans="1:9" x14ac:dyDescent="0.4">
      <c r="A717">
        <v>3240000</v>
      </c>
      <c r="B717" t="s">
        <v>11836</v>
      </c>
      <c r="C717" s="1">
        <v>36580</v>
      </c>
      <c r="D717" t="s">
        <v>11837</v>
      </c>
      <c r="E717" t="str">
        <f t="shared" si="34"/>
        <v>서울특별시</v>
      </c>
      <c r="F717" t="str">
        <f t="shared" si="35"/>
        <v xml:space="preserve">강동구 </v>
      </c>
      <c r="G717" t="str">
        <f t="shared" si="33"/>
        <v>길동</v>
      </c>
    </row>
    <row r="718" spans="1:9" x14ac:dyDescent="0.4">
      <c r="A718">
        <v>3240000</v>
      </c>
      <c r="B718" t="s">
        <v>11749</v>
      </c>
      <c r="C718" s="1">
        <v>41947</v>
      </c>
      <c r="D718" t="s">
        <v>11750</v>
      </c>
      <c r="E718" t="str">
        <f t="shared" si="34"/>
        <v>서울특별시</v>
      </c>
      <c r="F718" t="str">
        <f t="shared" si="35"/>
        <v xml:space="preserve">강동구 </v>
      </c>
      <c r="G718" t="str">
        <f t="shared" si="33"/>
        <v>길동</v>
      </c>
      <c r="H718" t="s">
        <v>11569</v>
      </c>
      <c r="I718">
        <v>5353</v>
      </c>
    </row>
    <row r="719" spans="1:9" x14ac:dyDescent="0.4">
      <c r="A719">
        <v>3240000</v>
      </c>
      <c r="B719" t="s">
        <v>11567</v>
      </c>
      <c r="C719" s="1">
        <v>41628</v>
      </c>
      <c r="D719" t="s">
        <v>11568</v>
      </c>
      <c r="E719" t="str">
        <f t="shared" si="34"/>
        <v>서울특별시</v>
      </c>
      <c r="F719" t="str">
        <f t="shared" si="35"/>
        <v xml:space="preserve">강동구 </v>
      </c>
      <c r="G719" t="str">
        <f t="shared" si="33"/>
        <v>길동</v>
      </c>
      <c r="H719" t="s">
        <v>11569</v>
      </c>
      <c r="I719">
        <v>5353</v>
      </c>
    </row>
    <row r="720" spans="1:9" x14ac:dyDescent="0.4">
      <c r="A720">
        <v>3240000</v>
      </c>
      <c r="B720" t="s">
        <v>11797</v>
      </c>
      <c r="C720" s="1">
        <v>36469</v>
      </c>
      <c r="D720" t="s">
        <v>11568</v>
      </c>
      <c r="E720" t="str">
        <f t="shared" si="34"/>
        <v>서울특별시</v>
      </c>
      <c r="F720" t="str">
        <f t="shared" si="35"/>
        <v xml:space="preserve">강동구 </v>
      </c>
      <c r="G720" t="str">
        <f t="shared" si="33"/>
        <v>길동</v>
      </c>
      <c r="H720" t="s">
        <v>11569</v>
      </c>
      <c r="I720">
        <v>5353</v>
      </c>
    </row>
    <row r="721" spans="1:9" x14ac:dyDescent="0.4">
      <c r="A721">
        <v>3240000</v>
      </c>
      <c r="B721" t="s">
        <v>11742</v>
      </c>
      <c r="C721" s="1">
        <v>41908</v>
      </c>
      <c r="D721" t="s">
        <v>11743</v>
      </c>
      <c r="E721" t="str">
        <f t="shared" si="34"/>
        <v>서울특별시</v>
      </c>
      <c r="F721" t="str">
        <f t="shared" si="35"/>
        <v xml:space="preserve">강동구 </v>
      </c>
      <c r="G721" t="str">
        <f t="shared" si="33"/>
        <v>길동</v>
      </c>
      <c r="H721" t="s">
        <v>11569</v>
      </c>
      <c r="I721">
        <v>5353</v>
      </c>
    </row>
    <row r="722" spans="1:9" x14ac:dyDescent="0.4">
      <c r="A722">
        <v>3240000</v>
      </c>
      <c r="B722" t="s">
        <v>11657</v>
      </c>
      <c r="C722" s="1">
        <v>44012</v>
      </c>
      <c r="D722" t="s">
        <v>11658</v>
      </c>
      <c r="E722" t="str">
        <f t="shared" si="34"/>
        <v>서울특별시</v>
      </c>
      <c r="F722" t="str">
        <f t="shared" si="35"/>
        <v xml:space="preserve">강동구 </v>
      </c>
      <c r="G722" t="str">
        <f t="shared" si="33"/>
        <v>길동</v>
      </c>
      <c r="H722" t="s">
        <v>11659</v>
      </c>
      <c r="I722">
        <v>5353</v>
      </c>
    </row>
    <row r="723" spans="1:9" x14ac:dyDescent="0.4">
      <c r="A723">
        <v>3240000</v>
      </c>
      <c r="B723" t="s">
        <v>11984</v>
      </c>
      <c r="C723" s="1">
        <v>29279</v>
      </c>
      <c r="D723" t="s">
        <v>11985</v>
      </c>
      <c r="E723" t="str">
        <f t="shared" si="34"/>
        <v>서울특별시</v>
      </c>
      <c r="F723" t="str">
        <f t="shared" si="35"/>
        <v xml:space="preserve">강동구 </v>
      </c>
      <c r="G723" t="str">
        <f t="shared" si="33"/>
        <v>길동</v>
      </c>
    </row>
    <row r="724" spans="1:9" x14ac:dyDescent="0.4">
      <c r="A724">
        <v>3240000</v>
      </c>
      <c r="B724" t="s">
        <v>12022</v>
      </c>
      <c r="C724" s="1">
        <v>37189</v>
      </c>
      <c r="D724" t="s">
        <v>11985</v>
      </c>
      <c r="E724" t="str">
        <f t="shared" si="34"/>
        <v>서울특별시</v>
      </c>
      <c r="F724" t="str">
        <f t="shared" si="35"/>
        <v xml:space="preserve">강동구 </v>
      </c>
      <c r="G724" t="str">
        <f t="shared" si="33"/>
        <v>길동</v>
      </c>
    </row>
    <row r="725" spans="1:9" x14ac:dyDescent="0.4">
      <c r="A725">
        <v>3240000</v>
      </c>
      <c r="B725" t="s">
        <v>12104</v>
      </c>
      <c r="C725" s="1">
        <v>36487</v>
      </c>
      <c r="D725" t="s">
        <v>12105</v>
      </c>
      <c r="E725" t="str">
        <f t="shared" si="34"/>
        <v>서울특별시</v>
      </c>
      <c r="F725" t="str">
        <f t="shared" si="35"/>
        <v xml:space="preserve">강동구 </v>
      </c>
      <c r="G725" t="str">
        <f t="shared" si="33"/>
        <v>길동</v>
      </c>
    </row>
    <row r="726" spans="1:9" x14ac:dyDescent="0.4">
      <c r="A726">
        <v>3240000</v>
      </c>
      <c r="B726" t="s">
        <v>12023</v>
      </c>
      <c r="C726" s="1">
        <v>37202</v>
      </c>
      <c r="D726" t="s">
        <v>12024</v>
      </c>
      <c r="E726" t="str">
        <f t="shared" si="34"/>
        <v>서울특별시</v>
      </c>
      <c r="F726" t="str">
        <f t="shared" si="35"/>
        <v xml:space="preserve">강동구 </v>
      </c>
      <c r="G726" t="str">
        <f t="shared" ref="G726:G789" si="36">MID(SUBSTITUTE(D726," ",""),9,2)</f>
        <v>길동</v>
      </c>
      <c r="H726" t="s">
        <v>12025</v>
      </c>
      <c r="I726">
        <v>5353</v>
      </c>
    </row>
    <row r="727" spans="1:9" x14ac:dyDescent="0.4">
      <c r="A727">
        <v>3240000</v>
      </c>
      <c r="B727" t="s">
        <v>11886</v>
      </c>
      <c r="C727" s="1">
        <v>30838</v>
      </c>
      <c r="D727" t="s">
        <v>11887</v>
      </c>
      <c r="E727" t="str">
        <f t="shared" si="34"/>
        <v>서울특별시</v>
      </c>
      <c r="F727" t="str">
        <f t="shared" si="35"/>
        <v xml:space="preserve">강동구 </v>
      </c>
      <c r="G727" t="str">
        <f t="shared" si="36"/>
        <v>길동</v>
      </c>
    </row>
    <row r="728" spans="1:9" x14ac:dyDescent="0.4">
      <c r="A728">
        <v>3240000</v>
      </c>
      <c r="B728" t="s">
        <v>11971</v>
      </c>
      <c r="C728" s="1">
        <v>31201</v>
      </c>
      <c r="D728" t="s">
        <v>11887</v>
      </c>
      <c r="E728" t="str">
        <f t="shared" si="34"/>
        <v>서울특별시</v>
      </c>
      <c r="F728" t="str">
        <f t="shared" si="35"/>
        <v xml:space="preserve">강동구 </v>
      </c>
      <c r="G728" t="str">
        <f t="shared" si="36"/>
        <v>길동</v>
      </c>
      <c r="H728" t="s">
        <v>11569</v>
      </c>
      <c r="I728">
        <v>5353</v>
      </c>
    </row>
    <row r="729" spans="1:9" x14ac:dyDescent="0.4">
      <c r="A729">
        <v>3240000</v>
      </c>
      <c r="B729" t="s">
        <v>12059</v>
      </c>
      <c r="C729" s="1">
        <v>30404</v>
      </c>
      <c r="D729" t="s">
        <v>11887</v>
      </c>
      <c r="E729" t="str">
        <f t="shared" si="34"/>
        <v>서울특별시</v>
      </c>
      <c r="F729" t="str">
        <f t="shared" si="35"/>
        <v xml:space="preserve">강동구 </v>
      </c>
      <c r="G729" t="str">
        <f t="shared" si="36"/>
        <v>길동</v>
      </c>
    </row>
    <row r="730" spans="1:9" x14ac:dyDescent="0.4">
      <c r="A730">
        <v>3240000</v>
      </c>
      <c r="B730" t="s">
        <v>12019</v>
      </c>
      <c r="C730" s="1">
        <v>37369</v>
      </c>
      <c r="D730" t="s">
        <v>12020</v>
      </c>
      <c r="E730" t="str">
        <f t="shared" si="34"/>
        <v>서울특별시</v>
      </c>
      <c r="F730" t="str">
        <f t="shared" si="35"/>
        <v xml:space="preserve">강동구 </v>
      </c>
      <c r="G730" t="str">
        <f t="shared" si="36"/>
        <v>길동</v>
      </c>
    </row>
    <row r="731" spans="1:9" x14ac:dyDescent="0.4">
      <c r="A731">
        <v>3240000</v>
      </c>
      <c r="B731" t="s">
        <v>12085</v>
      </c>
      <c r="C731" s="1">
        <v>36789</v>
      </c>
      <c r="D731" t="s">
        <v>12086</v>
      </c>
      <c r="E731" t="str">
        <f t="shared" si="34"/>
        <v>서울특별시</v>
      </c>
      <c r="F731" t="str">
        <f t="shared" si="35"/>
        <v xml:space="preserve">강동구 </v>
      </c>
      <c r="G731" t="str">
        <f t="shared" si="36"/>
        <v>길동</v>
      </c>
    </row>
    <row r="732" spans="1:9" x14ac:dyDescent="0.4">
      <c r="A732">
        <v>3240000</v>
      </c>
      <c r="B732" t="s">
        <v>11675</v>
      </c>
      <c r="C732" s="1">
        <v>40066</v>
      </c>
      <c r="D732" t="s">
        <v>11676</v>
      </c>
      <c r="E732" t="str">
        <f t="shared" si="34"/>
        <v>서울특별시</v>
      </c>
      <c r="F732" t="str">
        <f t="shared" si="35"/>
        <v xml:space="preserve">강동구 </v>
      </c>
      <c r="G732" t="str">
        <f t="shared" si="36"/>
        <v>길동</v>
      </c>
      <c r="H732" t="s">
        <v>11677</v>
      </c>
      <c r="I732">
        <v>5353</v>
      </c>
    </row>
    <row r="733" spans="1:9" x14ac:dyDescent="0.4">
      <c r="A733">
        <v>3240000</v>
      </c>
      <c r="B733" t="s">
        <v>11994</v>
      </c>
      <c r="C733" s="1">
        <v>36990</v>
      </c>
      <c r="D733" t="s">
        <v>11995</v>
      </c>
      <c r="E733" t="str">
        <f t="shared" si="34"/>
        <v>서울특별시</v>
      </c>
      <c r="F733" t="str">
        <f t="shared" si="35"/>
        <v xml:space="preserve">강동구 </v>
      </c>
      <c r="G733" t="str">
        <f t="shared" si="36"/>
        <v>길동</v>
      </c>
      <c r="H733" t="s">
        <v>11996</v>
      </c>
      <c r="I733">
        <v>5353</v>
      </c>
    </row>
    <row r="734" spans="1:9" x14ac:dyDescent="0.4">
      <c r="A734">
        <v>3240000</v>
      </c>
      <c r="B734" t="s">
        <v>12005</v>
      </c>
      <c r="C734" s="1">
        <v>37134</v>
      </c>
      <c r="D734" t="s">
        <v>11995</v>
      </c>
      <c r="E734" t="str">
        <f t="shared" si="34"/>
        <v>서울특별시</v>
      </c>
      <c r="F734" t="str">
        <f t="shared" si="35"/>
        <v xml:space="preserve">강동구 </v>
      </c>
      <c r="G734" t="str">
        <f t="shared" si="36"/>
        <v>길동</v>
      </c>
    </row>
    <row r="735" spans="1:9" x14ac:dyDescent="0.4">
      <c r="A735">
        <v>3240000</v>
      </c>
      <c r="B735" t="s">
        <v>12040</v>
      </c>
      <c r="C735" s="1">
        <v>29699</v>
      </c>
      <c r="D735" t="s">
        <v>11995</v>
      </c>
      <c r="E735" t="str">
        <f t="shared" si="34"/>
        <v>서울특별시</v>
      </c>
      <c r="F735" t="str">
        <f t="shared" si="35"/>
        <v xml:space="preserve">강동구 </v>
      </c>
      <c r="G735" t="str">
        <f t="shared" si="36"/>
        <v>길동</v>
      </c>
    </row>
    <row r="736" spans="1:9" x14ac:dyDescent="0.4">
      <c r="A736">
        <v>3240000</v>
      </c>
      <c r="B736" t="s">
        <v>12099</v>
      </c>
      <c r="C736" s="1">
        <v>39604</v>
      </c>
      <c r="D736" t="s">
        <v>12100</v>
      </c>
      <c r="E736" t="str">
        <f t="shared" si="34"/>
        <v>서울특별시</v>
      </c>
      <c r="F736" t="str">
        <f t="shared" si="35"/>
        <v xml:space="preserve">강동구 </v>
      </c>
      <c r="G736" t="str">
        <f t="shared" si="36"/>
        <v>길동</v>
      </c>
      <c r="H736" t="s">
        <v>12101</v>
      </c>
      <c r="I736">
        <v>5353</v>
      </c>
    </row>
    <row r="737" spans="1:9" x14ac:dyDescent="0.4">
      <c r="A737">
        <v>3240000</v>
      </c>
      <c r="B737" t="s">
        <v>12069</v>
      </c>
      <c r="C737" s="1">
        <v>39561</v>
      </c>
      <c r="D737" t="s">
        <v>12070</v>
      </c>
      <c r="E737" t="str">
        <f t="shared" si="34"/>
        <v>서울특별시</v>
      </c>
      <c r="F737" t="str">
        <f t="shared" si="35"/>
        <v xml:space="preserve">강동구 </v>
      </c>
      <c r="G737" t="str">
        <f t="shared" si="36"/>
        <v>길동</v>
      </c>
      <c r="H737" t="s">
        <v>12071</v>
      </c>
      <c r="I737">
        <v>5353</v>
      </c>
    </row>
    <row r="738" spans="1:9" x14ac:dyDescent="0.4">
      <c r="A738">
        <v>3240000</v>
      </c>
      <c r="B738" t="s">
        <v>11902</v>
      </c>
      <c r="C738" s="1">
        <v>40254</v>
      </c>
      <c r="D738" t="s">
        <v>11903</v>
      </c>
      <c r="E738" t="str">
        <f t="shared" si="34"/>
        <v>서울특별시</v>
      </c>
      <c r="F738" t="str">
        <f t="shared" si="35"/>
        <v xml:space="preserve">강동구 </v>
      </c>
      <c r="G738" t="str">
        <f t="shared" si="36"/>
        <v>길동</v>
      </c>
    </row>
    <row r="739" spans="1:9" x14ac:dyDescent="0.4">
      <c r="A739">
        <v>3240000</v>
      </c>
      <c r="B739" t="s">
        <v>11904</v>
      </c>
      <c r="C739" s="1">
        <v>40259</v>
      </c>
      <c r="D739" t="s">
        <v>11903</v>
      </c>
      <c r="E739" t="str">
        <f t="shared" si="34"/>
        <v>서울특별시</v>
      </c>
      <c r="F739" t="str">
        <f t="shared" si="35"/>
        <v xml:space="preserve">강동구 </v>
      </c>
      <c r="G739" t="str">
        <f t="shared" si="36"/>
        <v>길동</v>
      </c>
    </row>
    <row r="740" spans="1:9" x14ac:dyDescent="0.4">
      <c r="A740">
        <v>3240000</v>
      </c>
      <c r="B740" t="s">
        <v>289</v>
      </c>
      <c r="C740" s="1">
        <v>36467</v>
      </c>
      <c r="D740" t="s">
        <v>290</v>
      </c>
      <c r="E740" t="str">
        <f t="shared" si="34"/>
        <v>서울특별시</v>
      </c>
      <c r="F740" t="str">
        <f t="shared" si="35"/>
        <v xml:space="preserve">강동구 </v>
      </c>
      <c r="G740" t="str">
        <f t="shared" si="36"/>
        <v>길동</v>
      </c>
    </row>
    <row r="741" spans="1:9" x14ac:dyDescent="0.4">
      <c r="A741">
        <v>3240000</v>
      </c>
      <c r="B741" t="s">
        <v>12046</v>
      </c>
      <c r="C741" s="1">
        <v>40605</v>
      </c>
      <c r="D741" t="s">
        <v>12047</v>
      </c>
      <c r="E741" t="str">
        <f t="shared" si="34"/>
        <v>서울특별시</v>
      </c>
      <c r="F741" t="str">
        <f t="shared" si="35"/>
        <v xml:space="preserve">강동구 </v>
      </c>
      <c r="G741" t="str">
        <f t="shared" si="36"/>
        <v>길동</v>
      </c>
    </row>
    <row r="742" spans="1:9" x14ac:dyDescent="0.4">
      <c r="A742">
        <v>3240000</v>
      </c>
      <c r="B742" t="s">
        <v>11890</v>
      </c>
      <c r="C742" s="1">
        <v>30840</v>
      </c>
      <c r="D742" t="s">
        <v>11891</v>
      </c>
      <c r="E742" t="str">
        <f t="shared" si="34"/>
        <v>서울특별시</v>
      </c>
      <c r="F742" t="str">
        <f t="shared" si="35"/>
        <v xml:space="preserve">강동구 </v>
      </c>
      <c r="G742" t="str">
        <f t="shared" si="36"/>
        <v>길동</v>
      </c>
      <c r="H742" t="s">
        <v>11892</v>
      </c>
      <c r="I742">
        <v>5354</v>
      </c>
    </row>
    <row r="743" spans="1:9" x14ac:dyDescent="0.4">
      <c r="A743">
        <v>3240000</v>
      </c>
      <c r="B743" t="s">
        <v>11950</v>
      </c>
      <c r="C743" s="1">
        <v>40981</v>
      </c>
      <c r="D743" t="s">
        <v>11891</v>
      </c>
      <c r="E743" t="str">
        <f t="shared" si="34"/>
        <v>서울특별시</v>
      </c>
      <c r="F743" t="str">
        <f t="shared" si="35"/>
        <v xml:space="preserve">강동구 </v>
      </c>
      <c r="G743" t="str">
        <f t="shared" si="36"/>
        <v>길동</v>
      </c>
      <c r="H743" t="s">
        <v>11892</v>
      </c>
      <c r="I743">
        <v>5354</v>
      </c>
    </row>
    <row r="744" spans="1:9" x14ac:dyDescent="0.4">
      <c r="A744">
        <v>3240000</v>
      </c>
      <c r="B744" t="s">
        <v>11564</v>
      </c>
      <c r="C744" s="1">
        <v>31723</v>
      </c>
      <c r="D744" t="s">
        <v>11565</v>
      </c>
      <c r="E744" t="str">
        <f t="shared" si="34"/>
        <v>서울특별시</v>
      </c>
      <c r="F744" t="str">
        <f t="shared" si="35"/>
        <v xml:space="preserve">강동구 </v>
      </c>
      <c r="G744" t="str">
        <f t="shared" si="36"/>
        <v>길동</v>
      </c>
      <c r="H744" t="s">
        <v>11566</v>
      </c>
      <c r="I744">
        <v>5354</v>
      </c>
    </row>
    <row r="745" spans="1:9" x14ac:dyDescent="0.4">
      <c r="A745">
        <v>3240000</v>
      </c>
      <c r="B745" t="s">
        <v>12048</v>
      </c>
      <c r="C745" s="1">
        <v>37665</v>
      </c>
      <c r="D745" t="s">
        <v>12049</v>
      </c>
      <c r="E745" t="str">
        <f t="shared" si="34"/>
        <v>서울특별시</v>
      </c>
      <c r="F745" t="str">
        <f t="shared" si="35"/>
        <v xml:space="preserve">강동구 </v>
      </c>
      <c r="G745" t="str">
        <f t="shared" si="36"/>
        <v>길동</v>
      </c>
      <c r="H745" t="s">
        <v>12050</v>
      </c>
      <c r="I745">
        <v>5354</v>
      </c>
    </row>
    <row r="746" spans="1:9" x14ac:dyDescent="0.4">
      <c r="A746">
        <v>3240000</v>
      </c>
      <c r="B746" t="s">
        <v>11681</v>
      </c>
      <c r="C746" s="1">
        <v>40184</v>
      </c>
      <c r="D746" t="s">
        <v>11682</v>
      </c>
      <c r="E746" t="str">
        <f t="shared" si="34"/>
        <v>서울특별시</v>
      </c>
      <c r="F746" t="str">
        <f t="shared" si="35"/>
        <v xml:space="preserve">강동구 </v>
      </c>
      <c r="G746" t="str">
        <f t="shared" si="36"/>
        <v>길동</v>
      </c>
      <c r="H746" t="s">
        <v>11683</v>
      </c>
      <c r="I746">
        <v>5354</v>
      </c>
    </row>
    <row r="747" spans="1:9" x14ac:dyDescent="0.4">
      <c r="A747">
        <v>3240000</v>
      </c>
      <c r="B747" t="s">
        <v>11684</v>
      </c>
      <c r="C747" s="1">
        <v>40185</v>
      </c>
      <c r="D747" t="s">
        <v>11685</v>
      </c>
      <c r="E747" t="str">
        <f t="shared" si="34"/>
        <v>서울특별시</v>
      </c>
      <c r="F747" t="str">
        <f t="shared" si="35"/>
        <v xml:space="preserve">강동구 </v>
      </c>
      <c r="G747" t="str">
        <f t="shared" si="36"/>
        <v>길동</v>
      </c>
      <c r="H747" t="s">
        <v>11686</v>
      </c>
      <c r="I747">
        <v>5354</v>
      </c>
    </row>
    <row r="748" spans="1:9" x14ac:dyDescent="0.4">
      <c r="A748">
        <v>3240000</v>
      </c>
      <c r="B748" t="s">
        <v>11559</v>
      </c>
      <c r="C748" s="1">
        <v>41564</v>
      </c>
      <c r="D748" t="s">
        <v>11560</v>
      </c>
      <c r="E748" t="str">
        <f t="shared" si="34"/>
        <v>서울특별시</v>
      </c>
      <c r="F748" t="str">
        <f t="shared" si="35"/>
        <v xml:space="preserve">강동구 </v>
      </c>
      <c r="G748" t="str">
        <f t="shared" si="36"/>
        <v>길동</v>
      </c>
      <c r="H748" t="s">
        <v>11561</v>
      </c>
      <c r="I748">
        <v>5354</v>
      </c>
    </row>
    <row r="749" spans="1:9" x14ac:dyDescent="0.4">
      <c r="A749">
        <v>3240000</v>
      </c>
      <c r="B749" t="s">
        <v>12063</v>
      </c>
      <c r="C749" s="1">
        <v>40416</v>
      </c>
      <c r="D749" t="s">
        <v>11560</v>
      </c>
      <c r="E749" t="str">
        <f t="shared" si="34"/>
        <v>서울특별시</v>
      </c>
      <c r="F749" t="str">
        <f t="shared" si="35"/>
        <v xml:space="preserve">강동구 </v>
      </c>
      <c r="G749" t="str">
        <f t="shared" si="36"/>
        <v>길동</v>
      </c>
      <c r="H749" t="s">
        <v>11561</v>
      </c>
      <c r="I749">
        <v>5354</v>
      </c>
    </row>
    <row r="750" spans="1:9" x14ac:dyDescent="0.4">
      <c r="A750">
        <v>3240000</v>
      </c>
      <c r="B750" t="s">
        <v>11766</v>
      </c>
      <c r="C750" s="1">
        <v>39511</v>
      </c>
      <c r="D750" t="s">
        <v>11767</v>
      </c>
      <c r="E750" t="str">
        <f t="shared" si="34"/>
        <v>서울특별시</v>
      </c>
      <c r="F750" t="str">
        <f t="shared" si="35"/>
        <v xml:space="preserve">강동구 </v>
      </c>
      <c r="G750" t="str">
        <f t="shared" si="36"/>
        <v>길동</v>
      </c>
      <c r="H750" t="s">
        <v>11768</v>
      </c>
      <c r="I750">
        <v>5354</v>
      </c>
    </row>
    <row r="751" spans="1:9" x14ac:dyDescent="0.4">
      <c r="A751">
        <v>3240000</v>
      </c>
      <c r="B751" t="s">
        <v>12087</v>
      </c>
      <c r="C751" s="1">
        <v>41256</v>
      </c>
      <c r="D751" t="s">
        <v>12088</v>
      </c>
      <c r="E751" t="str">
        <f t="shared" si="34"/>
        <v>서울특별시</v>
      </c>
      <c r="F751" t="str">
        <f t="shared" si="35"/>
        <v xml:space="preserve">강동구 </v>
      </c>
      <c r="G751" t="str">
        <f t="shared" si="36"/>
        <v>길동</v>
      </c>
      <c r="H751" t="s">
        <v>12089</v>
      </c>
      <c r="I751">
        <v>5354</v>
      </c>
    </row>
    <row r="752" spans="1:9" x14ac:dyDescent="0.4">
      <c r="A752">
        <v>3240000</v>
      </c>
      <c r="B752" t="s">
        <v>11989</v>
      </c>
      <c r="C752" s="1">
        <v>37239</v>
      </c>
      <c r="D752" t="s">
        <v>11990</v>
      </c>
      <c r="E752" t="str">
        <f t="shared" si="34"/>
        <v>서울특별시</v>
      </c>
      <c r="F752" t="str">
        <f t="shared" si="35"/>
        <v xml:space="preserve">강동구 </v>
      </c>
      <c r="G752" t="str">
        <f t="shared" si="36"/>
        <v>길동</v>
      </c>
      <c r="H752" t="s">
        <v>11991</v>
      </c>
      <c r="I752">
        <v>5354</v>
      </c>
    </row>
    <row r="753" spans="1:9" x14ac:dyDescent="0.4">
      <c r="A753">
        <v>3240000</v>
      </c>
      <c r="B753" t="s">
        <v>12042</v>
      </c>
      <c r="C753" s="1">
        <v>30315</v>
      </c>
      <c r="D753" t="s">
        <v>12043</v>
      </c>
      <c r="E753" t="str">
        <f t="shared" si="34"/>
        <v>서울특별시</v>
      </c>
      <c r="F753" t="str">
        <f t="shared" si="35"/>
        <v xml:space="preserve">강동구 </v>
      </c>
      <c r="G753" t="str">
        <f t="shared" si="36"/>
        <v>길동</v>
      </c>
    </row>
    <row r="754" spans="1:9" x14ac:dyDescent="0.4">
      <c r="A754">
        <v>3240000</v>
      </c>
      <c r="B754" t="s">
        <v>11871</v>
      </c>
      <c r="C754" s="1">
        <v>36748</v>
      </c>
      <c r="D754" t="s">
        <v>11872</v>
      </c>
      <c r="E754" t="str">
        <f t="shared" si="34"/>
        <v>서울특별시</v>
      </c>
      <c r="F754" t="str">
        <f t="shared" si="35"/>
        <v xml:space="preserve">강동구 </v>
      </c>
      <c r="G754" t="str">
        <f t="shared" si="36"/>
        <v>길동</v>
      </c>
      <c r="H754" t="s">
        <v>11873</v>
      </c>
      <c r="I754">
        <v>5354</v>
      </c>
    </row>
    <row r="755" spans="1:9" x14ac:dyDescent="0.4">
      <c r="A755">
        <v>3240000</v>
      </c>
      <c r="B755" t="s">
        <v>11826</v>
      </c>
      <c r="C755" s="1">
        <v>33023</v>
      </c>
      <c r="D755" t="s">
        <v>11827</v>
      </c>
      <c r="E755" t="str">
        <f t="shared" si="34"/>
        <v>서울특별시</v>
      </c>
      <c r="F755" t="str">
        <f t="shared" si="35"/>
        <v xml:space="preserve">강동구 </v>
      </c>
      <c r="G755" t="str">
        <f t="shared" si="36"/>
        <v>길동</v>
      </c>
      <c r="H755" t="s">
        <v>11828</v>
      </c>
      <c r="I755">
        <v>5354</v>
      </c>
    </row>
    <row r="756" spans="1:9" x14ac:dyDescent="0.4">
      <c r="A756">
        <v>3240000</v>
      </c>
      <c r="B756" t="s">
        <v>11848</v>
      </c>
      <c r="C756" s="1">
        <v>37733</v>
      </c>
      <c r="D756" t="s">
        <v>11849</v>
      </c>
      <c r="E756" t="str">
        <f t="shared" si="34"/>
        <v>서울특별시</v>
      </c>
      <c r="F756" t="str">
        <f t="shared" si="35"/>
        <v xml:space="preserve">강동구 </v>
      </c>
      <c r="G756" t="str">
        <f t="shared" si="36"/>
        <v>길동</v>
      </c>
      <c r="H756" t="s">
        <v>11850</v>
      </c>
      <c r="I756">
        <v>5355</v>
      </c>
    </row>
    <row r="757" spans="1:9" x14ac:dyDescent="0.4">
      <c r="A757">
        <v>3240000</v>
      </c>
      <c r="B757" t="s">
        <v>11866</v>
      </c>
      <c r="C757" s="1">
        <v>37995</v>
      </c>
      <c r="D757" t="s">
        <v>11849</v>
      </c>
      <c r="E757" t="str">
        <f t="shared" si="34"/>
        <v>서울특별시</v>
      </c>
      <c r="F757" t="str">
        <f t="shared" si="35"/>
        <v xml:space="preserve">강동구 </v>
      </c>
      <c r="G757" t="str">
        <f t="shared" si="36"/>
        <v>길동</v>
      </c>
      <c r="H757" t="s">
        <v>11850</v>
      </c>
      <c r="I757">
        <v>5355</v>
      </c>
    </row>
    <row r="758" spans="1:9" x14ac:dyDescent="0.4">
      <c r="A758">
        <v>3240000</v>
      </c>
      <c r="B758" t="s">
        <v>12028</v>
      </c>
      <c r="C758" s="1">
        <v>37225</v>
      </c>
      <c r="D758" t="s">
        <v>11849</v>
      </c>
      <c r="E758" t="str">
        <f t="shared" si="34"/>
        <v>서울특별시</v>
      </c>
      <c r="F758" t="str">
        <f t="shared" si="35"/>
        <v xml:space="preserve">강동구 </v>
      </c>
      <c r="G758" t="str">
        <f t="shared" si="36"/>
        <v>길동</v>
      </c>
      <c r="H758" t="s">
        <v>11850</v>
      </c>
      <c r="I758">
        <v>5355</v>
      </c>
    </row>
    <row r="759" spans="1:9" x14ac:dyDescent="0.4">
      <c r="A759">
        <v>3240000</v>
      </c>
      <c r="B759" t="s">
        <v>12131</v>
      </c>
      <c r="C759" s="1">
        <v>41652</v>
      </c>
      <c r="D759" t="s">
        <v>11849</v>
      </c>
      <c r="E759" t="str">
        <f t="shared" si="34"/>
        <v>서울특별시</v>
      </c>
      <c r="F759" t="str">
        <f t="shared" si="35"/>
        <v xml:space="preserve">강동구 </v>
      </c>
      <c r="G759" t="str">
        <f t="shared" si="36"/>
        <v>길동</v>
      </c>
      <c r="H759" t="s">
        <v>12132</v>
      </c>
      <c r="I759">
        <v>5355</v>
      </c>
    </row>
    <row r="760" spans="1:9" x14ac:dyDescent="0.4">
      <c r="A760">
        <v>3240000</v>
      </c>
      <c r="B760" t="s">
        <v>12133</v>
      </c>
      <c r="C760" s="1">
        <v>41653</v>
      </c>
      <c r="D760" t="s">
        <v>12134</v>
      </c>
      <c r="E760" t="str">
        <f t="shared" si="34"/>
        <v>서울특별시</v>
      </c>
      <c r="F760" t="str">
        <f t="shared" si="35"/>
        <v xml:space="preserve">강동구 </v>
      </c>
      <c r="G760" t="str">
        <f t="shared" si="36"/>
        <v>길동</v>
      </c>
      <c r="H760" t="s">
        <v>11850</v>
      </c>
      <c r="I760">
        <v>5355</v>
      </c>
    </row>
    <row r="761" spans="1:9" x14ac:dyDescent="0.4">
      <c r="A761">
        <v>3240000</v>
      </c>
      <c r="B761" t="s">
        <v>12035</v>
      </c>
      <c r="C761" s="1">
        <v>37182</v>
      </c>
      <c r="D761" t="s">
        <v>12036</v>
      </c>
      <c r="E761" t="str">
        <f t="shared" si="34"/>
        <v>서울특별시</v>
      </c>
      <c r="F761" t="str">
        <f t="shared" si="35"/>
        <v xml:space="preserve">강동구 </v>
      </c>
      <c r="G761" t="str">
        <f t="shared" si="36"/>
        <v>길동</v>
      </c>
    </row>
    <row r="762" spans="1:9" x14ac:dyDescent="0.4">
      <c r="A762">
        <v>3240000</v>
      </c>
      <c r="B762" t="s">
        <v>11594</v>
      </c>
      <c r="C762" s="1">
        <v>36633</v>
      </c>
      <c r="D762" t="s">
        <v>11595</v>
      </c>
      <c r="E762" t="str">
        <f t="shared" si="34"/>
        <v>서울특별시</v>
      </c>
      <c r="F762" t="str">
        <f t="shared" si="35"/>
        <v xml:space="preserve">강동구 </v>
      </c>
      <c r="G762" t="str">
        <f t="shared" si="36"/>
        <v>길동</v>
      </c>
      <c r="H762" t="s">
        <v>11596</v>
      </c>
      <c r="I762">
        <v>5355</v>
      </c>
    </row>
    <row r="763" spans="1:9" x14ac:dyDescent="0.4">
      <c r="A763">
        <v>3240000</v>
      </c>
      <c r="B763" t="s">
        <v>11728</v>
      </c>
      <c r="C763" s="1">
        <v>37121</v>
      </c>
      <c r="D763" t="s">
        <v>11729</v>
      </c>
      <c r="E763" t="str">
        <f t="shared" si="34"/>
        <v>서울특별시</v>
      </c>
      <c r="F763" t="str">
        <f t="shared" si="35"/>
        <v xml:space="preserve">강동구 </v>
      </c>
      <c r="G763" t="str">
        <f t="shared" si="36"/>
        <v>길동</v>
      </c>
      <c r="H763" t="s">
        <v>11730</v>
      </c>
      <c r="I763">
        <v>5355</v>
      </c>
    </row>
    <row r="764" spans="1:9" x14ac:dyDescent="0.4">
      <c r="A764">
        <v>3240000</v>
      </c>
      <c r="B764" t="s">
        <v>11666</v>
      </c>
      <c r="C764" s="1">
        <v>37461</v>
      </c>
      <c r="D764" t="s">
        <v>11667</v>
      </c>
      <c r="E764" t="str">
        <f t="shared" si="34"/>
        <v>서울특별시</v>
      </c>
      <c r="F764" t="str">
        <f t="shared" si="35"/>
        <v xml:space="preserve">강동구 </v>
      </c>
      <c r="G764" t="str">
        <f t="shared" si="36"/>
        <v>길동</v>
      </c>
      <c r="H764" t="s">
        <v>11668</v>
      </c>
      <c r="I764">
        <v>5355</v>
      </c>
    </row>
    <row r="765" spans="1:9" x14ac:dyDescent="0.4">
      <c r="A765">
        <v>3240000</v>
      </c>
      <c r="B765" t="s">
        <v>11751</v>
      </c>
      <c r="C765" s="1">
        <v>36759</v>
      </c>
      <c r="D765" t="s">
        <v>11752</v>
      </c>
      <c r="E765" t="str">
        <f t="shared" si="34"/>
        <v>서울특별시</v>
      </c>
      <c r="F765" t="str">
        <f t="shared" si="35"/>
        <v xml:space="preserve">강동구 </v>
      </c>
      <c r="G765" t="str">
        <f t="shared" si="36"/>
        <v>길동</v>
      </c>
      <c r="H765" t="s">
        <v>11668</v>
      </c>
      <c r="I765">
        <v>5355</v>
      </c>
    </row>
    <row r="766" spans="1:9" x14ac:dyDescent="0.4">
      <c r="A766">
        <v>3240000</v>
      </c>
      <c r="B766" t="s">
        <v>11917</v>
      </c>
      <c r="C766" s="1">
        <v>38643</v>
      </c>
      <c r="D766" t="s">
        <v>11918</v>
      </c>
      <c r="E766" t="str">
        <f t="shared" si="34"/>
        <v>서울특별시</v>
      </c>
      <c r="F766" t="str">
        <f t="shared" si="35"/>
        <v xml:space="preserve">강동구 </v>
      </c>
      <c r="G766" t="str">
        <f t="shared" si="36"/>
        <v>길동</v>
      </c>
      <c r="H766" t="s">
        <v>11919</v>
      </c>
      <c r="I766">
        <v>5355</v>
      </c>
    </row>
    <row r="767" spans="1:9" x14ac:dyDescent="0.4">
      <c r="A767">
        <v>3240000</v>
      </c>
      <c r="B767" t="s">
        <v>11731</v>
      </c>
      <c r="C767" s="1">
        <v>37242</v>
      </c>
      <c r="D767" t="s">
        <v>11732</v>
      </c>
      <c r="E767" t="str">
        <f t="shared" si="34"/>
        <v>서울특별시</v>
      </c>
      <c r="F767" t="str">
        <f t="shared" si="35"/>
        <v xml:space="preserve">강동구 </v>
      </c>
      <c r="G767" t="str">
        <f t="shared" si="36"/>
        <v>길동</v>
      </c>
      <c r="H767" t="s">
        <v>11733</v>
      </c>
      <c r="I767">
        <v>5355</v>
      </c>
    </row>
    <row r="768" spans="1:9" x14ac:dyDescent="0.4">
      <c r="A768">
        <v>3240000</v>
      </c>
      <c r="B768" t="s">
        <v>11867</v>
      </c>
      <c r="C768" s="1">
        <v>39276</v>
      </c>
      <c r="D768" t="s">
        <v>11732</v>
      </c>
      <c r="E768" t="str">
        <f t="shared" si="34"/>
        <v>서울특별시</v>
      </c>
      <c r="F768" t="str">
        <f t="shared" si="35"/>
        <v xml:space="preserve">강동구 </v>
      </c>
      <c r="G768" t="str">
        <f t="shared" si="36"/>
        <v>길동</v>
      </c>
    </row>
    <row r="769" spans="1:9" x14ac:dyDescent="0.4">
      <c r="A769">
        <v>3240000</v>
      </c>
      <c r="B769" t="s">
        <v>12135</v>
      </c>
      <c r="C769" s="1">
        <v>41884</v>
      </c>
      <c r="D769" t="s">
        <v>11732</v>
      </c>
      <c r="E769" t="str">
        <f t="shared" si="34"/>
        <v>서울특별시</v>
      </c>
      <c r="F769" t="str">
        <f t="shared" si="35"/>
        <v xml:space="preserve">강동구 </v>
      </c>
      <c r="G769" t="str">
        <f t="shared" si="36"/>
        <v>길동</v>
      </c>
      <c r="H769" t="s">
        <v>11733</v>
      </c>
      <c r="I769">
        <v>5355</v>
      </c>
    </row>
    <row r="770" spans="1:9" x14ac:dyDescent="0.4">
      <c r="A770">
        <v>3240000</v>
      </c>
      <c r="B770" t="s">
        <v>11652</v>
      </c>
      <c r="C770" s="1">
        <v>40431</v>
      </c>
      <c r="D770" t="s">
        <v>11653</v>
      </c>
      <c r="E770" t="str">
        <f t="shared" si="34"/>
        <v>서울특별시</v>
      </c>
      <c r="F770" t="str">
        <f t="shared" si="35"/>
        <v xml:space="preserve">강동구 </v>
      </c>
      <c r="G770" t="str">
        <f t="shared" si="36"/>
        <v>길동</v>
      </c>
      <c r="H770" t="s">
        <v>11654</v>
      </c>
      <c r="I770">
        <v>5355</v>
      </c>
    </row>
    <row r="771" spans="1:9" x14ac:dyDescent="0.4">
      <c r="A771">
        <v>3240000</v>
      </c>
      <c r="B771" t="s">
        <v>11722</v>
      </c>
      <c r="C771" s="1">
        <v>37006</v>
      </c>
      <c r="D771" t="s">
        <v>11723</v>
      </c>
      <c r="E771" t="str">
        <f t="shared" ref="E771:E834" si="37">LEFT(D771,5)</f>
        <v>서울특별시</v>
      </c>
      <c r="F771" t="str">
        <f t="shared" ref="F771:F834" si="38">MID(D771,7,4)</f>
        <v xml:space="preserve">강동구 </v>
      </c>
      <c r="G771" t="str">
        <f t="shared" si="36"/>
        <v>길동</v>
      </c>
      <c r="H771" t="s">
        <v>11724</v>
      </c>
      <c r="I771">
        <v>5355</v>
      </c>
    </row>
    <row r="772" spans="1:9" x14ac:dyDescent="0.4">
      <c r="A772">
        <v>3240000</v>
      </c>
      <c r="B772" t="s">
        <v>12090</v>
      </c>
      <c r="C772" s="1">
        <v>36329</v>
      </c>
      <c r="D772" t="s">
        <v>12091</v>
      </c>
      <c r="E772" t="str">
        <f t="shared" si="37"/>
        <v>서울특별시</v>
      </c>
      <c r="F772" t="str">
        <f t="shared" si="38"/>
        <v xml:space="preserve">강동구 </v>
      </c>
      <c r="G772" t="str">
        <f t="shared" si="36"/>
        <v>길동</v>
      </c>
      <c r="H772" t="s">
        <v>12092</v>
      </c>
      <c r="I772">
        <v>5355</v>
      </c>
    </row>
    <row r="773" spans="1:9" x14ac:dyDescent="0.4">
      <c r="A773">
        <v>3240000</v>
      </c>
      <c r="B773" t="s">
        <v>11920</v>
      </c>
      <c r="C773" s="1">
        <v>39037</v>
      </c>
      <c r="D773" t="s">
        <v>11921</v>
      </c>
      <c r="E773" t="str">
        <f t="shared" si="37"/>
        <v>서울특별시</v>
      </c>
      <c r="F773" t="str">
        <f t="shared" si="38"/>
        <v xml:space="preserve">강동구 </v>
      </c>
      <c r="G773" t="str">
        <f t="shared" si="36"/>
        <v>길동</v>
      </c>
      <c r="H773" t="s">
        <v>11922</v>
      </c>
      <c r="I773">
        <v>5355</v>
      </c>
    </row>
    <row r="774" spans="1:9" x14ac:dyDescent="0.4">
      <c r="A774">
        <v>3240000</v>
      </c>
      <c r="B774" t="s">
        <v>11851</v>
      </c>
      <c r="C774" s="1">
        <v>36566</v>
      </c>
      <c r="D774" t="s">
        <v>11852</v>
      </c>
      <c r="E774" t="str">
        <f t="shared" si="37"/>
        <v>서울특별시</v>
      </c>
      <c r="F774" t="str">
        <f t="shared" si="38"/>
        <v xml:space="preserve">강동구 </v>
      </c>
      <c r="G774" t="str">
        <f t="shared" si="36"/>
        <v>길동</v>
      </c>
    </row>
    <row r="775" spans="1:9" x14ac:dyDescent="0.4">
      <c r="A775">
        <v>3240000</v>
      </c>
      <c r="B775" t="s">
        <v>11605</v>
      </c>
      <c r="C775" s="1">
        <v>39071</v>
      </c>
      <c r="D775" t="s">
        <v>11606</v>
      </c>
      <c r="E775" t="str">
        <f t="shared" si="37"/>
        <v>서울특별시</v>
      </c>
      <c r="F775" t="str">
        <f t="shared" si="38"/>
        <v xml:space="preserve">강동구 </v>
      </c>
      <c r="G775" t="str">
        <f t="shared" si="36"/>
        <v>길동</v>
      </c>
      <c r="H775" t="s">
        <v>11607</v>
      </c>
      <c r="I775">
        <v>5355</v>
      </c>
    </row>
    <row r="776" spans="1:9" x14ac:dyDescent="0.4">
      <c r="A776">
        <v>3240000</v>
      </c>
      <c r="B776" t="s">
        <v>11777</v>
      </c>
      <c r="C776" s="1">
        <v>36840</v>
      </c>
      <c r="D776" t="s">
        <v>11778</v>
      </c>
      <c r="E776" t="str">
        <f t="shared" si="37"/>
        <v>서울특별시</v>
      </c>
      <c r="F776" t="str">
        <f t="shared" si="38"/>
        <v xml:space="preserve">강동구 </v>
      </c>
      <c r="G776" t="str">
        <f t="shared" si="36"/>
        <v>길동</v>
      </c>
      <c r="H776" t="s">
        <v>11779</v>
      </c>
      <c r="I776">
        <v>5355</v>
      </c>
    </row>
    <row r="777" spans="1:9" x14ac:dyDescent="0.4">
      <c r="A777">
        <v>3240000</v>
      </c>
      <c r="B777" t="s">
        <v>11704</v>
      </c>
      <c r="C777" s="1">
        <v>40963</v>
      </c>
      <c r="D777" t="s">
        <v>11705</v>
      </c>
      <c r="E777" t="str">
        <f t="shared" si="37"/>
        <v>서울특별시</v>
      </c>
      <c r="F777" t="str">
        <f t="shared" si="38"/>
        <v xml:space="preserve">강동구 </v>
      </c>
      <c r="G777" t="str">
        <f t="shared" si="36"/>
        <v>길동</v>
      </c>
      <c r="H777" t="s">
        <v>11706</v>
      </c>
      <c r="I777">
        <v>5355</v>
      </c>
    </row>
    <row r="778" spans="1:9" x14ac:dyDescent="0.4">
      <c r="A778">
        <v>3240000</v>
      </c>
      <c r="B778" t="s">
        <v>11818</v>
      </c>
      <c r="C778" s="1">
        <v>32941</v>
      </c>
      <c r="D778" t="s">
        <v>11819</v>
      </c>
      <c r="E778" t="str">
        <f t="shared" si="37"/>
        <v>서울특별시</v>
      </c>
      <c r="F778" t="str">
        <f t="shared" si="38"/>
        <v xml:space="preserve">강동구 </v>
      </c>
      <c r="G778" t="str">
        <f t="shared" si="36"/>
        <v>길동</v>
      </c>
    </row>
    <row r="779" spans="1:9" x14ac:dyDescent="0.4">
      <c r="A779">
        <v>3240000</v>
      </c>
      <c r="B779" t="s">
        <v>12081</v>
      </c>
      <c r="C779" s="1">
        <v>42311</v>
      </c>
      <c r="D779" t="s">
        <v>12082</v>
      </c>
      <c r="E779" t="str">
        <f t="shared" si="37"/>
        <v>서울특별시</v>
      </c>
      <c r="F779" t="str">
        <f t="shared" si="38"/>
        <v xml:space="preserve">강동구 </v>
      </c>
      <c r="G779" t="str">
        <f t="shared" si="36"/>
        <v>길동</v>
      </c>
      <c r="H779" t="s">
        <v>11825</v>
      </c>
      <c r="I779">
        <v>5355</v>
      </c>
    </row>
    <row r="780" spans="1:9" x14ac:dyDescent="0.4">
      <c r="A780">
        <v>3240000</v>
      </c>
      <c r="B780" t="s">
        <v>12083</v>
      </c>
      <c r="C780" s="1">
        <v>42313</v>
      </c>
      <c r="D780" t="s">
        <v>12082</v>
      </c>
      <c r="E780" t="str">
        <f t="shared" si="37"/>
        <v>서울특별시</v>
      </c>
      <c r="F780" t="str">
        <f t="shared" si="38"/>
        <v xml:space="preserve">강동구 </v>
      </c>
      <c r="G780" t="str">
        <f t="shared" si="36"/>
        <v>길동</v>
      </c>
      <c r="H780" t="s">
        <v>11825</v>
      </c>
      <c r="I780">
        <v>5355</v>
      </c>
    </row>
    <row r="781" spans="1:9" x14ac:dyDescent="0.4">
      <c r="A781">
        <v>3240000</v>
      </c>
      <c r="B781" t="s">
        <v>11823</v>
      </c>
      <c r="C781" s="1">
        <v>33014</v>
      </c>
      <c r="D781" t="s">
        <v>11824</v>
      </c>
      <c r="E781" t="str">
        <f t="shared" si="37"/>
        <v>서울특별시</v>
      </c>
      <c r="F781" t="str">
        <f t="shared" si="38"/>
        <v xml:space="preserve">강동구 </v>
      </c>
      <c r="G781" t="str">
        <f t="shared" si="36"/>
        <v>길동</v>
      </c>
      <c r="H781" t="s">
        <v>11825</v>
      </c>
      <c r="I781">
        <v>5355</v>
      </c>
    </row>
    <row r="782" spans="1:9" x14ac:dyDescent="0.4">
      <c r="A782">
        <v>3240000</v>
      </c>
      <c r="B782" t="s">
        <v>11923</v>
      </c>
      <c r="C782" s="1">
        <v>37561</v>
      </c>
      <c r="D782" t="s">
        <v>11924</v>
      </c>
      <c r="E782" t="str">
        <f t="shared" si="37"/>
        <v>서울특별시</v>
      </c>
      <c r="F782" t="str">
        <f t="shared" si="38"/>
        <v xml:space="preserve">강동구 </v>
      </c>
      <c r="G782" t="str">
        <f t="shared" si="36"/>
        <v>길동</v>
      </c>
      <c r="H782" t="s">
        <v>11825</v>
      </c>
      <c r="I782">
        <v>5355</v>
      </c>
    </row>
    <row r="783" spans="1:9" x14ac:dyDescent="0.4">
      <c r="A783">
        <v>3240000</v>
      </c>
      <c r="B783" t="s">
        <v>11932</v>
      </c>
      <c r="C783" s="1">
        <v>38671</v>
      </c>
      <c r="D783" t="s">
        <v>11933</v>
      </c>
      <c r="E783" t="str">
        <f t="shared" si="37"/>
        <v>서울특별시</v>
      </c>
      <c r="F783" t="str">
        <f t="shared" si="38"/>
        <v xml:space="preserve">강동구 </v>
      </c>
      <c r="G783" t="str">
        <f t="shared" si="36"/>
        <v>길동</v>
      </c>
      <c r="H783" t="s">
        <v>11934</v>
      </c>
      <c r="I783">
        <v>5355</v>
      </c>
    </row>
    <row r="784" spans="1:9" x14ac:dyDescent="0.4">
      <c r="A784">
        <v>3240000</v>
      </c>
      <c r="B784" t="s">
        <v>11908</v>
      </c>
      <c r="C784" s="1">
        <v>30957</v>
      </c>
      <c r="D784" t="s">
        <v>11909</v>
      </c>
      <c r="E784" t="str">
        <f t="shared" si="37"/>
        <v>서울특별시</v>
      </c>
      <c r="F784" t="str">
        <f t="shared" si="38"/>
        <v xml:space="preserve">강동구 </v>
      </c>
      <c r="G784" t="str">
        <f t="shared" si="36"/>
        <v>길동</v>
      </c>
    </row>
    <row r="785" spans="1:9" x14ac:dyDescent="0.4">
      <c r="A785">
        <v>3240000</v>
      </c>
      <c r="B785" t="s">
        <v>11979</v>
      </c>
      <c r="C785" s="1">
        <v>29245</v>
      </c>
      <c r="D785" t="s">
        <v>11909</v>
      </c>
      <c r="E785" t="str">
        <f t="shared" si="37"/>
        <v>서울특별시</v>
      </c>
      <c r="F785" t="str">
        <f t="shared" si="38"/>
        <v xml:space="preserve">강동구 </v>
      </c>
      <c r="G785" t="str">
        <f t="shared" si="36"/>
        <v>길동</v>
      </c>
    </row>
    <row r="786" spans="1:9" x14ac:dyDescent="0.4">
      <c r="A786">
        <v>3240000</v>
      </c>
      <c r="B786" t="s">
        <v>11986</v>
      </c>
      <c r="C786" s="1">
        <v>37236</v>
      </c>
      <c r="D786" t="s">
        <v>11909</v>
      </c>
      <c r="E786" t="str">
        <f t="shared" si="37"/>
        <v>서울특별시</v>
      </c>
      <c r="F786" t="str">
        <f t="shared" si="38"/>
        <v xml:space="preserve">강동구 </v>
      </c>
      <c r="G786" t="str">
        <f t="shared" si="36"/>
        <v>길동</v>
      </c>
    </row>
    <row r="787" spans="1:9" x14ac:dyDescent="0.4">
      <c r="A787">
        <v>3240000</v>
      </c>
      <c r="B787" t="s">
        <v>11964</v>
      </c>
      <c r="C787" s="1">
        <v>37463</v>
      </c>
      <c r="D787" t="s">
        <v>11965</v>
      </c>
      <c r="E787" t="str">
        <f t="shared" si="37"/>
        <v>서울특별시</v>
      </c>
      <c r="F787" t="str">
        <f t="shared" si="38"/>
        <v xml:space="preserve">강동구 </v>
      </c>
      <c r="G787" t="str">
        <f t="shared" si="36"/>
        <v>길동</v>
      </c>
    </row>
    <row r="788" spans="1:9" x14ac:dyDescent="0.4">
      <c r="A788">
        <v>3240000</v>
      </c>
      <c r="B788" t="s">
        <v>11982</v>
      </c>
      <c r="C788" s="1">
        <v>29251</v>
      </c>
      <c r="D788" t="s">
        <v>11983</v>
      </c>
      <c r="E788" t="str">
        <f t="shared" si="37"/>
        <v>서울특별시</v>
      </c>
      <c r="F788" t="str">
        <f t="shared" si="38"/>
        <v xml:space="preserve">강동구 </v>
      </c>
      <c r="G788" t="str">
        <f t="shared" si="36"/>
        <v>길동</v>
      </c>
    </row>
    <row r="789" spans="1:9" x14ac:dyDescent="0.4">
      <c r="A789">
        <v>3240000</v>
      </c>
      <c r="B789" t="s">
        <v>12002</v>
      </c>
      <c r="C789" s="1">
        <v>37047</v>
      </c>
      <c r="D789" t="s">
        <v>11983</v>
      </c>
      <c r="E789" t="str">
        <f t="shared" si="37"/>
        <v>서울특별시</v>
      </c>
      <c r="F789" t="str">
        <f t="shared" si="38"/>
        <v xml:space="preserve">강동구 </v>
      </c>
      <c r="G789" t="str">
        <f t="shared" si="36"/>
        <v>길동</v>
      </c>
    </row>
    <row r="790" spans="1:9" x14ac:dyDescent="0.4">
      <c r="A790">
        <v>3240000</v>
      </c>
      <c r="B790" t="s">
        <v>12037</v>
      </c>
      <c r="C790" s="1">
        <v>37284</v>
      </c>
      <c r="D790" t="s">
        <v>11983</v>
      </c>
      <c r="E790" t="str">
        <f t="shared" si="37"/>
        <v>서울특별시</v>
      </c>
      <c r="F790" t="str">
        <f t="shared" si="38"/>
        <v xml:space="preserve">강동구 </v>
      </c>
      <c r="G790" t="str">
        <f t="shared" ref="G790:G852" si="39">MID(SUBSTITUTE(D790," ",""),9,2)</f>
        <v>길동</v>
      </c>
    </row>
    <row r="791" spans="1:9" x14ac:dyDescent="0.4">
      <c r="A791">
        <v>3240000</v>
      </c>
      <c r="B791" t="s">
        <v>8907</v>
      </c>
      <c r="C791" s="1">
        <v>39493</v>
      </c>
      <c r="D791" t="s">
        <v>8908</v>
      </c>
      <c r="E791" t="str">
        <f t="shared" si="37"/>
        <v>서울특별시</v>
      </c>
      <c r="F791" t="str">
        <f t="shared" si="38"/>
        <v xml:space="preserve">강동구 </v>
      </c>
      <c r="G791" t="str">
        <f t="shared" si="39"/>
        <v>길동</v>
      </c>
    </row>
    <row r="792" spans="1:9" x14ac:dyDescent="0.4">
      <c r="A792">
        <v>3240000</v>
      </c>
      <c r="B792" t="s">
        <v>11942</v>
      </c>
      <c r="C792" s="1">
        <v>38769</v>
      </c>
      <c r="D792" t="s">
        <v>11943</v>
      </c>
      <c r="E792" t="str">
        <f t="shared" si="37"/>
        <v>서울특별시</v>
      </c>
      <c r="F792" t="str">
        <f t="shared" si="38"/>
        <v xml:space="preserve">강동구 </v>
      </c>
      <c r="G792" t="str">
        <f t="shared" si="39"/>
        <v>길동</v>
      </c>
    </row>
    <row r="793" spans="1:9" x14ac:dyDescent="0.4">
      <c r="A793">
        <v>3240000</v>
      </c>
      <c r="B793" t="s">
        <v>11944</v>
      </c>
      <c r="C793" s="1">
        <v>39462</v>
      </c>
      <c r="D793" t="s">
        <v>11945</v>
      </c>
      <c r="E793" t="str">
        <f t="shared" si="37"/>
        <v>서울특별시</v>
      </c>
      <c r="F793" t="str">
        <f t="shared" si="38"/>
        <v xml:space="preserve">강동구 </v>
      </c>
      <c r="G793" t="str">
        <f t="shared" si="39"/>
        <v>길동</v>
      </c>
      <c r="H793" t="s">
        <v>11946</v>
      </c>
      <c r="I793">
        <v>5355</v>
      </c>
    </row>
    <row r="794" spans="1:9" x14ac:dyDescent="0.4">
      <c r="A794">
        <v>3240000</v>
      </c>
      <c r="B794" t="s">
        <v>12026</v>
      </c>
      <c r="C794" s="1">
        <v>37215</v>
      </c>
      <c r="D794" t="s">
        <v>11945</v>
      </c>
      <c r="E794" t="str">
        <f t="shared" si="37"/>
        <v>서울특별시</v>
      </c>
      <c r="F794" t="str">
        <f t="shared" si="38"/>
        <v xml:space="preserve">강동구 </v>
      </c>
      <c r="G794" t="str">
        <f t="shared" si="39"/>
        <v>길동</v>
      </c>
      <c r="H794" t="s">
        <v>11946</v>
      </c>
      <c r="I794">
        <v>5355</v>
      </c>
    </row>
    <row r="795" spans="1:9" x14ac:dyDescent="0.4">
      <c r="A795">
        <v>3240000</v>
      </c>
      <c r="B795" t="s">
        <v>12029</v>
      </c>
      <c r="C795" s="1">
        <v>37225</v>
      </c>
      <c r="D795" t="s">
        <v>11945</v>
      </c>
      <c r="E795" t="str">
        <f t="shared" si="37"/>
        <v>서울특별시</v>
      </c>
      <c r="F795" t="str">
        <f t="shared" si="38"/>
        <v xml:space="preserve">강동구 </v>
      </c>
      <c r="G795" t="str">
        <f t="shared" si="39"/>
        <v>길동</v>
      </c>
      <c r="H795" t="s">
        <v>11946</v>
      </c>
      <c r="I795">
        <v>5355</v>
      </c>
    </row>
    <row r="796" spans="1:9" x14ac:dyDescent="0.4">
      <c r="A796">
        <v>3240000</v>
      </c>
      <c r="B796" t="s">
        <v>12034</v>
      </c>
      <c r="C796" s="1">
        <v>37177</v>
      </c>
      <c r="D796" t="s">
        <v>11945</v>
      </c>
      <c r="E796" t="str">
        <f t="shared" si="37"/>
        <v>서울특별시</v>
      </c>
      <c r="F796" t="str">
        <f t="shared" si="38"/>
        <v xml:space="preserve">강동구 </v>
      </c>
      <c r="G796" t="str">
        <f t="shared" si="39"/>
        <v>길동</v>
      </c>
      <c r="H796" t="s">
        <v>11946</v>
      </c>
      <c r="I796">
        <v>5355</v>
      </c>
    </row>
    <row r="797" spans="1:9" x14ac:dyDescent="0.4">
      <c r="A797">
        <v>3240000</v>
      </c>
      <c r="B797" t="s">
        <v>11855</v>
      </c>
      <c r="C797" s="1">
        <v>39230</v>
      </c>
      <c r="D797" t="s">
        <v>11856</v>
      </c>
      <c r="E797" t="str">
        <f t="shared" si="37"/>
        <v>서울특별시</v>
      </c>
      <c r="F797" t="str">
        <f t="shared" si="38"/>
        <v xml:space="preserve">강동구 </v>
      </c>
      <c r="G797" t="str">
        <f t="shared" si="39"/>
        <v>길동</v>
      </c>
    </row>
    <row r="798" spans="1:9" x14ac:dyDescent="0.4">
      <c r="A798">
        <v>3240000</v>
      </c>
      <c r="B798" t="s">
        <v>11869</v>
      </c>
      <c r="C798" s="1">
        <v>39286</v>
      </c>
      <c r="D798" t="s">
        <v>11856</v>
      </c>
      <c r="E798" t="str">
        <f t="shared" si="37"/>
        <v>서울특별시</v>
      </c>
      <c r="F798" t="str">
        <f t="shared" si="38"/>
        <v xml:space="preserve">강동구 </v>
      </c>
      <c r="G798" t="str">
        <f t="shared" si="39"/>
        <v>길동</v>
      </c>
      <c r="H798" t="s">
        <v>11870</v>
      </c>
      <c r="I798">
        <v>5355</v>
      </c>
    </row>
    <row r="799" spans="1:9" x14ac:dyDescent="0.4">
      <c r="A799">
        <v>3240000</v>
      </c>
      <c r="B799" t="s">
        <v>11992</v>
      </c>
      <c r="C799" s="1">
        <v>37240</v>
      </c>
      <c r="D799" t="s">
        <v>11993</v>
      </c>
      <c r="E799" t="str">
        <f t="shared" si="37"/>
        <v>서울특별시</v>
      </c>
      <c r="F799" t="str">
        <f t="shared" si="38"/>
        <v xml:space="preserve">강동구 </v>
      </c>
      <c r="G799" t="str">
        <f t="shared" si="39"/>
        <v>길동</v>
      </c>
      <c r="H799" t="s">
        <v>10351</v>
      </c>
      <c r="I799">
        <v>5355</v>
      </c>
    </row>
    <row r="800" spans="1:9" x14ac:dyDescent="0.4">
      <c r="A800">
        <v>3240000</v>
      </c>
      <c r="B800" t="s">
        <v>11829</v>
      </c>
      <c r="C800" s="1">
        <v>36175</v>
      </c>
      <c r="D800" t="s">
        <v>11830</v>
      </c>
      <c r="E800" t="str">
        <f t="shared" si="37"/>
        <v>서울특별시</v>
      </c>
      <c r="F800" t="str">
        <f t="shared" si="38"/>
        <v xml:space="preserve">강동구 </v>
      </c>
      <c r="G800" t="str">
        <f t="shared" si="39"/>
        <v>길동</v>
      </c>
      <c r="H800" t="s">
        <v>10351</v>
      </c>
      <c r="I800">
        <v>5355</v>
      </c>
    </row>
    <row r="801" spans="1:9" x14ac:dyDescent="0.4">
      <c r="A801">
        <v>3240000</v>
      </c>
      <c r="B801" t="s">
        <v>11905</v>
      </c>
      <c r="C801" s="1">
        <v>30845</v>
      </c>
      <c r="D801" t="s">
        <v>11906</v>
      </c>
      <c r="E801" t="str">
        <f t="shared" si="37"/>
        <v>서울특별시</v>
      </c>
      <c r="F801" t="str">
        <f t="shared" si="38"/>
        <v xml:space="preserve">강동구 </v>
      </c>
      <c r="G801" t="str">
        <f t="shared" si="39"/>
        <v>길동</v>
      </c>
      <c r="H801" t="s">
        <v>11907</v>
      </c>
      <c r="I801">
        <v>5355</v>
      </c>
    </row>
    <row r="802" spans="1:9" x14ac:dyDescent="0.4">
      <c r="A802">
        <v>3240000</v>
      </c>
      <c r="B802" t="s">
        <v>12065</v>
      </c>
      <c r="C802" s="1">
        <v>40686</v>
      </c>
      <c r="D802" t="s">
        <v>11906</v>
      </c>
      <c r="E802" t="str">
        <f t="shared" si="37"/>
        <v>서울특별시</v>
      </c>
      <c r="F802" t="str">
        <f t="shared" si="38"/>
        <v xml:space="preserve">강동구 </v>
      </c>
      <c r="G802" t="str">
        <f t="shared" si="39"/>
        <v>길동</v>
      </c>
      <c r="H802" t="s">
        <v>11907</v>
      </c>
      <c r="I802">
        <v>5355</v>
      </c>
    </row>
    <row r="803" spans="1:9" x14ac:dyDescent="0.4">
      <c r="A803">
        <v>3240000</v>
      </c>
      <c r="B803" t="s">
        <v>12066</v>
      </c>
      <c r="C803" s="1">
        <v>40721</v>
      </c>
      <c r="D803" t="s">
        <v>11906</v>
      </c>
      <c r="E803" t="str">
        <f t="shared" si="37"/>
        <v>서울특별시</v>
      </c>
      <c r="F803" t="str">
        <f t="shared" si="38"/>
        <v xml:space="preserve">강동구 </v>
      </c>
      <c r="G803" t="str">
        <f t="shared" si="39"/>
        <v>길동</v>
      </c>
      <c r="H803" t="s">
        <v>11907</v>
      </c>
      <c r="I803">
        <v>5355</v>
      </c>
    </row>
    <row r="804" spans="1:9" x14ac:dyDescent="0.4">
      <c r="A804">
        <v>3240000</v>
      </c>
      <c r="B804" t="s">
        <v>11775</v>
      </c>
      <c r="C804" s="1">
        <v>36470</v>
      </c>
      <c r="D804" t="s">
        <v>11776</v>
      </c>
      <c r="E804" t="str">
        <f t="shared" si="37"/>
        <v>서울특별시</v>
      </c>
      <c r="F804" t="str">
        <f t="shared" si="38"/>
        <v xml:space="preserve">강동구 </v>
      </c>
      <c r="G804" t="str">
        <f t="shared" si="39"/>
        <v>길동</v>
      </c>
      <c r="H804" t="s">
        <v>11698</v>
      </c>
      <c r="I804">
        <v>5355</v>
      </c>
    </row>
    <row r="805" spans="1:9" x14ac:dyDescent="0.4">
      <c r="A805">
        <v>3240000</v>
      </c>
      <c r="B805" t="s">
        <v>12145</v>
      </c>
      <c r="C805" s="1">
        <v>37484</v>
      </c>
      <c r="D805" t="s">
        <v>12146</v>
      </c>
      <c r="E805" t="str">
        <f t="shared" si="37"/>
        <v>서울특별시</v>
      </c>
      <c r="F805" t="str">
        <f t="shared" si="38"/>
        <v xml:space="preserve">강동구 </v>
      </c>
      <c r="G805" t="str">
        <f t="shared" si="39"/>
        <v>길동</v>
      </c>
    </row>
    <row r="806" spans="1:9" x14ac:dyDescent="0.4">
      <c r="A806">
        <v>3240000</v>
      </c>
      <c r="B806" t="s">
        <v>11791</v>
      </c>
      <c r="C806" s="1">
        <v>39611</v>
      </c>
      <c r="D806" t="s">
        <v>11792</v>
      </c>
      <c r="E806" t="str">
        <f t="shared" si="37"/>
        <v>서울특별시</v>
      </c>
      <c r="F806" t="str">
        <f t="shared" si="38"/>
        <v xml:space="preserve">강동구 </v>
      </c>
      <c r="G806" t="str">
        <f t="shared" si="39"/>
        <v>길동</v>
      </c>
      <c r="H806" t="s">
        <v>11793</v>
      </c>
      <c r="I806">
        <v>5355</v>
      </c>
    </row>
    <row r="807" spans="1:9" x14ac:dyDescent="0.4">
      <c r="A807">
        <v>3240000</v>
      </c>
      <c r="B807" t="s">
        <v>11655</v>
      </c>
      <c r="C807" s="1">
        <v>40605</v>
      </c>
      <c r="D807" t="s">
        <v>11656</v>
      </c>
      <c r="E807" t="str">
        <f t="shared" si="37"/>
        <v>서울특별시</v>
      </c>
      <c r="F807" t="str">
        <f t="shared" si="38"/>
        <v xml:space="preserve">강동구 </v>
      </c>
      <c r="G807" t="str">
        <f t="shared" si="39"/>
        <v>길동</v>
      </c>
      <c r="H807" t="s">
        <v>11558</v>
      </c>
      <c r="I807">
        <v>5355</v>
      </c>
    </row>
    <row r="808" spans="1:9" x14ac:dyDescent="0.4">
      <c r="A808">
        <v>3240000</v>
      </c>
      <c r="B808" t="s">
        <v>11556</v>
      </c>
      <c r="C808" s="1">
        <v>41437</v>
      </c>
      <c r="D808" t="s">
        <v>11557</v>
      </c>
      <c r="E808" t="str">
        <f t="shared" si="37"/>
        <v>서울특별시</v>
      </c>
      <c r="F808" t="str">
        <f t="shared" si="38"/>
        <v xml:space="preserve">강동구 </v>
      </c>
      <c r="G808" t="str">
        <f t="shared" si="39"/>
        <v>길동</v>
      </c>
      <c r="H808" t="s">
        <v>11558</v>
      </c>
      <c r="I808">
        <v>5355</v>
      </c>
    </row>
    <row r="809" spans="1:9" x14ac:dyDescent="0.4">
      <c r="A809">
        <v>3240000</v>
      </c>
      <c r="B809" t="s">
        <v>11603</v>
      </c>
      <c r="C809" s="1">
        <v>39052</v>
      </c>
      <c r="D809" t="s">
        <v>11604</v>
      </c>
      <c r="E809" t="str">
        <f t="shared" si="37"/>
        <v>서울특별시</v>
      </c>
      <c r="F809" t="str">
        <f t="shared" si="38"/>
        <v xml:space="preserve">강동구 </v>
      </c>
      <c r="G809" t="str">
        <f t="shared" si="39"/>
        <v>길동</v>
      </c>
      <c r="H809" t="s">
        <v>4688</v>
      </c>
      <c r="I809">
        <v>5355</v>
      </c>
    </row>
    <row r="810" spans="1:9" x14ac:dyDescent="0.4">
      <c r="A810">
        <v>3240000</v>
      </c>
      <c r="B810" t="s">
        <v>11753</v>
      </c>
      <c r="C810" s="1">
        <v>41087</v>
      </c>
      <c r="D810" t="s">
        <v>11604</v>
      </c>
      <c r="E810" t="str">
        <f t="shared" si="37"/>
        <v>서울특별시</v>
      </c>
      <c r="F810" t="str">
        <f t="shared" si="38"/>
        <v xml:space="preserve">강동구 </v>
      </c>
      <c r="G810" t="str">
        <f t="shared" si="39"/>
        <v>길동</v>
      </c>
      <c r="H810" t="s">
        <v>11754</v>
      </c>
      <c r="I810">
        <v>5355</v>
      </c>
    </row>
    <row r="811" spans="1:9" x14ac:dyDescent="0.4">
      <c r="A811">
        <v>3240000</v>
      </c>
      <c r="B811" t="s">
        <v>11859</v>
      </c>
      <c r="C811" s="1">
        <v>39266</v>
      </c>
      <c r="D811" t="s">
        <v>11860</v>
      </c>
      <c r="E811" t="str">
        <f t="shared" si="37"/>
        <v>서울특별시</v>
      </c>
      <c r="F811" t="str">
        <f t="shared" si="38"/>
        <v xml:space="preserve">강동구 </v>
      </c>
      <c r="G811" t="str">
        <f t="shared" si="39"/>
        <v>길동</v>
      </c>
    </row>
    <row r="812" spans="1:9" x14ac:dyDescent="0.4">
      <c r="A812">
        <v>3240000</v>
      </c>
      <c r="B812" t="s">
        <v>11899</v>
      </c>
      <c r="C812" s="1">
        <v>37439</v>
      </c>
      <c r="D812" t="s">
        <v>11860</v>
      </c>
      <c r="E812" t="str">
        <f t="shared" si="37"/>
        <v>서울특별시</v>
      </c>
      <c r="F812" t="str">
        <f t="shared" si="38"/>
        <v xml:space="preserve">강동구 </v>
      </c>
      <c r="G812" t="str">
        <f t="shared" si="39"/>
        <v>길동</v>
      </c>
    </row>
    <row r="813" spans="1:9" x14ac:dyDescent="0.4">
      <c r="A813">
        <v>3240000</v>
      </c>
      <c r="B813" t="s">
        <v>11925</v>
      </c>
      <c r="C813" s="1">
        <v>37579</v>
      </c>
      <c r="D813" t="s">
        <v>11860</v>
      </c>
      <c r="E813" t="str">
        <f t="shared" si="37"/>
        <v>서울특별시</v>
      </c>
      <c r="F813" t="str">
        <f t="shared" si="38"/>
        <v xml:space="preserve">강동구 </v>
      </c>
      <c r="G813" t="str">
        <f t="shared" si="39"/>
        <v>길동</v>
      </c>
    </row>
    <row r="814" spans="1:9" x14ac:dyDescent="0.4">
      <c r="A814">
        <v>3240000</v>
      </c>
      <c r="B814" t="s">
        <v>11713</v>
      </c>
      <c r="C814" s="1">
        <v>40841</v>
      </c>
      <c r="D814" t="s">
        <v>11714</v>
      </c>
      <c r="E814" t="str">
        <f t="shared" si="37"/>
        <v>서울특별시</v>
      </c>
      <c r="F814" t="str">
        <f t="shared" si="38"/>
        <v xml:space="preserve">강동구 </v>
      </c>
      <c r="G814" t="str">
        <f t="shared" si="39"/>
        <v>길동</v>
      </c>
      <c r="H814" t="s">
        <v>11715</v>
      </c>
      <c r="I814">
        <v>5355</v>
      </c>
    </row>
    <row r="815" spans="1:9" x14ac:dyDescent="0.4">
      <c r="A815">
        <v>3240000</v>
      </c>
      <c r="B815" t="s">
        <v>12013</v>
      </c>
      <c r="C815" s="1">
        <v>37306</v>
      </c>
      <c r="D815" t="s">
        <v>12014</v>
      </c>
      <c r="E815" t="str">
        <f t="shared" si="37"/>
        <v>서울특별시</v>
      </c>
      <c r="F815" t="str">
        <f t="shared" si="38"/>
        <v xml:space="preserve">강동구 </v>
      </c>
      <c r="G815" t="str">
        <f t="shared" si="39"/>
        <v>길동</v>
      </c>
    </row>
    <row r="816" spans="1:9" x14ac:dyDescent="0.4">
      <c r="A816">
        <v>3240000</v>
      </c>
      <c r="B816" t="s">
        <v>4686</v>
      </c>
      <c r="C816" s="1">
        <v>39272</v>
      </c>
      <c r="D816" t="s">
        <v>4687</v>
      </c>
      <c r="E816" t="str">
        <f t="shared" si="37"/>
        <v>서울특별시</v>
      </c>
      <c r="F816" t="str">
        <f t="shared" si="38"/>
        <v xml:space="preserve">강동구 </v>
      </c>
      <c r="G816" t="str">
        <f t="shared" si="39"/>
        <v>길동</v>
      </c>
      <c r="H816" t="s">
        <v>4688</v>
      </c>
      <c r="I816">
        <v>5355</v>
      </c>
    </row>
    <row r="817" spans="1:9" x14ac:dyDescent="0.4">
      <c r="A817">
        <v>3240000</v>
      </c>
      <c r="B817" t="s">
        <v>11696</v>
      </c>
      <c r="C817" s="1">
        <v>40892</v>
      </c>
      <c r="D817" t="s">
        <v>11697</v>
      </c>
      <c r="E817" t="str">
        <f t="shared" si="37"/>
        <v>서울특별시</v>
      </c>
      <c r="F817" t="str">
        <f t="shared" si="38"/>
        <v xml:space="preserve">강동구 </v>
      </c>
      <c r="G817" t="str">
        <f t="shared" si="39"/>
        <v>길동</v>
      </c>
      <c r="H817" t="s">
        <v>11698</v>
      </c>
      <c r="I817">
        <v>5355</v>
      </c>
    </row>
    <row r="818" spans="1:9" x14ac:dyDescent="0.4">
      <c r="A818">
        <v>3240000</v>
      </c>
      <c r="B818" t="s">
        <v>11783</v>
      </c>
      <c r="C818" s="1">
        <v>36857</v>
      </c>
      <c r="D818" t="s">
        <v>11697</v>
      </c>
      <c r="E818" t="str">
        <f t="shared" si="37"/>
        <v>서울특별시</v>
      </c>
      <c r="F818" t="str">
        <f t="shared" si="38"/>
        <v xml:space="preserve">강동구 </v>
      </c>
      <c r="G818" t="str">
        <f t="shared" si="39"/>
        <v>길동</v>
      </c>
      <c r="H818" t="s">
        <v>11698</v>
      </c>
      <c r="I818">
        <v>5355</v>
      </c>
    </row>
    <row r="819" spans="1:9" x14ac:dyDescent="0.4">
      <c r="A819">
        <v>3240000</v>
      </c>
      <c r="B819" t="s">
        <v>12108</v>
      </c>
      <c r="C819" s="1">
        <v>41508</v>
      </c>
      <c r="D819" t="s">
        <v>12109</v>
      </c>
      <c r="E819" t="str">
        <f t="shared" si="37"/>
        <v>서울특별시</v>
      </c>
      <c r="F819" t="str">
        <f t="shared" si="38"/>
        <v xml:space="preserve">강동구 </v>
      </c>
      <c r="G819" t="str">
        <f t="shared" si="39"/>
        <v>길동</v>
      </c>
      <c r="H819" t="s">
        <v>12110</v>
      </c>
      <c r="I819">
        <v>5355</v>
      </c>
    </row>
    <row r="820" spans="1:9" x14ac:dyDescent="0.4">
      <c r="A820">
        <v>3240000</v>
      </c>
      <c r="B820" t="s">
        <v>11702</v>
      </c>
      <c r="C820" s="1">
        <v>40946</v>
      </c>
      <c r="D820" t="s">
        <v>11703</v>
      </c>
      <c r="E820" t="str">
        <f t="shared" si="37"/>
        <v>서울특별시</v>
      </c>
      <c r="F820" t="str">
        <f t="shared" si="38"/>
        <v xml:space="preserve">강동구 </v>
      </c>
      <c r="G820" t="str">
        <f t="shared" si="39"/>
        <v>길동</v>
      </c>
      <c r="H820" t="s">
        <v>11698</v>
      </c>
      <c r="I820">
        <v>5355</v>
      </c>
    </row>
    <row r="821" spans="1:9" x14ac:dyDescent="0.4">
      <c r="A821">
        <v>3240000</v>
      </c>
      <c r="B821" t="s">
        <v>11840</v>
      </c>
      <c r="C821" s="1">
        <v>36598</v>
      </c>
      <c r="D821" t="s">
        <v>11703</v>
      </c>
      <c r="E821" t="str">
        <f t="shared" si="37"/>
        <v>서울특별시</v>
      </c>
      <c r="F821" t="str">
        <f t="shared" si="38"/>
        <v xml:space="preserve">강동구 </v>
      </c>
      <c r="G821" t="str">
        <f t="shared" si="39"/>
        <v>길동</v>
      </c>
    </row>
    <row r="822" spans="1:9" x14ac:dyDescent="0.4">
      <c r="A822">
        <v>3240000</v>
      </c>
      <c r="B822" t="s">
        <v>11626</v>
      </c>
      <c r="C822" s="1">
        <v>38300</v>
      </c>
      <c r="D822" t="s">
        <v>11627</v>
      </c>
      <c r="E822" t="str">
        <f t="shared" si="37"/>
        <v>서울특별시</v>
      </c>
      <c r="F822" t="str">
        <f t="shared" si="38"/>
        <v xml:space="preserve">강동구 </v>
      </c>
      <c r="G822" t="str">
        <f t="shared" si="39"/>
        <v>길동</v>
      </c>
      <c r="H822" t="s">
        <v>11628</v>
      </c>
      <c r="I822">
        <v>5355</v>
      </c>
    </row>
    <row r="823" spans="1:9" x14ac:dyDescent="0.4">
      <c r="A823">
        <v>3240000</v>
      </c>
      <c r="B823" t="s">
        <v>10349</v>
      </c>
      <c r="C823" s="1">
        <v>37775</v>
      </c>
      <c r="D823" t="s">
        <v>10350</v>
      </c>
      <c r="E823" t="str">
        <f t="shared" si="37"/>
        <v>서울특별시</v>
      </c>
      <c r="F823" t="str">
        <f t="shared" si="38"/>
        <v xml:space="preserve">강동구 </v>
      </c>
      <c r="G823" t="str">
        <f t="shared" si="39"/>
        <v>길동</v>
      </c>
      <c r="H823" t="s">
        <v>10351</v>
      </c>
      <c r="I823">
        <v>5355</v>
      </c>
    </row>
    <row r="824" spans="1:9" x14ac:dyDescent="0.4">
      <c r="A824">
        <v>3240000</v>
      </c>
      <c r="B824" t="s">
        <v>11966</v>
      </c>
      <c r="C824" s="1">
        <v>40919</v>
      </c>
      <c r="D824" t="s">
        <v>10350</v>
      </c>
      <c r="E824" t="str">
        <f t="shared" si="37"/>
        <v>서울특별시</v>
      </c>
      <c r="F824" t="str">
        <f t="shared" si="38"/>
        <v xml:space="preserve">강동구 </v>
      </c>
      <c r="G824" t="str">
        <f t="shared" si="39"/>
        <v>길동</v>
      </c>
      <c r="H824" t="s">
        <v>10351</v>
      </c>
      <c r="I824">
        <v>5355</v>
      </c>
    </row>
    <row r="825" spans="1:9" x14ac:dyDescent="0.4">
      <c r="A825">
        <v>3240000</v>
      </c>
      <c r="B825" t="s">
        <v>11638</v>
      </c>
      <c r="C825" s="1">
        <v>40605</v>
      </c>
      <c r="D825" t="s">
        <v>11639</v>
      </c>
      <c r="E825" t="str">
        <f t="shared" si="37"/>
        <v>서울특별시</v>
      </c>
      <c r="F825" t="str">
        <f t="shared" si="38"/>
        <v xml:space="preserve">강동구 </v>
      </c>
      <c r="G825" t="str">
        <f t="shared" si="39"/>
        <v>길동</v>
      </c>
      <c r="H825" t="s">
        <v>11640</v>
      </c>
      <c r="I825">
        <v>5355</v>
      </c>
    </row>
    <row r="826" spans="1:9" x14ac:dyDescent="0.4">
      <c r="A826">
        <v>3240000</v>
      </c>
      <c r="B826" t="s">
        <v>11710</v>
      </c>
      <c r="C826" s="1">
        <v>40800</v>
      </c>
      <c r="D826" t="s">
        <v>11711</v>
      </c>
      <c r="E826" t="str">
        <f t="shared" si="37"/>
        <v>서울특별시</v>
      </c>
      <c r="F826" t="str">
        <f t="shared" si="38"/>
        <v xml:space="preserve">강동구 </v>
      </c>
      <c r="G826" t="str">
        <f t="shared" si="39"/>
        <v>길동</v>
      </c>
      <c r="H826" t="s">
        <v>11712</v>
      </c>
      <c r="I826">
        <v>5355</v>
      </c>
    </row>
    <row r="827" spans="1:9" x14ac:dyDescent="0.4">
      <c r="A827">
        <v>3240000</v>
      </c>
      <c r="B827" t="s">
        <v>11737</v>
      </c>
      <c r="C827" s="1">
        <v>37232</v>
      </c>
      <c r="D827" t="s">
        <v>11738</v>
      </c>
      <c r="E827" t="str">
        <f t="shared" si="37"/>
        <v>서울특별시</v>
      </c>
      <c r="F827" t="str">
        <f t="shared" si="38"/>
        <v xml:space="preserve">강동구 </v>
      </c>
      <c r="G827" t="str">
        <f t="shared" si="39"/>
        <v>길동</v>
      </c>
      <c r="H827" t="s">
        <v>11640</v>
      </c>
      <c r="I827">
        <v>5355</v>
      </c>
    </row>
    <row r="828" spans="1:9" x14ac:dyDescent="0.4">
      <c r="A828">
        <v>3240000</v>
      </c>
      <c r="B828" t="s">
        <v>11800</v>
      </c>
      <c r="C828" s="1">
        <v>36713</v>
      </c>
      <c r="D828" t="s">
        <v>11738</v>
      </c>
      <c r="E828" t="str">
        <f t="shared" si="37"/>
        <v>서울특별시</v>
      </c>
      <c r="F828" t="str">
        <f t="shared" si="38"/>
        <v xml:space="preserve">강동구 </v>
      </c>
      <c r="G828" t="str">
        <f t="shared" si="39"/>
        <v>길동</v>
      </c>
    </row>
    <row r="829" spans="1:9" x14ac:dyDescent="0.4">
      <c r="A829">
        <v>3240000</v>
      </c>
      <c r="B829" t="s">
        <v>11620</v>
      </c>
      <c r="C829" s="1">
        <v>44645</v>
      </c>
      <c r="D829" t="s">
        <v>11621</v>
      </c>
      <c r="E829" t="str">
        <f t="shared" si="37"/>
        <v>서울특별시</v>
      </c>
      <c r="F829" t="str">
        <f t="shared" si="38"/>
        <v xml:space="preserve">강동구 </v>
      </c>
      <c r="G829" t="str">
        <f t="shared" si="39"/>
        <v>길동</v>
      </c>
      <c r="H829" t="s">
        <v>11622</v>
      </c>
      <c r="I829">
        <v>5355</v>
      </c>
    </row>
    <row r="830" spans="1:9" x14ac:dyDescent="0.4">
      <c r="A830">
        <v>3240000</v>
      </c>
      <c r="B830" t="s">
        <v>11764</v>
      </c>
      <c r="C830" s="1">
        <v>32988</v>
      </c>
      <c r="D830" t="s">
        <v>11621</v>
      </c>
      <c r="E830" t="str">
        <f t="shared" si="37"/>
        <v>서울특별시</v>
      </c>
      <c r="F830" t="str">
        <f t="shared" si="38"/>
        <v xml:space="preserve">강동구 </v>
      </c>
      <c r="G830" t="str">
        <f t="shared" si="39"/>
        <v>길동</v>
      </c>
      <c r="H830" t="s">
        <v>11765</v>
      </c>
      <c r="I830">
        <v>5355</v>
      </c>
    </row>
    <row r="831" spans="1:9" x14ac:dyDescent="0.4">
      <c r="A831">
        <v>3240000</v>
      </c>
      <c r="B831" t="s">
        <v>11831</v>
      </c>
      <c r="C831" s="1">
        <v>36277</v>
      </c>
      <c r="D831" t="s">
        <v>11832</v>
      </c>
      <c r="E831" t="str">
        <f t="shared" si="37"/>
        <v>서울특별시</v>
      </c>
      <c r="F831" t="str">
        <f t="shared" si="38"/>
        <v xml:space="preserve">강동구 </v>
      </c>
      <c r="G831" t="str">
        <f t="shared" si="39"/>
        <v>길동</v>
      </c>
      <c r="H831" t="s">
        <v>11695</v>
      </c>
      <c r="I831">
        <v>5355</v>
      </c>
    </row>
    <row r="832" spans="1:9" x14ac:dyDescent="0.4">
      <c r="A832">
        <v>3240000</v>
      </c>
      <c r="B832" t="s">
        <v>11861</v>
      </c>
      <c r="C832" s="1">
        <v>39989</v>
      </c>
      <c r="D832" t="s">
        <v>11862</v>
      </c>
      <c r="E832" t="str">
        <f t="shared" si="37"/>
        <v>서울특별시</v>
      </c>
      <c r="F832" t="str">
        <f t="shared" si="38"/>
        <v xml:space="preserve">강동구 </v>
      </c>
      <c r="G832" t="str">
        <f t="shared" si="39"/>
        <v>길동</v>
      </c>
      <c r="H832" t="s">
        <v>11863</v>
      </c>
      <c r="I832">
        <v>5355</v>
      </c>
    </row>
    <row r="833" spans="1:9" x14ac:dyDescent="0.4">
      <c r="A833">
        <v>3240000</v>
      </c>
      <c r="B833" t="s">
        <v>11678</v>
      </c>
      <c r="C833" s="1">
        <v>40170</v>
      </c>
      <c r="D833" t="s">
        <v>11679</v>
      </c>
      <c r="E833" t="str">
        <f t="shared" si="37"/>
        <v>서울특별시</v>
      </c>
      <c r="F833" t="str">
        <f t="shared" si="38"/>
        <v xml:space="preserve">강동구 </v>
      </c>
      <c r="G833" t="str">
        <f t="shared" si="39"/>
        <v>길동</v>
      </c>
      <c r="H833" t="s">
        <v>11680</v>
      </c>
      <c r="I833">
        <v>5355</v>
      </c>
    </row>
    <row r="834" spans="1:9" x14ac:dyDescent="0.4">
      <c r="A834">
        <v>3240000</v>
      </c>
      <c r="B834" t="s">
        <v>12051</v>
      </c>
      <c r="C834" s="1">
        <v>39989</v>
      </c>
      <c r="D834" t="s">
        <v>12052</v>
      </c>
      <c r="E834" t="str">
        <f t="shared" si="37"/>
        <v>서울특별시</v>
      </c>
      <c r="F834" t="str">
        <f t="shared" si="38"/>
        <v xml:space="preserve">강동구 </v>
      </c>
      <c r="G834" t="str">
        <f t="shared" si="39"/>
        <v>길동</v>
      </c>
      <c r="H834" t="s">
        <v>12053</v>
      </c>
      <c r="I834">
        <v>5355</v>
      </c>
    </row>
    <row r="835" spans="1:9" x14ac:dyDescent="0.4">
      <c r="A835">
        <v>3240000</v>
      </c>
      <c r="B835" t="s">
        <v>11582</v>
      </c>
      <c r="C835" s="1">
        <v>37608</v>
      </c>
      <c r="D835" t="s">
        <v>11583</v>
      </c>
      <c r="E835" t="str">
        <f t="shared" ref="E835:E898" si="40">LEFT(D835,5)</f>
        <v>서울특별시</v>
      </c>
      <c r="F835" t="str">
        <f t="shared" ref="F835:F898" si="41">MID(D835,7,4)</f>
        <v xml:space="preserve">강동구 </v>
      </c>
      <c r="G835" t="str">
        <f t="shared" si="39"/>
        <v>길동</v>
      </c>
      <c r="H835" t="s">
        <v>11584</v>
      </c>
      <c r="I835">
        <v>5355</v>
      </c>
    </row>
    <row r="836" spans="1:9" x14ac:dyDescent="0.4">
      <c r="A836">
        <v>3240000</v>
      </c>
      <c r="B836" t="s">
        <v>189</v>
      </c>
      <c r="C836" s="1">
        <v>39834</v>
      </c>
      <c r="D836" t="s">
        <v>190</v>
      </c>
      <c r="E836" t="str">
        <f t="shared" si="40"/>
        <v>서울특별시</v>
      </c>
      <c r="F836" t="str">
        <f t="shared" si="41"/>
        <v xml:space="preserve">강동구 </v>
      </c>
      <c r="G836" t="str">
        <f t="shared" si="39"/>
        <v>길동</v>
      </c>
      <c r="H836" t="s">
        <v>191</v>
      </c>
      <c r="I836">
        <v>5355</v>
      </c>
    </row>
    <row r="837" spans="1:9" x14ac:dyDescent="0.4">
      <c r="A837">
        <v>3240000</v>
      </c>
      <c r="B837" t="s">
        <v>11798</v>
      </c>
      <c r="C837" s="1">
        <v>32055</v>
      </c>
      <c r="D837" t="s">
        <v>11799</v>
      </c>
      <c r="E837" t="str">
        <f t="shared" si="40"/>
        <v>서울특별시</v>
      </c>
      <c r="F837" t="str">
        <f t="shared" si="41"/>
        <v xml:space="preserve">강동구 </v>
      </c>
      <c r="G837" t="str">
        <f t="shared" si="39"/>
        <v>길동</v>
      </c>
    </row>
    <row r="838" spans="1:9" x14ac:dyDescent="0.4">
      <c r="A838">
        <v>3240000</v>
      </c>
      <c r="B838" t="s">
        <v>11843</v>
      </c>
      <c r="C838" s="1">
        <v>36703</v>
      </c>
      <c r="D838" t="s">
        <v>11799</v>
      </c>
      <c r="E838" t="str">
        <f t="shared" si="40"/>
        <v>서울특별시</v>
      </c>
      <c r="F838" t="str">
        <f t="shared" si="41"/>
        <v xml:space="preserve">강동구 </v>
      </c>
      <c r="G838" t="str">
        <f t="shared" si="39"/>
        <v>길동</v>
      </c>
    </row>
    <row r="839" spans="1:9" x14ac:dyDescent="0.4">
      <c r="A839">
        <v>3240000</v>
      </c>
      <c r="B839" t="s">
        <v>12027</v>
      </c>
      <c r="C839" s="1">
        <v>37218</v>
      </c>
      <c r="D839" t="s">
        <v>11799</v>
      </c>
      <c r="E839" t="str">
        <f t="shared" si="40"/>
        <v>서울특별시</v>
      </c>
      <c r="F839" t="str">
        <f t="shared" si="41"/>
        <v xml:space="preserve">강동구 </v>
      </c>
      <c r="G839" t="str">
        <f t="shared" si="39"/>
        <v>길동</v>
      </c>
    </row>
    <row r="840" spans="1:9" x14ac:dyDescent="0.4">
      <c r="A840">
        <v>3240000</v>
      </c>
      <c r="B840" t="s">
        <v>12130</v>
      </c>
      <c r="C840" s="1">
        <v>32048</v>
      </c>
      <c r="D840" t="s">
        <v>11799</v>
      </c>
      <c r="E840" t="str">
        <f t="shared" si="40"/>
        <v>서울특별시</v>
      </c>
      <c r="F840" t="str">
        <f t="shared" si="41"/>
        <v xml:space="preserve">강동구 </v>
      </c>
      <c r="G840" t="str">
        <f t="shared" si="39"/>
        <v>길동</v>
      </c>
    </row>
    <row r="841" spans="1:9" x14ac:dyDescent="0.4">
      <c r="A841">
        <v>3240000</v>
      </c>
      <c r="B841" t="s">
        <v>11987</v>
      </c>
      <c r="C841" s="1">
        <v>37236</v>
      </c>
      <c r="D841" t="s">
        <v>11988</v>
      </c>
      <c r="E841" t="str">
        <f t="shared" si="40"/>
        <v>서울특별시</v>
      </c>
      <c r="F841" t="str">
        <f t="shared" si="41"/>
        <v xml:space="preserve">강동구 </v>
      </c>
      <c r="G841" t="str">
        <f t="shared" si="39"/>
        <v>길동</v>
      </c>
    </row>
    <row r="842" spans="1:9" x14ac:dyDescent="0.4">
      <c r="A842">
        <v>3240000</v>
      </c>
      <c r="B842" t="s">
        <v>11693</v>
      </c>
      <c r="C842" s="1">
        <v>40870</v>
      </c>
      <c r="D842" t="s">
        <v>11694</v>
      </c>
      <c r="E842" t="str">
        <f t="shared" si="40"/>
        <v>서울특별시</v>
      </c>
      <c r="F842" t="str">
        <f t="shared" si="41"/>
        <v xml:space="preserve">강동구 </v>
      </c>
      <c r="G842" t="str">
        <f t="shared" si="39"/>
        <v>길동</v>
      </c>
      <c r="H842" t="s">
        <v>11695</v>
      </c>
      <c r="I842">
        <v>5355</v>
      </c>
    </row>
    <row r="843" spans="1:9" x14ac:dyDescent="0.4">
      <c r="A843">
        <v>3240000</v>
      </c>
      <c r="B843" t="s">
        <v>11844</v>
      </c>
      <c r="C843" s="1">
        <v>36703</v>
      </c>
      <c r="D843" t="s">
        <v>11845</v>
      </c>
      <c r="E843" t="str">
        <f t="shared" si="40"/>
        <v>서울특별시</v>
      </c>
      <c r="F843" t="str">
        <f t="shared" si="41"/>
        <v xml:space="preserve">강동구 </v>
      </c>
      <c r="G843" t="str">
        <f t="shared" si="39"/>
        <v>길동</v>
      </c>
    </row>
    <row r="844" spans="1:9" x14ac:dyDescent="0.4">
      <c r="A844">
        <v>3240000</v>
      </c>
      <c r="B844" t="s">
        <v>12011</v>
      </c>
      <c r="C844" s="1">
        <v>37252</v>
      </c>
      <c r="D844" t="s">
        <v>12012</v>
      </c>
      <c r="E844" t="str">
        <f t="shared" si="40"/>
        <v>서울특별시</v>
      </c>
      <c r="F844" t="str">
        <f t="shared" si="41"/>
        <v xml:space="preserve">강동구 </v>
      </c>
      <c r="G844" t="str">
        <f t="shared" si="39"/>
        <v>길동</v>
      </c>
    </row>
    <row r="845" spans="1:9" x14ac:dyDescent="0.4">
      <c r="A845">
        <v>3240000</v>
      </c>
      <c r="B845" t="s">
        <v>12078</v>
      </c>
      <c r="C845" s="1">
        <v>30664</v>
      </c>
      <c r="D845" t="s">
        <v>12079</v>
      </c>
      <c r="E845" t="str">
        <f t="shared" si="40"/>
        <v>서울특별시</v>
      </c>
      <c r="F845" t="str">
        <f t="shared" si="41"/>
        <v xml:space="preserve">강동구 </v>
      </c>
      <c r="G845" t="str">
        <f t="shared" si="39"/>
        <v>길동</v>
      </c>
    </row>
    <row r="846" spans="1:9" x14ac:dyDescent="0.4">
      <c r="A846">
        <v>3240000</v>
      </c>
      <c r="B846" t="s">
        <v>12123</v>
      </c>
      <c r="C846" s="1">
        <v>31608</v>
      </c>
      <c r="D846" t="s">
        <v>12079</v>
      </c>
      <c r="E846" t="str">
        <f t="shared" si="40"/>
        <v>서울특별시</v>
      </c>
      <c r="F846" t="str">
        <f t="shared" si="41"/>
        <v xml:space="preserve">강동구 </v>
      </c>
      <c r="G846" t="str">
        <f t="shared" si="39"/>
        <v>길동</v>
      </c>
    </row>
    <row r="847" spans="1:9" x14ac:dyDescent="0.4">
      <c r="A847">
        <v>3240000</v>
      </c>
      <c r="B847" t="s">
        <v>8347</v>
      </c>
      <c r="C847" s="1">
        <v>37081</v>
      </c>
      <c r="D847" t="s">
        <v>8348</v>
      </c>
      <c r="E847" t="str">
        <f t="shared" si="40"/>
        <v>서울특별시</v>
      </c>
      <c r="F847" t="str">
        <f t="shared" si="41"/>
        <v xml:space="preserve">강동구 </v>
      </c>
      <c r="G847" t="str">
        <f t="shared" si="39"/>
        <v>길동</v>
      </c>
    </row>
    <row r="848" spans="1:9" x14ac:dyDescent="0.4">
      <c r="A848">
        <v>3240000</v>
      </c>
      <c r="B848" t="s">
        <v>11868</v>
      </c>
      <c r="C848" s="1">
        <v>39282</v>
      </c>
      <c r="D848" t="s">
        <v>8348</v>
      </c>
      <c r="E848" t="str">
        <f t="shared" si="40"/>
        <v>서울특별시</v>
      </c>
      <c r="F848" t="str">
        <f t="shared" si="41"/>
        <v xml:space="preserve">강동구 </v>
      </c>
      <c r="G848" t="str">
        <f t="shared" si="39"/>
        <v>길동</v>
      </c>
    </row>
    <row r="849" spans="1:9" x14ac:dyDescent="0.4">
      <c r="A849">
        <v>3240000</v>
      </c>
      <c r="B849" t="s">
        <v>12003</v>
      </c>
      <c r="C849" s="1">
        <v>37081</v>
      </c>
      <c r="D849" t="s">
        <v>8348</v>
      </c>
      <c r="E849" t="str">
        <f t="shared" si="40"/>
        <v>서울특별시</v>
      </c>
      <c r="F849" t="str">
        <f t="shared" si="41"/>
        <v xml:space="preserve">강동구 </v>
      </c>
      <c r="G849" t="str">
        <f t="shared" si="39"/>
        <v>길동</v>
      </c>
    </row>
    <row r="850" spans="1:9" x14ac:dyDescent="0.4">
      <c r="A850">
        <v>3240000</v>
      </c>
      <c r="B850" t="s">
        <v>12004</v>
      </c>
      <c r="C850" s="1">
        <v>37081</v>
      </c>
      <c r="D850" t="s">
        <v>8348</v>
      </c>
      <c r="E850" t="str">
        <f t="shared" si="40"/>
        <v>서울특별시</v>
      </c>
      <c r="F850" t="str">
        <f t="shared" si="41"/>
        <v xml:space="preserve">강동구 </v>
      </c>
      <c r="G850" t="str">
        <f t="shared" si="39"/>
        <v>길동</v>
      </c>
    </row>
    <row r="851" spans="1:9" x14ac:dyDescent="0.4">
      <c r="A851">
        <v>3240000</v>
      </c>
      <c r="B851" t="s">
        <v>4065</v>
      </c>
      <c r="C851" s="1">
        <v>36528</v>
      </c>
      <c r="D851" t="s">
        <v>4066</v>
      </c>
      <c r="E851" t="str">
        <f t="shared" si="40"/>
        <v>서울특별시</v>
      </c>
      <c r="F851" t="str">
        <f t="shared" si="41"/>
        <v xml:space="preserve">강동구 </v>
      </c>
      <c r="G851" t="str">
        <f t="shared" si="39"/>
        <v>길동</v>
      </c>
      <c r="H851" t="s">
        <v>4067</v>
      </c>
      <c r="I851">
        <v>5355</v>
      </c>
    </row>
    <row r="852" spans="1:9" x14ac:dyDescent="0.4">
      <c r="A852">
        <v>3240000</v>
      </c>
      <c r="B852" t="s">
        <v>11647</v>
      </c>
      <c r="C852" s="1">
        <v>40294</v>
      </c>
      <c r="D852" t="s">
        <v>11648</v>
      </c>
      <c r="E852" t="str">
        <f t="shared" si="40"/>
        <v>서울특별시</v>
      </c>
      <c r="F852" t="str">
        <f t="shared" si="41"/>
        <v xml:space="preserve">강동구 </v>
      </c>
      <c r="G852" t="str">
        <f t="shared" si="39"/>
        <v>길동</v>
      </c>
      <c r="H852" t="s">
        <v>11640</v>
      </c>
      <c r="I852">
        <v>5355</v>
      </c>
    </row>
    <row r="853" spans="1:9" x14ac:dyDescent="0.4">
      <c r="A853">
        <v>3240000</v>
      </c>
      <c r="B853" t="s">
        <v>12017</v>
      </c>
      <c r="C853" s="1">
        <v>37362</v>
      </c>
      <c r="D853" t="s">
        <v>12018</v>
      </c>
      <c r="E853" t="str">
        <f t="shared" si="40"/>
        <v>서울특별시</v>
      </c>
      <c r="F853" t="str">
        <f t="shared" si="41"/>
        <v xml:space="preserve">강동구 </v>
      </c>
      <c r="G853" t="str">
        <f t="shared" ref="G853:G898" si="42">MID(SUBSTITUTE(D853," ",""),9,3)</f>
        <v>명일동</v>
      </c>
    </row>
    <row r="854" spans="1:9" x14ac:dyDescent="0.4">
      <c r="A854">
        <v>3240000</v>
      </c>
      <c r="B854" t="s">
        <v>11895</v>
      </c>
      <c r="C854" s="1">
        <v>37414</v>
      </c>
      <c r="D854" t="s">
        <v>11896</v>
      </c>
      <c r="E854" t="str">
        <f t="shared" si="40"/>
        <v>서울특별시</v>
      </c>
      <c r="F854" t="str">
        <f t="shared" si="41"/>
        <v xml:space="preserve">강동구 </v>
      </c>
      <c r="G854" t="str">
        <f t="shared" si="42"/>
        <v>명일동</v>
      </c>
    </row>
    <row r="855" spans="1:9" x14ac:dyDescent="0.4">
      <c r="A855">
        <v>3240000</v>
      </c>
      <c r="B855" t="s">
        <v>12031</v>
      </c>
      <c r="C855" s="1">
        <v>37169</v>
      </c>
      <c r="D855" t="s">
        <v>12032</v>
      </c>
      <c r="E855" t="str">
        <f t="shared" si="40"/>
        <v>서울특별시</v>
      </c>
      <c r="F855" t="str">
        <f t="shared" si="41"/>
        <v xml:space="preserve">강동구 </v>
      </c>
      <c r="G855" t="str">
        <f t="shared" si="42"/>
        <v>명일동</v>
      </c>
      <c r="H855" t="s">
        <v>12033</v>
      </c>
      <c r="I855">
        <v>5269</v>
      </c>
    </row>
    <row r="856" spans="1:9" x14ac:dyDescent="0.4">
      <c r="A856">
        <v>3240000</v>
      </c>
      <c r="B856" t="s">
        <v>12015</v>
      </c>
      <c r="C856" s="1">
        <v>37358</v>
      </c>
      <c r="D856" t="s">
        <v>12016</v>
      </c>
      <c r="E856" t="str">
        <f t="shared" si="40"/>
        <v>서울특별시</v>
      </c>
      <c r="F856" t="str">
        <f t="shared" si="41"/>
        <v xml:space="preserve">강동구 </v>
      </c>
      <c r="G856" t="str">
        <f t="shared" si="42"/>
        <v>명일동</v>
      </c>
    </row>
    <row r="857" spans="1:9" x14ac:dyDescent="0.4">
      <c r="A857">
        <v>3240000</v>
      </c>
      <c r="B857" t="s">
        <v>11846</v>
      </c>
      <c r="C857" s="1">
        <v>36711</v>
      </c>
      <c r="D857" t="s">
        <v>11847</v>
      </c>
      <c r="E857" t="str">
        <f t="shared" si="40"/>
        <v>서울특별시</v>
      </c>
      <c r="F857" t="str">
        <f t="shared" si="41"/>
        <v xml:space="preserve">강동구 </v>
      </c>
      <c r="G857" t="str">
        <f t="shared" si="42"/>
        <v>명일동</v>
      </c>
    </row>
    <row r="858" spans="1:9" x14ac:dyDescent="0.4">
      <c r="A858">
        <v>3240000</v>
      </c>
      <c r="B858" t="s">
        <v>11897</v>
      </c>
      <c r="C858" s="1">
        <v>37421</v>
      </c>
      <c r="D858" t="s">
        <v>11898</v>
      </c>
      <c r="E858" t="str">
        <f t="shared" si="40"/>
        <v>서울특별시</v>
      </c>
      <c r="F858" t="str">
        <f t="shared" si="41"/>
        <v xml:space="preserve">강동구 </v>
      </c>
      <c r="G858" t="str">
        <f t="shared" si="42"/>
        <v>명일동</v>
      </c>
    </row>
    <row r="859" spans="1:9" x14ac:dyDescent="0.4">
      <c r="A859">
        <v>3240000</v>
      </c>
      <c r="B859" t="s">
        <v>11980</v>
      </c>
      <c r="C859" s="1">
        <v>29246</v>
      </c>
      <c r="D859" t="s">
        <v>11981</v>
      </c>
      <c r="E859" t="str">
        <f t="shared" si="40"/>
        <v>서울특별시</v>
      </c>
      <c r="F859" t="str">
        <f t="shared" si="41"/>
        <v xml:space="preserve">강동구 </v>
      </c>
      <c r="G859" t="str">
        <f t="shared" si="42"/>
        <v>성내동</v>
      </c>
    </row>
    <row r="860" spans="1:9" x14ac:dyDescent="0.4">
      <c r="A860">
        <v>3240000</v>
      </c>
      <c r="B860" t="s">
        <v>11573</v>
      </c>
      <c r="C860" s="1">
        <v>29389</v>
      </c>
      <c r="D860" t="s">
        <v>11574</v>
      </c>
      <c r="E860" t="str">
        <f t="shared" si="40"/>
        <v>서울특별시</v>
      </c>
      <c r="F860" t="str">
        <f t="shared" si="41"/>
        <v xml:space="preserve">강동구 </v>
      </c>
      <c r="G860" t="str">
        <f t="shared" si="42"/>
        <v>성내동</v>
      </c>
      <c r="H860" t="s">
        <v>11575</v>
      </c>
      <c r="I860">
        <v>5376</v>
      </c>
    </row>
    <row r="861" spans="1:9" x14ac:dyDescent="0.4">
      <c r="A861">
        <v>3240000</v>
      </c>
      <c r="B861" t="s">
        <v>12143</v>
      </c>
      <c r="C861" s="1">
        <v>29462</v>
      </c>
      <c r="D861" t="s">
        <v>12144</v>
      </c>
      <c r="E861" t="str">
        <f t="shared" si="40"/>
        <v>서울특별시</v>
      </c>
      <c r="F861" t="str">
        <f t="shared" si="41"/>
        <v xml:space="preserve">강동구 </v>
      </c>
      <c r="G861" t="str">
        <f t="shared" si="42"/>
        <v>성내동</v>
      </c>
    </row>
    <row r="862" spans="1:9" x14ac:dyDescent="0.4">
      <c r="A862">
        <v>3240000</v>
      </c>
      <c r="B862" t="s">
        <v>87</v>
      </c>
      <c r="C862" s="1">
        <v>33015</v>
      </c>
      <c r="D862" t="s">
        <v>88</v>
      </c>
      <c r="E862" t="str">
        <f t="shared" si="40"/>
        <v>서울특별시</v>
      </c>
      <c r="F862" t="str">
        <f t="shared" si="41"/>
        <v xml:space="preserve">강동구 </v>
      </c>
      <c r="G862" t="str">
        <f t="shared" si="42"/>
        <v>성내동</v>
      </c>
      <c r="H862" t="s">
        <v>89</v>
      </c>
      <c r="I862">
        <v>5404</v>
      </c>
    </row>
    <row r="863" spans="1:9" x14ac:dyDescent="0.4">
      <c r="A863">
        <v>3240000</v>
      </c>
      <c r="B863" t="s">
        <v>11576</v>
      </c>
      <c r="C863" s="1">
        <v>29410</v>
      </c>
      <c r="D863" t="s">
        <v>11577</v>
      </c>
      <c r="E863" t="str">
        <f t="shared" si="40"/>
        <v>서울특별시</v>
      </c>
      <c r="F863" t="str">
        <f t="shared" si="41"/>
        <v xml:space="preserve">강동구 </v>
      </c>
      <c r="G863" t="str">
        <f t="shared" si="42"/>
        <v>성내동</v>
      </c>
      <c r="H863" t="s">
        <v>11578</v>
      </c>
      <c r="I863">
        <v>5405</v>
      </c>
    </row>
    <row r="864" spans="1:9" x14ac:dyDescent="0.4">
      <c r="A864">
        <v>3240000</v>
      </c>
      <c r="B864" t="s">
        <v>11635</v>
      </c>
      <c r="C864" s="1">
        <v>29489</v>
      </c>
      <c r="D864" t="s">
        <v>11636</v>
      </c>
      <c r="E864" t="str">
        <f t="shared" si="40"/>
        <v>서울특별시</v>
      </c>
      <c r="F864" t="str">
        <f t="shared" si="41"/>
        <v xml:space="preserve">강동구 </v>
      </c>
      <c r="G864" t="str">
        <f t="shared" si="42"/>
        <v>암사동</v>
      </c>
      <c r="H864" t="s">
        <v>11637</v>
      </c>
      <c r="I864">
        <v>5264</v>
      </c>
    </row>
    <row r="865" spans="1:9" x14ac:dyDescent="0.4">
      <c r="A865">
        <v>3240000</v>
      </c>
      <c r="B865" t="s">
        <v>231</v>
      </c>
      <c r="C865" s="1">
        <v>29403</v>
      </c>
      <c r="D865" t="s">
        <v>232</v>
      </c>
      <c r="E865" t="str">
        <f t="shared" si="40"/>
        <v>서울특별시</v>
      </c>
      <c r="F865" t="str">
        <f t="shared" si="41"/>
        <v xml:space="preserve">강동구 </v>
      </c>
      <c r="G865" t="str">
        <f t="shared" si="42"/>
        <v>암사동</v>
      </c>
      <c r="H865" t="s">
        <v>233</v>
      </c>
      <c r="I865">
        <v>5264</v>
      </c>
    </row>
    <row r="866" spans="1:9" x14ac:dyDescent="0.4">
      <c r="A866">
        <v>3240000</v>
      </c>
      <c r="B866" t="s">
        <v>11880</v>
      </c>
      <c r="C866" s="1">
        <v>30770</v>
      </c>
      <c r="D866" t="s">
        <v>11881</v>
      </c>
      <c r="E866" t="str">
        <f t="shared" si="40"/>
        <v>서울특별시</v>
      </c>
      <c r="F866" t="str">
        <f t="shared" si="41"/>
        <v xml:space="preserve">강동구 </v>
      </c>
      <c r="G866" t="str">
        <f t="shared" si="42"/>
        <v>천호동</v>
      </c>
    </row>
    <row r="867" spans="1:9" x14ac:dyDescent="0.4">
      <c r="A867">
        <v>3240000</v>
      </c>
      <c r="B867" t="s">
        <v>12080</v>
      </c>
      <c r="C867" s="1">
        <v>30769</v>
      </c>
      <c r="D867" t="s">
        <v>11881</v>
      </c>
      <c r="E867" t="str">
        <f t="shared" si="40"/>
        <v>서울특별시</v>
      </c>
      <c r="F867" t="str">
        <f t="shared" si="41"/>
        <v xml:space="preserve">강동구 </v>
      </c>
      <c r="G867" t="str">
        <f t="shared" si="42"/>
        <v>천호동</v>
      </c>
    </row>
    <row r="868" spans="1:9" x14ac:dyDescent="0.4">
      <c r="A868">
        <v>3240000</v>
      </c>
      <c r="B868" t="s">
        <v>11951</v>
      </c>
      <c r="C868" s="1">
        <v>29469</v>
      </c>
      <c r="D868" t="s">
        <v>11952</v>
      </c>
      <c r="E868" t="str">
        <f t="shared" si="40"/>
        <v>서울특별시</v>
      </c>
      <c r="F868" t="str">
        <f t="shared" si="41"/>
        <v xml:space="preserve">강동구 </v>
      </c>
      <c r="G868" t="str">
        <f t="shared" si="42"/>
        <v>천호동</v>
      </c>
    </row>
    <row r="869" spans="1:9" x14ac:dyDescent="0.4">
      <c r="A869">
        <v>3240000</v>
      </c>
      <c r="B869" t="s">
        <v>11912</v>
      </c>
      <c r="C869" s="1">
        <v>30996</v>
      </c>
      <c r="D869" t="s">
        <v>11913</v>
      </c>
      <c r="E869" t="str">
        <f t="shared" si="40"/>
        <v>서울특별시</v>
      </c>
      <c r="F869" t="str">
        <f t="shared" si="41"/>
        <v xml:space="preserve">강동구 </v>
      </c>
      <c r="G869" t="str">
        <f t="shared" si="42"/>
        <v>천호동</v>
      </c>
    </row>
    <row r="870" spans="1:9" x14ac:dyDescent="0.4">
      <c r="A870">
        <v>3240000</v>
      </c>
      <c r="B870" t="s">
        <v>12140</v>
      </c>
      <c r="C870" s="1">
        <v>29353</v>
      </c>
      <c r="D870" t="s">
        <v>12141</v>
      </c>
      <c r="E870" t="str">
        <f t="shared" si="40"/>
        <v>서울특별시</v>
      </c>
      <c r="F870" t="str">
        <f t="shared" si="41"/>
        <v xml:space="preserve">강동구 </v>
      </c>
      <c r="G870" t="str">
        <f t="shared" si="42"/>
        <v>천호동</v>
      </c>
      <c r="H870" t="s">
        <v>12142</v>
      </c>
      <c r="I870">
        <v>5326</v>
      </c>
    </row>
    <row r="871" spans="1:9" x14ac:dyDescent="0.4">
      <c r="A871">
        <v>3240000</v>
      </c>
      <c r="B871" t="s">
        <v>11632</v>
      </c>
      <c r="C871" s="1">
        <v>31308</v>
      </c>
      <c r="D871" t="s">
        <v>11633</v>
      </c>
      <c r="E871" t="str">
        <f t="shared" si="40"/>
        <v>서울특별시</v>
      </c>
      <c r="F871" t="str">
        <f t="shared" si="41"/>
        <v xml:space="preserve">강동구 </v>
      </c>
      <c r="G871" t="str">
        <f t="shared" si="42"/>
        <v>천호동</v>
      </c>
      <c r="H871" t="s">
        <v>11634</v>
      </c>
      <c r="I871">
        <v>5336</v>
      </c>
    </row>
    <row r="872" spans="1:9" x14ac:dyDescent="0.4">
      <c r="A872">
        <v>3240000</v>
      </c>
      <c r="B872" t="s">
        <v>11716</v>
      </c>
      <c r="C872" s="1">
        <v>27573</v>
      </c>
      <c r="D872" t="s">
        <v>11717</v>
      </c>
      <c r="E872" t="str">
        <f t="shared" si="40"/>
        <v>서울특별시</v>
      </c>
      <c r="F872" t="str">
        <f t="shared" si="41"/>
        <v xml:space="preserve">강동구 </v>
      </c>
      <c r="G872" t="str">
        <f t="shared" si="42"/>
        <v>천호동</v>
      </c>
      <c r="H872" t="s">
        <v>11718</v>
      </c>
      <c r="I872">
        <v>5329</v>
      </c>
    </row>
    <row r="873" spans="1:9" x14ac:dyDescent="0.4">
      <c r="A873">
        <v>3240000</v>
      </c>
      <c r="B873" t="s">
        <v>11669</v>
      </c>
      <c r="C873" s="1">
        <v>30791</v>
      </c>
      <c r="D873" t="s">
        <v>11670</v>
      </c>
      <c r="E873" t="str">
        <f t="shared" si="40"/>
        <v>서울특별시</v>
      </c>
      <c r="F873" t="str">
        <f t="shared" si="41"/>
        <v xml:space="preserve">강동구 </v>
      </c>
      <c r="G873" t="str">
        <f t="shared" si="42"/>
        <v>천호동</v>
      </c>
      <c r="H873" t="s">
        <v>11671</v>
      </c>
      <c r="I873">
        <v>5329</v>
      </c>
    </row>
    <row r="874" spans="1:9" x14ac:dyDescent="0.4">
      <c r="A874">
        <v>3240000</v>
      </c>
      <c r="B874" t="s">
        <v>12055</v>
      </c>
      <c r="C874" s="1">
        <v>40016</v>
      </c>
      <c r="D874" t="s">
        <v>12056</v>
      </c>
      <c r="E874" t="str">
        <f t="shared" si="40"/>
        <v>서울특별시</v>
      </c>
      <c r="F874" t="str">
        <f t="shared" si="41"/>
        <v xml:space="preserve">강동구 </v>
      </c>
      <c r="G874" t="str">
        <f t="shared" si="42"/>
        <v>천호동</v>
      </c>
      <c r="H874" t="s">
        <v>12057</v>
      </c>
      <c r="I874">
        <v>5329</v>
      </c>
    </row>
    <row r="875" spans="1:9" x14ac:dyDescent="0.4">
      <c r="A875">
        <v>3240000</v>
      </c>
      <c r="B875" t="s">
        <v>12064</v>
      </c>
      <c r="C875" s="1">
        <v>40589</v>
      </c>
      <c r="D875" t="s">
        <v>12056</v>
      </c>
      <c r="E875" t="str">
        <f t="shared" si="40"/>
        <v>서울특별시</v>
      </c>
      <c r="F875" t="str">
        <f t="shared" si="41"/>
        <v xml:space="preserve">강동구 </v>
      </c>
      <c r="G875" t="str">
        <f t="shared" si="42"/>
        <v>천호동</v>
      </c>
      <c r="H875" t="s">
        <v>12057</v>
      </c>
      <c r="I875">
        <v>5329</v>
      </c>
    </row>
    <row r="876" spans="1:9" x14ac:dyDescent="0.4">
      <c r="A876">
        <v>3240000</v>
      </c>
      <c r="B876" t="s">
        <v>11997</v>
      </c>
      <c r="C876" s="1">
        <v>37021</v>
      </c>
      <c r="D876" t="s">
        <v>11998</v>
      </c>
      <c r="E876" t="str">
        <f t="shared" si="40"/>
        <v>서울특별시</v>
      </c>
      <c r="F876" t="str">
        <f t="shared" si="41"/>
        <v xml:space="preserve">강동구 </v>
      </c>
      <c r="G876" t="str">
        <f t="shared" si="42"/>
        <v>천호동</v>
      </c>
    </row>
    <row r="877" spans="1:9" x14ac:dyDescent="0.4">
      <c r="A877">
        <v>3240000</v>
      </c>
      <c r="B877" t="s">
        <v>11884</v>
      </c>
      <c r="C877" s="1">
        <v>30834</v>
      </c>
      <c r="D877" t="s">
        <v>11885</v>
      </c>
      <c r="E877" t="str">
        <f t="shared" si="40"/>
        <v>서울특별시</v>
      </c>
      <c r="F877" t="str">
        <f t="shared" si="41"/>
        <v xml:space="preserve">강동구 </v>
      </c>
      <c r="G877" t="str">
        <f t="shared" si="42"/>
        <v>천호동</v>
      </c>
    </row>
    <row r="878" spans="1:9" x14ac:dyDescent="0.4">
      <c r="A878">
        <v>3240000</v>
      </c>
      <c r="B878" t="s">
        <v>11707</v>
      </c>
      <c r="C878" s="1">
        <v>40753</v>
      </c>
      <c r="D878" t="s">
        <v>11708</v>
      </c>
      <c r="E878" t="str">
        <f t="shared" si="40"/>
        <v>서울특별시</v>
      </c>
      <c r="F878" t="str">
        <f t="shared" si="41"/>
        <v xml:space="preserve">강동구 </v>
      </c>
      <c r="G878" t="str">
        <f t="shared" si="42"/>
        <v>천호동</v>
      </c>
      <c r="H878" t="s">
        <v>11709</v>
      </c>
      <c r="I878">
        <v>5329</v>
      </c>
    </row>
    <row r="879" spans="1:9" x14ac:dyDescent="0.4">
      <c r="A879">
        <v>3240000</v>
      </c>
      <c r="B879" t="s">
        <v>11617</v>
      </c>
      <c r="C879" s="1">
        <v>37956</v>
      </c>
      <c r="D879" t="s">
        <v>11618</v>
      </c>
      <c r="E879" t="str">
        <f t="shared" si="40"/>
        <v>서울특별시</v>
      </c>
      <c r="F879" t="str">
        <f t="shared" si="41"/>
        <v xml:space="preserve">강동구 </v>
      </c>
      <c r="G879" t="str">
        <f t="shared" si="42"/>
        <v>천호동</v>
      </c>
      <c r="H879" t="s">
        <v>11619</v>
      </c>
      <c r="I879">
        <v>5329</v>
      </c>
    </row>
    <row r="880" spans="1:9" x14ac:dyDescent="0.4">
      <c r="A880">
        <v>3240000</v>
      </c>
      <c r="B880" t="s">
        <v>11853</v>
      </c>
      <c r="C880" s="1">
        <v>39115</v>
      </c>
      <c r="D880" t="s">
        <v>11854</v>
      </c>
      <c r="E880" t="str">
        <f t="shared" si="40"/>
        <v>서울특별시</v>
      </c>
      <c r="F880" t="str">
        <f t="shared" si="41"/>
        <v xml:space="preserve">강동구 </v>
      </c>
      <c r="G880" t="str">
        <f t="shared" si="42"/>
        <v>천호동</v>
      </c>
    </row>
    <row r="881" spans="1:9" x14ac:dyDescent="0.4">
      <c r="A881">
        <v>3240000</v>
      </c>
      <c r="B881" t="s">
        <v>12054</v>
      </c>
      <c r="C881" s="1">
        <v>40014</v>
      </c>
      <c r="D881" t="s">
        <v>11854</v>
      </c>
      <c r="E881" t="str">
        <f t="shared" si="40"/>
        <v>서울특별시</v>
      </c>
      <c r="F881" t="str">
        <f t="shared" si="41"/>
        <v xml:space="preserve">강동구 </v>
      </c>
      <c r="G881" t="str">
        <f t="shared" si="42"/>
        <v>천호동</v>
      </c>
    </row>
    <row r="882" spans="1:9" x14ac:dyDescent="0.4">
      <c r="A882">
        <v>3240000</v>
      </c>
      <c r="B882" t="s">
        <v>11857</v>
      </c>
      <c r="C882" s="1">
        <v>39248</v>
      </c>
      <c r="D882" t="s">
        <v>11858</v>
      </c>
      <c r="E882" t="str">
        <f t="shared" si="40"/>
        <v>서울특별시</v>
      </c>
      <c r="F882" t="str">
        <f t="shared" si="41"/>
        <v xml:space="preserve">강동구 </v>
      </c>
      <c r="G882" t="str">
        <f t="shared" si="42"/>
        <v>천호동</v>
      </c>
    </row>
    <row r="883" spans="1:9" x14ac:dyDescent="0.4">
      <c r="A883">
        <v>3240000</v>
      </c>
      <c r="B883" t="s">
        <v>11809</v>
      </c>
      <c r="C883" s="1">
        <v>37412</v>
      </c>
      <c r="D883" t="s">
        <v>11810</v>
      </c>
      <c r="E883" t="str">
        <f t="shared" si="40"/>
        <v>서울특별시</v>
      </c>
      <c r="F883" t="str">
        <f t="shared" si="41"/>
        <v xml:space="preserve">강동구 </v>
      </c>
      <c r="G883" t="str">
        <f t="shared" si="42"/>
        <v>천호동</v>
      </c>
    </row>
    <row r="884" spans="1:9" x14ac:dyDescent="0.4">
      <c r="A884">
        <v>3240000</v>
      </c>
      <c r="B884" t="s">
        <v>11930</v>
      </c>
      <c r="C884" s="1">
        <v>38455</v>
      </c>
      <c r="D884" t="s">
        <v>11931</v>
      </c>
      <c r="E884" t="str">
        <f t="shared" si="40"/>
        <v>서울특별시</v>
      </c>
      <c r="F884" t="str">
        <f t="shared" si="41"/>
        <v xml:space="preserve">강동구 </v>
      </c>
      <c r="G884" t="str">
        <f t="shared" si="42"/>
        <v>천호동</v>
      </c>
    </row>
    <row r="885" spans="1:9" x14ac:dyDescent="0.4">
      <c r="A885">
        <v>3240000</v>
      </c>
      <c r="B885" t="s">
        <v>11926</v>
      </c>
      <c r="C885" s="1">
        <v>38345</v>
      </c>
      <c r="D885" t="s">
        <v>11927</v>
      </c>
      <c r="E885" t="str">
        <f t="shared" si="40"/>
        <v>서울특별시</v>
      </c>
      <c r="F885" t="str">
        <f t="shared" si="41"/>
        <v xml:space="preserve">강동구 </v>
      </c>
      <c r="G885" t="str">
        <f t="shared" si="42"/>
        <v>천호동</v>
      </c>
    </row>
    <row r="886" spans="1:9" x14ac:dyDescent="0.4">
      <c r="A886">
        <v>3240000</v>
      </c>
      <c r="B886" t="s">
        <v>11947</v>
      </c>
      <c r="C886" s="1">
        <v>39050</v>
      </c>
      <c r="D886" t="s">
        <v>11948</v>
      </c>
      <c r="E886" t="str">
        <f t="shared" si="40"/>
        <v>서울특별시</v>
      </c>
      <c r="F886" t="str">
        <f t="shared" si="41"/>
        <v xml:space="preserve">강동구 </v>
      </c>
      <c r="G886" t="str">
        <f t="shared" si="42"/>
        <v>천호동</v>
      </c>
      <c r="H886" t="s">
        <v>11949</v>
      </c>
    </row>
    <row r="887" spans="1:9" x14ac:dyDescent="0.4">
      <c r="A887">
        <v>3240000</v>
      </c>
      <c r="B887" t="s">
        <v>11874</v>
      </c>
      <c r="C887" s="1">
        <v>39050</v>
      </c>
      <c r="D887" t="s">
        <v>11875</v>
      </c>
      <c r="E887" t="str">
        <f t="shared" si="40"/>
        <v>서울특별시</v>
      </c>
      <c r="F887" t="str">
        <f t="shared" si="41"/>
        <v xml:space="preserve">강동구 </v>
      </c>
      <c r="G887" t="str">
        <f t="shared" si="42"/>
        <v>천호동</v>
      </c>
      <c r="H887" t="s">
        <v>11876</v>
      </c>
    </row>
    <row r="888" spans="1:9" x14ac:dyDescent="0.4">
      <c r="A888">
        <v>3240000</v>
      </c>
      <c r="B888" t="s">
        <v>11585</v>
      </c>
      <c r="C888" s="1">
        <v>43509</v>
      </c>
      <c r="D888" t="s">
        <v>11586</v>
      </c>
      <c r="E888" t="str">
        <f t="shared" si="40"/>
        <v>서울특별시</v>
      </c>
      <c r="F888" t="str">
        <f t="shared" si="41"/>
        <v xml:space="preserve">강동구 </v>
      </c>
      <c r="G888" t="str">
        <f t="shared" si="42"/>
        <v>천호동</v>
      </c>
      <c r="H888" t="s">
        <v>11587</v>
      </c>
      <c r="I888">
        <v>5329</v>
      </c>
    </row>
    <row r="889" spans="1:9" x14ac:dyDescent="0.4">
      <c r="A889">
        <v>3240000</v>
      </c>
      <c r="B889" t="s">
        <v>11570</v>
      </c>
      <c r="C889" s="1">
        <v>41771</v>
      </c>
      <c r="D889" t="s">
        <v>11571</v>
      </c>
      <c r="E889" t="str">
        <f t="shared" si="40"/>
        <v>서울특별시</v>
      </c>
      <c r="F889" t="str">
        <f t="shared" si="41"/>
        <v xml:space="preserve">강동구 </v>
      </c>
      <c r="G889" t="str">
        <f t="shared" si="42"/>
        <v>천호동</v>
      </c>
      <c r="H889" t="s">
        <v>11572</v>
      </c>
      <c r="I889">
        <v>5329</v>
      </c>
    </row>
    <row r="890" spans="1:9" x14ac:dyDescent="0.4">
      <c r="A890">
        <v>3240000</v>
      </c>
      <c r="B890" t="s">
        <v>11935</v>
      </c>
      <c r="C890" s="1">
        <v>38727</v>
      </c>
      <c r="D890" t="s">
        <v>11936</v>
      </c>
      <c r="E890" t="str">
        <f t="shared" si="40"/>
        <v>서울특별시</v>
      </c>
      <c r="F890" t="str">
        <f t="shared" si="41"/>
        <v xml:space="preserve">강동구 </v>
      </c>
      <c r="G890" t="str">
        <f t="shared" si="42"/>
        <v>천호동</v>
      </c>
      <c r="H890" t="s">
        <v>11937</v>
      </c>
      <c r="I890">
        <v>5329</v>
      </c>
    </row>
    <row r="891" spans="1:9" x14ac:dyDescent="0.4">
      <c r="A891">
        <v>3240000</v>
      </c>
      <c r="B891" t="s">
        <v>11938</v>
      </c>
      <c r="C891" s="1">
        <v>38727</v>
      </c>
      <c r="D891" t="s">
        <v>11939</v>
      </c>
      <c r="E891" t="str">
        <f t="shared" si="40"/>
        <v>서울특별시</v>
      </c>
      <c r="F891" t="str">
        <f t="shared" si="41"/>
        <v xml:space="preserve">강동구 </v>
      </c>
      <c r="G891" t="str">
        <f t="shared" si="42"/>
        <v>천호동</v>
      </c>
    </row>
    <row r="892" spans="1:9" x14ac:dyDescent="0.4">
      <c r="A892">
        <v>3240000</v>
      </c>
      <c r="B892" t="s">
        <v>11928</v>
      </c>
      <c r="C892" s="1">
        <v>38351</v>
      </c>
      <c r="D892" t="s">
        <v>11929</v>
      </c>
      <c r="E892" t="str">
        <f t="shared" si="40"/>
        <v>서울특별시</v>
      </c>
      <c r="F892" t="str">
        <f t="shared" si="41"/>
        <v xml:space="preserve">강동구 </v>
      </c>
      <c r="G892" t="str">
        <f t="shared" si="42"/>
        <v>천호동</v>
      </c>
    </row>
    <row r="893" spans="1:9" x14ac:dyDescent="0.4">
      <c r="A893">
        <v>3240000</v>
      </c>
      <c r="B893" t="s">
        <v>11960</v>
      </c>
      <c r="C893" s="1">
        <v>31119</v>
      </c>
      <c r="D893" t="s">
        <v>11961</v>
      </c>
      <c r="E893" t="str">
        <f t="shared" si="40"/>
        <v>서울특별시</v>
      </c>
      <c r="F893" t="str">
        <f t="shared" si="41"/>
        <v xml:space="preserve">강동구 </v>
      </c>
      <c r="G893" t="str">
        <f t="shared" si="42"/>
        <v>천호동</v>
      </c>
    </row>
    <row r="894" spans="1:9" x14ac:dyDescent="0.4">
      <c r="A894">
        <v>3240000</v>
      </c>
      <c r="B894" t="s">
        <v>11838</v>
      </c>
      <c r="C894" s="1">
        <v>36594</v>
      </c>
      <c r="D894" t="s">
        <v>11839</v>
      </c>
      <c r="E894" t="str">
        <f t="shared" si="40"/>
        <v>서울특별시</v>
      </c>
      <c r="F894" t="str">
        <f t="shared" si="41"/>
        <v xml:space="preserve">강동구 </v>
      </c>
      <c r="G894" t="str">
        <f t="shared" si="42"/>
        <v>천호동</v>
      </c>
    </row>
    <row r="895" spans="1:9" x14ac:dyDescent="0.4">
      <c r="A895">
        <v>3240000</v>
      </c>
      <c r="B895" t="s">
        <v>11958</v>
      </c>
      <c r="C895" s="1">
        <v>31094</v>
      </c>
      <c r="D895" t="s">
        <v>11959</v>
      </c>
      <c r="E895" t="str">
        <f t="shared" si="40"/>
        <v>서울특별시</v>
      </c>
      <c r="F895" t="str">
        <f t="shared" si="41"/>
        <v xml:space="preserve">강동구 </v>
      </c>
      <c r="G895" t="str">
        <f t="shared" si="42"/>
        <v>천호동</v>
      </c>
    </row>
    <row r="896" spans="1:9" x14ac:dyDescent="0.4">
      <c r="A896">
        <v>3240000</v>
      </c>
      <c r="B896" t="s">
        <v>11910</v>
      </c>
      <c r="C896" s="1">
        <v>30960</v>
      </c>
      <c r="D896" t="s">
        <v>11911</v>
      </c>
      <c r="E896" t="str">
        <f t="shared" si="40"/>
        <v>서울특별시</v>
      </c>
      <c r="F896" t="str">
        <f t="shared" si="41"/>
        <v xml:space="preserve">강동구 </v>
      </c>
      <c r="G896" t="str">
        <f t="shared" si="42"/>
        <v>천호동</v>
      </c>
    </row>
    <row r="897" spans="1:9" x14ac:dyDescent="0.4">
      <c r="A897">
        <v>3240000</v>
      </c>
      <c r="B897" t="s">
        <v>12058</v>
      </c>
      <c r="C897" s="1">
        <v>30404</v>
      </c>
      <c r="D897" t="s">
        <v>11911</v>
      </c>
      <c r="E897" t="str">
        <f t="shared" si="40"/>
        <v>서울특별시</v>
      </c>
      <c r="F897" t="str">
        <f t="shared" si="41"/>
        <v xml:space="preserve">강동구 </v>
      </c>
      <c r="G897" t="str">
        <f t="shared" si="42"/>
        <v>천호동</v>
      </c>
    </row>
    <row r="898" spans="1:9" x14ac:dyDescent="0.4">
      <c r="A898">
        <v>3240000</v>
      </c>
      <c r="B898" t="s">
        <v>12139</v>
      </c>
      <c r="C898" s="1">
        <v>32445</v>
      </c>
      <c r="D898" t="s">
        <v>11911</v>
      </c>
      <c r="E898" t="str">
        <f t="shared" si="40"/>
        <v>서울특별시</v>
      </c>
      <c r="F898" t="str">
        <f t="shared" si="41"/>
        <v xml:space="preserve">강동구 </v>
      </c>
      <c r="G898" t="str">
        <f t="shared" si="42"/>
        <v>천호동</v>
      </c>
    </row>
    <row r="899" spans="1:9" x14ac:dyDescent="0.4">
      <c r="A899">
        <v>3240000</v>
      </c>
      <c r="B899" t="s">
        <v>12117</v>
      </c>
      <c r="C899" s="1">
        <v>31443</v>
      </c>
      <c r="D899" t="s">
        <v>12118</v>
      </c>
      <c r="E899" t="str">
        <f t="shared" ref="E899:E962" si="43">LEFT(D899,5)</f>
        <v>서울특별시</v>
      </c>
      <c r="F899" t="str">
        <f t="shared" ref="F899:F962" si="44">MID(D899,7,4)</f>
        <v xml:space="preserve">강동구 </v>
      </c>
      <c r="G899" t="str">
        <f t="shared" ref="G899:G962" si="45">MID(SUBSTITUTE(D899," ",""),9,3)</f>
        <v>천호동</v>
      </c>
    </row>
    <row r="900" spans="1:9" x14ac:dyDescent="0.4">
      <c r="A900">
        <v>3240000</v>
      </c>
      <c r="B900" t="s">
        <v>11864</v>
      </c>
      <c r="C900" s="1">
        <v>37994</v>
      </c>
      <c r="D900" t="s">
        <v>11865</v>
      </c>
      <c r="E900" t="str">
        <f t="shared" si="43"/>
        <v>서울특별시</v>
      </c>
      <c r="F900" t="str">
        <f t="shared" si="44"/>
        <v xml:space="preserve">강동구 </v>
      </c>
      <c r="G900" t="str">
        <f t="shared" si="45"/>
        <v>천호동</v>
      </c>
    </row>
    <row r="901" spans="1:9" x14ac:dyDescent="0.4">
      <c r="A901">
        <v>3240000</v>
      </c>
      <c r="B901" t="s">
        <v>11900</v>
      </c>
      <c r="C901" s="1">
        <v>37463</v>
      </c>
      <c r="D901" t="s">
        <v>11901</v>
      </c>
      <c r="E901" t="str">
        <f t="shared" si="43"/>
        <v>서울특별시</v>
      </c>
      <c r="F901" t="str">
        <f t="shared" si="44"/>
        <v xml:space="preserve">강동구 </v>
      </c>
      <c r="G901" t="str">
        <f t="shared" si="45"/>
        <v>천호동</v>
      </c>
    </row>
    <row r="902" spans="1:9" x14ac:dyDescent="0.4">
      <c r="A902">
        <v>3240000</v>
      </c>
      <c r="B902" t="s">
        <v>11914</v>
      </c>
      <c r="C902" s="1">
        <v>31035</v>
      </c>
      <c r="D902" t="s">
        <v>11901</v>
      </c>
      <c r="E902" t="str">
        <f t="shared" si="43"/>
        <v>서울특별시</v>
      </c>
      <c r="F902" t="str">
        <f t="shared" si="44"/>
        <v xml:space="preserve">강동구 </v>
      </c>
      <c r="G902" t="str">
        <f t="shared" si="45"/>
        <v>천호동</v>
      </c>
    </row>
    <row r="903" spans="1:9" x14ac:dyDescent="0.4">
      <c r="A903">
        <v>3240000</v>
      </c>
      <c r="B903" t="s">
        <v>11974</v>
      </c>
      <c r="C903" s="1">
        <v>27983</v>
      </c>
      <c r="D903" t="s">
        <v>11901</v>
      </c>
      <c r="E903" t="str">
        <f t="shared" si="43"/>
        <v>서울특별시</v>
      </c>
      <c r="F903" t="str">
        <f t="shared" si="44"/>
        <v xml:space="preserve">강동구 </v>
      </c>
      <c r="G903" t="str">
        <f t="shared" si="45"/>
        <v>천호동</v>
      </c>
    </row>
    <row r="904" spans="1:9" x14ac:dyDescent="0.4">
      <c r="A904">
        <v>3240000</v>
      </c>
      <c r="B904" t="s">
        <v>12041</v>
      </c>
      <c r="C904" s="1">
        <v>30158</v>
      </c>
      <c r="D904" t="s">
        <v>11901</v>
      </c>
      <c r="E904" t="str">
        <f t="shared" si="43"/>
        <v>서울특별시</v>
      </c>
      <c r="F904" t="str">
        <f t="shared" si="44"/>
        <v xml:space="preserve">강동구 </v>
      </c>
      <c r="G904" t="str">
        <f t="shared" si="45"/>
        <v>천호동</v>
      </c>
    </row>
    <row r="905" spans="1:9" x14ac:dyDescent="0.4">
      <c r="A905">
        <v>3240000</v>
      </c>
      <c r="B905" t="s">
        <v>12095</v>
      </c>
      <c r="C905" s="1">
        <v>36409</v>
      </c>
      <c r="D905" t="s">
        <v>11901</v>
      </c>
      <c r="E905" t="str">
        <f t="shared" si="43"/>
        <v>서울특별시</v>
      </c>
      <c r="F905" t="str">
        <f t="shared" si="44"/>
        <v xml:space="preserve">강동구 </v>
      </c>
      <c r="G905" t="str">
        <f t="shared" si="45"/>
        <v>천호동</v>
      </c>
    </row>
    <row r="906" spans="1:9" x14ac:dyDescent="0.4">
      <c r="A906">
        <v>3240000</v>
      </c>
      <c r="B906" t="s">
        <v>12128</v>
      </c>
      <c r="C906" s="1">
        <v>31910</v>
      </c>
      <c r="D906" t="s">
        <v>11901</v>
      </c>
      <c r="E906" t="str">
        <f t="shared" si="43"/>
        <v>서울특별시</v>
      </c>
      <c r="F906" t="str">
        <f t="shared" si="44"/>
        <v xml:space="preserve">강동구 </v>
      </c>
      <c r="G906" t="str">
        <f t="shared" si="45"/>
        <v>천호동</v>
      </c>
    </row>
    <row r="907" spans="1:9" x14ac:dyDescent="0.4">
      <c r="A907">
        <v>3240000</v>
      </c>
      <c r="B907" t="s">
        <v>12129</v>
      </c>
      <c r="C907" s="1">
        <v>31943</v>
      </c>
      <c r="D907" t="s">
        <v>11901</v>
      </c>
      <c r="E907" t="str">
        <f t="shared" si="43"/>
        <v>서울특별시</v>
      </c>
      <c r="F907" t="str">
        <f t="shared" si="44"/>
        <v xml:space="preserve">강동구 </v>
      </c>
      <c r="G907" t="str">
        <f t="shared" si="45"/>
        <v>천호동</v>
      </c>
    </row>
    <row r="908" spans="1:9" x14ac:dyDescent="0.4">
      <c r="A908">
        <v>3240000</v>
      </c>
      <c r="B908" t="s">
        <v>12147</v>
      </c>
      <c r="C908" s="1">
        <v>37503</v>
      </c>
      <c r="D908" t="s">
        <v>12148</v>
      </c>
      <c r="E908" t="str">
        <f t="shared" si="43"/>
        <v>서울특별시</v>
      </c>
      <c r="F908" t="str">
        <f t="shared" si="44"/>
        <v xml:space="preserve">강동구 </v>
      </c>
      <c r="G908" t="str">
        <f t="shared" si="45"/>
        <v>천호동</v>
      </c>
    </row>
    <row r="909" spans="1:9" x14ac:dyDescent="0.4">
      <c r="A909">
        <v>3240000</v>
      </c>
      <c r="B909" t="s">
        <v>11755</v>
      </c>
      <c r="C909" s="1">
        <v>42362</v>
      </c>
      <c r="D909" t="s">
        <v>11756</v>
      </c>
      <c r="E909" t="str">
        <f t="shared" si="43"/>
        <v>서울특별시</v>
      </c>
      <c r="F909" t="str">
        <f t="shared" si="44"/>
        <v xml:space="preserve">강동구 </v>
      </c>
      <c r="G909" t="str">
        <f t="shared" si="45"/>
        <v>천호동</v>
      </c>
      <c r="H909" t="s">
        <v>11757</v>
      </c>
      <c r="I909">
        <v>5328</v>
      </c>
    </row>
    <row r="910" spans="1:9" x14ac:dyDescent="0.4">
      <c r="A910">
        <v>3240000</v>
      </c>
      <c r="B910" t="s">
        <v>12008</v>
      </c>
      <c r="C910" s="1">
        <v>36930</v>
      </c>
      <c r="D910" t="s">
        <v>12009</v>
      </c>
      <c r="E910" t="str">
        <f t="shared" si="43"/>
        <v>서울특별시</v>
      </c>
      <c r="F910" t="str">
        <f t="shared" si="44"/>
        <v xml:space="preserve">강동구 </v>
      </c>
      <c r="G910" t="str">
        <f t="shared" si="45"/>
        <v>천호동</v>
      </c>
      <c r="H910" t="s">
        <v>12010</v>
      </c>
      <c r="I910">
        <v>5328</v>
      </c>
    </row>
    <row r="911" spans="1:9" x14ac:dyDescent="0.4">
      <c r="A911">
        <v>3240000</v>
      </c>
      <c r="B911" t="s">
        <v>11882</v>
      </c>
      <c r="C911" s="1">
        <v>30790</v>
      </c>
      <c r="D911" t="s">
        <v>11883</v>
      </c>
      <c r="E911" t="str">
        <f t="shared" si="43"/>
        <v>서울특별시</v>
      </c>
      <c r="F911" t="str">
        <f t="shared" si="44"/>
        <v xml:space="preserve">강동구 </v>
      </c>
      <c r="G911" t="str">
        <f t="shared" si="45"/>
        <v>천호동</v>
      </c>
    </row>
    <row r="912" spans="1:9" x14ac:dyDescent="0.4">
      <c r="A912">
        <v>3240000</v>
      </c>
      <c r="B912" t="s">
        <v>12072</v>
      </c>
      <c r="C912" s="1">
        <v>30404</v>
      </c>
      <c r="D912" t="s">
        <v>12073</v>
      </c>
      <c r="E912" t="str">
        <f t="shared" si="43"/>
        <v>서울특별시</v>
      </c>
      <c r="F912" t="str">
        <f t="shared" si="44"/>
        <v xml:space="preserve">강동구 </v>
      </c>
      <c r="G912" t="str">
        <f t="shared" si="45"/>
        <v>천호동</v>
      </c>
    </row>
    <row r="913" spans="1:9" x14ac:dyDescent="0.4">
      <c r="A913">
        <v>3240000</v>
      </c>
      <c r="B913" t="s">
        <v>12098</v>
      </c>
      <c r="C913" s="1">
        <v>36824</v>
      </c>
      <c r="D913" t="s">
        <v>12073</v>
      </c>
      <c r="E913" t="str">
        <f t="shared" si="43"/>
        <v>서울특별시</v>
      </c>
      <c r="F913" t="str">
        <f t="shared" si="44"/>
        <v xml:space="preserve">강동구 </v>
      </c>
      <c r="G913" t="str">
        <f t="shared" si="45"/>
        <v>천호동</v>
      </c>
    </row>
    <row r="914" spans="1:9" x14ac:dyDescent="0.4">
      <c r="A914">
        <v>3240000</v>
      </c>
      <c r="B914" t="s">
        <v>12136</v>
      </c>
      <c r="C914" s="1">
        <v>32254</v>
      </c>
      <c r="D914" t="s">
        <v>12137</v>
      </c>
      <c r="E914" t="str">
        <f t="shared" si="43"/>
        <v>서울특별시</v>
      </c>
      <c r="F914" t="str">
        <f t="shared" si="44"/>
        <v xml:space="preserve">강동구 </v>
      </c>
      <c r="G914" t="str">
        <f t="shared" si="45"/>
        <v>천호동</v>
      </c>
    </row>
    <row r="915" spans="1:9" x14ac:dyDescent="0.4">
      <c r="A915">
        <v>3240000</v>
      </c>
      <c r="B915" t="s">
        <v>11758</v>
      </c>
      <c r="C915" s="1">
        <v>37320</v>
      </c>
      <c r="D915" t="s">
        <v>11759</v>
      </c>
      <c r="E915" t="str">
        <f t="shared" si="43"/>
        <v>서울특별시</v>
      </c>
      <c r="F915" t="str">
        <f t="shared" si="44"/>
        <v xml:space="preserve">강동구 </v>
      </c>
      <c r="G915" t="str">
        <f t="shared" si="45"/>
        <v>천호동</v>
      </c>
      <c r="H915" t="s">
        <v>11760</v>
      </c>
      <c r="I915">
        <v>5328</v>
      </c>
    </row>
    <row r="916" spans="1:9" x14ac:dyDescent="0.4">
      <c r="A916">
        <v>3240000</v>
      </c>
      <c r="B916" t="s">
        <v>12067</v>
      </c>
      <c r="C916" s="1">
        <v>39546</v>
      </c>
      <c r="D916" t="s">
        <v>12068</v>
      </c>
      <c r="E916" t="str">
        <f t="shared" si="43"/>
        <v>서울특별시</v>
      </c>
      <c r="F916" t="str">
        <f t="shared" si="44"/>
        <v xml:space="preserve">강동구 </v>
      </c>
      <c r="G916" t="str">
        <f t="shared" si="45"/>
        <v>천호동</v>
      </c>
    </row>
    <row r="917" spans="1:9" x14ac:dyDescent="0.4">
      <c r="A917">
        <v>3240000</v>
      </c>
      <c r="B917" t="s">
        <v>12114</v>
      </c>
      <c r="C917" s="1">
        <v>31391</v>
      </c>
      <c r="D917" t="s">
        <v>12115</v>
      </c>
      <c r="E917" t="str">
        <f t="shared" si="43"/>
        <v>서울특별시</v>
      </c>
      <c r="F917" t="str">
        <f t="shared" si="44"/>
        <v xml:space="preserve">강동구 </v>
      </c>
      <c r="G917" t="str">
        <f t="shared" si="45"/>
        <v>천호동</v>
      </c>
      <c r="H917" t="s">
        <v>12116</v>
      </c>
      <c r="I917">
        <v>5328</v>
      </c>
    </row>
    <row r="918" spans="1:9" x14ac:dyDescent="0.4">
      <c r="A918">
        <v>3240000</v>
      </c>
      <c r="B918" t="s">
        <v>11888</v>
      </c>
      <c r="C918" s="1">
        <v>30838</v>
      </c>
      <c r="D918" t="s">
        <v>11889</v>
      </c>
      <c r="E918" t="str">
        <f t="shared" si="43"/>
        <v>서울특별시</v>
      </c>
      <c r="F918" t="str">
        <f t="shared" si="44"/>
        <v xml:space="preserve">강동구 </v>
      </c>
      <c r="G918" t="str">
        <f t="shared" si="45"/>
        <v>천호동</v>
      </c>
    </row>
    <row r="919" spans="1:9" x14ac:dyDescent="0.4">
      <c r="A919">
        <v>3240000</v>
      </c>
      <c r="B919" t="s">
        <v>11953</v>
      </c>
      <c r="C919" s="1">
        <v>29472</v>
      </c>
      <c r="D919" t="s">
        <v>11954</v>
      </c>
      <c r="E919" t="str">
        <f t="shared" si="43"/>
        <v>서울특별시</v>
      </c>
      <c r="F919" t="str">
        <f t="shared" si="44"/>
        <v xml:space="preserve">강동구 </v>
      </c>
      <c r="G919" t="str">
        <f t="shared" si="45"/>
        <v>천호동</v>
      </c>
    </row>
    <row r="920" spans="1:9" x14ac:dyDescent="0.4">
      <c r="A920">
        <v>3240000</v>
      </c>
      <c r="B920" t="s">
        <v>12106</v>
      </c>
      <c r="C920" s="1">
        <v>36512</v>
      </c>
      <c r="D920" t="s">
        <v>12107</v>
      </c>
      <c r="E920" t="str">
        <f t="shared" si="43"/>
        <v>서울특별시</v>
      </c>
      <c r="F920" t="str">
        <f t="shared" si="44"/>
        <v xml:space="preserve">강동구 </v>
      </c>
      <c r="G920" t="str">
        <f t="shared" si="45"/>
        <v>천호동</v>
      </c>
    </row>
    <row r="921" spans="1:9" x14ac:dyDescent="0.4">
      <c r="A921">
        <v>3240000</v>
      </c>
      <c r="B921" t="s">
        <v>11940</v>
      </c>
      <c r="C921" s="1">
        <v>38761</v>
      </c>
      <c r="D921" t="s">
        <v>11941</v>
      </c>
      <c r="E921" t="str">
        <f t="shared" si="43"/>
        <v>서울특별시</v>
      </c>
      <c r="F921" t="str">
        <f t="shared" si="44"/>
        <v xml:space="preserve">강동구 </v>
      </c>
      <c r="G921" t="str">
        <f t="shared" si="45"/>
        <v>천호동</v>
      </c>
    </row>
    <row r="922" spans="1:9" x14ac:dyDescent="0.4">
      <c r="A922">
        <v>3240000</v>
      </c>
      <c r="B922" t="s">
        <v>12075</v>
      </c>
      <c r="C922" s="1">
        <v>36309</v>
      </c>
      <c r="D922" t="s">
        <v>12076</v>
      </c>
      <c r="E922" t="str">
        <f t="shared" si="43"/>
        <v>서울특별시</v>
      </c>
      <c r="F922" t="str">
        <f t="shared" si="44"/>
        <v xml:space="preserve">강동구 </v>
      </c>
      <c r="G922" t="str">
        <f t="shared" si="45"/>
        <v>천호동</v>
      </c>
    </row>
    <row r="923" spans="1:9" x14ac:dyDescent="0.4">
      <c r="A923">
        <v>3240000</v>
      </c>
      <c r="B923" t="s">
        <v>12077</v>
      </c>
      <c r="C923" s="1">
        <v>30567</v>
      </c>
      <c r="D923" t="s">
        <v>12076</v>
      </c>
      <c r="E923" t="str">
        <f t="shared" si="43"/>
        <v>서울특별시</v>
      </c>
      <c r="F923" t="str">
        <f t="shared" si="44"/>
        <v xml:space="preserve">강동구 </v>
      </c>
      <c r="G923" t="str">
        <f t="shared" si="45"/>
        <v>천호동</v>
      </c>
    </row>
    <row r="924" spans="1:9" x14ac:dyDescent="0.4">
      <c r="A924">
        <v>3240000</v>
      </c>
      <c r="B924" t="s">
        <v>12084</v>
      </c>
      <c r="C924" s="1">
        <v>36763</v>
      </c>
      <c r="D924" t="s">
        <v>12076</v>
      </c>
      <c r="E924" t="str">
        <f t="shared" si="43"/>
        <v>서울특별시</v>
      </c>
      <c r="F924" t="str">
        <f t="shared" si="44"/>
        <v xml:space="preserve">강동구 </v>
      </c>
      <c r="G924" t="str">
        <f t="shared" si="45"/>
        <v>천호동</v>
      </c>
    </row>
    <row r="925" spans="1:9" x14ac:dyDescent="0.4">
      <c r="A925">
        <v>3240000</v>
      </c>
      <c r="B925" t="s">
        <v>12120</v>
      </c>
      <c r="C925" s="1">
        <v>31516</v>
      </c>
      <c r="D925" t="s">
        <v>12076</v>
      </c>
      <c r="E925" t="str">
        <f t="shared" si="43"/>
        <v>서울특별시</v>
      </c>
      <c r="F925" t="str">
        <f t="shared" si="44"/>
        <v xml:space="preserve">강동구 </v>
      </c>
      <c r="G925" t="str">
        <f t="shared" si="45"/>
        <v>천호동</v>
      </c>
    </row>
    <row r="926" spans="1:9" x14ac:dyDescent="0.4">
      <c r="A926">
        <v>3240000</v>
      </c>
      <c r="B926" t="s">
        <v>11962</v>
      </c>
      <c r="C926" s="1">
        <v>31128</v>
      </c>
      <c r="D926" t="s">
        <v>11963</v>
      </c>
      <c r="E926" t="str">
        <f t="shared" si="43"/>
        <v>서울특별시</v>
      </c>
      <c r="F926" t="str">
        <f t="shared" si="44"/>
        <v xml:space="preserve">강동구 </v>
      </c>
      <c r="G926" t="str">
        <f t="shared" si="45"/>
        <v>천호동</v>
      </c>
    </row>
    <row r="927" spans="1:9" x14ac:dyDescent="0.4">
      <c r="A927">
        <v>3240000</v>
      </c>
      <c r="B927" t="s">
        <v>12121</v>
      </c>
      <c r="C927" s="1">
        <v>31567</v>
      </c>
      <c r="D927" t="s">
        <v>12122</v>
      </c>
      <c r="E927" t="str">
        <f t="shared" si="43"/>
        <v>서울특별시</v>
      </c>
      <c r="F927" t="str">
        <f t="shared" si="44"/>
        <v xml:space="preserve">강동구 </v>
      </c>
      <c r="G927" t="str">
        <f t="shared" si="45"/>
        <v>천호동</v>
      </c>
    </row>
    <row r="928" spans="1:9" x14ac:dyDescent="0.4">
      <c r="A928">
        <v>3240000</v>
      </c>
      <c r="B928" t="s">
        <v>11841</v>
      </c>
      <c r="C928" s="1">
        <v>36689</v>
      </c>
      <c r="D928" t="s">
        <v>11842</v>
      </c>
      <c r="E928" t="str">
        <f t="shared" si="43"/>
        <v>서울특별시</v>
      </c>
      <c r="F928" t="str">
        <f t="shared" si="44"/>
        <v xml:space="preserve">강동구 </v>
      </c>
      <c r="G928" t="str">
        <f t="shared" si="45"/>
        <v>천호동</v>
      </c>
    </row>
    <row r="929" spans="1:9" x14ac:dyDescent="0.4">
      <c r="A929">
        <v>3240000</v>
      </c>
      <c r="B929" t="s">
        <v>12138</v>
      </c>
      <c r="C929" s="1">
        <v>32338</v>
      </c>
      <c r="D929" t="s">
        <v>11842</v>
      </c>
      <c r="E929" t="str">
        <f t="shared" si="43"/>
        <v>서울특별시</v>
      </c>
      <c r="F929" t="str">
        <f t="shared" si="44"/>
        <v xml:space="preserve">강동구 </v>
      </c>
      <c r="G929" t="str">
        <f t="shared" si="45"/>
        <v>천호동</v>
      </c>
    </row>
    <row r="930" spans="1:9" x14ac:dyDescent="0.4">
      <c r="A930">
        <v>3240000</v>
      </c>
      <c r="B930" t="s">
        <v>12044</v>
      </c>
      <c r="C930" s="1">
        <v>30391</v>
      </c>
      <c r="D930" t="s">
        <v>12045</v>
      </c>
      <c r="E930" t="str">
        <f t="shared" si="43"/>
        <v>서울특별시</v>
      </c>
      <c r="F930" t="str">
        <f t="shared" si="44"/>
        <v xml:space="preserve">강동구 </v>
      </c>
      <c r="G930" t="str">
        <f t="shared" si="45"/>
        <v>천호동</v>
      </c>
    </row>
    <row r="931" spans="1:9" x14ac:dyDescent="0.4">
      <c r="A931">
        <v>3240000</v>
      </c>
      <c r="B931" t="s">
        <v>11672</v>
      </c>
      <c r="C931" s="1">
        <v>40058</v>
      </c>
      <c r="D931" t="s">
        <v>11673</v>
      </c>
      <c r="E931" t="str">
        <f t="shared" si="43"/>
        <v>서울특별시</v>
      </c>
      <c r="F931" t="str">
        <f t="shared" si="44"/>
        <v xml:space="preserve">강동구 </v>
      </c>
      <c r="G931" t="str">
        <f t="shared" si="45"/>
        <v>천호동</v>
      </c>
      <c r="H931" t="s">
        <v>11674</v>
      </c>
      <c r="I931">
        <v>5329</v>
      </c>
    </row>
    <row r="932" spans="1:9" x14ac:dyDescent="0.4">
      <c r="A932">
        <v>3240000</v>
      </c>
      <c r="B932" t="s">
        <v>12038</v>
      </c>
      <c r="C932" s="1">
        <v>31388</v>
      </c>
      <c r="D932" t="s">
        <v>12039</v>
      </c>
      <c r="E932" t="str">
        <f t="shared" si="43"/>
        <v>서울특별시</v>
      </c>
      <c r="F932" t="str">
        <f t="shared" si="44"/>
        <v xml:space="preserve">강동구 </v>
      </c>
      <c r="G932" t="str">
        <f t="shared" si="45"/>
        <v>천호동</v>
      </c>
    </row>
    <row r="933" spans="1:9" x14ac:dyDescent="0.4">
      <c r="A933">
        <v>3240000</v>
      </c>
      <c r="B933" t="s">
        <v>12124</v>
      </c>
      <c r="C933" s="1">
        <v>31682</v>
      </c>
      <c r="D933" t="s">
        <v>12125</v>
      </c>
      <c r="E933" t="str">
        <f t="shared" si="43"/>
        <v>서울특별시</v>
      </c>
      <c r="F933" t="str">
        <f t="shared" si="44"/>
        <v xml:space="preserve">강동구 </v>
      </c>
      <c r="G933" t="str">
        <f t="shared" si="45"/>
        <v>천호동</v>
      </c>
    </row>
    <row r="934" spans="1:9" x14ac:dyDescent="0.4">
      <c r="A934">
        <v>3240000</v>
      </c>
      <c r="B934" t="s">
        <v>11803</v>
      </c>
      <c r="C934" s="1">
        <v>36314</v>
      </c>
      <c r="D934" t="s">
        <v>11804</v>
      </c>
      <c r="E934" t="str">
        <f t="shared" si="43"/>
        <v>서울특별시</v>
      </c>
      <c r="F934" t="str">
        <f t="shared" si="44"/>
        <v xml:space="preserve">강동구 </v>
      </c>
      <c r="G934" t="str">
        <f t="shared" si="45"/>
        <v>천호동</v>
      </c>
      <c r="H934" t="s">
        <v>11805</v>
      </c>
      <c r="I934">
        <v>5329</v>
      </c>
    </row>
    <row r="935" spans="1:9" x14ac:dyDescent="0.4">
      <c r="A935">
        <v>3240000</v>
      </c>
      <c r="B935" t="s">
        <v>11915</v>
      </c>
      <c r="C935" s="1">
        <v>31040</v>
      </c>
      <c r="D935" t="s">
        <v>11916</v>
      </c>
      <c r="E935" t="str">
        <f t="shared" si="43"/>
        <v>서울특별시</v>
      </c>
      <c r="F935" t="str">
        <f t="shared" si="44"/>
        <v xml:space="preserve">강동구 </v>
      </c>
      <c r="G935" t="str">
        <f t="shared" si="45"/>
        <v>천호동</v>
      </c>
    </row>
    <row r="936" spans="1:9" x14ac:dyDescent="0.4">
      <c r="A936">
        <v>3240000</v>
      </c>
      <c r="B936" t="s">
        <v>12126</v>
      </c>
      <c r="C936" s="1">
        <v>31700</v>
      </c>
      <c r="D936" t="s">
        <v>11916</v>
      </c>
      <c r="E936" t="str">
        <f t="shared" si="43"/>
        <v>서울특별시</v>
      </c>
      <c r="F936" t="str">
        <f t="shared" si="44"/>
        <v xml:space="preserve">강동구 </v>
      </c>
      <c r="G936" t="str">
        <f t="shared" si="45"/>
        <v>천호동</v>
      </c>
    </row>
    <row r="937" spans="1:9" x14ac:dyDescent="0.4">
      <c r="A937">
        <v>3240000</v>
      </c>
      <c r="B937" t="s">
        <v>11629</v>
      </c>
      <c r="C937" s="1">
        <v>36731</v>
      </c>
      <c r="D937" t="s">
        <v>11630</v>
      </c>
      <c r="E937" t="str">
        <f t="shared" si="43"/>
        <v>서울특별시</v>
      </c>
      <c r="F937" t="str">
        <f t="shared" si="44"/>
        <v xml:space="preserve">강동구 </v>
      </c>
      <c r="G937" t="str">
        <f t="shared" si="45"/>
        <v>천호동</v>
      </c>
      <c r="H937" t="s">
        <v>11631</v>
      </c>
      <c r="I937">
        <v>5328</v>
      </c>
    </row>
    <row r="938" spans="1:9" x14ac:dyDescent="0.4">
      <c r="A938">
        <v>3240000</v>
      </c>
      <c r="B938" t="s">
        <v>11739</v>
      </c>
      <c r="C938" s="1">
        <v>37154</v>
      </c>
      <c r="D938" t="s">
        <v>11740</v>
      </c>
      <c r="E938" t="str">
        <f t="shared" si="43"/>
        <v>서울특별시</v>
      </c>
      <c r="F938" t="str">
        <f t="shared" si="44"/>
        <v xml:space="preserve">강동구 </v>
      </c>
      <c r="G938" t="str">
        <f t="shared" si="45"/>
        <v>천호동</v>
      </c>
      <c r="H938" t="s">
        <v>11741</v>
      </c>
      <c r="I938">
        <v>5329</v>
      </c>
    </row>
    <row r="939" spans="1:9" x14ac:dyDescent="0.4">
      <c r="A939">
        <v>3240000</v>
      </c>
      <c r="B939" t="s">
        <v>11967</v>
      </c>
      <c r="C939" s="1">
        <v>40961</v>
      </c>
      <c r="D939" t="s">
        <v>11968</v>
      </c>
      <c r="E939" t="str">
        <f t="shared" si="43"/>
        <v>서울특별시</v>
      </c>
      <c r="F939" t="str">
        <f t="shared" si="44"/>
        <v xml:space="preserve">강동구 </v>
      </c>
      <c r="G939" t="str">
        <f t="shared" si="45"/>
        <v>천호동</v>
      </c>
      <c r="H939" t="s">
        <v>11969</v>
      </c>
      <c r="I939">
        <v>5329</v>
      </c>
    </row>
    <row r="940" spans="1:9" x14ac:dyDescent="0.4">
      <c r="A940">
        <v>3240000</v>
      </c>
      <c r="B940" t="s">
        <v>11788</v>
      </c>
      <c r="C940" s="1">
        <v>39594</v>
      </c>
      <c r="D940" t="s">
        <v>11789</v>
      </c>
      <c r="E940" t="str">
        <f t="shared" si="43"/>
        <v>서울특별시</v>
      </c>
      <c r="F940" t="str">
        <f t="shared" si="44"/>
        <v xml:space="preserve">강동구 </v>
      </c>
      <c r="G940" t="str">
        <f t="shared" si="45"/>
        <v>천호동</v>
      </c>
      <c r="H940" t="s">
        <v>11790</v>
      </c>
      <c r="I940">
        <v>5329</v>
      </c>
    </row>
    <row r="941" spans="1:9" x14ac:dyDescent="0.4">
      <c r="A941">
        <v>3240000</v>
      </c>
      <c r="B941" t="s">
        <v>12060</v>
      </c>
      <c r="C941" s="1">
        <v>40315</v>
      </c>
      <c r="D941" t="s">
        <v>12061</v>
      </c>
      <c r="E941" t="str">
        <f t="shared" si="43"/>
        <v>서울특별시</v>
      </c>
      <c r="F941" t="str">
        <f t="shared" si="44"/>
        <v xml:space="preserve">강동구 </v>
      </c>
      <c r="G941" t="str">
        <f t="shared" si="45"/>
        <v>천호동</v>
      </c>
      <c r="H941" t="s">
        <v>12062</v>
      </c>
      <c r="I941">
        <v>5329</v>
      </c>
    </row>
    <row r="942" spans="1:9" x14ac:dyDescent="0.4">
      <c r="A942">
        <v>3240000</v>
      </c>
      <c r="B942" t="s">
        <v>11956</v>
      </c>
      <c r="C942" s="1">
        <v>31059</v>
      </c>
      <c r="D942" t="s">
        <v>11957</v>
      </c>
      <c r="E942" t="str">
        <f t="shared" si="43"/>
        <v>서울특별시</v>
      </c>
      <c r="F942" t="str">
        <f t="shared" si="44"/>
        <v xml:space="preserve">강동구 </v>
      </c>
      <c r="G942" t="str">
        <f t="shared" si="45"/>
        <v>천호동</v>
      </c>
    </row>
    <row r="943" spans="1:9" x14ac:dyDescent="0.4">
      <c r="A943">
        <v>3240000</v>
      </c>
      <c r="B943" t="s">
        <v>11978</v>
      </c>
      <c r="C943" s="1">
        <v>28971</v>
      </c>
      <c r="D943" t="s">
        <v>11957</v>
      </c>
      <c r="E943" t="str">
        <f t="shared" si="43"/>
        <v>서울특별시</v>
      </c>
      <c r="F943" t="str">
        <f t="shared" si="44"/>
        <v xml:space="preserve">강동구 </v>
      </c>
      <c r="G943" t="str">
        <f t="shared" si="45"/>
        <v>천호동</v>
      </c>
    </row>
    <row r="944" spans="1:9" x14ac:dyDescent="0.4">
      <c r="A944">
        <v>3240000</v>
      </c>
      <c r="B944" t="s">
        <v>11999</v>
      </c>
      <c r="C944" s="1">
        <v>37028</v>
      </c>
      <c r="D944" t="s">
        <v>12000</v>
      </c>
      <c r="E944" t="str">
        <f t="shared" si="43"/>
        <v>서울특별시</v>
      </c>
      <c r="F944" t="str">
        <f t="shared" si="44"/>
        <v xml:space="preserve">강동구 </v>
      </c>
      <c r="G944" t="str">
        <f t="shared" si="45"/>
        <v>천호동</v>
      </c>
      <c r="H944" t="s">
        <v>12001</v>
      </c>
      <c r="I944">
        <v>5334</v>
      </c>
    </row>
    <row r="945" spans="1:9" x14ac:dyDescent="0.4">
      <c r="A945">
        <v>3240000</v>
      </c>
      <c r="B945" t="s">
        <v>11972</v>
      </c>
      <c r="C945" s="1">
        <v>26595</v>
      </c>
      <c r="D945" t="s">
        <v>11973</v>
      </c>
      <c r="E945" t="str">
        <f t="shared" si="43"/>
        <v>서울특별시</v>
      </c>
      <c r="F945" t="str">
        <f t="shared" si="44"/>
        <v xml:space="preserve">강동구 </v>
      </c>
      <c r="G945" t="str">
        <f t="shared" si="45"/>
        <v>천호동</v>
      </c>
    </row>
    <row r="946" spans="1:9" x14ac:dyDescent="0.4">
      <c r="A946">
        <v>3240000</v>
      </c>
      <c r="B946" t="s">
        <v>135</v>
      </c>
      <c r="C946" s="1">
        <v>38866</v>
      </c>
      <c r="D946" t="s">
        <v>136</v>
      </c>
      <c r="E946" t="str">
        <f t="shared" si="43"/>
        <v>서울특별시</v>
      </c>
      <c r="F946" t="str">
        <f t="shared" si="44"/>
        <v xml:space="preserve">강동구 </v>
      </c>
      <c r="G946" t="str">
        <f t="shared" si="45"/>
        <v>천호동</v>
      </c>
      <c r="H946" t="s">
        <v>137</v>
      </c>
      <c r="I946">
        <v>5334</v>
      </c>
    </row>
    <row r="947" spans="1:9" x14ac:dyDescent="0.4">
      <c r="A947">
        <v>3240000</v>
      </c>
      <c r="B947" t="s">
        <v>11660</v>
      </c>
      <c r="C947" s="1">
        <v>31371</v>
      </c>
      <c r="D947" t="s">
        <v>11661</v>
      </c>
      <c r="E947" t="str">
        <f t="shared" si="43"/>
        <v>서울특별시</v>
      </c>
      <c r="F947" t="str">
        <f t="shared" si="44"/>
        <v xml:space="preserve">강동구 </v>
      </c>
      <c r="G947" t="str">
        <f t="shared" si="45"/>
        <v>천호동</v>
      </c>
      <c r="H947" t="s">
        <v>11662</v>
      </c>
      <c r="I947">
        <v>5334</v>
      </c>
    </row>
    <row r="948" spans="1:9" x14ac:dyDescent="0.4">
      <c r="A948">
        <v>3240000</v>
      </c>
      <c r="B948" t="s">
        <v>11975</v>
      </c>
      <c r="C948" s="1">
        <v>28755</v>
      </c>
      <c r="D948" t="s">
        <v>11976</v>
      </c>
      <c r="E948" t="str">
        <f t="shared" si="43"/>
        <v>서울특별시</v>
      </c>
      <c r="F948" t="str">
        <f t="shared" si="44"/>
        <v xml:space="preserve">강동구 </v>
      </c>
      <c r="G948" t="str">
        <f t="shared" si="45"/>
        <v>천호동</v>
      </c>
      <c r="H948" t="s">
        <v>11977</v>
      </c>
      <c r="I948">
        <v>5334</v>
      </c>
    </row>
    <row r="949" spans="1:9" x14ac:dyDescent="0.4">
      <c r="A949">
        <v>3080000</v>
      </c>
      <c r="B949" t="s">
        <v>4288</v>
      </c>
      <c r="C949" s="1">
        <v>34325</v>
      </c>
      <c r="D949" t="s">
        <v>4289</v>
      </c>
      <c r="E949" t="str">
        <f t="shared" si="43"/>
        <v>서울특별시</v>
      </c>
      <c r="F949" t="str">
        <f t="shared" si="44"/>
        <v xml:space="preserve">강북구 </v>
      </c>
      <c r="G949" t="str">
        <f t="shared" si="45"/>
        <v>미아동</v>
      </c>
      <c r="H949" t="s">
        <v>4290</v>
      </c>
      <c r="I949">
        <v>1128</v>
      </c>
    </row>
    <row r="950" spans="1:9" x14ac:dyDescent="0.4">
      <c r="A950">
        <v>3080000</v>
      </c>
      <c r="B950" t="s">
        <v>4007</v>
      </c>
      <c r="C950" s="1">
        <v>30893</v>
      </c>
      <c r="D950" t="s">
        <v>4008</v>
      </c>
      <c r="E950" t="str">
        <f t="shared" si="43"/>
        <v>서울특별시</v>
      </c>
      <c r="F950" t="str">
        <f t="shared" si="44"/>
        <v xml:space="preserve">강북구 </v>
      </c>
      <c r="G950" t="str">
        <f t="shared" si="45"/>
        <v>미아동</v>
      </c>
      <c r="H950" t="s">
        <v>4009</v>
      </c>
      <c r="I950">
        <v>1128</v>
      </c>
    </row>
    <row r="951" spans="1:9" x14ac:dyDescent="0.4">
      <c r="A951">
        <v>3080000</v>
      </c>
      <c r="B951" t="s">
        <v>4131</v>
      </c>
      <c r="C951" s="1">
        <v>40281</v>
      </c>
      <c r="D951" t="s">
        <v>4132</v>
      </c>
      <c r="E951" t="str">
        <f t="shared" si="43"/>
        <v>서울특별시</v>
      </c>
      <c r="F951" t="str">
        <f t="shared" si="44"/>
        <v xml:space="preserve">강북구 </v>
      </c>
      <c r="G951" t="str">
        <f t="shared" si="45"/>
        <v>미아동</v>
      </c>
      <c r="H951" t="s">
        <v>4133</v>
      </c>
      <c r="I951">
        <v>1128</v>
      </c>
    </row>
    <row r="952" spans="1:9" x14ac:dyDescent="0.4">
      <c r="A952">
        <v>3080000</v>
      </c>
      <c r="B952" t="s">
        <v>4207</v>
      </c>
      <c r="C952" s="1">
        <v>37214</v>
      </c>
      <c r="D952" t="s">
        <v>4208</v>
      </c>
      <c r="E952" t="str">
        <f t="shared" si="43"/>
        <v>서울특별시</v>
      </c>
      <c r="F952" t="str">
        <f t="shared" si="44"/>
        <v xml:space="preserve">강북구 </v>
      </c>
      <c r="G952" t="str">
        <f t="shared" si="45"/>
        <v>미아동</v>
      </c>
    </row>
    <row r="953" spans="1:9" x14ac:dyDescent="0.4">
      <c r="A953">
        <v>3080000</v>
      </c>
      <c r="B953" t="s">
        <v>4108</v>
      </c>
      <c r="C953" s="1">
        <v>37244</v>
      </c>
      <c r="D953" t="s">
        <v>4109</v>
      </c>
      <c r="E953" t="str">
        <f t="shared" si="43"/>
        <v>서울특별시</v>
      </c>
      <c r="F953" t="str">
        <f t="shared" si="44"/>
        <v xml:space="preserve">강북구 </v>
      </c>
      <c r="G953" t="str">
        <f t="shared" si="45"/>
        <v>미아동</v>
      </c>
      <c r="H953" t="s">
        <v>4110</v>
      </c>
      <c r="I953">
        <v>1128</v>
      </c>
    </row>
    <row r="954" spans="1:9" x14ac:dyDescent="0.4">
      <c r="A954">
        <v>3080000</v>
      </c>
      <c r="B954" t="s">
        <v>4291</v>
      </c>
      <c r="C954" s="1">
        <v>30991</v>
      </c>
      <c r="D954" t="s">
        <v>4292</v>
      </c>
      <c r="E954" t="str">
        <f t="shared" si="43"/>
        <v>서울특별시</v>
      </c>
      <c r="F954" t="str">
        <f t="shared" si="44"/>
        <v xml:space="preserve">강북구 </v>
      </c>
      <c r="G954" t="str">
        <f t="shared" si="45"/>
        <v>미아동</v>
      </c>
    </row>
    <row r="955" spans="1:9" x14ac:dyDescent="0.4">
      <c r="A955">
        <v>3080000</v>
      </c>
      <c r="B955" t="s">
        <v>4232</v>
      </c>
      <c r="C955" s="1">
        <v>37180</v>
      </c>
      <c r="D955" t="s">
        <v>4233</v>
      </c>
      <c r="E955" t="str">
        <f t="shared" si="43"/>
        <v>서울특별시</v>
      </c>
      <c r="F955" t="str">
        <f t="shared" si="44"/>
        <v xml:space="preserve">강북구 </v>
      </c>
      <c r="G955" t="str">
        <f t="shared" si="45"/>
        <v>미아동</v>
      </c>
    </row>
    <row r="956" spans="1:9" x14ac:dyDescent="0.4">
      <c r="A956">
        <v>3080000</v>
      </c>
      <c r="B956" t="s">
        <v>4234</v>
      </c>
      <c r="C956" s="1">
        <v>37180</v>
      </c>
      <c r="D956" t="s">
        <v>4233</v>
      </c>
      <c r="E956" t="str">
        <f t="shared" si="43"/>
        <v>서울특별시</v>
      </c>
      <c r="F956" t="str">
        <f t="shared" si="44"/>
        <v xml:space="preserve">강북구 </v>
      </c>
      <c r="G956" t="str">
        <f t="shared" si="45"/>
        <v>미아동</v>
      </c>
      <c r="H956" t="s">
        <v>4235</v>
      </c>
      <c r="I956">
        <v>1128</v>
      </c>
    </row>
    <row r="957" spans="1:9" x14ac:dyDescent="0.4">
      <c r="A957">
        <v>3080000</v>
      </c>
      <c r="B957" t="s">
        <v>4270</v>
      </c>
      <c r="C957" s="1">
        <v>38456</v>
      </c>
      <c r="D957" t="s">
        <v>4233</v>
      </c>
      <c r="E957" t="str">
        <f t="shared" si="43"/>
        <v>서울특별시</v>
      </c>
      <c r="F957" t="str">
        <f t="shared" si="44"/>
        <v xml:space="preserve">강북구 </v>
      </c>
      <c r="G957" t="str">
        <f t="shared" si="45"/>
        <v>미아동</v>
      </c>
    </row>
    <row r="958" spans="1:9" x14ac:dyDescent="0.4">
      <c r="A958">
        <v>3080000</v>
      </c>
      <c r="B958" t="s">
        <v>4271</v>
      </c>
      <c r="C958" s="1">
        <v>38512</v>
      </c>
      <c r="D958" t="s">
        <v>4272</v>
      </c>
      <c r="E958" t="str">
        <f t="shared" si="43"/>
        <v>서울특별시</v>
      </c>
      <c r="F958" t="str">
        <f t="shared" si="44"/>
        <v xml:space="preserve">강북구 </v>
      </c>
      <c r="G958" t="str">
        <f t="shared" si="45"/>
        <v>미아동</v>
      </c>
      <c r="H958" t="s">
        <v>4273</v>
      </c>
      <c r="I958">
        <v>1128</v>
      </c>
    </row>
    <row r="959" spans="1:9" x14ac:dyDescent="0.4">
      <c r="A959">
        <v>3080000</v>
      </c>
      <c r="B959" t="s">
        <v>4245</v>
      </c>
      <c r="C959" s="1">
        <v>37197</v>
      </c>
      <c r="D959" t="s">
        <v>4246</v>
      </c>
      <c r="E959" t="str">
        <f t="shared" si="43"/>
        <v>서울특별시</v>
      </c>
      <c r="F959" t="str">
        <f t="shared" si="44"/>
        <v xml:space="preserve">강북구 </v>
      </c>
      <c r="G959" t="str">
        <f t="shared" si="45"/>
        <v>미아동</v>
      </c>
    </row>
    <row r="960" spans="1:9" x14ac:dyDescent="0.4">
      <c r="A960">
        <v>3080000</v>
      </c>
      <c r="B960" t="s">
        <v>3944</v>
      </c>
      <c r="C960" s="1">
        <v>36878</v>
      </c>
      <c r="D960" t="s">
        <v>3945</v>
      </c>
      <c r="E960" t="str">
        <f t="shared" si="43"/>
        <v>서울특별시</v>
      </c>
      <c r="F960" t="str">
        <f t="shared" si="44"/>
        <v xml:space="preserve">강북구 </v>
      </c>
      <c r="G960" t="str">
        <f t="shared" si="45"/>
        <v>미아동</v>
      </c>
      <c r="H960" t="s">
        <v>3946</v>
      </c>
      <c r="I960">
        <v>1128</v>
      </c>
    </row>
    <row r="961" spans="1:9" x14ac:dyDescent="0.4">
      <c r="A961">
        <v>3080000</v>
      </c>
      <c r="B961" t="s">
        <v>4190</v>
      </c>
      <c r="C961" s="1">
        <v>36749</v>
      </c>
      <c r="D961" t="s">
        <v>4191</v>
      </c>
      <c r="E961" t="str">
        <f t="shared" si="43"/>
        <v>서울특별시</v>
      </c>
      <c r="F961" t="str">
        <f t="shared" si="44"/>
        <v xml:space="preserve">강북구 </v>
      </c>
      <c r="G961" t="str">
        <f t="shared" si="45"/>
        <v>미아동</v>
      </c>
      <c r="H961" t="s">
        <v>4192</v>
      </c>
    </row>
    <row r="962" spans="1:9" x14ac:dyDescent="0.4">
      <c r="A962">
        <v>3080000</v>
      </c>
      <c r="B962" t="s">
        <v>4193</v>
      </c>
      <c r="C962" s="1">
        <v>36749</v>
      </c>
      <c r="D962" t="s">
        <v>4194</v>
      </c>
      <c r="E962" t="str">
        <f t="shared" si="43"/>
        <v>서울특별시</v>
      </c>
      <c r="F962" t="str">
        <f t="shared" si="44"/>
        <v xml:space="preserve">강북구 </v>
      </c>
      <c r="G962" t="str">
        <f t="shared" si="45"/>
        <v>미아동</v>
      </c>
    </row>
    <row r="963" spans="1:9" x14ac:dyDescent="0.4">
      <c r="A963">
        <v>3080000</v>
      </c>
      <c r="B963" t="s">
        <v>4188</v>
      </c>
      <c r="C963" s="1">
        <v>36749</v>
      </c>
      <c r="D963" t="s">
        <v>4189</v>
      </c>
      <c r="E963" t="str">
        <f t="shared" ref="E963:E1026" si="46">LEFT(D963,5)</f>
        <v>서울특별시</v>
      </c>
      <c r="F963" t="str">
        <f t="shared" ref="F963:F1026" si="47">MID(D963,7,4)</f>
        <v xml:space="preserve">강북구 </v>
      </c>
      <c r="G963" t="str">
        <f t="shared" ref="G963:G1026" si="48">MID(SUBSTITUTE(D963," ",""),9,3)</f>
        <v>미아동</v>
      </c>
    </row>
    <row r="964" spans="1:9" x14ac:dyDescent="0.4">
      <c r="A964">
        <v>3080000</v>
      </c>
      <c r="B964" t="s">
        <v>4308</v>
      </c>
      <c r="C964" s="1">
        <v>28320</v>
      </c>
      <c r="D964" t="s">
        <v>4309</v>
      </c>
      <c r="E964" t="str">
        <f t="shared" si="46"/>
        <v>서울특별시</v>
      </c>
      <c r="F964" t="str">
        <f t="shared" si="47"/>
        <v xml:space="preserve">강북구 </v>
      </c>
      <c r="G964" t="str">
        <f t="shared" si="48"/>
        <v>미아동</v>
      </c>
    </row>
    <row r="965" spans="1:9" x14ac:dyDescent="0.4">
      <c r="A965">
        <v>3080000</v>
      </c>
      <c r="B965" t="s">
        <v>4228</v>
      </c>
      <c r="C965" s="1">
        <v>37091</v>
      </c>
      <c r="D965" t="s">
        <v>4229</v>
      </c>
      <c r="E965" t="str">
        <f t="shared" si="46"/>
        <v>서울특별시</v>
      </c>
      <c r="F965" t="str">
        <f t="shared" si="47"/>
        <v xml:space="preserve">강북구 </v>
      </c>
      <c r="G965" t="str">
        <f t="shared" si="48"/>
        <v>미아동</v>
      </c>
    </row>
    <row r="966" spans="1:9" x14ac:dyDescent="0.4">
      <c r="A966">
        <v>3080000</v>
      </c>
      <c r="B966" t="s">
        <v>4312</v>
      </c>
      <c r="C966" s="1">
        <v>28998</v>
      </c>
      <c r="D966" t="s">
        <v>4313</v>
      </c>
      <c r="E966" t="str">
        <f t="shared" si="46"/>
        <v>서울특별시</v>
      </c>
      <c r="F966" t="str">
        <f t="shared" si="47"/>
        <v xml:space="preserve">강북구 </v>
      </c>
      <c r="G966" t="str">
        <f t="shared" si="48"/>
        <v>미아동</v>
      </c>
    </row>
    <row r="967" spans="1:9" x14ac:dyDescent="0.4">
      <c r="A967">
        <v>3080000</v>
      </c>
      <c r="B967" t="s">
        <v>4306</v>
      </c>
      <c r="C967" s="1">
        <v>27997</v>
      </c>
      <c r="D967" t="s">
        <v>4307</v>
      </c>
      <c r="E967" t="str">
        <f t="shared" si="46"/>
        <v>서울특별시</v>
      </c>
      <c r="F967" t="str">
        <f t="shared" si="47"/>
        <v xml:space="preserve">강북구 </v>
      </c>
      <c r="G967" t="str">
        <f t="shared" si="48"/>
        <v>미아동</v>
      </c>
    </row>
    <row r="968" spans="1:9" x14ac:dyDescent="0.4">
      <c r="A968">
        <v>3080000</v>
      </c>
      <c r="B968" t="s">
        <v>4025</v>
      </c>
      <c r="C968" s="1">
        <v>37211</v>
      </c>
      <c r="D968" t="s">
        <v>4026</v>
      </c>
      <c r="E968" t="str">
        <f t="shared" si="46"/>
        <v>서울특별시</v>
      </c>
      <c r="F968" t="str">
        <f t="shared" si="47"/>
        <v xml:space="preserve">강북구 </v>
      </c>
      <c r="G968" t="str">
        <f t="shared" si="48"/>
        <v>미아동</v>
      </c>
      <c r="H968" t="s">
        <v>4027</v>
      </c>
      <c r="I968">
        <v>1128</v>
      </c>
    </row>
    <row r="969" spans="1:9" x14ac:dyDescent="0.4">
      <c r="A969">
        <v>3080000</v>
      </c>
      <c r="B969" t="s">
        <v>4275</v>
      </c>
      <c r="C969" s="1">
        <v>31972</v>
      </c>
      <c r="D969" t="s">
        <v>4276</v>
      </c>
      <c r="E969" t="str">
        <f t="shared" si="46"/>
        <v>서울특별시</v>
      </c>
      <c r="F969" t="str">
        <f t="shared" si="47"/>
        <v xml:space="preserve">강북구 </v>
      </c>
      <c r="G969" t="str">
        <f t="shared" si="48"/>
        <v>미아동</v>
      </c>
    </row>
    <row r="970" spans="1:9" x14ac:dyDescent="0.4">
      <c r="A970">
        <v>3080000</v>
      </c>
      <c r="B970" t="s">
        <v>4175</v>
      </c>
      <c r="C970" s="1">
        <v>42299</v>
      </c>
      <c r="D970" t="s">
        <v>4176</v>
      </c>
      <c r="E970" t="str">
        <f t="shared" si="46"/>
        <v>서울특별시</v>
      </c>
      <c r="F970" t="str">
        <f t="shared" si="47"/>
        <v xml:space="preserve">강북구 </v>
      </c>
      <c r="G970" t="str">
        <f t="shared" si="48"/>
        <v>미아동</v>
      </c>
      <c r="H970" t="s">
        <v>4052</v>
      </c>
      <c r="I970">
        <v>1128</v>
      </c>
    </row>
    <row r="971" spans="1:9" x14ac:dyDescent="0.4">
      <c r="A971">
        <v>3080000</v>
      </c>
      <c r="B971" t="s">
        <v>4179</v>
      </c>
      <c r="C971" s="1">
        <v>36494</v>
      </c>
      <c r="D971" t="s">
        <v>4180</v>
      </c>
      <c r="E971" t="str">
        <f t="shared" si="46"/>
        <v>서울특별시</v>
      </c>
      <c r="F971" t="str">
        <f t="shared" si="47"/>
        <v xml:space="preserve">강북구 </v>
      </c>
      <c r="G971" t="str">
        <f t="shared" si="48"/>
        <v>미아동</v>
      </c>
      <c r="H971" t="s">
        <v>4052</v>
      </c>
      <c r="I971">
        <v>1128</v>
      </c>
    </row>
    <row r="972" spans="1:9" x14ac:dyDescent="0.4">
      <c r="A972">
        <v>3080000</v>
      </c>
      <c r="B972" t="s">
        <v>4300</v>
      </c>
      <c r="C972" s="1">
        <v>31287</v>
      </c>
      <c r="D972" t="s">
        <v>4180</v>
      </c>
      <c r="E972" t="str">
        <f t="shared" si="46"/>
        <v>서울특별시</v>
      </c>
      <c r="F972" t="str">
        <f t="shared" si="47"/>
        <v xml:space="preserve">강북구 </v>
      </c>
      <c r="G972" t="str">
        <f t="shared" si="48"/>
        <v>미아동</v>
      </c>
    </row>
    <row r="973" spans="1:9" x14ac:dyDescent="0.4">
      <c r="A973">
        <v>3080000</v>
      </c>
      <c r="B973" t="s">
        <v>4310</v>
      </c>
      <c r="C973" s="1">
        <v>28355</v>
      </c>
      <c r="D973" t="s">
        <v>4180</v>
      </c>
      <c r="E973" t="str">
        <f t="shared" si="46"/>
        <v>서울특별시</v>
      </c>
      <c r="F973" t="str">
        <f t="shared" si="47"/>
        <v xml:space="preserve">강북구 </v>
      </c>
      <c r="G973" t="str">
        <f t="shared" si="48"/>
        <v>미아동</v>
      </c>
      <c r="H973" t="s">
        <v>4311</v>
      </c>
      <c r="I973">
        <v>1128</v>
      </c>
    </row>
    <row r="974" spans="1:9" x14ac:dyDescent="0.4">
      <c r="A974">
        <v>3080000</v>
      </c>
      <c r="B974" t="s">
        <v>4010</v>
      </c>
      <c r="C974" s="1">
        <v>37117</v>
      </c>
      <c r="D974" t="s">
        <v>4011</v>
      </c>
      <c r="E974" t="str">
        <f t="shared" si="46"/>
        <v>서울특별시</v>
      </c>
      <c r="F974" t="str">
        <f t="shared" si="47"/>
        <v xml:space="preserve">강북구 </v>
      </c>
      <c r="G974" t="str">
        <f t="shared" si="48"/>
        <v>미아동</v>
      </c>
      <c r="H974" t="s">
        <v>4012</v>
      </c>
      <c r="I974">
        <v>1128</v>
      </c>
    </row>
    <row r="975" spans="1:9" x14ac:dyDescent="0.4">
      <c r="A975">
        <v>3080000</v>
      </c>
      <c r="B975" t="s">
        <v>4202</v>
      </c>
      <c r="C975" s="1">
        <v>37123</v>
      </c>
      <c r="D975" t="s">
        <v>4203</v>
      </c>
      <c r="E975" t="str">
        <f t="shared" si="46"/>
        <v>서울특별시</v>
      </c>
      <c r="F975" t="str">
        <f t="shared" si="47"/>
        <v xml:space="preserve">강북구 </v>
      </c>
      <c r="G975" t="str">
        <f t="shared" si="48"/>
        <v>미아동</v>
      </c>
    </row>
    <row r="976" spans="1:9" x14ac:dyDescent="0.4">
      <c r="A976">
        <v>3080000</v>
      </c>
      <c r="B976" t="s">
        <v>4230</v>
      </c>
      <c r="C976" s="1">
        <v>37117</v>
      </c>
      <c r="D976" t="s">
        <v>4231</v>
      </c>
      <c r="E976" t="str">
        <f t="shared" si="46"/>
        <v>서울특별시</v>
      </c>
      <c r="F976" t="str">
        <f t="shared" si="47"/>
        <v xml:space="preserve">강북구 </v>
      </c>
      <c r="G976" t="str">
        <f t="shared" si="48"/>
        <v>미아동</v>
      </c>
    </row>
    <row r="977" spans="1:9" x14ac:dyDescent="0.4">
      <c r="A977">
        <v>3080000</v>
      </c>
      <c r="B977" t="s">
        <v>4250</v>
      </c>
      <c r="C977" s="1">
        <v>39624</v>
      </c>
      <c r="D977" t="s">
        <v>4251</v>
      </c>
      <c r="E977" t="str">
        <f t="shared" si="46"/>
        <v>서울특별시</v>
      </c>
      <c r="F977" t="str">
        <f t="shared" si="47"/>
        <v xml:space="preserve">강북구 </v>
      </c>
      <c r="G977" t="str">
        <f t="shared" si="48"/>
        <v>미아동</v>
      </c>
    </row>
    <row r="978" spans="1:9" x14ac:dyDescent="0.4">
      <c r="A978">
        <v>3080000</v>
      </c>
      <c r="B978" t="s">
        <v>4050</v>
      </c>
      <c r="C978" s="1">
        <v>41148</v>
      </c>
      <c r="D978" t="s">
        <v>4051</v>
      </c>
      <c r="E978" t="str">
        <f t="shared" si="46"/>
        <v>서울특별시</v>
      </c>
      <c r="F978" t="str">
        <f t="shared" si="47"/>
        <v xml:space="preserve">강북구 </v>
      </c>
      <c r="G978" t="str">
        <f t="shared" si="48"/>
        <v>미아동</v>
      </c>
      <c r="H978" t="s">
        <v>4052</v>
      </c>
      <c r="I978">
        <v>1128</v>
      </c>
    </row>
    <row r="979" spans="1:9" x14ac:dyDescent="0.4">
      <c r="A979">
        <v>3080000</v>
      </c>
      <c r="B979" t="s">
        <v>3953</v>
      </c>
      <c r="C979" s="1">
        <v>37172</v>
      </c>
      <c r="D979" t="s">
        <v>3954</v>
      </c>
      <c r="E979" t="str">
        <f t="shared" si="46"/>
        <v>서울특별시</v>
      </c>
      <c r="F979" t="str">
        <f t="shared" si="47"/>
        <v xml:space="preserve">강북구 </v>
      </c>
      <c r="G979" t="str">
        <f t="shared" si="48"/>
        <v>미아동</v>
      </c>
      <c r="H979" t="s">
        <v>3955</v>
      </c>
      <c r="I979">
        <v>1128</v>
      </c>
    </row>
    <row r="980" spans="1:9" x14ac:dyDescent="0.4">
      <c r="A980">
        <v>3080000</v>
      </c>
      <c r="B980" t="s">
        <v>4143</v>
      </c>
      <c r="C980" s="1">
        <v>31441</v>
      </c>
      <c r="D980" t="s">
        <v>4144</v>
      </c>
      <c r="E980" t="str">
        <f t="shared" si="46"/>
        <v>서울특별시</v>
      </c>
      <c r="F980" t="str">
        <f t="shared" si="47"/>
        <v xml:space="preserve">강북구 </v>
      </c>
      <c r="G980" t="str">
        <f t="shared" si="48"/>
        <v>미아동</v>
      </c>
      <c r="H980" t="s">
        <v>4145</v>
      </c>
      <c r="I980">
        <v>1128</v>
      </c>
    </row>
    <row r="981" spans="1:9" x14ac:dyDescent="0.4">
      <c r="A981">
        <v>3080000</v>
      </c>
      <c r="B981" t="s">
        <v>4212</v>
      </c>
      <c r="C981" s="1">
        <v>36512</v>
      </c>
      <c r="D981" t="s">
        <v>4213</v>
      </c>
      <c r="E981" t="str">
        <f t="shared" si="46"/>
        <v>서울특별시</v>
      </c>
      <c r="F981" t="str">
        <f t="shared" si="47"/>
        <v xml:space="preserve">강북구 </v>
      </c>
      <c r="G981" t="str">
        <f t="shared" si="48"/>
        <v>미아동</v>
      </c>
    </row>
    <row r="982" spans="1:9" x14ac:dyDescent="0.4">
      <c r="A982">
        <v>3080000</v>
      </c>
      <c r="B982" t="s">
        <v>4121</v>
      </c>
      <c r="C982" s="1">
        <v>32892</v>
      </c>
      <c r="D982" t="s">
        <v>4122</v>
      </c>
      <c r="E982" t="str">
        <f t="shared" si="46"/>
        <v>서울특별시</v>
      </c>
      <c r="F982" t="str">
        <f t="shared" si="47"/>
        <v xml:space="preserve">강북구 </v>
      </c>
      <c r="G982" t="str">
        <f t="shared" si="48"/>
        <v>미아동</v>
      </c>
      <c r="H982" t="s">
        <v>4123</v>
      </c>
      <c r="I982">
        <v>1128</v>
      </c>
    </row>
    <row r="983" spans="1:9" x14ac:dyDescent="0.4">
      <c r="A983">
        <v>3080000</v>
      </c>
      <c r="B983" t="s">
        <v>4134</v>
      </c>
      <c r="C983" s="1">
        <v>26676</v>
      </c>
      <c r="D983" t="s">
        <v>4135</v>
      </c>
      <c r="E983" t="str">
        <f t="shared" si="46"/>
        <v>서울특별시</v>
      </c>
      <c r="F983" t="str">
        <f t="shared" si="47"/>
        <v xml:space="preserve">강북구 </v>
      </c>
      <c r="G983" t="str">
        <f t="shared" si="48"/>
        <v>미아동</v>
      </c>
      <c r="H983" t="s">
        <v>4136</v>
      </c>
      <c r="I983">
        <v>1118</v>
      </c>
    </row>
    <row r="984" spans="1:9" x14ac:dyDescent="0.4">
      <c r="A984">
        <v>3080000</v>
      </c>
      <c r="B984" t="s">
        <v>4282</v>
      </c>
      <c r="C984" s="1">
        <v>33302</v>
      </c>
      <c r="D984" t="s">
        <v>4283</v>
      </c>
      <c r="E984" t="str">
        <f t="shared" si="46"/>
        <v>서울특별시</v>
      </c>
      <c r="F984" t="str">
        <f t="shared" si="47"/>
        <v xml:space="preserve">강북구 </v>
      </c>
      <c r="G984" t="str">
        <f t="shared" si="48"/>
        <v>미아동</v>
      </c>
      <c r="H984" t="s">
        <v>4284</v>
      </c>
      <c r="I984">
        <v>1220</v>
      </c>
    </row>
    <row r="985" spans="1:9" x14ac:dyDescent="0.4">
      <c r="A985">
        <v>3080000</v>
      </c>
      <c r="B985" t="s">
        <v>4167</v>
      </c>
      <c r="C985" s="1">
        <v>36628</v>
      </c>
      <c r="D985" t="s">
        <v>4168</v>
      </c>
      <c r="E985" t="str">
        <f t="shared" si="46"/>
        <v>서울특별시</v>
      </c>
      <c r="F985" t="str">
        <f t="shared" si="47"/>
        <v xml:space="preserve">강북구 </v>
      </c>
      <c r="G985" t="str">
        <f t="shared" si="48"/>
        <v>미아동</v>
      </c>
      <c r="H985" t="s">
        <v>4169</v>
      </c>
      <c r="I985">
        <v>1220</v>
      </c>
    </row>
    <row r="986" spans="1:9" x14ac:dyDescent="0.4">
      <c r="A986">
        <v>3080000</v>
      </c>
      <c r="B986" t="s">
        <v>4298</v>
      </c>
      <c r="C986" s="1">
        <v>31139</v>
      </c>
      <c r="D986" t="s">
        <v>4299</v>
      </c>
      <c r="E986" t="str">
        <f t="shared" si="46"/>
        <v>서울특별시</v>
      </c>
      <c r="F986" t="str">
        <f t="shared" si="47"/>
        <v xml:space="preserve">강북구 </v>
      </c>
      <c r="G986" t="str">
        <f t="shared" si="48"/>
        <v>미아동</v>
      </c>
    </row>
    <row r="987" spans="1:9" x14ac:dyDescent="0.4">
      <c r="A987">
        <v>3080000</v>
      </c>
      <c r="B987" t="s">
        <v>4255</v>
      </c>
      <c r="C987" s="1">
        <v>37614</v>
      </c>
      <c r="D987" t="s">
        <v>4256</v>
      </c>
      <c r="E987" t="str">
        <f t="shared" si="46"/>
        <v>서울특별시</v>
      </c>
      <c r="F987" t="str">
        <f t="shared" si="47"/>
        <v xml:space="preserve">강북구 </v>
      </c>
      <c r="G987" t="str">
        <f t="shared" si="48"/>
        <v>미아동</v>
      </c>
      <c r="H987" t="s">
        <v>4257</v>
      </c>
      <c r="I987">
        <v>1220</v>
      </c>
    </row>
    <row r="988" spans="1:9" x14ac:dyDescent="0.4">
      <c r="A988">
        <v>3080000</v>
      </c>
      <c r="B988" t="s">
        <v>4316</v>
      </c>
      <c r="C988" s="1">
        <v>29991</v>
      </c>
      <c r="D988" t="s">
        <v>4317</v>
      </c>
      <c r="E988" t="str">
        <f t="shared" si="46"/>
        <v>서울특별시</v>
      </c>
      <c r="F988" t="str">
        <f t="shared" si="47"/>
        <v xml:space="preserve">강북구 </v>
      </c>
      <c r="G988" t="str">
        <f t="shared" si="48"/>
        <v>미아동</v>
      </c>
      <c r="H988" t="s">
        <v>4318</v>
      </c>
      <c r="I988">
        <v>1220</v>
      </c>
    </row>
    <row r="989" spans="1:9" x14ac:dyDescent="0.4">
      <c r="A989">
        <v>3080000</v>
      </c>
      <c r="B989" t="s">
        <v>4128</v>
      </c>
      <c r="C989" s="1">
        <v>29466</v>
      </c>
      <c r="D989" t="s">
        <v>4129</v>
      </c>
      <c r="E989" t="str">
        <f t="shared" si="46"/>
        <v>서울특별시</v>
      </c>
      <c r="F989" t="str">
        <f t="shared" si="47"/>
        <v xml:space="preserve">강북구 </v>
      </c>
      <c r="G989" t="str">
        <f t="shared" si="48"/>
        <v>미아동</v>
      </c>
      <c r="H989" t="s">
        <v>4130</v>
      </c>
      <c r="I989">
        <v>1220</v>
      </c>
    </row>
    <row r="990" spans="1:9" x14ac:dyDescent="0.4">
      <c r="A990">
        <v>3080000</v>
      </c>
      <c r="B990" t="s">
        <v>4286</v>
      </c>
      <c r="C990" s="1">
        <v>34304</v>
      </c>
      <c r="D990" t="s">
        <v>4287</v>
      </c>
      <c r="E990" t="str">
        <f t="shared" si="46"/>
        <v>서울특별시</v>
      </c>
      <c r="F990" t="str">
        <f t="shared" si="47"/>
        <v xml:space="preserve">강북구 </v>
      </c>
      <c r="G990" t="str">
        <f t="shared" si="48"/>
        <v>미아동</v>
      </c>
    </row>
    <row r="991" spans="1:9" x14ac:dyDescent="0.4">
      <c r="A991">
        <v>3080000</v>
      </c>
      <c r="B991" t="s">
        <v>4263</v>
      </c>
      <c r="C991" s="1">
        <v>39440</v>
      </c>
      <c r="D991" t="s">
        <v>4264</v>
      </c>
      <c r="E991" t="str">
        <f t="shared" si="46"/>
        <v>서울특별시</v>
      </c>
      <c r="F991" t="str">
        <f t="shared" si="47"/>
        <v xml:space="preserve">강북구 </v>
      </c>
      <c r="G991" t="str">
        <f t="shared" si="48"/>
        <v>미아동</v>
      </c>
    </row>
    <row r="992" spans="1:9" x14ac:dyDescent="0.4">
      <c r="A992">
        <v>3080000</v>
      </c>
      <c r="B992" t="s">
        <v>4031</v>
      </c>
      <c r="C992" s="1">
        <v>27095</v>
      </c>
      <c r="D992" t="s">
        <v>4032</v>
      </c>
      <c r="E992" t="str">
        <f t="shared" si="46"/>
        <v>서울특별시</v>
      </c>
      <c r="F992" t="str">
        <f t="shared" si="47"/>
        <v xml:space="preserve">강북구 </v>
      </c>
      <c r="G992" t="str">
        <f t="shared" si="48"/>
        <v>미아동</v>
      </c>
    </row>
    <row r="993" spans="1:9" x14ac:dyDescent="0.4">
      <c r="A993">
        <v>3080000</v>
      </c>
      <c r="B993" t="s">
        <v>4209</v>
      </c>
      <c r="C993" s="1">
        <v>37223</v>
      </c>
      <c r="D993" t="s">
        <v>4210</v>
      </c>
      <c r="E993" t="str">
        <f t="shared" si="46"/>
        <v>서울특별시</v>
      </c>
      <c r="F993" t="str">
        <f t="shared" si="47"/>
        <v xml:space="preserve">강북구 </v>
      </c>
      <c r="G993" t="str">
        <f t="shared" si="48"/>
        <v>미아동</v>
      </c>
      <c r="H993" t="s">
        <v>4211</v>
      </c>
      <c r="I993">
        <v>1220</v>
      </c>
    </row>
    <row r="994" spans="1:9" x14ac:dyDescent="0.4">
      <c r="A994">
        <v>3080000</v>
      </c>
      <c r="B994" t="s">
        <v>3959</v>
      </c>
      <c r="C994" s="1">
        <v>37237</v>
      </c>
      <c r="D994" t="s">
        <v>3960</v>
      </c>
      <c r="E994" t="str">
        <f t="shared" si="46"/>
        <v>서울특별시</v>
      </c>
      <c r="F994" t="str">
        <f t="shared" si="47"/>
        <v xml:space="preserve">강북구 </v>
      </c>
      <c r="G994" t="str">
        <f t="shared" si="48"/>
        <v>미아동</v>
      </c>
      <c r="H994" t="s">
        <v>3961</v>
      </c>
      <c r="I994">
        <v>1220</v>
      </c>
    </row>
    <row r="995" spans="1:9" x14ac:dyDescent="0.4">
      <c r="A995">
        <v>3080000</v>
      </c>
      <c r="B995" t="s">
        <v>4056</v>
      </c>
      <c r="C995" s="1">
        <v>27829</v>
      </c>
      <c r="D995" t="s">
        <v>3960</v>
      </c>
      <c r="E995" t="str">
        <f t="shared" si="46"/>
        <v>서울특별시</v>
      </c>
      <c r="F995" t="str">
        <f t="shared" si="47"/>
        <v xml:space="preserve">강북구 </v>
      </c>
      <c r="G995" t="str">
        <f t="shared" si="48"/>
        <v>미아동</v>
      </c>
    </row>
    <row r="996" spans="1:9" x14ac:dyDescent="0.4">
      <c r="A996">
        <v>3080000</v>
      </c>
      <c r="B996" t="s">
        <v>4013</v>
      </c>
      <c r="C996" s="1">
        <v>24915</v>
      </c>
      <c r="D996" t="s">
        <v>4014</v>
      </c>
      <c r="E996" t="str">
        <f t="shared" si="46"/>
        <v>서울특별시</v>
      </c>
      <c r="F996" t="str">
        <f t="shared" si="47"/>
        <v xml:space="preserve">강북구 </v>
      </c>
      <c r="G996" t="str">
        <f t="shared" si="48"/>
        <v>미아동</v>
      </c>
    </row>
    <row r="997" spans="1:9" x14ac:dyDescent="0.4">
      <c r="A997">
        <v>3080000</v>
      </c>
      <c r="B997" t="s">
        <v>4124</v>
      </c>
      <c r="C997" s="1">
        <v>34312</v>
      </c>
      <c r="D997" t="s">
        <v>4014</v>
      </c>
      <c r="E997" t="str">
        <f t="shared" si="46"/>
        <v>서울특별시</v>
      </c>
      <c r="F997" t="str">
        <f t="shared" si="47"/>
        <v xml:space="preserve">강북구 </v>
      </c>
      <c r="G997" t="str">
        <f t="shared" si="48"/>
        <v>미아동</v>
      </c>
    </row>
    <row r="998" spans="1:9" x14ac:dyDescent="0.4">
      <c r="A998">
        <v>3080000</v>
      </c>
      <c r="B998" t="s">
        <v>4146</v>
      </c>
      <c r="C998" s="1">
        <v>40865</v>
      </c>
      <c r="D998" t="s">
        <v>4147</v>
      </c>
      <c r="E998" t="str">
        <f t="shared" si="46"/>
        <v>서울특별시</v>
      </c>
      <c r="F998" t="str">
        <f t="shared" si="47"/>
        <v xml:space="preserve">강북구 </v>
      </c>
      <c r="G998" t="str">
        <f>MID(SUBSTITUTE(D998," ",""),9,2)</f>
        <v>번동</v>
      </c>
      <c r="H998" t="s">
        <v>4148</v>
      </c>
      <c r="I998">
        <v>1063</v>
      </c>
    </row>
    <row r="999" spans="1:9" x14ac:dyDescent="0.4">
      <c r="A999">
        <v>3080000</v>
      </c>
      <c r="B999" t="s">
        <v>4200</v>
      </c>
      <c r="C999" s="1">
        <v>36908</v>
      </c>
      <c r="D999" t="s">
        <v>4201</v>
      </c>
      <c r="E999" t="str">
        <f t="shared" si="46"/>
        <v>서울특별시</v>
      </c>
      <c r="F999" t="str">
        <f t="shared" si="47"/>
        <v xml:space="preserve">강북구 </v>
      </c>
      <c r="G999" t="str">
        <f t="shared" ref="G999:G1017" si="49">MID(SUBSTITUTE(D999," ",""),9,2)</f>
        <v>번동</v>
      </c>
    </row>
    <row r="1000" spans="1:9" x14ac:dyDescent="0.4">
      <c r="A1000">
        <v>3080000</v>
      </c>
      <c r="B1000" t="s">
        <v>4303</v>
      </c>
      <c r="C1000" s="1">
        <v>41472</v>
      </c>
      <c r="D1000" t="s">
        <v>4304</v>
      </c>
      <c r="E1000" t="str">
        <f t="shared" si="46"/>
        <v>서울특별시</v>
      </c>
      <c r="F1000" t="str">
        <f t="shared" si="47"/>
        <v xml:space="preserve">강북구 </v>
      </c>
      <c r="G1000" t="str">
        <f t="shared" si="49"/>
        <v>번동</v>
      </c>
      <c r="H1000" t="s">
        <v>4305</v>
      </c>
      <c r="I1000">
        <v>1063</v>
      </c>
    </row>
    <row r="1001" spans="1:9" x14ac:dyDescent="0.4">
      <c r="A1001">
        <v>3080000</v>
      </c>
      <c r="B1001" t="s">
        <v>4021</v>
      </c>
      <c r="C1001" s="1">
        <v>27026</v>
      </c>
      <c r="D1001" t="s">
        <v>4022</v>
      </c>
      <c r="E1001" t="str">
        <f t="shared" si="46"/>
        <v>서울특별시</v>
      </c>
      <c r="F1001" t="str">
        <f t="shared" si="47"/>
        <v xml:space="preserve">강북구 </v>
      </c>
      <c r="G1001" t="str">
        <f t="shared" si="49"/>
        <v>번동</v>
      </c>
    </row>
    <row r="1002" spans="1:9" x14ac:dyDescent="0.4">
      <c r="A1002">
        <v>3080000</v>
      </c>
      <c r="B1002" t="s">
        <v>4057</v>
      </c>
      <c r="C1002" s="1">
        <v>36384</v>
      </c>
      <c r="D1002" t="s">
        <v>4022</v>
      </c>
      <c r="E1002" t="str">
        <f t="shared" si="46"/>
        <v>서울특별시</v>
      </c>
      <c r="F1002" t="str">
        <f t="shared" si="47"/>
        <v xml:space="preserve">강북구 </v>
      </c>
      <c r="G1002" t="str">
        <f t="shared" si="49"/>
        <v>번동</v>
      </c>
    </row>
    <row r="1003" spans="1:9" x14ac:dyDescent="0.4">
      <c r="A1003">
        <v>3080000</v>
      </c>
      <c r="B1003" t="s">
        <v>195</v>
      </c>
      <c r="C1003" s="1">
        <v>45615</v>
      </c>
      <c r="D1003" t="s">
        <v>196</v>
      </c>
      <c r="E1003" t="str">
        <f t="shared" si="46"/>
        <v>서울특별시</v>
      </c>
      <c r="F1003" t="str">
        <f t="shared" si="47"/>
        <v xml:space="preserve">강북구 </v>
      </c>
      <c r="G1003" t="str">
        <f t="shared" si="49"/>
        <v>번동</v>
      </c>
      <c r="H1003" t="s">
        <v>197</v>
      </c>
      <c r="I1003">
        <v>1062</v>
      </c>
    </row>
    <row r="1004" spans="1:9" x14ac:dyDescent="0.4">
      <c r="A1004">
        <v>3080000</v>
      </c>
      <c r="B1004" t="s">
        <v>4111</v>
      </c>
      <c r="C1004" s="1">
        <v>44692</v>
      </c>
      <c r="D1004" t="s">
        <v>4112</v>
      </c>
      <c r="E1004" t="str">
        <f t="shared" si="46"/>
        <v>서울특별시</v>
      </c>
      <c r="F1004" t="str">
        <f t="shared" si="47"/>
        <v xml:space="preserve">강북구 </v>
      </c>
      <c r="G1004" t="str">
        <f t="shared" si="49"/>
        <v>번동</v>
      </c>
      <c r="H1004" t="s">
        <v>4113</v>
      </c>
      <c r="I1004">
        <v>1062</v>
      </c>
    </row>
    <row r="1005" spans="1:9" x14ac:dyDescent="0.4">
      <c r="A1005">
        <v>3080000</v>
      </c>
      <c r="B1005" t="s">
        <v>3977</v>
      </c>
      <c r="C1005" s="1">
        <v>42752</v>
      </c>
      <c r="D1005" t="s">
        <v>3978</v>
      </c>
      <c r="E1005" t="str">
        <f t="shared" si="46"/>
        <v>서울특별시</v>
      </c>
      <c r="F1005" t="str">
        <f t="shared" si="47"/>
        <v xml:space="preserve">강북구 </v>
      </c>
      <c r="G1005" t="str">
        <f t="shared" si="49"/>
        <v>번동</v>
      </c>
      <c r="H1005" t="s">
        <v>3979</v>
      </c>
      <c r="I1005">
        <v>1062</v>
      </c>
    </row>
    <row r="1006" spans="1:9" x14ac:dyDescent="0.4">
      <c r="A1006">
        <v>3080000</v>
      </c>
      <c r="B1006" t="s">
        <v>4033</v>
      </c>
      <c r="C1006" s="1">
        <v>40434</v>
      </c>
      <c r="D1006" t="s">
        <v>4034</v>
      </c>
      <c r="E1006" t="str">
        <f t="shared" si="46"/>
        <v>서울특별시</v>
      </c>
      <c r="F1006" t="str">
        <f t="shared" si="47"/>
        <v xml:space="preserve">강북구 </v>
      </c>
      <c r="G1006" t="str">
        <f t="shared" si="49"/>
        <v>번동</v>
      </c>
      <c r="H1006" t="s">
        <v>4035</v>
      </c>
      <c r="I1006">
        <v>1062</v>
      </c>
    </row>
    <row r="1007" spans="1:9" x14ac:dyDescent="0.4">
      <c r="A1007">
        <v>3080000</v>
      </c>
      <c r="B1007" t="s">
        <v>4041</v>
      </c>
      <c r="C1007" s="1">
        <v>27633</v>
      </c>
      <c r="D1007" t="s">
        <v>4034</v>
      </c>
      <c r="E1007" t="str">
        <f t="shared" si="46"/>
        <v>서울특별시</v>
      </c>
      <c r="F1007" t="str">
        <f t="shared" si="47"/>
        <v xml:space="preserve">강북구 </v>
      </c>
      <c r="G1007" t="str">
        <f t="shared" si="49"/>
        <v>번동</v>
      </c>
    </row>
    <row r="1008" spans="1:9" x14ac:dyDescent="0.4">
      <c r="A1008">
        <v>3080000</v>
      </c>
      <c r="B1008" t="s">
        <v>4046</v>
      </c>
      <c r="C1008" s="1">
        <v>31766</v>
      </c>
      <c r="D1008" t="s">
        <v>4034</v>
      </c>
      <c r="E1008" t="str">
        <f t="shared" si="46"/>
        <v>서울특별시</v>
      </c>
      <c r="F1008" t="str">
        <f t="shared" si="47"/>
        <v xml:space="preserve">강북구 </v>
      </c>
      <c r="G1008" t="str">
        <f t="shared" si="49"/>
        <v>번동</v>
      </c>
    </row>
    <row r="1009" spans="1:9" x14ac:dyDescent="0.4">
      <c r="A1009">
        <v>3080000</v>
      </c>
      <c r="B1009" t="s">
        <v>4058</v>
      </c>
      <c r="C1009" s="1">
        <v>36449</v>
      </c>
      <c r="D1009" t="s">
        <v>4034</v>
      </c>
      <c r="E1009" t="str">
        <f t="shared" si="46"/>
        <v>서울특별시</v>
      </c>
      <c r="F1009" t="str">
        <f t="shared" si="47"/>
        <v xml:space="preserve">강북구 </v>
      </c>
      <c r="G1009" t="str">
        <f t="shared" si="49"/>
        <v>번동</v>
      </c>
      <c r="H1009" t="s">
        <v>4035</v>
      </c>
      <c r="I1009">
        <v>1062</v>
      </c>
    </row>
    <row r="1010" spans="1:9" x14ac:dyDescent="0.4">
      <c r="A1010">
        <v>3080000</v>
      </c>
      <c r="B1010" t="s">
        <v>4239</v>
      </c>
      <c r="C1010" s="1">
        <v>37190</v>
      </c>
      <c r="D1010" t="s">
        <v>4034</v>
      </c>
      <c r="E1010" t="str">
        <f t="shared" si="46"/>
        <v>서울특별시</v>
      </c>
      <c r="F1010" t="str">
        <f t="shared" si="47"/>
        <v xml:space="preserve">강북구 </v>
      </c>
      <c r="G1010" t="str">
        <f t="shared" si="49"/>
        <v>번동</v>
      </c>
      <c r="H1010" t="s">
        <v>4035</v>
      </c>
      <c r="I1010">
        <v>1062</v>
      </c>
    </row>
    <row r="1011" spans="1:9" x14ac:dyDescent="0.4">
      <c r="A1011">
        <v>3080000</v>
      </c>
      <c r="B1011" t="s">
        <v>4285</v>
      </c>
      <c r="C1011" s="1">
        <v>34095</v>
      </c>
      <c r="D1011" t="s">
        <v>4034</v>
      </c>
      <c r="E1011" t="str">
        <f t="shared" si="46"/>
        <v>서울특별시</v>
      </c>
      <c r="F1011" t="str">
        <f t="shared" si="47"/>
        <v xml:space="preserve">강북구 </v>
      </c>
      <c r="G1011" t="str">
        <f t="shared" si="49"/>
        <v>번동</v>
      </c>
      <c r="H1011" t="s">
        <v>4035</v>
      </c>
      <c r="I1011">
        <v>1062</v>
      </c>
    </row>
    <row r="1012" spans="1:9" x14ac:dyDescent="0.4">
      <c r="A1012">
        <v>3080000</v>
      </c>
      <c r="B1012" t="s">
        <v>4155</v>
      </c>
      <c r="C1012" s="1">
        <v>36593</v>
      </c>
      <c r="D1012" t="s">
        <v>4156</v>
      </c>
      <c r="E1012" t="str">
        <f t="shared" si="46"/>
        <v>서울특별시</v>
      </c>
      <c r="F1012" t="str">
        <f t="shared" si="47"/>
        <v xml:space="preserve">강북구 </v>
      </c>
      <c r="G1012" t="str">
        <f t="shared" si="49"/>
        <v>번동</v>
      </c>
      <c r="H1012" t="s">
        <v>4157</v>
      </c>
      <c r="I1012">
        <v>1062</v>
      </c>
    </row>
    <row r="1013" spans="1:9" x14ac:dyDescent="0.4">
      <c r="A1013">
        <v>3080000</v>
      </c>
      <c r="B1013" t="s">
        <v>4214</v>
      </c>
      <c r="C1013" s="1">
        <v>36550</v>
      </c>
      <c r="D1013" t="s">
        <v>4215</v>
      </c>
      <c r="E1013" t="str">
        <f t="shared" si="46"/>
        <v>서울특별시</v>
      </c>
      <c r="F1013" t="str">
        <f t="shared" si="47"/>
        <v xml:space="preserve">강북구 </v>
      </c>
      <c r="G1013" t="str">
        <f t="shared" si="49"/>
        <v>번동</v>
      </c>
      <c r="H1013" t="s">
        <v>4216</v>
      </c>
      <c r="I1013">
        <v>1062</v>
      </c>
    </row>
    <row r="1014" spans="1:9" x14ac:dyDescent="0.4">
      <c r="A1014">
        <v>3080000</v>
      </c>
      <c r="B1014" t="s">
        <v>4059</v>
      </c>
      <c r="C1014" s="1">
        <v>36472</v>
      </c>
      <c r="D1014" t="s">
        <v>4060</v>
      </c>
      <c r="E1014" t="str">
        <f t="shared" si="46"/>
        <v>서울특별시</v>
      </c>
      <c r="F1014" t="str">
        <f t="shared" si="47"/>
        <v xml:space="preserve">강북구 </v>
      </c>
      <c r="G1014" t="str">
        <f t="shared" si="49"/>
        <v>번동</v>
      </c>
      <c r="H1014" t="s">
        <v>4061</v>
      </c>
      <c r="I1014">
        <v>1062</v>
      </c>
    </row>
    <row r="1015" spans="1:9" x14ac:dyDescent="0.4">
      <c r="A1015">
        <v>3080000</v>
      </c>
      <c r="B1015" t="s">
        <v>4314</v>
      </c>
      <c r="C1015" s="1">
        <v>29984</v>
      </c>
      <c r="D1015" t="s">
        <v>4315</v>
      </c>
      <c r="E1015" t="str">
        <f t="shared" si="46"/>
        <v>서울특별시</v>
      </c>
      <c r="F1015" t="str">
        <f t="shared" si="47"/>
        <v xml:space="preserve">강북구 </v>
      </c>
      <c r="G1015" t="str">
        <f t="shared" si="49"/>
        <v>번동</v>
      </c>
    </row>
    <row r="1016" spans="1:9" x14ac:dyDescent="0.4">
      <c r="A1016">
        <v>3080000</v>
      </c>
      <c r="B1016" t="s">
        <v>4183</v>
      </c>
      <c r="C1016" s="1">
        <v>36601</v>
      </c>
      <c r="D1016" t="s">
        <v>4184</v>
      </c>
      <c r="E1016" t="str">
        <f t="shared" si="46"/>
        <v>서울특별시</v>
      </c>
      <c r="F1016" t="str">
        <f t="shared" si="47"/>
        <v xml:space="preserve">강북구 </v>
      </c>
      <c r="G1016" t="str">
        <f t="shared" si="49"/>
        <v>번동</v>
      </c>
    </row>
    <row r="1017" spans="1:9" x14ac:dyDescent="0.4">
      <c r="A1017">
        <v>3080000</v>
      </c>
      <c r="B1017" t="s">
        <v>4181</v>
      </c>
      <c r="C1017" s="1">
        <v>36599</v>
      </c>
      <c r="D1017" t="s">
        <v>4182</v>
      </c>
      <c r="E1017" t="str">
        <f t="shared" si="46"/>
        <v>서울특별시</v>
      </c>
      <c r="F1017" t="str">
        <f t="shared" si="47"/>
        <v xml:space="preserve">강북구 </v>
      </c>
      <c r="G1017" t="str">
        <f t="shared" si="49"/>
        <v>번동</v>
      </c>
    </row>
    <row r="1018" spans="1:9" x14ac:dyDescent="0.4">
      <c r="A1018">
        <v>3080000</v>
      </c>
      <c r="B1018" t="s">
        <v>4161</v>
      </c>
      <c r="C1018" s="1">
        <v>26269</v>
      </c>
      <c r="D1018" t="s">
        <v>4162</v>
      </c>
      <c r="E1018" t="str">
        <f t="shared" si="46"/>
        <v>서울특별시</v>
      </c>
      <c r="F1018" t="str">
        <f t="shared" si="47"/>
        <v xml:space="preserve">강북구 </v>
      </c>
      <c r="G1018" t="str">
        <f t="shared" si="48"/>
        <v>수유동</v>
      </c>
      <c r="H1018" t="s">
        <v>4163</v>
      </c>
      <c r="I1018">
        <v>1054</v>
      </c>
    </row>
    <row r="1019" spans="1:9" x14ac:dyDescent="0.4">
      <c r="A1019">
        <v>3080000</v>
      </c>
      <c r="B1019" t="s">
        <v>4015</v>
      </c>
      <c r="C1019" s="1">
        <v>26557</v>
      </c>
      <c r="D1019" t="s">
        <v>4016</v>
      </c>
      <c r="E1019" t="str">
        <f t="shared" si="46"/>
        <v>서울특별시</v>
      </c>
      <c r="F1019" t="str">
        <f t="shared" si="47"/>
        <v xml:space="preserve">강북구 </v>
      </c>
      <c r="G1019" t="str">
        <f t="shared" si="48"/>
        <v>수유동</v>
      </c>
      <c r="H1019" t="s">
        <v>4017</v>
      </c>
      <c r="I1019">
        <v>1054</v>
      </c>
    </row>
    <row r="1020" spans="1:9" x14ac:dyDescent="0.4">
      <c r="A1020">
        <v>3080000</v>
      </c>
      <c r="B1020" t="s">
        <v>3986</v>
      </c>
      <c r="C1020" s="1">
        <v>37295</v>
      </c>
      <c r="D1020" t="s">
        <v>3987</v>
      </c>
      <c r="E1020" t="str">
        <f t="shared" si="46"/>
        <v>서울특별시</v>
      </c>
      <c r="F1020" t="str">
        <f t="shared" si="47"/>
        <v xml:space="preserve">강북구 </v>
      </c>
      <c r="G1020" t="str">
        <f t="shared" si="48"/>
        <v>수유동</v>
      </c>
      <c r="H1020" t="s">
        <v>3988</v>
      </c>
      <c r="I1020">
        <v>1074</v>
      </c>
    </row>
    <row r="1021" spans="1:9" x14ac:dyDescent="0.4">
      <c r="A1021">
        <v>3080000</v>
      </c>
      <c r="B1021" t="s">
        <v>3989</v>
      </c>
      <c r="C1021" s="1">
        <v>39255</v>
      </c>
      <c r="D1021" t="s">
        <v>3990</v>
      </c>
      <c r="E1021" t="str">
        <f t="shared" si="46"/>
        <v>서울특별시</v>
      </c>
      <c r="F1021" t="str">
        <f t="shared" si="47"/>
        <v xml:space="preserve">강북구 </v>
      </c>
      <c r="G1021" t="str">
        <f t="shared" si="48"/>
        <v>수유동</v>
      </c>
      <c r="H1021" t="s">
        <v>3991</v>
      </c>
      <c r="I1021">
        <v>1074</v>
      </c>
    </row>
    <row r="1022" spans="1:9" x14ac:dyDescent="0.4">
      <c r="A1022">
        <v>3080000</v>
      </c>
      <c r="B1022" t="s">
        <v>3938</v>
      </c>
      <c r="C1022" s="1">
        <v>43062</v>
      </c>
      <c r="D1022" t="s">
        <v>3939</v>
      </c>
      <c r="E1022" t="str">
        <f t="shared" si="46"/>
        <v>서울특별시</v>
      </c>
      <c r="F1022" t="str">
        <f t="shared" si="47"/>
        <v xml:space="preserve">강북구 </v>
      </c>
      <c r="G1022" t="str">
        <f t="shared" si="48"/>
        <v>수유동</v>
      </c>
      <c r="H1022" t="s">
        <v>3940</v>
      </c>
      <c r="I1022">
        <v>1074</v>
      </c>
    </row>
    <row r="1023" spans="1:9" x14ac:dyDescent="0.4">
      <c r="A1023">
        <v>3080000</v>
      </c>
      <c r="B1023" t="s">
        <v>4042</v>
      </c>
      <c r="C1023" s="1">
        <v>31330</v>
      </c>
      <c r="D1023" t="s">
        <v>4043</v>
      </c>
      <c r="E1023" t="str">
        <f t="shared" si="46"/>
        <v>서울특별시</v>
      </c>
      <c r="F1023" t="str">
        <f t="shared" si="47"/>
        <v xml:space="preserve">강북구 </v>
      </c>
      <c r="G1023" t="str">
        <f t="shared" si="48"/>
        <v>수유동</v>
      </c>
    </row>
    <row r="1024" spans="1:9" x14ac:dyDescent="0.4">
      <c r="A1024">
        <v>3080000</v>
      </c>
      <c r="B1024" t="s">
        <v>4125</v>
      </c>
      <c r="C1024" s="1">
        <v>41464</v>
      </c>
      <c r="D1024" t="s">
        <v>4126</v>
      </c>
      <c r="E1024" t="str">
        <f t="shared" si="46"/>
        <v>서울특별시</v>
      </c>
      <c r="F1024" t="str">
        <f t="shared" si="47"/>
        <v xml:space="preserve">강북구 </v>
      </c>
      <c r="G1024" t="str">
        <f t="shared" si="48"/>
        <v>수유동</v>
      </c>
      <c r="H1024" t="s">
        <v>4127</v>
      </c>
      <c r="I1024">
        <v>1074</v>
      </c>
    </row>
    <row r="1025" spans="1:9" x14ac:dyDescent="0.4">
      <c r="A1025">
        <v>3080000</v>
      </c>
      <c r="B1025" t="s">
        <v>3992</v>
      </c>
      <c r="C1025" s="1">
        <v>39255</v>
      </c>
      <c r="D1025" t="s">
        <v>3993</v>
      </c>
      <c r="E1025" t="str">
        <f t="shared" si="46"/>
        <v>서울특별시</v>
      </c>
      <c r="F1025" t="str">
        <f t="shared" si="47"/>
        <v xml:space="preserve">강북구 </v>
      </c>
      <c r="G1025" t="str">
        <f t="shared" si="48"/>
        <v>수유동</v>
      </c>
      <c r="H1025" t="s">
        <v>3994</v>
      </c>
      <c r="I1025">
        <v>1074</v>
      </c>
    </row>
    <row r="1026" spans="1:9" x14ac:dyDescent="0.4">
      <c r="A1026">
        <v>3080000</v>
      </c>
      <c r="B1026" t="s">
        <v>4071</v>
      </c>
      <c r="C1026" s="1">
        <v>43321</v>
      </c>
      <c r="D1026" t="s">
        <v>4072</v>
      </c>
      <c r="E1026" t="str">
        <f t="shared" si="46"/>
        <v>서울특별시</v>
      </c>
      <c r="F1026" t="str">
        <f t="shared" si="47"/>
        <v xml:space="preserve">강북구 </v>
      </c>
      <c r="G1026" t="str">
        <f t="shared" si="48"/>
        <v>수유동</v>
      </c>
      <c r="H1026" t="s">
        <v>4073</v>
      </c>
      <c r="I1026">
        <v>1074</v>
      </c>
    </row>
    <row r="1027" spans="1:9" x14ac:dyDescent="0.4">
      <c r="A1027">
        <v>3080000</v>
      </c>
      <c r="B1027" t="s">
        <v>4260</v>
      </c>
      <c r="C1027" s="1">
        <v>39301</v>
      </c>
      <c r="D1027" t="s">
        <v>4261</v>
      </c>
      <c r="E1027" t="str">
        <f t="shared" ref="E1027:E1090" si="50">LEFT(D1027,5)</f>
        <v>서울특별시</v>
      </c>
      <c r="F1027" t="str">
        <f t="shared" ref="F1027:F1090" si="51">MID(D1027,7,4)</f>
        <v xml:space="preserve">강북구 </v>
      </c>
      <c r="G1027" t="str">
        <f t="shared" ref="G1027:G1090" si="52">MID(SUBSTITUTE(D1027," ",""),9,3)</f>
        <v>수유동</v>
      </c>
      <c r="H1027" t="s">
        <v>4262</v>
      </c>
      <c r="I1027">
        <v>1074</v>
      </c>
    </row>
    <row r="1028" spans="1:9" x14ac:dyDescent="0.4">
      <c r="A1028">
        <v>3080000</v>
      </c>
      <c r="B1028" t="s">
        <v>4023</v>
      </c>
      <c r="C1028" s="1">
        <v>39640</v>
      </c>
      <c r="D1028" t="s">
        <v>4024</v>
      </c>
      <c r="E1028" t="str">
        <f t="shared" si="50"/>
        <v>서울특별시</v>
      </c>
      <c r="F1028" t="str">
        <f t="shared" si="51"/>
        <v xml:space="preserve">강북구 </v>
      </c>
      <c r="G1028" t="str">
        <f t="shared" si="52"/>
        <v>수유동</v>
      </c>
      <c r="H1028" t="s">
        <v>3973</v>
      </c>
      <c r="I1028">
        <v>1074</v>
      </c>
    </row>
    <row r="1029" spans="1:9" x14ac:dyDescent="0.4">
      <c r="A1029">
        <v>3080000</v>
      </c>
      <c r="B1029" t="s">
        <v>4062</v>
      </c>
      <c r="C1029" s="1">
        <v>40008</v>
      </c>
      <c r="D1029" t="s">
        <v>4063</v>
      </c>
      <c r="E1029" t="str">
        <f t="shared" si="50"/>
        <v>서울특별시</v>
      </c>
      <c r="F1029" t="str">
        <f t="shared" si="51"/>
        <v xml:space="preserve">강북구 </v>
      </c>
      <c r="G1029" t="str">
        <f t="shared" si="52"/>
        <v>수유동</v>
      </c>
      <c r="H1029" t="s">
        <v>4064</v>
      </c>
      <c r="I1029">
        <v>1074</v>
      </c>
    </row>
    <row r="1030" spans="1:9" x14ac:dyDescent="0.4">
      <c r="A1030">
        <v>3080000</v>
      </c>
      <c r="B1030" t="s">
        <v>4077</v>
      </c>
      <c r="C1030" s="1">
        <v>45308</v>
      </c>
      <c r="D1030" t="s">
        <v>4063</v>
      </c>
      <c r="E1030" t="str">
        <f t="shared" si="50"/>
        <v>서울특별시</v>
      </c>
      <c r="F1030" t="str">
        <f t="shared" si="51"/>
        <v xml:space="preserve">강북구 </v>
      </c>
      <c r="G1030" t="str">
        <f t="shared" si="52"/>
        <v>수유동</v>
      </c>
      <c r="H1030" t="s">
        <v>4078</v>
      </c>
      <c r="I1030">
        <v>1074</v>
      </c>
    </row>
    <row r="1031" spans="1:9" x14ac:dyDescent="0.4">
      <c r="A1031">
        <v>3080000</v>
      </c>
      <c r="B1031" t="s">
        <v>4185</v>
      </c>
      <c r="C1031" s="1">
        <v>36627</v>
      </c>
      <c r="D1031" t="s">
        <v>4186</v>
      </c>
      <c r="E1031" t="str">
        <f t="shared" si="50"/>
        <v>서울특별시</v>
      </c>
      <c r="F1031" t="str">
        <f t="shared" si="51"/>
        <v xml:space="preserve">강북구 </v>
      </c>
      <c r="G1031" t="str">
        <f t="shared" si="52"/>
        <v>수유동</v>
      </c>
      <c r="H1031" t="s">
        <v>4187</v>
      </c>
      <c r="I1031">
        <v>1074</v>
      </c>
    </row>
    <row r="1032" spans="1:9" x14ac:dyDescent="0.4">
      <c r="A1032">
        <v>3080000</v>
      </c>
      <c r="B1032" t="s">
        <v>4087</v>
      </c>
      <c r="C1032" s="1">
        <v>45163</v>
      </c>
      <c r="D1032" t="s">
        <v>4088</v>
      </c>
      <c r="E1032" t="str">
        <f t="shared" si="50"/>
        <v>서울특별시</v>
      </c>
      <c r="F1032" t="str">
        <f t="shared" si="51"/>
        <v xml:space="preserve">강북구 </v>
      </c>
      <c r="G1032" t="str">
        <f t="shared" si="52"/>
        <v>수유동</v>
      </c>
      <c r="H1032" t="s">
        <v>4089</v>
      </c>
      <c r="I1032">
        <v>1074</v>
      </c>
    </row>
    <row r="1033" spans="1:9" x14ac:dyDescent="0.4">
      <c r="A1033">
        <v>3080000</v>
      </c>
      <c r="B1033" t="s">
        <v>4296</v>
      </c>
      <c r="C1033" s="1">
        <v>31134</v>
      </c>
      <c r="D1033" t="s">
        <v>4297</v>
      </c>
      <c r="E1033" t="str">
        <f t="shared" si="50"/>
        <v>서울특별시</v>
      </c>
      <c r="F1033" t="str">
        <f t="shared" si="51"/>
        <v xml:space="preserve">강북구 </v>
      </c>
      <c r="G1033" t="str">
        <f t="shared" si="52"/>
        <v>수유동</v>
      </c>
    </row>
    <row r="1034" spans="1:9" x14ac:dyDescent="0.4">
      <c r="A1034">
        <v>3080000</v>
      </c>
      <c r="B1034" t="s">
        <v>3971</v>
      </c>
      <c r="C1034" s="1">
        <v>37769</v>
      </c>
      <c r="D1034" t="s">
        <v>3972</v>
      </c>
      <c r="E1034" t="str">
        <f t="shared" si="50"/>
        <v>서울특별시</v>
      </c>
      <c r="F1034" t="str">
        <f t="shared" si="51"/>
        <v xml:space="preserve">강북구 </v>
      </c>
      <c r="G1034" t="str">
        <f t="shared" si="52"/>
        <v>수유동</v>
      </c>
      <c r="H1034" t="s">
        <v>3973</v>
      </c>
      <c r="I1034">
        <v>1074</v>
      </c>
    </row>
    <row r="1035" spans="1:9" x14ac:dyDescent="0.4">
      <c r="A1035">
        <v>3080000</v>
      </c>
      <c r="B1035" t="s">
        <v>4252</v>
      </c>
      <c r="C1035" s="1">
        <v>37770</v>
      </c>
      <c r="D1035" t="s">
        <v>3972</v>
      </c>
      <c r="E1035" t="str">
        <f t="shared" si="50"/>
        <v>서울특별시</v>
      </c>
      <c r="F1035" t="str">
        <f t="shared" si="51"/>
        <v xml:space="preserve">강북구 </v>
      </c>
      <c r="G1035" t="str">
        <f t="shared" si="52"/>
        <v>수유동</v>
      </c>
    </row>
    <row r="1036" spans="1:9" x14ac:dyDescent="0.4">
      <c r="A1036">
        <v>3080000</v>
      </c>
      <c r="B1036" t="s">
        <v>4114</v>
      </c>
      <c r="C1036" s="1">
        <v>44005</v>
      </c>
      <c r="D1036" t="s">
        <v>4115</v>
      </c>
      <c r="E1036" t="str">
        <f t="shared" si="50"/>
        <v>서울특별시</v>
      </c>
      <c r="F1036" t="str">
        <f t="shared" si="51"/>
        <v xml:space="preserve">강북구 </v>
      </c>
      <c r="G1036" t="str">
        <f t="shared" si="52"/>
        <v>수유동</v>
      </c>
      <c r="H1036" t="s">
        <v>4116</v>
      </c>
      <c r="I1036">
        <v>1074</v>
      </c>
    </row>
    <row r="1037" spans="1:9" x14ac:dyDescent="0.4">
      <c r="A1037">
        <v>3080000</v>
      </c>
      <c r="B1037" t="s">
        <v>4217</v>
      </c>
      <c r="C1037" s="1">
        <v>37018</v>
      </c>
      <c r="D1037" t="s">
        <v>4218</v>
      </c>
      <c r="E1037" t="str">
        <f t="shared" si="50"/>
        <v>서울특별시</v>
      </c>
      <c r="F1037" t="str">
        <f t="shared" si="51"/>
        <v xml:space="preserve">강북구 </v>
      </c>
      <c r="G1037" t="str">
        <f t="shared" si="52"/>
        <v>수유동</v>
      </c>
      <c r="H1037" t="s">
        <v>4219</v>
      </c>
      <c r="I1037">
        <v>1074</v>
      </c>
    </row>
    <row r="1038" spans="1:9" x14ac:dyDescent="0.4">
      <c r="A1038">
        <v>3080000</v>
      </c>
      <c r="B1038" t="s">
        <v>3983</v>
      </c>
      <c r="C1038" s="1">
        <v>37256</v>
      </c>
      <c r="D1038" t="s">
        <v>3984</v>
      </c>
      <c r="E1038" t="str">
        <f t="shared" si="50"/>
        <v>서울특별시</v>
      </c>
      <c r="F1038" t="str">
        <f t="shared" si="51"/>
        <v xml:space="preserve">강북구 </v>
      </c>
      <c r="G1038" t="str">
        <f t="shared" si="52"/>
        <v>수유동</v>
      </c>
      <c r="H1038" t="s">
        <v>3985</v>
      </c>
      <c r="I1038">
        <v>1074</v>
      </c>
    </row>
    <row r="1039" spans="1:9" x14ac:dyDescent="0.4">
      <c r="A1039">
        <v>3080000</v>
      </c>
      <c r="B1039" t="s">
        <v>4068</v>
      </c>
      <c r="C1039" s="1">
        <v>40052</v>
      </c>
      <c r="D1039" t="s">
        <v>4069</v>
      </c>
      <c r="E1039" t="str">
        <f t="shared" si="50"/>
        <v>서울특별시</v>
      </c>
      <c r="F1039" t="str">
        <f t="shared" si="51"/>
        <v xml:space="preserve">강북구 </v>
      </c>
      <c r="G1039" t="str">
        <f t="shared" si="52"/>
        <v>수유동</v>
      </c>
      <c r="H1039" t="s">
        <v>4070</v>
      </c>
      <c r="I1039">
        <v>1074</v>
      </c>
    </row>
    <row r="1040" spans="1:9" x14ac:dyDescent="0.4">
      <c r="A1040">
        <v>3080000</v>
      </c>
      <c r="B1040" t="s">
        <v>3956</v>
      </c>
      <c r="C1040" s="1">
        <v>37215</v>
      </c>
      <c r="D1040" t="s">
        <v>3957</v>
      </c>
      <c r="E1040" t="str">
        <f t="shared" si="50"/>
        <v>서울특별시</v>
      </c>
      <c r="F1040" t="str">
        <f t="shared" si="51"/>
        <v xml:space="preserve">강북구 </v>
      </c>
      <c r="G1040" t="str">
        <f t="shared" si="52"/>
        <v>수유동</v>
      </c>
      <c r="H1040" t="s">
        <v>3958</v>
      </c>
      <c r="I1040">
        <v>1074</v>
      </c>
    </row>
    <row r="1041" spans="1:9" x14ac:dyDescent="0.4">
      <c r="A1041">
        <v>3080000</v>
      </c>
      <c r="B1041" t="s">
        <v>3947</v>
      </c>
      <c r="C1041" s="1">
        <v>36894</v>
      </c>
      <c r="D1041" t="s">
        <v>3948</v>
      </c>
      <c r="E1041" t="str">
        <f t="shared" si="50"/>
        <v>서울특별시</v>
      </c>
      <c r="F1041" t="str">
        <f t="shared" si="51"/>
        <v xml:space="preserve">강북구 </v>
      </c>
      <c r="G1041" t="str">
        <f t="shared" si="52"/>
        <v>수유동</v>
      </c>
      <c r="H1041" t="s">
        <v>3949</v>
      </c>
      <c r="I1041">
        <v>1074</v>
      </c>
    </row>
    <row r="1042" spans="1:9" x14ac:dyDescent="0.4">
      <c r="A1042">
        <v>3080000</v>
      </c>
      <c r="B1042" t="s">
        <v>4149</v>
      </c>
      <c r="C1042" s="1">
        <v>36652</v>
      </c>
      <c r="D1042" t="s">
        <v>4150</v>
      </c>
      <c r="E1042" t="str">
        <f t="shared" si="50"/>
        <v>서울특별시</v>
      </c>
      <c r="F1042" t="str">
        <f t="shared" si="51"/>
        <v xml:space="preserve">강북구 </v>
      </c>
      <c r="G1042" t="str">
        <f t="shared" si="52"/>
        <v>수유동</v>
      </c>
      <c r="H1042" t="s">
        <v>4151</v>
      </c>
      <c r="I1042">
        <v>1074</v>
      </c>
    </row>
    <row r="1043" spans="1:9" x14ac:dyDescent="0.4">
      <c r="A1043">
        <v>3080000</v>
      </c>
      <c r="B1043" t="s">
        <v>3962</v>
      </c>
      <c r="C1043" s="1">
        <v>37237</v>
      </c>
      <c r="D1043" t="s">
        <v>3963</v>
      </c>
      <c r="E1043" t="str">
        <f t="shared" si="50"/>
        <v>서울특별시</v>
      </c>
      <c r="F1043" t="str">
        <f t="shared" si="51"/>
        <v xml:space="preserve">강북구 </v>
      </c>
      <c r="G1043" t="str">
        <f t="shared" si="52"/>
        <v>수유동</v>
      </c>
      <c r="H1043" t="s">
        <v>3964</v>
      </c>
      <c r="I1043">
        <v>1074</v>
      </c>
    </row>
    <row r="1044" spans="1:9" x14ac:dyDescent="0.4">
      <c r="A1044">
        <v>3080000</v>
      </c>
      <c r="B1044" t="s">
        <v>4164</v>
      </c>
      <c r="C1044" s="1">
        <v>36614</v>
      </c>
      <c r="D1044" t="s">
        <v>4165</v>
      </c>
      <c r="E1044" t="str">
        <f t="shared" si="50"/>
        <v>서울특별시</v>
      </c>
      <c r="F1044" t="str">
        <f t="shared" si="51"/>
        <v xml:space="preserve">강북구 </v>
      </c>
      <c r="G1044" t="str">
        <f t="shared" si="52"/>
        <v>수유동</v>
      </c>
      <c r="H1044" t="s">
        <v>4166</v>
      </c>
      <c r="I1044">
        <v>1074</v>
      </c>
    </row>
    <row r="1045" spans="1:9" x14ac:dyDescent="0.4">
      <c r="A1045">
        <v>3080000</v>
      </c>
      <c r="B1045" t="s">
        <v>4001</v>
      </c>
      <c r="C1045" s="1">
        <v>38569</v>
      </c>
      <c r="D1045" t="s">
        <v>4002</v>
      </c>
      <c r="E1045" t="str">
        <f t="shared" si="50"/>
        <v>서울특별시</v>
      </c>
      <c r="F1045" t="str">
        <f t="shared" si="51"/>
        <v xml:space="preserve">강북구 </v>
      </c>
      <c r="G1045" t="str">
        <f t="shared" si="52"/>
        <v>수유동</v>
      </c>
      <c r="H1045" t="s">
        <v>4003</v>
      </c>
      <c r="I1045">
        <v>1074</v>
      </c>
    </row>
    <row r="1046" spans="1:9" x14ac:dyDescent="0.4">
      <c r="A1046">
        <v>3080000</v>
      </c>
      <c r="B1046" t="s">
        <v>3941</v>
      </c>
      <c r="C1046" s="1">
        <v>36804</v>
      </c>
      <c r="D1046" t="s">
        <v>3942</v>
      </c>
      <c r="E1046" t="str">
        <f t="shared" si="50"/>
        <v>서울특별시</v>
      </c>
      <c r="F1046" t="str">
        <f t="shared" si="51"/>
        <v xml:space="preserve">강북구 </v>
      </c>
      <c r="G1046" t="str">
        <f t="shared" si="52"/>
        <v>수유동</v>
      </c>
      <c r="H1046" t="s">
        <v>3943</v>
      </c>
      <c r="I1046">
        <v>1074</v>
      </c>
    </row>
    <row r="1047" spans="1:9" x14ac:dyDescent="0.4">
      <c r="A1047">
        <v>3080000</v>
      </c>
      <c r="B1047" t="s">
        <v>3974</v>
      </c>
      <c r="C1047" s="1">
        <v>39589</v>
      </c>
      <c r="D1047" t="s">
        <v>3975</v>
      </c>
      <c r="E1047" t="str">
        <f t="shared" si="50"/>
        <v>서울특별시</v>
      </c>
      <c r="F1047" t="str">
        <f t="shared" si="51"/>
        <v xml:space="preserve">강북구 </v>
      </c>
      <c r="G1047" t="str">
        <f t="shared" si="52"/>
        <v>수유동</v>
      </c>
      <c r="H1047" t="s">
        <v>3976</v>
      </c>
      <c r="I1047">
        <v>1073</v>
      </c>
    </row>
    <row r="1048" spans="1:9" x14ac:dyDescent="0.4">
      <c r="A1048">
        <v>3080000</v>
      </c>
      <c r="B1048" t="s">
        <v>4280</v>
      </c>
      <c r="C1048" s="1">
        <v>32750</v>
      </c>
      <c r="D1048" t="s">
        <v>4281</v>
      </c>
      <c r="E1048" t="str">
        <f t="shared" si="50"/>
        <v>서울특별시</v>
      </c>
      <c r="F1048" t="str">
        <f t="shared" si="51"/>
        <v xml:space="preserve">강북구 </v>
      </c>
      <c r="G1048" t="str">
        <f t="shared" si="52"/>
        <v>수유동</v>
      </c>
    </row>
    <row r="1049" spans="1:9" x14ac:dyDescent="0.4">
      <c r="A1049">
        <v>3080000</v>
      </c>
      <c r="B1049" t="s">
        <v>12152</v>
      </c>
      <c r="C1049" s="1">
        <v>39967</v>
      </c>
      <c r="D1049" t="s">
        <v>12153</v>
      </c>
      <c r="E1049" t="str">
        <f t="shared" si="50"/>
        <v>서울특별시</v>
      </c>
      <c r="F1049" t="str">
        <f t="shared" si="51"/>
        <v xml:space="preserve">강북구 </v>
      </c>
      <c r="G1049" t="str">
        <f t="shared" si="52"/>
        <v>수유동</v>
      </c>
      <c r="H1049" t="s">
        <v>12154</v>
      </c>
      <c r="I1049">
        <v>1073</v>
      </c>
    </row>
    <row r="1050" spans="1:9" x14ac:dyDescent="0.4">
      <c r="A1050">
        <v>3080000</v>
      </c>
      <c r="B1050" t="s">
        <v>4004</v>
      </c>
      <c r="C1050" s="1">
        <v>39974</v>
      </c>
      <c r="D1050" t="s">
        <v>4005</v>
      </c>
      <c r="E1050" t="str">
        <f t="shared" si="50"/>
        <v>서울특별시</v>
      </c>
      <c r="F1050" t="str">
        <f t="shared" si="51"/>
        <v xml:space="preserve">강북구 </v>
      </c>
      <c r="G1050" t="str">
        <f t="shared" si="52"/>
        <v>수유동</v>
      </c>
      <c r="H1050" t="s">
        <v>4006</v>
      </c>
      <c r="I1050">
        <v>1073</v>
      </c>
    </row>
    <row r="1051" spans="1:9" x14ac:dyDescent="0.4">
      <c r="A1051">
        <v>3080000</v>
      </c>
      <c r="B1051" t="s">
        <v>4140</v>
      </c>
      <c r="C1051" s="1">
        <v>40590</v>
      </c>
      <c r="D1051" t="s">
        <v>4141</v>
      </c>
      <c r="E1051" t="str">
        <f t="shared" si="50"/>
        <v>서울특별시</v>
      </c>
      <c r="F1051" t="str">
        <f t="shared" si="51"/>
        <v xml:space="preserve">강북구 </v>
      </c>
      <c r="G1051" t="str">
        <f t="shared" si="52"/>
        <v>수유동</v>
      </c>
      <c r="H1051" t="s">
        <v>4142</v>
      </c>
      <c r="I1051">
        <v>1073</v>
      </c>
    </row>
    <row r="1052" spans="1:9" x14ac:dyDescent="0.4">
      <c r="A1052">
        <v>3080000</v>
      </c>
      <c r="B1052" t="s">
        <v>4173</v>
      </c>
      <c r="C1052" s="1">
        <v>41747</v>
      </c>
      <c r="D1052" t="s">
        <v>4174</v>
      </c>
      <c r="E1052" t="str">
        <f t="shared" si="50"/>
        <v>서울특별시</v>
      </c>
      <c r="F1052" t="str">
        <f t="shared" si="51"/>
        <v xml:space="preserve">강북구 </v>
      </c>
      <c r="G1052" t="str">
        <f t="shared" si="52"/>
        <v>수유동</v>
      </c>
      <c r="H1052" t="s">
        <v>4142</v>
      </c>
      <c r="I1052">
        <v>1073</v>
      </c>
    </row>
    <row r="1053" spans="1:9" x14ac:dyDescent="0.4">
      <c r="A1053">
        <v>3080000</v>
      </c>
      <c r="B1053" t="s">
        <v>4105</v>
      </c>
      <c r="C1053" s="1">
        <v>44525</v>
      </c>
      <c r="D1053" t="s">
        <v>4106</v>
      </c>
      <c r="E1053" t="str">
        <f t="shared" si="50"/>
        <v>서울특별시</v>
      </c>
      <c r="F1053" t="str">
        <f t="shared" si="51"/>
        <v xml:space="preserve">강북구 </v>
      </c>
      <c r="G1053" t="str">
        <f t="shared" si="52"/>
        <v>수유동</v>
      </c>
      <c r="H1053" t="s">
        <v>4107</v>
      </c>
      <c r="I1053">
        <v>1073</v>
      </c>
    </row>
    <row r="1054" spans="1:9" x14ac:dyDescent="0.4">
      <c r="A1054">
        <v>3080000</v>
      </c>
      <c r="B1054" t="s">
        <v>4074</v>
      </c>
      <c r="C1054" s="1">
        <v>44526</v>
      </c>
      <c r="D1054" t="s">
        <v>4075</v>
      </c>
      <c r="E1054" t="str">
        <f t="shared" si="50"/>
        <v>서울특별시</v>
      </c>
      <c r="F1054" t="str">
        <f t="shared" si="51"/>
        <v xml:space="preserve">강북구 </v>
      </c>
      <c r="G1054" t="str">
        <f t="shared" si="52"/>
        <v>수유동</v>
      </c>
      <c r="H1054" t="s">
        <v>4076</v>
      </c>
      <c r="I1054">
        <v>1073</v>
      </c>
    </row>
    <row r="1055" spans="1:9" x14ac:dyDescent="0.4">
      <c r="A1055">
        <v>3080000</v>
      </c>
      <c r="B1055" t="s">
        <v>4082</v>
      </c>
      <c r="C1055" s="1">
        <v>44125</v>
      </c>
      <c r="D1055" t="s">
        <v>4075</v>
      </c>
      <c r="E1055" t="str">
        <f t="shared" si="50"/>
        <v>서울특별시</v>
      </c>
      <c r="F1055" t="str">
        <f t="shared" si="51"/>
        <v xml:space="preserve">강북구 </v>
      </c>
      <c r="G1055" t="str">
        <f t="shared" si="52"/>
        <v>수유동</v>
      </c>
      <c r="H1055" t="s">
        <v>4083</v>
      </c>
      <c r="I1055">
        <v>1073</v>
      </c>
    </row>
    <row r="1056" spans="1:9" x14ac:dyDescent="0.4">
      <c r="A1056">
        <v>3080000</v>
      </c>
      <c r="B1056" t="s">
        <v>4198</v>
      </c>
      <c r="C1056" s="1">
        <v>36858</v>
      </c>
      <c r="D1056" t="s">
        <v>4199</v>
      </c>
      <c r="E1056" t="str">
        <f t="shared" si="50"/>
        <v>서울특별시</v>
      </c>
      <c r="F1056" t="str">
        <f t="shared" si="51"/>
        <v xml:space="preserve">강북구 </v>
      </c>
      <c r="G1056" t="str">
        <f t="shared" si="52"/>
        <v>수유동</v>
      </c>
      <c r="H1056" t="s">
        <v>4142</v>
      </c>
      <c r="I1056">
        <v>1073</v>
      </c>
    </row>
    <row r="1057" spans="1:9" x14ac:dyDescent="0.4">
      <c r="A1057">
        <v>3080000</v>
      </c>
      <c r="B1057" t="s">
        <v>4102</v>
      </c>
      <c r="C1057" s="1">
        <v>44384</v>
      </c>
      <c r="D1057" t="s">
        <v>4103</v>
      </c>
      <c r="E1057" t="str">
        <f t="shared" si="50"/>
        <v>서울특별시</v>
      </c>
      <c r="F1057" t="str">
        <f t="shared" si="51"/>
        <v xml:space="preserve">강북구 </v>
      </c>
      <c r="G1057" t="str">
        <f t="shared" si="52"/>
        <v>수유동</v>
      </c>
      <c r="H1057" t="s">
        <v>4104</v>
      </c>
      <c r="I1057">
        <v>1073</v>
      </c>
    </row>
    <row r="1058" spans="1:9" x14ac:dyDescent="0.4">
      <c r="A1058">
        <v>3080000</v>
      </c>
      <c r="B1058" t="s">
        <v>4137</v>
      </c>
      <c r="C1058" s="1">
        <v>40473</v>
      </c>
      <c r="D1058" t="s">
        <v>4138</v>
      </c>
      <c r="E1058" t="str">
        <f t="shared" si="50"/>
        <v>서울특별시</v>
      </c>
      <c r="F1058" t="str">
        <f t="shared" si="51"/>
        <v xml:space="preserve">강북구 </v>
      </c>
      <c r="G1058" t="str">
        <f t="shared" si="52"/>
        <v>수유동</v>
      </c>
      <c r="H1058" t="s">
        <v>4139</v>
      </c>
      <c r="I1058">
        <v>1073</v>
      </c>
    </row>
    <row r="1059" spans="1:9" x14ac:dyDescent="0.4">
      <c r="A1059">
        <v>3080000</v>
      </c>
      <c r="B1059" t="s">
        <v>4084</v>
      </c>
      <c r="C1059" s="1">
        <v>44750</v>
      </c>
      <c r="D1059" t="s">
        <v>4085</v>
      </c>
      <c r="E1059" t="str">
        <f t="shared" si="50"/>
        <v>서울특별시</v>
      </c>
      <c r="F1059" t="str">
        <f t="shared" si="51"/>
        <v xml:space="preserve">강북구 </v>
      </c>
      <c r="G1059" t="str">
        <f t="shared" si="52"/>
        <v>수유동</v>
      </c>
      <c r="H1059" t="s">
        <v>4086</v>
      </c>
      <c r="I1059">
        <v>1073</v>
      </c>
    </row>
    <row r="1060" spans="1:9" x14ac:dyDescent="0.4">
      <c r="A1060">
        <v>3080000</v>
      </c>
      <c r="B1060" t="s">
        <v>3968</v>
      </c>
      <c r="C1060" s="1">
        <v>37719</v>
      </c>
      <c r="D1060" t="s">
        <v>3969</v>
      </c>
      <c r="E1060" t="str">
        <f t="shared" si="50"/>
        <v>서울특별시</v>
      </c>
      <c r="F1060" t="str">
        <f t="shared" si="51"/>
        <v xml:space="preserve">강북구 </v>
      </c>
      <c r="G1060" t="str">
        <f t="shared" si="52"/>
        <v>수유동</v>
      </c>
      <c r="H1060" t="s">
        <v>3970</v>
      </c>
      <c r="I1060">
        <v>1073</v>
      </c>
    </row>
    <row r="1061" spans="1:9" x14ac:dyDescent="0.4">
      <c r="A1061">
        <v>3080000</v>
      </c>
      <c r="B1061" t="s">
        <v>4028</v>
      </c>
      <c r="C1061" s="1">
        <v>38789</v>
      </c>
      <c r="D1061" t="s">
        <v>4029</v>
      </c>
      <c r="E1061" t="str">
        <f t="shared" si="50"/>
        <v>서울특별시</v>
      </c>
      <c r="F1061" t="str">
        <f t="shared" si="51"/>
        <v xml:space="preserve">강북구 </v>
      </c>
      <c r="G1061" t="str">
        <f t="shared" si="52"/>
        <v>수유동</v>
      </c>
      <c r="H1061" t="s">
        <v>4030</v>
      </c>
      <c r="I1061">
        <v>1073</v>
      </c>
    </row>
    <row r="1062" spans="1:9" x14ac:dyDescent="0.4">
      <c r="A1062">
        <v>3080000</v>
      </c>
      <c r="B1062" t="s">
        <v>4170</v>
      </c>
      <c r="C1062" s="1">
        <v>36675</v>
      </c>
      <c r="D1062" t="s">
        <v>4171</v>
      </c>
      <c r="E1062" t="str">
        <f t="shared" si="50"/>
        <v>서울특별시</v>
      </c>
      <c r="F1062" t="str">
        <f t="shared" si="51"/>
        <v xml:space="preserve">강북구 </v>
      </c>
      <c r="G1062" t="str">
        <f t="shared" si="52"/>
        <v>수유동</v>
      </c>
      <c r="H1062" t="s">
        <v>4172</v>
      </c>
      <c r="I1062">
        <v>1073</v>
      </c>
    </row>
    <row r="1063" spans="1:9" x14ac:dyDescent="0.4">
      <c r="A1063">
        <v>3080000</v>
      </c>
      <c r="B1063" t="s">
        <v>4036</v>
      </c>
      <c r="C1063" s="1">
        <v>40501</v>
      </c>
      <c r="D1063" t="s">
        <v>4037</v>
      </c>
      <c r="E1063" t="str">
        <f t="shared" si="50"/>
        <v>서울특별시</v>
      </c>
      <c r="F1063" t="str">
        <f t="shared" si="51"/>
        <v xml:space="preserve">강북구 </v>
      </c>
      <c r="G1063" t="str">
        <f t="shared" si="52"/>
        <v>수유동</v>
      </c>
      <c r="H1063" t="s">
        <v>4038</v>
      </c>
      <c r="I1063">
        <v>1073</v>
      </c>
    </row>
    <row r="1064" spans="1:9" x14ac:dyDescent="0.4">
      <c r="A1064">
        <v>3080000</v>
      </c>
      <c r="B1064" t="s">
        <v>4117</v>
      </c>
      <c r="C1064" s="1">
        <v>45421</v>
      </c>
      <c r="D1064" t="s">
        <v>4118</v>
      </c>
      <c r="E1064" t="str">
        <f t="shared" si="50"/>
        <v>서울특별시</v>
      </c>
      <c r="F1064" t="str">
        <f t="shared" si="51"/>
        <v xml:space="preserve">강북구 </v>
      </c>
      <c r="G1064" t="str">
        <f t="shared" si="52"/>
        <v>수유동</v>
      </c>
      <c r="H1064" t="s">
        <v>4119</v>
      </c>
      <c r="I1064">
        <v>1073</v>
      </c>
    </row>
    <row r="1065" spans="1:9" x14ac:dyDescent="0.4">
      <c r="A1065">
        <v>3080000</v>
      </c>
      <c r="B1065" t="s">
        <v>4120</v>
      </c>
      <c r="C1065" s="1">
        <v>45421</v>
      </c>
      <c r="D1065" t="s">
        <v>4118</v>
      </c>
      <c r="E1065" t="str">
        <f t="shared" si="50"/>
        <v>서울특별시</v>
      </c>
      <c r="F1065" t="str">
        <f t="shared" si="51"/>
        <v xml:space="preserve">강북구 </v>
      </c>
      <c r="G1065" t="str">
        <f t="shared" si="52"/>
        <v>수유동</v>
      </c>
      <c r="H1065" t="s">
        <v>4119</v>
      </c>
      <c r="I1065">
        <v>1073</v>
      </c>
    </row>
    <row r="1066" spans="1:9" x14ac:dyDescent="0.4">
      <c r="A1066">
        <v>3080000</v>
      </c>
      <c r="B1066" t="s">
        <v>4236</v>
      </c>
      <c r="C1066" s="1">
        <v>37741</v>
      </c>
      <c r="D1066" t="s">
        <v>4237</v>
      </c>
      <c r="E1066" t="str">
        <f t="shared" si="50"/>
        <v>서울특별시</v>
      </c>
      <c r="F1066" t="str">
        <f t="shared" si="51"/>
        <v xml:space="preserve">강북구 </v>
      </c>
      <c r="G1066" t="str">
        <f t="shared" si="52"/>
        <v>수유동</v>
      </c>
      <c r="H1066" t="s">
        <v>4238</v>
      </c>
      <c r="I1066">
        <v>1073</v>
      </c>
    </row>
    <row r="1067" spans="1:9" x14ac:dyDescent="0.4">
      <c r="A1067">
        <v>3080000</v>
      </c>
      <c r="B1067" t="s">
        <v>4090</v>
      </c>
      <c r="C1067" s="1">
        <v>43825</v>
      </c>
      <c r="D1067" t="s">
        <v>4091</v>
      </c>
      <c r="E1067" t="str">
        <f t="shared" si="50"/>
        <v>서울특별시</v>
      </c>
      <c r="F1067" t="str">
        <f t="shared" si="51"/>
        <v xml:space="preserve">강북구 </v>
      </c>
      <c r="G1067" t="str">
        <f t="shared" si="52"/>
        <v>수유동</v>
      </c>
      <c r="H1067" t="s">
        <v>4092</v>
      </c>
      <c r="I1067">
        <v>1073</v>
      </c>
    </row>
    <row r="1068" spans="1:9" x14ac:dyDescent="0.4">
      <c r="A1068">
        <v>3080000</v>
      </c>
      <c r="B1068" t="s">
        <v>147</v>
      </c>
      <c r="C1068" s="1">
        <v>39689</v>
      </c>
      <c r="D1068" t="s">
        <v>148</v>
      </c>
      <c r="E1068" t="str">
        <f t="shared" si="50"/>
        <v>서울특별시</v>
      </c>
      <c r="F1068" t="str">
        <f t="shared" si="51"/>
        <v xml:space="preserve">강북구 </v>
      </c>
      <c r="G1068" t="str">
        <f t="shared" si="52"/>
        <v>수유동</v>
      </c>
      <c r="H1068" t="s">
        <v>149</v>
      </c>
      <c r="I1068">
        <v>1073</v>
      </c>
    </row>
    <row r="1069" spans="1:9" x14ac:dyDescent="0.4">
      <c r="A1069">
        <v>3080000</v>
      </c>
      <c r="B1069" t="s">
        <v>4268</v>
      </c>
      <c r="C1069" s="1">
        <v>37834</v>
      </c>
      <c r="D1069" t="s">
        <v>4269</v>
      </c>
      <c r="E1069" t="str">
        <f t="shared" si="50"/>
        <v>서울특별시</v>
      </c>
      <c r="F1069" t="str">
        <f t="shared" si="51"/>
        <v xml:space="preserve">강북구 </v>
      </c>
      <c r="G1069" t="str">
        <f t="shared" si="52"/>
        <v>수유동</v>
      </c>
    </row>
    <row r="1070" spans="1:9" x14ac:dyDescent="0.4">
      <c r="A1070">
        <v>3080000</v>
      </c>
      <c r="B1070" t="s">
        <v>4293</v>
      </c>
      <c r="C1070" s="1">
        <v>31009</v>
      </c>
      <c r="D1070" t="s">
        <v>4294</v>
      </c>
      <c r="E1070" t="str">
        <f t="shared" si="50"/>
        <v>서울특별시</v>
      </c>
      <c r="F1070" t="str">
        <f t="shared" si="51"/>
        <v xml:space="preserve">강북구 </v>
      </c>
      <c r="G1070" t="str">
        <f t="shared" si="52"/>
        <v>수유동</v>
      </c>
      <c r="H1070" t="s">
        <v>4295</v>
      </c>
    </row>
    <row r="1071" spans="1:9" x14ac:dyDescent="0.4">
      <c r="A1071">
        <v>3080000</v>
      </c>
      <c r="B1071" t="s">
        <v>4096</v>
      </c>
      <c r="C1071" s="1">
        <v>43522</v>
      </c>
      <c r="D1071" t="s">
        <v>4097</v>
      </c>
      <c r="E1071" t="str">
        <f t="shared" si="50"/>
        <v>서울특별시</v>
      </c>
      <c r="F1071" t="str">
        <f t="shared" si="51"/>
        <v xml:space="preserve">강북구 </v>
      </c>
      <c r="G1071" t="str">
        <f t="shared" si="52"/>
        <v>수유동</v>
      </c>
      <c r="H1071" t="s">
        <v>4098</v>
      </c>
      <c r="I1071">
        <v>1073</v>
      </c>
    </row>
    <row r="1072" spans="1:9" x14ac:dyDescent="0.4">
      <c r="A1072">
        <v>3080000</v>
      </c>
      <c r="B1072" t="s">
        <v>4152</v>
      </c>
      <c r="C1072" s="1">
        <v>36592</v>
      </c>
      <c r="D1072" t="s">
        <v>4153</v>
      </c>
      <c r="E1072" t="str">
        <f t="shared" si="50"/>
        <v>서울특별시</v>
      </c>
      <c r="F1072" t="str">
        <f t="shared" si="51"/>
        <v xml:space="preserve">강북구 </v>
      </c>
      <c r="G1072" t="str">
        <f t="shared" si="52"/>
        <v>수유동</v>
      </c>
      <c r="H1072" t="s">
        <v>4154</v>
      </c>
      <c r="I1072">
        <v>1080</v>
      </c>
    </row>
    <row r="1073" spans="1:9" x14ac:dyDescent="0.4">
      <c r="A1073">
        <v>3080000</v>
      </c>
      <c r="B1073" t="s">
        <v>4099</v>
      </c>
      <c r="C1073" s="1">
        <v>44770</v>
      </c>
      <c r="D1073" t="s">
        <v>4100</v>
      </c>
      <c r="E1073" t="str">
        <f t="shared" si="50"/>
        <v>서울특별시</v>
      </c>
      <c r="F1073" t="str">
        <f t="shared" si="51"/>
        <v xml:space="preserve">강북구 </v>
      </c>
      <c r="G1073" t="str">
        <f t="shared" si="52"/>
        <v>수유동</v>
      </c>
      <c r="H1073" t="s">
        <v>4101</v>
      </c>
      <c r="I1073">
        <v>1081</v>
      </c>
    </row>
    <row r="1074" spans="1:9" x14ac:dyDescent="0.4">
      <c r="A1074">
        <v>3080000</v>
      </c>
      <c r="B1074" t="s">
        <v>4278</v>
      </c>
      <c r="C1074" s="1">
        <v>36381</v>
      </c>
      <c r="D1074" t="s">
        <v>4279</v>
      </c>
      <c r="E1074" t="str">
        <f t="shared" si="50"/>
        <v>서울특별시</v>
      </c>
      <c r="F1074" t="str">
        <f t="shared" si="51"/>
        <v xml:space="preserve">강북구 </v>
      </c>
      <c r="G1074" t="str">
        <f t="shared" si="52"/>
        <v>수유동</v>
      </c>
    </row>
    <row r="1075" spans="1:9" x14ac:dyDescent="0.4">
      <c r="A1075">
        <v>3080000</v>
      </c>
      <c r="B1075" t="s">
        <v>3965</v>
      </c>
      <c r="C1075" s="1">
        <v>37256</v>
      </c>
      <c r="D1075" t="s">
        <v>3966</v>
      </c>
      <c r="E1075" t="str">
        <f t="shared" si="50"/>
        <v>서울특별시</v>
      </c>
      <c r="F1075" t="str">
        <f t="shared" si="51"/>
        <v xml:space="preserve">강북구 </v>
      </c>
      <c r="G1075" t="str">
        <f t="shared" si="52"/>
        <v>수유동</v>
      </c>
      <c r="H1075" t="s">
        <v>3967</v>
      </c>
      <c r="I1075">
        <v>1081</v>
      </c>
    </row>
    <row r="1076" spans="1:9" x14ac:dyDescent="0.4">
      <c r="A1076">
        <v>3080000</v>
      </c>
      <c r="B1076" t="s">
        <v>3950</v>
      </c>
      <c r="C1076" s="1">
        <v>37127</v>
      </c>
      <c r="D1076" t="s">
        <v>3951</v>
      </c>
      <c r="E1076" t="str">
        <f t="shared" si="50"/>
        <v>서울특별시</v>
      </c>
      <c r="F1076" t="str">
        <f t="shared" si="51"/>
        <v xml:space="preserve">강북구 </v>
      </c>
      <c r="G1076" t="str">
        <f t="shared" si="52"/>
        <v>수유동</v>
      </c>
      <c r="H1076" t="s">
        <v>3952</v>
      </c>
      <c r="I1076">
        <v>1081</v>
      </c>
    </row>
    <row r="1077" spans="1:9" x14ac:dyDescent="0.4">
      <c r="A1077">
        <v>3080000</v>
      </c>
      <c r="B1077" t="s">
        <v>4018</v>
      </c>
      <c r="C1077" s="1">
        <v>26742</v>
      </c>
      <c r="D1077" t="s">
        <v>4019</v>
      </c>
      <c r="E1077" t="str">
        <f t="shared" si="50"/>
        <v>서울특별시</v>
      </c>
      <c r="F1077" t="str">
        <f t="shared" si="51"/>
        <v xml:space="preserve">강북구 </v>
      </c>
      <c r="G1077" t="str">
        <f t="shared" si="52"/>
        <v>수유동</v>
      </c>
      <c r="H1077" t="s">
        <v>4020</v>
      </c>
      <c r="I1077">
        <v>1081</v>
      </c>
    </row>
    <row r="1078" spans="1:9" x14ac:dyDescent="0.4">
      <c r="A1078">
        <v>3080000</v>
      </c>
      <c r="B1078" t="s">
        <v>4177</v>
      </c>
      <c r="C1078" s="1">
        <v>36487</v>
      </c>
      <c r="D1078" t="s">
        <v>4178</v>
      </c>
      <c r="E1078" t="str">
        <f t="shared" si="50"/>
        <v>서울특별시</v>
      </c>
      <c r="F1078" t="str">
        <f t="shared" si="51"/>
        <v xml:space="preserve">강북구 </v>
      </c>
      <c r="G1078" t="str">
        <f t="shared" si="52"/>
        <v>수유동</v>
      </c>
    </row>
    <row r="1079" spans="1:9" x14ac:dyDescent="0.4">
      <c r="A1079">
        <v>3080000</v>
      </c>
      <c r="B1079" t="s">
        <v>4265</v>
      </c>
      <c r="C1079" s="1">
        <v>39540</v>
      </c>
      <c r="D1079" t="s">
        <v>4266</v>
      </c>
      <c r="E1079" t="str">
        <f t="shared" si="50"/>
        <v>서울특별시</v>
      </c>
      <c r="F1079" t="str">
        <f t="shared" si="51"/>
        <v xml:space="preserve">강북구 </v>
      </c>
      <c r="G1079" t="str">
        <f t="shared" si="52"/>
        <v>수유동</v>
      </c>
      <c r="H1079" t="s">
        <v>4267</v>
      </c>
      <c r="I1079">
        <v>1081</v>
      </c>
    </row>
    <row r="1080" spans="1:9" x14ac:dyDescent="0.4">
      <c r="A1080">
        <v>3080000</v>
      </c>
      <c r="B1080" t="s">
        <v>4044</v>
      </c>
      <c r="C1080" s="1">
        <v>31531</v>
      </c>
      <c r="D1080" t="s">
        <v>4045</v>
      </c>
      <c r="E1080" t="str">
        <f t="shared" si="50"/>
        <v>서울특별시</v>
      </c>
      <c r="F1080" t="str">
        <f t="shared" si="51"/>
        <v xml:space="preserve">강북구 </v>
      </c>
      <c r="G1080" t="str">
        <f t="shared" si="52"/>
        <v>수유동</v>
      </c>
    </row>
    <row r="1081" spans="1:9" x14ac:dyDescent="0.4">
      <c r="A1081">
        <v>3080000</v>
      </c>
      <c r="B1081" t="s">
        <v>4158</v>
      </c>
      <c r="C1081" s="1">
        <v>41478</v>
      </c>
      <c r="D1081" t="s">
        <v>4159</v>
      </c>
      <c r="E1081" t="str">
        <f t="shared" si="50"/>
        <v>서울특별시</v>
      </c>
      <c r="F1081" t="str">
        <f t="shared" si="51"/>
        <v xml:space="preserve">강북구 </v>
      </c>
      <c r="G1081" t="str">
        <f t="shared" si="52"/>
        <v>수유동</v>
      </c>
      <c r="H1081" t="s">
        <v>4160</v>
      </c>
      <c r="I1081">
        <v>1081</v>
      </c>
    </row>
    <row r="1082" spans="1:9" x14ac:dyDescent="0.4">
      <c r="A1082">
        <v>3080000</v>
      </c>
      <c r="B1082" t="s">
        <v>4079</v>
      </c>
      <c r="C1082" s="1">
        <v>36760</v>
      </c>
      <c r="D1082" t="s">
        <v>4080</v>
      </c>
      <c r="E1082" t="str">
        <f t="shared" si="50"/>
        <v>서울특별시</v>
      </c>
      <c r="F1082" t="str">
        <f t="shared" si="51"/>
        <v xml:space="preserve">강북구 </v>
      </c>
      <c r="G1082" t="str">
        <f t="shared" si="52"/>
        <v>수유동</v>
      </c>
      <c r="H1082" t="s">
        <v>4081</v>
      </c>
      <c r="I1082">
        <v>1081</v>
      </c>
    </row>
    <row r="1083" spans="1:9" x14ac:dyDescent="0.4">
      <c r="A1083">
        <v>3080000</v>
      </c>
      <c r="B1083" t="s">
        <v>4053</v>
      </c>
      <c r="C1083" s="1">
        <v>36588</v>
      </c>
      <c r="D1083" t="s">
        <v>4054</v>
      </c>
      <c r="E1083" t="str">
        <f t="shared" si="50"/>
        <v>서울특별시</v>
      </c>
      <c r="F1083" t="str">
        <f t="shared" si="51"/>
        <v xml:space="preserve">강북구 </v>
      </c>
      <c r="G1083" t="str">
        <f t="shared" si="52"/>
        <v>수유동</v>
      </c>
      <c r="H1083" t="s">
        <v>4055</v>
      </c>
      <c r="I1083">
        <v>1113</v>
      </c>
    </row>
    <row r="1084" spans="1:9" x14ac:dyDescent="0.4">
      <c r="A1084">
        <v>3080000</v>
      </c>
      <c r="B1084" t="s">
        <v>4247</v>
      </c>
      <c r="C1084" s="1">
        <v>37670</v>
      </c>
      <c r="D1084" t="s">
        <v>4248</v>
      </c>
      <c r="E1084" t="str">
        <f t="shared" si="50"/>
        <v>서울특별시</v>
      </c>
      <c r="F1084" t="str">
        <f t="shared" si="51"/>
        <v xml:space="preserve">강북구 </v>
      </c>
      <c r="G1084" t="str">
        <f t="shared" si="52"/>
        <v>수유동</v>
      </c>
      <c r="H1084" t="s">
        <v>4249</v>
      </c>
      <c r="I1084">
        <v>1113</v>
      </c>
    </row>
    <row r="1085" spans="1:9" x14ac:dyDescent="0.4">
      <c r="A1085">
        <v>3080000</v>
      </c>
      <c r="B1085" t="s">
        <v>4039</v>
      </c>
      <c r="C1085" s="1">
        <v>36659</v>
      </c>
      <c r="D1085" t="s">
        <v>4040</v>
      </c>
      <c r="E1085" t="str">
        <f t="shared" si="50"/>
        <v>서울특별시</v>
      </c>
      <c r="F1085" t="str">
        <f t="shared" si="51"/>
        <v xml:space="preserve">강북구 </v>
      </c>
      <c r="G1085" t="str">
        <f t="shared" si="52"/>
        <v>수유동</v>
      </c>
    </row>
    <row r="1086" spans="1:9" x14ac:dyDescent="0.4">
      <c r="A1086">
        <v>3080000</v>
      </c>
      <c r="B1086" t="s">
        <v>4277</v>
      </c>
      <c r="C1086" s="1">
        <v>36263</v>
      </c>
      <c r="D1086" t="s">
        <v>4040</v>
      </c>
      <c r="E1086" t="str">
        <f t="shared" si="50"/>
        <v>서울특별시</v>
      </c>
      <c r="F1086" t="str">
        <f t="shared" si="51"/>
        <v xml:space="preserve">강북구 </v>
      </c>
      <c r="G1086" t="str">
        <f t="shared" si="52"/>
        <v>수유동</v>
      </c>
    </row>
    <row r="1087" spans="1:9" x14ac:dyDescent="0.4">
      <c r="A1087">
        <v>3080000</v>
      </c>
      <c r="B1087" t="s">
        <v>4253</v>
      </c>
      <c r="C1087" s="1">
        <v>37397</v>
      </c>
      <c r="D1087" t="s">
        <v>4254</v>
      </c>
      <c r="E1087" t="str">
        <f t="shared" si="50"/>
        <v>서울특별시</v>
      </c>
      <c r="F1087" t="str">
        <f t="shared" si="51"/>
        <v xml:space="preserve">강북구 </v>
      </c>
      <c r="G1087" t="str">
        <f t="shared" si="52"/>
        <v>수유동</v>
      </c>
    </row>
    <row r="1088" spans="1:9" x14ac:dyDescent="0.4">
      <c r="A1088">
        <v>3080000</v>
      </c>
      <c r="B1088" t="s">
        <v>4274</v>
      </c>
      <c r="C1088" s="1">
        <v>39638</v>
      </c>
      <c r="D1088" t="s">
        <v>4254</v>
      </c>
      <c r="E1088" t="str">
        <f t="shared" si="50"/>
        <v>서울특별시</v>
      </c>
      <c r="F1088" t="str">
        <f t="shared" si="51"/>
        <v xml:space="preserve">강북구 </v>
      </c>
      <c r="G1088" t="str">
        <f t="shared" si="52"/>
        <v>수유동</v>
      </c>
    </row>
    <row r="1089" spans="1:9" x14ac:dyDescent="0.4">
      <c r="A1089">
        <v>3080000</v>
      </c>
      <c r="B1089" t="s">
        <v>4240</v>
      </c>
      <c r="C1089" s="1">
        <v>37260</v>
      </c>
      <c r="D1089" t="s">
        <v>4241</v>
      </c>
      <c r="E1089" t="str">
        <f t="shared" si="50"/>
        <v>서울특별시</v>
      </c>
      <c r="F1089" t="str">
        <f t="shared" si="51"/>
        <v xml:space="preserve">강북구 </v>
      </c>
      <c r="G1089" t="str">
        <f t="shared" si="52"/>
        <v>수유동</v>
      </c>
    </row>
    <row r="1090" spans="1:9" x14ac:dyDescent="0.4">
      <c r="A1090">
        <v>3080000</v>
      </c>
      <c r="B1090" t="s">
        <v>3998</v>
      </c>
      <c r="C1090" s="1">
        <v>37796</v>
      </c>
      <c r="D1090" t="s">
        <v>3999</v>
      </c>
      <c r="E1090" t="str">
        <f t="shared" si="50"/>
        <v>서울특별시</v>
      </c>
      <c r="F1090" t="str">
        <f t="shared" si="51"/>
        <v xml:space="preserve">강북구 </v>
      </c>
      <c r="G1090" t="str">
        <f t="shared" si="52"/>
        <v>수유동</v>
      </c>
      <c r="H1090" t="s">
        <v>4000</v>
      </c>
      <c r="I1090">
        <v>1113</v>
      </c>
    </row>
    <row r="1091" spans="1:9" x14ac:dyDescent="0.4">
      <c r="A1091">
        <v>3080000</v>
      </c>
      <c r="B1091" t="s">
        <v>3980</v>
      </c>
      <c r="C1091" s="1">
        <v>42447</v>
      </c>
      <c r="D1091" t="s">
        <v>3981</v>
      </c>
      <c r="E1091" t="str">
        <f t="shared" ref="E1091:E1154" si="53">LEFT(D1091,5)</f>
        <v>서울특별시</v>
      </c>
      <c r="F1091" t="str">
        <f t="shared" ref="F1091:F1154" si="54">MID(D1091,7,4)</f>
        <v xml:space="preserve">강북구 </v>
      </c>
      <c r="G1091" t="str">
        <f t="shared" ref="G1091:G1154" si="55">MID(SUBSTITUTE(D1091," ",""),9,3)</f>
        <v>수유동</v>
      </c>
      <c r="H1091" t="s">
        <v>3982</v>
      </c>
      <c r="I1091">
        <v>1081</v>
      </c>
    </row>
    <row r="1092" spans="1:9" x14ac:dyDescent="0.4">
      <c r="A1092">
        <v>3080000</v>
      </c>
      <c r="B1092" t="s">
        <v>4222</v>
      </c>
      <c r="C1092" s="1">
        <v>37058</v>
      </c>
      <c r="D1092" t="s">
        <v>4223</v>
      </c>
      <c r="E1092" t="str">
        <f t="shared" si="53"/>
        <v>서울특별시</v>
      </c>
      <c r="F1092" t="str">
        <f t="shared" si="54"/>
        <v xml:space="preserve">강북구 </v>
      </c>
      <c r="G1092" t="str">
        <f t="shared" si="55"/>
        <v>수유동</v>
      </c>
      <c r="H1092" t="s">
        <v>4224</v>
      </c>
    </row>
    <row r="1093" spans="1:9" x14ac:dyDescent="0.4">
      <c r="A1093">
        <v>3080000</v>
      </c>
      <c r="B1093" t="s">
        <v>4093</v>
      </c>
      <c r="C1093" s="1">
        <v>44377</v>
      </c>
      <c r="D1093" t="s">
        <v>4094</v>
      </c>
      <c r="E1093" t="str">
        <f t="shared" si="53"/>
        <v>서울특별시</v>
      </c>
      <c r="F1093" t="str">
        <f t="shared" si="54"/>
        <v xml:space="preserve">강북구 </v>
      </c>
      <c r="G1093" t="str">
        <f t="shared" si="55"/>
        <v>수유동</v>
      </c>
      <c r="H1093" t="s">
        <v>4095</v>
      </c>
      <c r="I1093">
        <v>1081</v>
      </c>
    </row>
    <row r="1094" spans="1:9" x14ac:dyDescent="0.4">
      <c r="A1094">
        <v>3080000</v>
      </c>
      <c r="B1094" t="s">
        <v>4047</v>
      </c>
      <c r="C1094" s="1">
        <v>41121</v>
      </c>
      <c r="D1094" t="s">
        <v>4048</v>
      </c>
      <c r="E1094" t="str">
        <f t="shared" si="53"/>
        <v>서울특별시</v>
      </c>
      <c r="F1094" t="str">
        <f t="shared" si="54"/>
        <v xml:space="preserve">강북구 </v>
      </c>
      <c r="G1094" t="str">
        <f t="shared" si="55"/>
        <v>수유동</v>
      </c>
      <c r="H1094" t="s">
        <v>4049</v>
      </c>
      <c r="I1094">
        <v>1081</v>
      </c>
    </row>
    <row r="1095" spans="1:9" x14ac:dyDescent="0.4">
      <c r="A1095">
        <v>3080000</v>
      </c>
      <c r="B1095" t="s">
        <v>4258</v>
      </c>
      <c r="C1095" s="1">
        <v>37629</v>
      </c>
      <c r="D1095" t="s">
        <v>4259</v>
      </c>
      <c r="E1095" t="str">
        <f t="shared" si="53"/>
        <v>서울특별시</v>
      </c>
      <c r="F1095" t="str">
        <f t="shared" si="54"/>
        <v xml:space="preserve">강북구 </v>
      </c>
      <c r="G1095" t="str">
        <f t="shared" si="55"/>
        <v>수유동</v>
      </c>
    </row>
    <row r="1096" spans="1:9" x14ac:dyDescent="0.4">
      <c r="A1096">
        <v>3080000</v>
      </c>
      <c r="B1096" t="s">
        <v>3995</v>
      </c>
      <c r="C1096" s="1">
        <v>39468</v>
      </c>
      <c r="D1096" t="s">
        <v>3996</v>
      </c>
      <c r="E1096" t="str">
        <f t="shared" si="53"/>
        <v>서울특별시</v>
      </c>
      <c r="F1096" t="str">
        <f t="shared" si="54"/>
        <v xml:space="preserve">강북구 </v>
      </c>
      <c r="G1096" t="str">
        <f t="shared" si="55"/>
        <v>수유동</v>
      </c>
      <c r="H1096" t="s">
        <v>3997</v>
      </c>
      <c r="I1096">
        <v>1114</v>
      </c>
    </row>
    <row r="1097" spans="1:9" x14ac:dyDescent="0.4">
      <c r="A1097">
        <v>3080000</v>
      </c>
      <c r="B1097" t="s">
        <v>4220</v>
      </c>
      <c r="C1097" s="1">
        <v>37032</v>
      </c>
      <c r="D1097" t="s">
        <v>4221</v>
      </c>
      <c r="E1097" t="str">
        <f t="shared" si="53"/>
        <v>서울특별시</v>
      </c>
      <c r="F1097" t="str">
        <f t="shared" si="54"/>
        <v xml:space="preserve">강북구 </v>
      </c>
      <c r="G1097" t="str">
        <f t="shared" si="55"/>
        <v>수유동</v>
      </c>
    </row>
    <row r="1098" spans="1:9" x14ac:dyDescent="0.4">
      <c r="A1098">
        <v>3080000</v>
      </c>
      <c r="B1098" t="s">
        <v>4204</v>
      </c>
      <c r="C1098" s="1">
        <v>37144</v>
      </c>
      <c r="D1098" t="s">
        <v>4205</v>
      </c>
      <c r="E1098" t="str">
        <f t="shared" si="53"/>
        <v>서울특별시</v>
      </c>
      <c r="F1098" t="str">
        <f t="shared" si="54"/>
        <v xml:space="preserve">강북구 </v>
      </c>
      <c r="G1098" t="str">
        <f t="shared" si="55"/>
        <v>수유동</v>
      </c>
      <c r="H1098" t="s">
        <v>4206</v>
      </c>
      <c r="I1098">
        <v>1114</v>
      </c>
    </row>
    <row r="1099" spans="1:9" x14ac:dyDescent="0.4">
      <c r="A1099">
        <v>3080000</v>
      </c>
      <c r="B1099" t="s">
        <v>4195</v>
      </c>
      <c r="C1099" s="1">
        <v>37120</v>
      </c>
      <c r="D1099" t="s">
        <v>4196</v>
      </c>
      <c r="E1099" t="str">
        <f t="shared" si="53"/>
        <v>서울특별시</v>
      </c>
      <c r="F1099" t="str">
        <f t="shared" si="54"/>
        <v xml:space="preserve">강북구 </v>
      </c>
      <c r="G1099" t="str">
        <f t="shared" si="55"/>
        <v>수유동</v>
      </c>
      <c r="H1099" t="s">
        <v>4197</v>
      </c>
      <c r="I1099">
        <v>1114</v>
      </c>
    </row>
    <row r="1100" spans="1:9" x14ac:dyDescent="0.4">
      <c r="A1100">
        <v>3080000</v>
      </c>
      <c r="B1100" t="s">
        <v>4242</v>
      </c>
      <c r="C1100" s="1">
        <v>37277</v>
      </c>
      <c r="D1100" t="s">
        <v>4243</v>
      </c>
      <c r="E1100" t="str">
        <f t="shared" si="53"/>
        <v>서울특별시</v>
      </c>
      <c r="F1100" t="str">
        <f t="shared" si="54"/>
        <v xml:space="preserve">강북구 </v>
      </c>
      <c r="G1100" t="str">
        <f t="shared" si="55"/>
        <v>수유동</v>
      </c>
      <c r="H1100" t="s">
        <v>4244</v>
      </c>
      <c r="I1100">
        <v>1114</v>
      </c>
    </row>
    <row r="1101" spans="1:9" x14ac:dyDescent="0.4">
      <c r="A1101">
        <v>3080000</v>
      </c>
      <c r="B1101" t="s">
        <v>4225</v>
      </c>
      <c r="C1101" s="1">
        <v>37058</v>
      </c>
      <c r="D1101" t="s">
        <v>4226</v>
      </c>
      <c r="E1101" t="str">
        <f t="shared" si="53"/>
        <v>서울특별시</v>
      </c>
      <c r="F1101" t="str">
        <f t="shared" si="54"/>
        <v xml:space="preserve">강북구 </v>
      </c>
      <c r="G1101" t="str">
        <f t="shared" si="55"/>
        <v>수유동</v>
      </c>
      <c r="H1101" t="s">
        <v>4227</v>
      </c>
      <c r="I1101">
        <v>1113</v>
      </c>
    </row>
    <row r="1102" spans="1:9" x14ac:dyDescent="0.4">
      <c r="A1102">
        <v>3080000</v>
      </c>
      <c r="B1102" t="s">
        <v>4301</v>
      </c>
      <c r="C1102" s="1">
        <v>24868</v>
      </c>
      <c r="D1102" t="s">
        <v>4302</v>
      </c>
      <c r="E1102" t="str">
        <f t="shared" si="53"/>
        <v>서울특별시</v>
      </c>
      <c r="F1102" t="str">
        <f t="shared" si="54"/>
        <v xml:space="preserve">강북구 </v>
      </c>
      <c r="G1102" t="str">
        <f t="shared" si="55"/>
        <v>우이동</v>
      </c>
    </row>
    <row r="1103" spans="1:9" x14ac:dyDescent="0.4">
      <c r="A1103">
        <v>3150000</v>
      </c>
      <c r="B1103" t="s">
        <v>5915</v>
      </c>
      <c r="C1103" s="1">
        <v>36558</v>
      </c>
      <c r="D1103" t="s">
        <v>5916</v>
      </c>
      <c r="E1103" t="str">
        <f t="shared" si="53"/>
        <v>서울특별시</v>
      </c>
      <c r="F1103" t="str">
        <f t="shared" si="54"/>
        <v xml:space="preserve">강서구 </v>
      </c>
      <c r="G1103" t="str">
        <f t="shared" si="55"/>
        <v>가양동</v>
      </c>
      <c r="H1103" t="s">
        <v>5917</v>
      </c>
      <c r="I1103">
        <v>7527</v>
      </c>
    </row>
    <row r="1104" spans="1:9" x14ac:dyDescent="0.4">
      <c r="A1104">
        <v>3150000</v>
      </c>
      <c r="B1104" t="s">
        <v>5702</v>
      </c>
      <c r="C1104" s="1">
        <v>41037</v>
      </c>
      <c r="D1104" t="s">
        <v>5703</v>
      </c>
      <c r="E1104" t="str">
        <f t="shared" si="53"/>
        <v>서울특별시</v>
      </c>
      <c r="F1104" t="str">
        <f t="shared" si="54"/>
        <v xml:space="preserve">강서구 </v>
      </c>
      <c r="G1104" t="str">
        <f t="shared" si="55"/>
        <v>가양동</v>
      </c>
      <c r="H1104" t="s">
        <v>5704</v>
      </c>
      <c r="I1104">
        <v>7527</v>
      </c>
    </row>
    <row r="1105" spans="1:9" x14ac:dyDescent="0.4">
      <c r="A1105">
        <v>3150000</v>
      </c>
      <c r="B1105" t="s">
        <v>6064</v>
      </c>
      <c r="C1105" s="1">
        <v>34719</v>
      </c>
      <c r="D1105" t="s">
        <v>6065</v>
      </c>
      <c r="E1105" t="str">
        <f t="shared" si="53"/>
        <v>서울특별시</v>
      </c>
      <c r="F1105" t="str">
        <f t="shared" si="54"/>
        <v xml:space="preserve">강서구 </v>
      </c>
      <c r="G1105" t="str">
        <f t="shared" si="55"/>
        <v>공항동</v>
      </c>
    </row>
    <row r="1106" spans="1:9" x14ac:dyDescent="0.4">
      <c r="A1106">
        <v>3150000</v>
      </c>
      <c r="B1106" t="s">
        <v>5854</v>
      </c>
      <c r="C1106" s="1">
        <v>36417</v>
      </c>
      <c r="D1106" t="s">
        <v>5855</v>
      </c>
      <c r="E1106" t="str">
        <f t="shared" si="53"/>
        <v>서울특별시</v>
      </c>
      <c r="F1106" t="str">
        <f t="shared" si="54"/>
        <v xml:space="preserve">강서구 </v>
      </c>
      <c r="G1106" t="str">
        <f t="shared" si="55"/>
        <v>공항동</v>
      </c>
      <c r="H1106" t="s">
        <v>5856</v>
      </c>
      <c r="I1106">
        <v>7622</v>
      </c>
    </row>
    <row r="1107" spans="1:9" x14ac:dyDescent="0.4">
      <c r="A1107">
        <v>3150000</v>
      </c>
      <c r="B1107" t="s">
        <v>6096</v>
      </c>
      <c r="C1107" s="1">
        <v>34178</v>
      </c>
      <c r="D1107" t="s">
        <v>6097</v>
      </c>
      <c r="E1107" t="str">
        <f t="shared" si="53"/>
        <v>서울특별시</v>
      </c>
      <c r="F1107" t="str">
        <f t="shared" si="54"/>
        <v xml:space="preserve">강서구 </v>
      </c>
      <c r="G1107" t="str">
        <f t="shared" si="55"/>
        <v>공항동</v>
      </c>
    </row>
    <row r="1108" spans="1:9" x14ac:dyDescent="0.4">
      <c r="A1108">
        <v>3150000</v>
      </c>
      <c r="B1108" t="s">
        <v>6087</v>
      </c>
      <c r="C1108" s="1">
        <v>31500</v>
      </c>
      <c r="D1108" t="s">
        <v>6088</v>
      </c>
      <c r="E1108" t="str">
        <f t="shared" si="53"/>
        <v>서울특별시</v>
      </c>
      <c r="F1108" t="str">
        <f t="shared" si="54"/>
        <v xml:space="preserve">강서구 </v>
      </c>
      <c r="G1108" t="str">
        <f t="shared" si="55"/>
        <v>공항동</v>
      </c>
    </row>
    <row r="1109" spans="1:9" x14ac:dyDescent="0.4">
      <c r="A1109">
        <v>3150000</v>
      </c>
      <c r="B1109" t="s">
        <v>5998</v>
      </c>
      <c r="C1109" s="1">
        <v>31765</v>
      </c>
      <c r="D1109" t="s">
        <v>5999</v>
      </c>
      <c r="E1109" t="str">
        <f t="shared" si="53"/>
        <v>서울특별시</v>
      </c>
      <c r="F1109" t="str">
        <f t="shared" si="54"/>
        <v xml:space="preserve">강서구 </v>
      </c>
      <c r="G1109" t="str">
        <f t="shared" si="55"/>
        <v>공항동</v>
      </c>
    </row>
    <row r="1110" spans="1:9" x14ac:dyDescent="0.4">
      <c r="A1110">
        <v>3150000</v>
      </c>
      <c r="B1110" t="s">
        <v>5837</v>
      </c>
      <c r="C1110" s="1">
        <v>36286</v>
      </c>
      <c r="D1110" t="s">
        <v>5838</v>
      </c>
      <c r="E1110" t="str">
        <f t="shared" si="53"/>
        <v>서울특별시</v>
      </c>
      <c r="F1110" t="str">
        <f t="shared" si="54"/>
        <v xml:space="preserve">강서구 </v>
      </c>
      <c r="G1110" t="str">
        <f t="shared" si="55"/>
        <v>공항동</v>
      </c>
    </row>
    <row r="1111" spans="1:9" x14ac:dyDescent="0.4">
      <c r="A1111">
        <v>3150000</v>
      </c>
      <c r="B1111" t="s">
        <v>5827</v>
      </c>
      <c r="C1111" s="1">
        <v>36606</v>
      </c>
      <c r="D1111" t="s">
        <v>5828</v>
      </c>
      <c r="E1111" t="str">
        <f t="shared" si="53"/>
        <v>서울특별시</v>
      </c>
      <c r="F1111" t="str">
        <f t="shared" si="54"/>
        <v xml:space="preserve">강서구 </v>
      </c>
      <c r="G1111" t="str">
        <f t="shared" si="55"/>
        <v>공항동</v>
      </c>
      <c r="H1111" t="s">
        <v>5829</v>
      </c>
      <c r="I1111">
        <v>7622</v>
      </c>
    </row>
    <row r="1112" spans="1:9" x14ac:dyDescent="0.4">
      <c r="A1112">
        <v>3150000</v>
      </c>
      <c r="B1112" t="s">
        <v>5789</v>
      </c>
      <c r="C1112" s="1">
        <v>32750</v>
      </c>
      <c r="D1112" t="s">
        <v>5790</v>
      </c>
      <c r="E1112" t="str">
        <f t="shared" si="53"/>
        <v>서울특별시</v>
      </c>
      <c r="F1112" t="str">
        <f t="shared" si="54"/>
        <v xml:space="preserve">강서구 </v>
      </c>
      <c r="G1112" t="str">
        <f t="shared" si="55"/>
        <v>공항동</v>
      </c>
      <c r="H1112" t="s">
        <v>5791</v>
      </c>
      <c r="I1112">
        <v>7623</v>
      </c>
    </row>
    <row r="1113" spans="1:9" x14ac:dyDescent="0.4">
      <c r="A1113">
        <v>3150000</v>
      </c>
      <c r="B1113" t="s">
        <v>5647</v>
      </c>
      <c r="C1113" s="1">
        <v>31330</v>
      </c>
      <c r="D1113" t="s">
        <v>5648</v>
      </c>
      <c r="E1113" t="str">
        <f t="shared" si="53"/>
        <v>서울특별시</v>
      </c>
      <c r="F1113" t="str">
        <f t="shared" si="54"/>
        <v xml:space="preserve">강서구 </v>
      </c>
      <c r="G1113" t="str">
        <f t="shared" si="55"/>
        <v>공항동</v>
      </c>
      <c r="H1113" t="s">
        <v>5649</v>
      </c>
      <c r="I1113">
        <v>7622</v>
      </c>
    </row>
    <row r="1114" spans="1:9" x14ac:dyDescent="0.4">
      <c r="A1114">
        <v>3150000</v>
      </c>
      <c r="B1114" t="s">
        <v>6092</v>
      </c>
      <c r="C1114" s="1">
        <v>29286</v>
      </c>
      <c r="D1114" t="s">
        <v>6093</v>
      </c>
      <c r="E1114" t="str">
        <f t="shared" si="53"/>
        <v>서울특별시</v>
      </c>
      <c r="F1114" t="str">
        <f t="shared" si="54"/>
        <v xml:space="preserve">강서구 </v>
      </c>
      <c r="G1114" t="str">
        <f t="shared" si="55"/>
        <v>내발산</v>
      </c>
    </row>
    <row r="1115" spans="1:9" x14ac:dyDescent="0.4">
      <c r="A1115">
        <v>3150000</v>
      </c>
      <c r="B1115" t="s">
        <v>6031</v>
      </c>
      <c r="C1115" s="1">
        <v>33703</v>
      </c>
      <c r="D1115" t="s">
        <v>6032</v>
      </c>
      <c r="E1115" t="str">
        <f t="shared" si="53"/>
        <v>서울특별시</v>
      </c>
      <c r="F1115" t="str">
        <f t="shared" si="54"/>
        <v xml:space="preserve">강서구 </v>
      </c>
      <c r="G1115" t="str">
        <f t="shared" si="55"/>
        <v>등촌동</v>
      </c>
      <c r="H1115" t="s">
        <v>6033</v>
      </c>
      <c r="I1115">
        <v>7665</v>
      </c>
    </row>
    <row r="1116" spans="1:9" x14ac:dyDescent="0.4">
      <c r="A1116">
        <v>3150000</v>
      </c>
      <c r="B1116" t="s">
        <v>5564</v>
      </c>
      <c r="C1116" s="1">
        <v>43543</v>
      </c>
      <c r="D1116" t="s">
        <v>5565</v>
      </c>
      <c r="E1116" t="str">
        <f t="shared" si="53"/>
        <v>서울특별시</v>
      </c>
      <c r="F1116" t="str">
        <f t="shared" si="54"/>
        <v xml:space="preserve">강서구 </v>
      </c>
      <c r="G1116" t="str">
        <f t="shared" si="55"/>
        <v>마곡동</v>
      </c>
      <c r="H1116" t="s">
        <v>5566</v>
      </c>
      <c r="I1116">
        <v>7803</v>
      </c>
    </row>
    <row r="1117" spans="1:9" x14ac:dyDescent="0.4">
      <c r="A1117">
        <v>3150000</v>
      </c>
      <c r="B1117" t="s">
        <v>5558</v>
      </c>
      <c r="C1117" s="1">
        <v>43140</v>
      </c>
      <c r="D1117" t="s">
        <v>5559</v>
      </c>
      <c r="E1117" t="str">
        <f t="shared" si="53"/>
        <v>서울특별시</v>
      </c>
      <c r="F1117" t="str">
        <f t="shared" si="54"/>
        <v xml:space="preserve">강서구 </v>
      </c>
      <c r="G1117" t="str">
        <f t="shared" si="55"/>
        <v>마곡동</v>
      </c>
      <c r="H1117" t="s">
        <v>5560</v>
      </c>
      <c r="I1117">
        <v>7803</v>
      </c>
    </row>
    <row r="1118" spans="1:9" x14ac:dyDescent="0.4">
      <c r="A1118">
        <v>3150000</v>
      </c>
      <c r="B1118" t="s">
        <v>5606</v>
      </c>
      <c r="C1118" s="1">
        <v>43098</v>
      </c>
      <c r="D1118" t="s">
        <v>5607</v>
      </c>
      <c r="E1118" t="str">
        <f t="shared" si="53"/>
        <v>서울특별시</v>
      </c>
      <c r="F1118" t="str">
        <f t="shared" si="54"/>
        <v xml:space="preserve">강서구 </v>
      </c>
      <c r="G1118" t="str">
        <f t="shared" si="55"/>
        <v>마곡동</v>
      </c>
      <c r="H1118" t="s">
        <v>5608</v>
      </c>
      <c r="I1118">
        <v>7803</v>
      </c>
    </row>
    <row r="1119" spans="1:9" x14ac:dyDescent="0.4">
      <c r="A1119">
        <v>3150000</v>
      </c>
      <c r="B1119" t="s">
        <v>5627</v>
      </c>
      <c r="C1119" s="1">
        <v>43080</v>
      </c>
      <c r="D1119" t="s">
        <v>5628</v>
      </c>
      <c r="E1119" t="str">
        <f t="shared" si="53"/>
        <v>서울특별시</v>
      </c>
      <c r="F1119" t="str">
        <f t="shared" si="54"/>
        <v xml:space="preserve">강서구 </v>
      </c>
      <c r="G1119" t="str">
        <f t="shared" si="55"/>
        <v>마곡동</v>
      </c>
      <c r="H1119" t="s">
        <v>20</v>
      </c>
      <c r="I1119">
        <v>7803</v>
      </c>
    </row>
    <row r="1120" spans="1:9" x14ac:dyDescent="0.4">
      <c r="A1120">
        <v>3150000</v>
      </c>
      <c r="B1120" t="s">
        <v>5525</v>
      </c>
      <c r="C1120" s="1">
        <v>43117</v>
      </c>
      <c r="D1120" t="s">
        <v>5526</v>
      </c>
      <c r="E1120" t="str">
        <f t="shared" si="53"/>
        <v>서울특별시</v>
      </c>
      <c r="F1120" t="str">
        <f t="shared" si="54"/>
        <v xml:space="preserve">강서구 </v>
      </c>
      <c r="G1120" t="str">
        <f t="shared" si="55"/>
        <v>마곡동</v>
      </c>
      <c r="H1120" t="s">
        <v>5527</v>
      </c>
      <c r="I1120">
        <v>7803</v>
      </c>
    </row>
    <row r="1121" spans="1:9" x14ac:dyDescent="0.4">
      <c r="A1121">
        <v>3150000</v>
      </c>
      <c r="B1121" t="s">
        <v>5924</v>
      </c>
      <c r="C1121" s="1">
        <v>42919</v>
      </c>
      <c r="D1121" t="s">
        <v>5925</v>
      </c>
      <c r="E1121" t="str">
        <f t="shared" si="53"/>
        <v>서울특별시</v>
      </c>
      <c r="F1121" t="str">
        <f t="shared" si="54"/>
        <v xml:space="preserve">강서구 </v>
      </c>
      <c r="G1121" t="str">
        <f t="shared" si="55"/>
        <v>마곡동</v>
      </c>
      <c r="H1121" t="s">
        <v>5926</v>
      </c>
      <c r="I1121">
        <v>7803</v>
      </c>
    </row>
    <row r="1122" spans="1:9" x14ac:dyDescent="0.4">
      <c r="A1122">
        <v>3150000</v>
      </c>
      <c r="B1122" t="s">
        <v>5927</v>
      </c>
      <c r="C1122" s="1">
        <v>42940</v>
      </c>
      <c r="D1122" t="s">
        <v>5928</v>
      </c>
      <c r="E1122" t="str">
        <f t="shared" si="53"/>
        <v>서울특별시</v>
      </c>
      <c r="F1122" t="str">
        <f t="shared" si="54"/>
        <v xml:space="preserve">강서구 </v>
      </c>
      <c r="G1122" t="str">
        <f t="shared" si="55"/>
        <v>마곡동</v>
      </c>
      <c r="H1122" t="s">
        <v>5929</v>
      </c>
      <c r="I1122">
        <v>7803</v>
      </c>
    </row>
    <row r="1123" spans="1:9" x14ac:dyDescent="0.4">
      <c r="A1123">
        <v>3150000</v>
      </c>
      <c r="B1123" t="s">
        <v>5588</v>
      </c>
      <c r="C1123" s="1">
        <v>43543</v>
      </c>
      <c r="D1123" t="s">
        <v>5589</v>
      </c>
      <c r="E1123" t="str">
        <f t="shared" si="53"/>
        <v>서울특별시</v>
      </c>
      <c r="F1123" t="str">
        <f t="shared" si="54"/>
        <v xml:space="preserve">강서구 </v>
      </c>
      <c r="G1123" t="str">
        <f t="shared" si="55"/>
        <v>마곡동</v>
      </c>
      <c r="H1123" t="s">
        <v>5590</v>
      </c>
      <c r="I1123">
        <v>7803</v>
      </c>
    </row>
    <row r="1124" spans="1:9" x14ac:dyDescent="0.4">
      <c r="A1124">
        <v>3150000</v>
      </c>
      <c r="B1124" t="s">
        <v>5510</v>
      </c>
      <c r="C1124" s="1">
        <v>43112</v>
      </c>
      <c r="D1124" t="s">
        <v>5511</v>
      </c>
      <c r="E1124" t="str">
        <f t="shared" si="53"/>
        <v>서울특별시</v>
      </c>
      <c r="F1124" t="str">
        <f t="shared" si="54"/>
        <v xml:space="preserve">강서구 </v>
      </c>
      <c r="G1124" t="str">
        <f t="shared" si="55"/>
        <v>마곡동</v>
      </c>
      <c r="H1124" t="s">
        <v>5512</v>
      </c>
      <c r="I1124">
        <v>7803</v>
      </c>
    </row>
    <row r="1125" spans="1:9" x14ac:dyDescent="0.4">
      <c r="A1125">
        <v>3150000</v>
      </c>
      <c r="B1125" t="s">
        <v>5680</v>
      </c>
      <c r="C1125" s="1">
        <v>43112</v>
      </c>
      <c r="D1125" t="s">
        <v>5681</v>
      </c>
      <c r="E1125" t="str">
        <f t="shared" si="53"/>
        <v>서울특별시</v>
      </c>
      <c r="F1125" t="str">
        <f t="shared" si="54"/>
        <v xml:space="preserve">강서구 </v>
      </c>
      <c r="G1125" t="str">
        <f t="shared" si="55"/>
        <v>마곡동</v>
      </c>
      <c r="H1125" t="s">
        <v>5682</v>
      </c>
      <c r="I1125">
        <v>7803</v>
      </c>
    </row>
    <row r="1126" spans="1:9" x14ac:dyDescent="0.4">
      <c r="A1126">
        <v>3150000</v>
      </c>
      <c r="B1126" t="s">
        <v>5528</v>
      </c>
      <c r="C1126" s="1">
        <v>43119</v>
      </c>
      <c r="D1126" t="s">
        <v>5529</v>
      </c>
      <c r="E1126" t="str">
        <f t="shared" si="53"/>
        <v>서울특별시</v>
      </c>
      <c r="F1126" t="str">
        <f t="shared" si="54"/>
        <v xml:space="preserve">강서구 </v>
      </c>
      <c r="G1126" t="str">
        <f t="shared" si="55"/>
        <v>마곡동</v>
      </c>
      <c r="H1126" t="s">
        <v>5530</v>
      </c>
      <c r="I1126">
        <v>7803</v>
      </c>
    </row>
    <row r="1127" spans="1:9" x14ac:dyDescent="0.4">
      <c r="A1127">
        <v>3150000</v>
      </c>
      <c r="B1127" t="s">
        <v>5516</v>
      </c>
      <c r="C1127" s="1">
        <v>43119</v>
      </c>
      <c r="D1127" t="s">
        <v>5517</v>
      </c>
      <c r="E1127" t="str">
        <f t="shared" si="53"/>
        <v>서울특별시</v>
      </c>
      <c r="F1127" t="str">
        <f t="shared" si="54"/>
        <v xml:space="preserve">강서구 </v>
      </c>
      <c r="G1127" t="str">
        <f t="shared" si="55"/>
        <v>마곡동</v>
      </c>
      <c r="H1127" t="s">
        <v>5518</v>
      </c>
      <c r="I1127">
        <v>7803</v>
      </c>
    </row>
    <row r="1128" spans="1:9" x14ac:dyDescent="0.4">
      <c r="A1128">
        <v>3150000</v>
      </c>
      <c r="B1128" t="s">
        <v>5656</v>
      </c>
      <c r="C1128" s="1">
        <v>43999</v>
      </c>
      <c r="D1128" t="s">
        <v>5657</v>
      </c>
      <c r="E1128" t="str">
        <f t="shared" si="53"/>
        <v>서울특별시</v>
      </c>
      <c r="F1128" t="str">
        <f t="shared" si="54"/>
        <v xml:space="preserve">강서구 </v>
      </c>
      <c r="G1128" t="str">
        <f t="shared" si="55"/>
        <v>마곡동</v>
      </c>
      <c r="H1128" t="s">
        <v>5658</v>
      </c>
      <c r="I1128">
        <v>7803</v>
      </c>
    </row>
    <row r="1129" spans="1:9" x14ac:dyDescent="0.4">
      <c r="A1129">
        <v>3150000</v>
      </c>
      <c r="B1129" t="s">
        <v>249</v>
      </c>
      <c r="C1129" s="1">
        <v>42972</v>
      </c>
      <c r="D1129" t="s">
        <v>250</v>
      </c>
      <c r="E1129" t="str">
        <f t="shared" si="53"/>
        <v>서울특별시</v>
      </c>
      <c r="F1129" t="str">
        <f t="shared" si="54"/>
        <v xml:space="preserve">강서구 </v>
      </c>
      <c r="G1129" t="str">
        <f t="shared" si="55"/>
        <v>마곡동</v>
      </c>
      <c r="H1129" t="s">
        <v>251</v>
      </c>
      <c r="I1129">
        <v>7803</v>
      </c>
    </row>
    <row r="1130" spans="1:9" x14ac:dyDescent="0.4">
      <c r="A1130">
        <v>3150000</v>
      </c>
      <c r="B1130" t="s">
        <v>228</v>
      </c>
      <c r="C1130" s="1">
        <v>42972</v>
      </c>
      <c r="D1130" t="s">
        <v>229</v>
      </c>
      <c r="E1130" t="str">
        <f t="shared" si="53"/>
        <v>서울특별시</v>
      </c>
      <c r="F1130" t="str">
        <f t="shared" si="54"/>
        <v xml:space="preserve">강서구 </v>
      </c>
      <c r="G1130" t="str">
        <f t="shared" si="55"/>
        <v>마곡동</v>
      </c>
      <c r="H1130" t="s">
        <v>230</v>
      </c>
      <c r="I1130">
        <v>7803</v>
      </c>
    </row>
    <row r="1131" spans="1:9" x14ac:dyDescent="0.4">
      <c r="A1131">
        <v>3150000</v>
      </c>
      <c r="B1131" t="s">
        <v>5632</v>
      </c>
      <c r="C1131" s="1">
        <v>43080</v>
      </c>
      <c r="D1131" t="s">
        <v>5633</v>
      </c>
      <c r="E1131" t="str">
        <f t="shared" si="53"/>
        <v>서울특별시</v>
      </c>
      <c r="F1131" t="str">
        <f t="shared" si="54"/>
        <v xml:space="preserve">강서구 </v>
      </c>
      <c r="G1131" t="str">
        <f t="shared" si="55"/>
        <v>마곡동</v>
      </c>
      <c r="H1131" t="s">
        <v>5634</v>
      </c>
      <c r="I1131">
        <v>7803</v>
      </c>
    </row>
    <row r="1132" spans="1:9" x14ac:dyDescent="0.4">
      <c r="A1132">
        <v>3150000</v>
      </c>
      <c r="B1132" t="s">
        <v>5981</v>
      </c>
      <c r="C1132" s="1">
        <v>43080</v>
      </c>
      <c r="D1132" t="s">
        <v>5982</v>
      </c>
      <c r="E1132" t="str">
        <f t="shared" si="53"/>
        <v>서울특별시</v>
      </c>
      <c r="F1132" t="str">
        <f t="shared" si="54"/>
        <v xml:space="preserve">강서구 </v>
      </c>
      <c r="G1132" t="str">
        <f t="shared" si="55"/>
        <v>마곡동</v>
      </c>
      <c r="H1132" t="s">
        <v>5983</v>
      </c>
      <c r="I1132">
        <v>7803</v>
      </c>
    </row>
    <row r="1133" spans="1:9" x14ac:dyDescent="0.4">
      <c r="A1133">
        <v>3150000</v>
      </c>
      <c r="B1133" t="s">
        <v>5984</v>
      </c>
      <c r="C1133" s="1">
        <v>42997</v>
      </c>
      <c r="D1133" t="s">
        <v>5985</v>
      </c>
      <c r="E1133" t="str">
        <f t="shared" si="53"/>
        <v>서울특별시</v>
      </c>
      <c r="F1133" t="str">
        <f t="shared" si="54"/>
        <v xml:space="preserve">강서구 </v>
      </c>
      <c r="G1133" t="str">
        <f t="shared" si="55"/>
        <v>마곡동</v>
      </c>
      <c r="H1133" t="s">
        <v>5986</v>
      </c>
      <c r="I1133">
        <v>7803</v>
      </c>
    </row>
    <row r="1134" spans="1:9" x14ac:dyDescent="0.4">
      <c r="A1134">
        <v>3150000</v>
      </c>
      <c r="B1134" t="s">
        <v>5629</v>
      </c>
      <c r="C1134" s="1">
        <v>43098</v>
      </c>
      <c r="D1134" t="s">
        <v>5630</v>
      </c>
      <c r="E1134" t="str">
        <f t="shared" si="53"/>
        <v>서울특별시</v>
      </c>
      <c r="F1134" t="str">
        <f t="shared" si="54"/>
        <v xml:space="preserve">강서구 </v>
      </c>
      <c r="G1134" t="str">
        <f t="shared" si="55"/>
        <v>마곡동</v>
      </c>
      <c r="H1134" t="s">
        <v>5631</v>
      </c>
      <c r="I1134">
        <v>7803</v>
      </c>
    </row>
    <row r="1135" spans="1:9" x14ac:dyDescent="0.4">
      <c r="A1135">
        <v>3150000</v>
      </c>
      <c r="B1135" t="s">
        <v>18</v>
      </c>
      <c r="C1135" s="1">
        <v>45828</v>
      </c>
      <c r="D1135" t="s">
        <v>19</v>
      </c>
      <c r="E1135" t="str">
        <f t="shared" si="53"/>
        <v>서울특별시</v>
      </c>
      <c r="F1135" t="str">
        <f t="shared" si="54"/>
        <v xml:space="preserve">강서구 </v>
      </c>
      <c r="G1135" t="str">
        <f t="shared" si="55"/>
        <v>마곡동</v>
      </c>
      <c r="H1135" t="s">
        <v>20</v>
      </c>
      <c r="I1135">
        <v>7803</v>
      </c>
    </row>
    <row r="1136" spans="1:9" x14ac:dyDescent="0.4">
      <c r="A1136">
        <v>3150000</v>
      </c>
      <c r="B1136" t="s">
        <v>5519</v>
      </c>
      <c r="C1136" s="1">
        <v>43115</v>
      </c>
      <c r="D1136" t="s">
        <v>5520</v>
      </c>
      <c r="E1136" t="str">
        <f t="shared" si="53"/>
        <v>서울특별시</v>
      </c>
      <c r="F1136" t="str">
        <f t="shared" si="54"/>
        <v xml:space="preserve">강서구 </v>
      </c>
      <c r="G1136" t="str">
        <f t="shared" si="55"/>
        <v>마곡동</v>
      </c>
      <c r="H1136" t="s">
        <v>5521</v>
      </c>
      <c r="I1136">
        <v>7803</v>
      </c>
    </row>
    <row r="1137" spans="1:9" x14ac:dyDescent="0.4">
      <c r="A1137">
        <v>3150000</v>
      </c>
      <c r="B1137" t="s">
        <v>5579</v>
      </c>
      <c r="C1137" s="1">
        <v>43178</v>
      </c>
      <c r="D1137" t="s">
        <v>5580</v>
      </c>
      <c r="E1137" t="str">
        <f t="shared" si="53"/>
        <v>서울특별시</v>
      </c>
      <c r="F1137" t="str">
        <f t="shared" si="54"/>
        <v xml:space="preserve">강서구 </v>
      </c>
      <c r="G1137" t="str">
        <f t="shared" si="55"/>
        <v>마곡동</v>
      </c>
      <c r="H1137" t="s">
        <v>5581</v>
      </c>
      <c r="I1137">
        <v>7803</v>
      </c>
    </row>
    <row r="1138" spans="1:9" x14ac:dyDescent="0.4">
      <c r="A1138">
        <v>3150000</v>
      </c>
      <c r="B1138" t="s">
        <v>5522</v>
      </c>
      <c r="C1138" s="1">
        <v>43116</v>
      </c>
      <c r="D1138" t="s">
        <v>5523</v>
      </c>
      <c r="E1138" t="str">
        <f t="shared" si="53"/>
        <v>서울특별시</v>
      </c>
      <c r="F1138" t="str">
        <f t="shared" si="54"/>
        <v xml:space="preserve">강서구 </v>
      </c>
      <c r="G1138" t="str">
        <f t="shared" si="55"/>
        <v>마곡동</v>
      </c>
      <c r="H1138" t="s">
        <v>5524</v>
      </c>
      <c r="I1138">
        <v>7803</v>
      </c>
    </row>
    <row r="1139" spans="1:9" x14ac:dyDescent="0.4">
      <c r="A1139">
        <v>3150000</v>
      </c>
      <c r="B1139" t="s">
        <v>5573</v>
      </c>
      <c r="C1139" s="1">
        <v>43668</v>
      </c>
      <c r="D1139" t="s">
        <v>5574</v>
      </c>
      <c r="E1139" t="str">
        <f t="shared" si="53"/>
        <v>서울특별시</v>
      </c>
      <c r="F1139" t="str">
        <f t="shared" si="54"/>
        <v xml:space="preserve">강서구 </v>
      </c>
      <c r="G1139" t="str">
        <f t="shared" si="55"/>
        <v>마곡동</v>
      </c>
      <c r="H1139" t="s">
        <v>5575</v>
      </c>
      <c r="I1139">
        <v>7803</v>
      </c>
    </row>
    <row r="1140" spans="1:9" x14ac:dyDescent="0.4">
      <c r="A1140">
        <v>3150000</v>
      </c>
      <c r="B1140" t="s">
        <v>5936</v>
      </c>
      <c r="C1140" s="1">
        <v>42997</v>
      </c>
      <c r="D1140" t="s">
        <v>5937</v>
      </c>
      <c r="E1140" t="str">
        <f t="shared" si="53"/>
        <v>서울특별시</v>
      </c>
      <c r="F1140" t="str">
        <f t="shared" si="54"/>
        <v xml:space="preserve">강서구 </v>
      </c>
      <c r="G1140" t="str">
        <f t="shared" si="55"/>
        <v>마곡동</v>
      </c>
      <c r="H1140" t="s">
        <v>5938</v>
      </c>
      <c r="I1140">
        <v>7803</v>
      </c>
    </row>
    <row r="1141" spans="1:9" x14ac:dyDescent="0.4">
      <c r="A1141">
        <v>3150000</v>
      </c>
      <c r="B1141" t="s">
        <v>5933</v>
      </c>
      <c r="C1141" s="1">
        <v>42997</v>
      </c>
      <c r="D1141" t="s">
        <v>5934</v>
      </c>
      <c r="E1141" t="str">
        <f t="shared" si="53"/>
        <v>서울특별시</v>
      </c>
      <c r="F1141" t="str">
        <f t="shared" si="54"/>
        <v xml:space="preserve">강서구 </v>
      </c>
      <c r="G1141" t="str">
        <f t="shared" si="55"/>
        <v>마곡동</v>
      </c>
      <c r="H1141" t="s">
        <v>5935</v>
      </c>
      <c r="I1141">
        <v>7803</v>
      </c>
    </row>
    <row r="1142" spans="1:9" x14ac:dyDescent="0.4">
      <c r="A1142">
        <v>3150000</v>
      </c>
      <c r="B1142" t="s">
        <v>5531</v>
      </c>
      <c r="C1142" s="1">
        <v>43140</v>
      </c>
      <c r="D1142" t="s">
        <v>5532</v>
      </c>
      <c r="E1142" t="str">
        <f t="shared" si="53"/>
        <v>서울특별시</v>
      </c>
      <c r="F1142" t="str">
        <f t="shared" si="54"/>
        <v xml:space="preserve">강서구 </v>
      </c>
      <c r="G1142" t="str">
        <f t="shared" si="55"/>
        <v>마곡동</v>
      </c>
      <c r="H1142" t="s">
        <v>5533</v>
      </c>
      <c r="I1142">
        <v>7803</v>
      </c>
    </row>
    <row r="1143" spans="1:9" x14ac:dyDescent="0.4">
      <c r="A1143">
        <v>3150000</v>
      </c>
      <c r="B1143" t="s">
        <v>5555</v>
      </c>
      <c r="C1143" s="1">
        <v>43140</v>
      </c>
      <c r="D1143" t="s">
        <v>5556</v>
      </c>
      <c r="E1143" t="str">
        <f t="shared" si="53"/>
        <v>서울특별시</v>
      </c>
      <c r="F1143" t="str">
        <f t="shared" si="54"/>
        <v xml:space="preserve">강서구 </v>
      </c>
      <c r="G1143" t="str">
        <f t="shared" si="55"/>
        <v>마곡동</v>
      </c>
      <c r="H1143" t="s">
        <v>5557</v>
      </c>
      <c r="I1143">
        <v>7803</v>
      </c>
    </row>
    <row r="1144" spans="1:9" x14ac:dyDescent="0.4">
      <c r="A1144">
        <v>3150000</v>
      </c>
      <c r="B1144" t="s">
        <v>5603</v>
      </c>
      <c r="C1144" s="1">
        <v>43096</v>
      </c>
      <c r="D1144" t="s">
        <v>5604</v>
      </c>
      <c r="E1144" t="str">
        <f t="shared" si="53"/>
        <v>서울특별시</v>
      </c>
      <c r="F1144" t="str">
        <f t="shared" si="54"/>
        <v xml:space="preserve">강서구 </v>
      </c>
      <c r="G1144" t="str">
        <f t="shared" si="55"/>
        <v>마곡동</v>
      </c>
      <c r="H1144" t="s">
        <v>5605</v>
      </c>
      <c r="I1144">
        <v>7803</v>
      </c>
    </row>
    <row r="1145" spans="1:9" x14ac:dyDescent="0.4">
      <c r="A1145">
        <v>3150000</v>
      </c>
      <c r="B1145" t="s">
        <v>5561</v>
      </c>
      <c r="C1145" s="1">
        <v>43178</v>
      </c>
      <c r="D1145" t="s">
        <v>5562</v>
      </c>
      <c r="E1145" t="str">
        <f t="shared" si="53"/>
        <v>서울특별시</v>
      </c>
      <c r="F1145" t="str">
        <f t="shared" si="54"/>
        <v xml:space="preserve">강서구 </v>
      </c>
      <c r="G1145" t="str">
        <f t="shared" si="55"/>
        <v>마곡동</v>
      </c>
      <c r="H1145" t="s">
        <v>5563</v>
      </c>
      <c r="I1145">
        <v>7803</v>
      </c>
    </row>
    <row r="1146" spans="1:9" x14ac:dyDescent="0.4">
      <c r="A1146">
        <v>3150000</v>
      </c>
      <c r="B1146" t="s">
        <v>5918</v>
      </c>
      <c r="C1146" s="1">
        <v>42919</v>
      </c>
      <c r="D1146" t="s">
        <v>5919</v>
      </c>
      <c r="E1146" t="str">
        <f t="shared" si="53"/>
        <v>서울특별시</v>
      </c>
      <c r="F1146" t="str">
        <f t="shared" si="54"/>
        <v xml:space="preserve">강서구 </v>
      </c>
      <c r="G1146" t="str">
        <f t="shared" si="55"/>
        <v>마곡동</v>
      </c>
      <c r="H1146" t="s">
        <v>5920</v>
      </c>
      <c r="I1146">
        <v>7803</v>
      </c>
    </row>
    <row r="1147" spans="1:9" x14ac:dyDescent="0.4">
      <c r="A1147">
        <v>3150000</v>
      </c>
      <c r="B1147" t="s">
        <v>5921</v>
      </c>
      <c r="C1147" s="1">
        <v>42919</v>
      </c>
      <c r="D1147" t="s">
        <v>5922</v>
      </c>
      <c r="E1147" t="str">
        <f t="shared" si="53"/>
        <v>서울특별시</v>
      </c>
      <c r="F1147" t="str">
        <f t="shared" si="54"/>
        <v xml:space="preserve">강서구 </v>
      </c>
      <c r="G1147" t="str">
        <f t="shared" si="55"/>
        <v>마곡동</v>
      </c>
      <c r="H1147" t="s">
        <v>5923</v>
      </c>
      <c r="I1147">
        <v>7803</v>
      </c>
    </row>
    <row r="1148" spans="1:9" x14ac:dyDescent="0.4">
      <c r="A1148">
        <v>3150000</v>
      </c>
      <c r="B1148" t="s">
        <v>5951</v>
      </c>
      <c r="C1148" s="1">
        <v>32748</v>
      </c>
      <c r="D1148" t="s">
        <v>5952</v>
      </c>
      <c r="E1148" t="str">
        <f t="shared" si="53"/>
        <v>서울특별시</v>
      </c>
      <c r="F1148" t="str">
        <f t="shared" si="54"/>
        <v xml:space="preserve">강서구 </v>
      </c>
      <c r="G1148" t="str">
        <f t="shared" si="55"/>
        <v>방화동</v>
      </c>
      <c r="H1148" t="s">
        <v>5953</v>
      </c>
    </row>
    <row r="1149" spans="1:9" x14ac:dyDescent="0.4">
      <c r="A1149">
        <v>3150000</v>
      </c>
      <c r="B1149" t="s">
        <v>5792</v>
      </c>
      <c r="C1149" s="1">
        <v>32751</v>
      </c>
      <c r="D1149" t="s">
        <v>5793</v>
      </c>
      <c r="E1149" t="str">
        <f t="shared" si="53"/>
        <v>서울특별시</v>
      </c>
      <c r="F1149" t="str">
        <f t="shared" si="54"/>
        <v xml:space="preserve">강서구 </v>
      </c>
      <c r="G1149" t="str">
        <f t="shared" si="55"/>
        <v>방화동</v>
      </c>
      <c r="H1149" t="s">
        <v>5794</v>
      </c>
      <c r="I1149">
        <v>7607</v>
      </c>
    </row>
    <row r="1150" spans="1:9" x14ac:dyDescent="0.4">
      <c r="A1150">
        <v>3150000</v>
      </c>
      <c r="B1150" t="s">
        <v>5993</v>
      </c>
      <c r="C1150" s="1">
        <v>33247</v>
      </c>
      <c r="D1150" t="s">
        <v>5994</v>
      </c>
      <c r="E1150" t="str">
        <f t="shared" si="53"/>
        <v>서울특별시</v>
      </c>
      <c r="F1150" t="str">
        <f t="shared" si="54"/>
        <v xml:space="preserve">강서구 </v>
      </c>
      <c r="G1150" t="str">
        <f t="shared" si="55"/>
        <v>방화동</v>
      </c>
    </row>
    <row r="1151" spans="1:9" x14ac:dyDescent="0.4">
      <c r="A1151">
        <v>3150000</v>
      </c>
      <c r="B1151" t="s">
        <v>6081</v>
      </c>
      <c r="C1151" s="1">
        <v>31343</v>
      </c>
      <c r="D1151" t="s">
        <v>5994</v>
      </c>
      <c r="E1151" t="str">
        <f t="shared" si="53"/>
        <v>서울특별시</v>
      </c>
      <c r="F1151" t="str">
        <f t="shared" si="54"/>
        <v xml:space="preserve">강서구 </v>
      </c>
      <c r="G1151" t="str">
        <f t="shared" si="55"/>
        <v>방화동</v>
      </c>
    </row>
    <row r="1152" spans="1:9" x14ac:dyDescent="0.4">
      <c r="A1152">
        <v>3150000</v>
      </c>
      <c r="B1152" t="s">
        <v>6055</v>
      </c>
      <c r="C1152" s="1">
        <v>32672</v>
      </c>
      <c r="D1152" t="s">
        <v>6056</v>
      </c>
      <c r="E1152" t="str">
        <f t="shared" si="53"/>
        <v>서울특별시</v>
      </c>
      <c r="F1152" t="str">
        <f t="shared" si="54"/>
        <v xml:space="preserve">강서구 </v>
      </c>
      <c r="G1152" t="str">
        <f t="shared" si="55"/>
        <v>방화동</v>
      </c>
    </row>
    <row r="1153" spans="1:9" x14ac:dyDescent="0.4">
      <c r="A1153">
        <v>3150000</v>
      </c>
      <c r="B1153" t="s">
        <v>5820</v>
      </c>
      <c r="C1153" s="1">
        <v>36596</v>
      </c>
      <c r="D1153" t="s">
        <v>5821</v>
      </c>
      <c r="E1153" t="str">
        <f t="shared" si="53"/>
        <v>서울특별시</v>
      </c>
      <c r="F1153" t="str">
        <f t="shared" si="54"/>
        <v xml:space="preserve">강서구 </v>
      </c>
      <c r="G1153" t="str">
        <f t="shared" si="55"/>
        <v>방화동</v>
      </c>
    </row>
    <row r="1154" spans="1:9" x14ac:dyDescent="0.4">
      <c r="A1154">
        <v>3150000</v>
      </c>
      <c r="B1154" t="s">
        <v>5859</v>
      </c>
      <c r="C1154" s="1">
        <v>36453</v>
      </c>
      <c r="D1154" t="s">
        <v>5860</v>
      </c>
      <c r="E1154" t="str">
        <f t="shared" si="53"/>
        <v>서울특별시</v>
      </c>
      <c r="F1154" t="str">
        <f t="shared" si="54"/>
        <v xml:space="preserve">강서구 </v>
      </c>
      <c r="G1154" t="str">
        <f t="shared" si="55"/>
        <v>방화동</v>
      </c>
    </row>
    <row r="1155" spans="1:9" x14ac:dyDescent="0.4">
      <c r="A1155">
        <v>3150000</v>
      </c>
      <c r="B1155" t="s">
        <v>5861</v>
      </c>
      <c r="C1155" s="1">
        <v>36831</v>
      </c>
      <c r="D1155" t="s">
        <v>5862</v>
      </c>
      <c r="E1155" t="str">
        <f t="shared" ref="E1155:E1218" si="56">LEFT(D1155,5)</f>
        <v>서울특별시</v>
      </c>
      <c r="F1155" t="str">
        <f t="shared" ref="F1155:F1218" si="57">MID(D1155,7,4)</f>
        <v xml:space="preserve">강서구 </v>
      </c>
      <c r="G1155" t="str">
        <f t="shared" ref="G1155:G1218" si="58">MID(SUBSTITUTE(D1155," ",""),9,3)</f>
        <v>방화동</v>
      </c>
      <c r="H1155" t="s">
        <v>5863</v>
      </c>
      <c r="I1155">
        <v>7620</v>
      </c>
    </row>
    <row r="1156" spans="1:9" x14ac:dyDescent="0.4">
      <c r="A1156">
        <v>3150000</v>
      </c>
      <c r="B1156" t="s">
        <v>5822</v>
      </c>
      <c r="C1156" s="1">
        <v>36601</v>
      </c>
      <c r="D1156" t="s">
        <v>5823</v>
      </c>
      <c r="E1156" t="str">
        <f t="shared" si="56"/>
        <v>서울특별시</v>
      </c>
      <c r="F1156" t="str">
        <f t="shared" si="57"/>
        <v xml:space="preserve">강서구 </v>
      </c>
      <c r="G1156" t="str">
        <f t="shared" si="58"/>
        <v>방화동</v>
      </c>
      <c r="H1156" t="s">
        <v>5824</v>
      </c>
      <c r="I1156">
        <v>7620</v>
      </c>
    </row>
    <row r="1157" spans="1:9" x14ac:dyDescent="0.4">
      <c r="A1157">
        <v>3150000</v>
      </c>
      <c r="B1157" t="s">
        <v>108</v>
      </c>
      <c r="C1157" s="1">
        <v>31805</v>
      </c>
      <c r="D1157" t="s">
        <v>109</v>
      </c>
      <c r="E1157" t="str">
        <f t="shared" si="56"/>
        <v>서울특별시</v>
      </c>
      <c r="F1157" t="str">
        <f t="shared" si="57"/>
        <v xml:space="preserve">강서구 </v>
      </c>
      <c r="G1157" t="str">
        <f t="shared" si="58"/>
        <v>염창동</v>
      </c>
      <c r="H1157" t="s">
        <v>110</v>
      </c>
      <c r="I1157">
        <v>7539</v>
      </c>
    </row>
    <row r="1158" spans="1:9" x14ac:dyDescent="0.4">
      <c r="A1158">
        <v>3150000</v>
      </c>
      <c r="B1158" t="s">
        <v>5876</v>
      </c>
      <c r="C1158" s="1">
        <v>36475</v>
      </c>
      <c r="D1158" t="s">
        <v>5877</v>
      </c>
      <c r="E1158" t="str">
        <f t="shared" si="56"/>
        <v>서울특별시</v>
      </c>
      <c r="F1158" t="str">
        <f t="shared" si="57"/>
        <v xml:space="preserve">강서구 </v>
      </c>
      <c r="G1158" t="str">
        <f t="shared" si="58"/>
        <v>염창동</v>
      </c>
      <c r="H1158" t="s">
        <v>5878</v>
      </c>
      <c r="I1158">
        <v>7557</v>
      </c>
    </row>
    <row r="1159" spans="1:9" x14ac:dyDescent="0.4">
      <c r="A1159">
        <v>3150000</v>
      </c>
      <c r="B1159" t="s">
        <v>5974</v>
      </c>
      <c r="C1159" s="1">
        <v>32850</v>
      </c>
      <c r="D1159" t="s">
        <v>5975</v>
      </c>
      <c r="E1159" t="str">
        <f t="shared" si="56"/>
        <v>서울특별시</v>
      </c>
      <c r="F1159" t="str">
        <f t="shared" si="57"/>
        <v xml:space="preserve">강서구 </v>
      </c>
      <c r="G1159" t="str">
        <f t="shared" si="58"/>
        <v>염창동</v>
      </c>
    </row>
    <row r="1160" spans="1:9" x14ac:dyDescent="0.4">
      <c r="A1160">
        <v>3150000</v>
      </c>
      <c r="B1160" t="s">
        <v>6089</v>
      </c>
      <c r="C1160" s="1">
        <v>29244</v>
      </c>
      <c r="D1160" t="s">
        <v>6090</v>
      </c>
      <c r="E1160" t="str">
        <f t="shared" si="56"/>
        <v>서울특별시</v>
      </c>
      <c r="F1160" t="str">
        <f t="shared" si="57"/>
        <v xml:space="preserve">강서구 </v>
      </c>
      <c r="G1160" t="str">
        <f t="shared" si="58"/>
        <v>염창동</v>
      </c>
      <c r="H1160" t="s">
        <v>6091</v>
      </c>
      <c r="I1160">
        <v>7557</v>
      </c>
    </row>
    <row r="1161" spans="1:9" x14ac:dyDescent="0.4">
      <c r="A1161">
        <v>3150000</v>
      </c>
      <c r="B1161" t="s">
        <v>5874</v>
      </c>
      <c r="C1161" s="1">
        <v>37988</v>
      </c>
      <c r="D1161" t="s">
        <v>5875</v>
      </c>
      <c r="E1161" t="str">
        <f t="shared" si="56"/>
        <v>서울특별시</v>
      </c>
      <c r="F1161" t="str">
        <f t="shared" si="57"/>
        <v xml:space="preserve">강서구 </v>
      </c>
      <c r="G1161" t="str">
        <f t="shared" si="58"/>
        <v>외발산</v>
      </c>
    </row>
    <row r="1162" spans="1:9" x14ac:dyDescent="0.4">
      <c r="A1162">
        <v>3150000</v>
      </c>
      <c r="B1162" t="s">
        <v>5612</v>
      </c>
      <c r="C1162" s="1">
        <v>28667</v>
      </c>
      <c r="D1162" t="s">
        <v>5613</v>
      </c>
      <c r="E1162" t="str">
        <f t="shared" si="56"/>
        <v>서울특별시</v>
      </c>
      <c r="F1162" t="str">
        <f t="shared" si="57"/>
        <v xml:space="preserve">강서구 </v>
      </c>
      <c r="G1162" t="str">
        <f t="shared" si="58"/>
        <v>화곡동</v>
      </c>
      <c r="H1162" t="s">
        <v>5614</v>
      </c>
      <c r="I1162">
        <v>7705</v>
      </c>
    </row>
    <row r="1163" spans="1:9" x14ac:dyDescent="0.4">
      <c r="A1163">
        <v>3150000</v>
      </c>
      <c r="B1163" t="s">
        <v>5591</v>
      </c>
      <c r="C1163" s="1">
        <v>29008</v>
      </c>
      <c r="D1163" t="s">
        <v>5592</v>
      </c>
      <c r="E1163" t="str">
        <f t="shared" si="56"/>
        <v>서울특별시</v>
      </c>
      <c r="F1163" t="str">
        <f t="shared" si="57"/>
        <v xml:space="preserve">강서구 </v>
      </c>
      <c r="G1163" t="str">
        <f t="shared" si="58"/>
        <v>화곡동</v>
      </c>
      <c r="H1163" t="s">
        <v>5593</v>
      </c>
      <c r="I1163">
        <v>7705</v>
      </c>
    </row>
    <row r="1164" spans="1:9" x14ac:dyDescent="0.4">
      <c r="A1164">
        <v>3150000</v>
      </c>
      <c r="B1164" t="s">
        <v>5677</v>
      </c>
      <c r="C1164" s="1">
        <v>29285</v>
      </c>
      <c r="D1164" t="s">
        <v>5678</v>
      </c>
      <c r="E1164" t="str">
        <f t="shared" si="56"/>
        <v>서울특별시</v>
      </c>
      <c r="F1164" t="str">
        <f t="shared" si="57"/>
        <v xml:space="preserve">강서구 </v>
      </c>
      <c r="G1164" t="str">
        <f t="shared" si="58"/>
        <v>화곡동</v>
      </c>
      <c r="H1164" t="s">
        <v>5679</v>
      </c>
      <c r="I1164">
        <v>7705</v>
      </c>
    </row>
    <row r="1165" spans="1:9" x14ac:dyDescent="0.4">
      <c r="A1165">
        <v>3150000</v>
      </c>
      <c r="B1165" t="s">
        <v>6074</v>
      </c>
      <c r="C1165" s="1">
        <v>30949</v>
      </c>
      <c r="D1165" t="s">
        <v>6075</v>
      </c>
      <c r="E1165" t="str">
        <f t="shared" si="56"/>
        <v>서울특별시</v>
      </c>
      <c r="F1165" t="str">
        <f t="shared" si="57"/>
        <v xml:space="preserve">강서구 </v>
      </c>
      <c r="G1165" t="str">
        <f t="shared" si="58"/>
        <v>화곡동</v>
      </c>
    </row>
    <row r="1166" spans="1:9" x14ac:dyDescent="0.4">
      <c r="A1166">
        <v>3150000</v>
      </c>
      <c r="B1166" t="s">
        <v>5800</v>
      </c>
      <c r="C1166" s="1">
        <v>36743</v>
      </c>
      <c r="D1166" t="s">
        <v>5801</v>
      </c>
      <c r="E1166" t="str">
        <f t="shared" si="56"/>
        <v>서울특별시</v>
      </c>
      <c r="F1166" t="str">
        <f t="shared" si="57"/>
        <v xml:space="preserve">강서구 </v>
      </c>
      <c r="G1166" t="str">
        <f t="shared" si="58"/>
        <v>화곡동</v>
      </c>
      <c r="H1166" t="s">
        <v>5802</v>
      </c>
      <c r="I1166">
        <v>7702</v>
      </c>
    </row>
    <row r="1167" spans="1:9" x14ac:dyDescent="0.4">
      <c r="A1167">
        <v>3150000</v>
      </c>
      <c r="B1167" t="s">
        <v>5689</v>
      </c>
      <c r="C1167" s="1">
        <v>36719</v>
      </c>
      <c r="D1167" t="s">
        <v>5690</v>
      </c>
      <c r="E1167" t="str">
        <f t="shared" si="56"/>
        <v>서울특별시</v>
      </c>
      <c r="F1167" t="str">
        <f t="shared" si="57"/>
        <v xml:space="preserve">강서구 </v>
      </c>
      <c r="G1167" t="str">
        <f t="shared" si="58"/>
        <v>화곡동</v>
      </c>
      <c r="H1167" t="s">
        <v>5691</v>
      </c>
      <c r="I1167">
        <v>7702</v>
      </c>
    </row>
    <row r="1168" spans="1:9" x14ac:dyDescent="0.4">
      <c r="A1168">
        <v>3150000</v>
      </c>
      <c r="B1168" t="s">
        <v>6010</v>
      </c>
      <c r="C1168" s="1">
        <v>37232</v>
      </c>
      <c r="D1168" t="s">
        <v>6011</v>
      </c>
      <c r="E1168" t="str">
        <f t="shared" si="56"/>
        <v>서울특별시</v>
      </c>
      <c r="F1168" t="str">
        <f t="shared" si="57"/>
        <v xml:space="preserve">강서구 </v>
      </c>
      <c r="G1168" t="str">
        <f t="shared" si="58"/>
        <v>화곡동</v>
      </c>
    </row>
    <row r="1169" spans="1:9" x14ac:dyDescent="0.4">
      <c r="A1169">
        <v>3150000</v>
      </c>
      <c r="B1169" t="s">
        <v>5871</v>
      </c>
      <c r="C1169" s="1">
        <v>37916</v>
      </c>
      <c r="D1169" t="s">
        <v>5872</v>
      </c>
      <c r="E1169" t="str">
        <f t="shared" si="56"/>
        <v>서울특별시</v>
      </c>
      <c r="F1169" t="str">
        <f t="shared" si="57"/>
        <v xml:space="preserve">강서구 </v>
      </c>
      <c r="G1169" t="str">
        <f t="shared" si="58"/>
        <v>화곡동</v>
      </c>
      <c r="H1169" t="s">
        <v>5873</v>
      </c>
      <c r="I1169">
        <v>7714</v>
      </c>
    </row>
    <row r="1170" spans="1:9" x14ac:dyDescent="0.4">
      <c r="A1170">
        <v>3150000</v>
      </c>
      <c r="B1170" t="s">
        <v>5777</v>
      </c>
      <c r="C1170" s="1">
        <v>37050</v>
      </c>
      <c r="D1170" t="s">
        <v>5778</v>
      </c>
      <c r="E1170" t="str">
        <f t="shared" si="56"/>
        <v>서울특별시</v>
      </c>
      <c r="F1170" t="str">
        <f t="shared" si="57"/>
        <v xml:space="preserve">강서구 </v>
      </c>
      <c r="G1170" t="str">
        <f t="shared" si="58"/>
        <v>화곡동</v>
      </c>
      <c r="H1170" t="s">
        <v>5779</v>
      </c>
      <c r="I1170">
        <v>7714</v>
      </c>
    </row>
    <row r="1171" spans="1:9" x14ac:dyDescent="0.4">
      <c r="A1171">
        <v>3150000</v>
      </c>
      <c r="B1171" t="s">
        <v>5987</v>
      </c>
      <c r="C1171" s="1">
        <v>34127</v>
      </c>
      <c r="D1171" t="s">
        <v>5988</v>
      </c>
      <c r="E1171" t="str">
        <f t="shared" si="56"/>
        <v>서울특별시</v>
      </c>
      <c r="F1171" t="str">
        <f t="shared" si="57"/>
        <v xml:space="preserve">강서구 </v>
      </c>
      <c r="G1171" t="str">
        <f t="shared" si="58"/>
        <v>화곡동</v>
      </c>
      <c r="H1171" t="s">
        <v>5989</v>
      </c>
      <c r="I1171">
        <v>7714</v>
      </c>
    </row>
    <row r="1172" spans="1:9" x14ac:dyDescent="0.4">
      <c r="A1172">
        <v>3150000</v>
      </c>
      <c r="B1172" t="s">
        <v>6101</v>
      </c>
      <c r="C1172" s="1">
        <v>29024</v>
      </c>
      <c r="D1172" t="s">
        <v>6102</v>
      </c>
      <c r="E1172" t="str">
        <f t="shared" si="56"/>
        <v>서울특별시</v>
      </c>
      <c r="F1172" t="str">
        <f t="shared" si="57"/>
        <v xml:space="preserve">강서구 </v>
      </c>
      <c r="G1172" t="str">
        <f t="shared" si="58"/>
        <v>화곡동</v>
      </c>
    </row>
    <row r="1173" spans="1:9" x14ac:dyDescent="0.4">
      <c r="A1173">
        <v>3150000</v>
      </c>
      <c r="B1173" t="s">
        <v>5795</v>
      </c>
      <c r="C1173" s="1">
        <v>36726</v>
      </c>
      <c r="D1173" t="s">
        <v>5796</v>
      </c>
      <c r="E1173" t="str">
        <f t="shared" si="56"/>
        <v>서울특별시</v>
      </c>
      <c r="F1173" t="str">
        <f t="shared" si="57"/>
        <v xml:space="preserve">강서구 </v>
      </c>
      <c r="G1173" t="str">
        <f t="shared" si="58"/>
        <v>화곡동</v>
      </c>
      <c r="H1173" t="s">
        <v>5797</v>
      </c>
      <c r="I1173">
        <v>7727</v>
      </c>
    </row>
    <row r="1174" spans="1:9" x14ac:dyDescent="0.4">
      <c r="A1174">
        <v>3150000</v>
      </c>
      <c r="B1174" t="s">
        <v>5798</v>
      </c>
      <c r="C1174" s="1">
        <v>36740</v>
      </c>
      <c r="D1174" t="s">
        <v>5799</v>
      </c>
      <c r="E1174" t="str">
        <f t="shared" si="56"/>
        <v>서울특별시</v>
      </c>
      <c r="F1174" t="str">
        <f t="shared" si="57"/>
        <v xml:space="preserve">강서구 </v>
      </c>
      <c r="G1174" t="str">
        <f t="shared" si="58"/>
        <v>화곡동</v>
      </c>
    </row>
    <row r="1175" spans="1:9" x14ac:dyDescent="0.4">
      <c r="A1175">
        <v>3150000</v>
      </c>
      <c r="B1175" t="s">
        <v>6015</v>
      </c>
      <c r="C1175" s="1">
        <v>37341</v>
      </c>
      <c r="D1175" t="s">
        <v>6016</v>
      </c>
      <c r="E1175" t="str">
        <f t="shared" si="56"/>
        <v>서울특별시</v>
      </c>
      <c r="F1175" t="str">
        <f t="shared" si="57"/>
        <v xml:space="preserve">강서구 </v>
      </c>
      <c r="G1175" t="str">
        <f t="shared" si="58"/>
        <v>화곡동</v>
      </c>
      <c r="H1175" t="s">
        <v>6017</v>
      </c>
      <c r="I1175">
        <v>7727</v>
      </c>
    </row>
    <row r="1176" spans="1:9" x14ac:dyDescent="0.4">
      <c r="A1176">
        <v>3150000</v>
      </c>
      <c r="B1176" t="s">
        <v>5835</v>
      </c>
      <c r="C1176" s="1">
        <v>36269</v>
      </c>
      <c r="D1176" t="s">
        <v>5836</v>
      </c>
      <c r="E1176" t="str">
        <f t="shared" si="56"/>
        <v>서울특별시</v>
      </c>
      <c r="F1176" t="str">
        <f t="shared" si="57"/>
        <v xml:space="preserve">강서구 </v>
      </c>
      <c r="G1176" t="str">
        <f t="shared" si="58"/>
        <v>화곡동</v>
      </c>
    </row>
    <row r="1177" spans="1:9" x14ac:dyDescent="0.4">
      <c r="A1177">
        <v>3150000</v>
      </c>
      <c r="B1177" t="s">
        <v>5786</v>
      </c>
      <c r="C1177" s="1">
        <v>39849</v>
      </c>
      <c r="D1177" t="s">
        <v>5787</v>
      </c>
      <c r="E1177" t="str">
        <f t="shared" si="56"/>
        <v>서울특별시</v>
      </c>
      <c r="F1177" t="str">
        <f t="shared" si="57"/>
        <v xml:space="preserve">강서구 </v>
      </c>
      <c r="G1177" t="str">
        <f t="shared" si="58"/>
        <v>화곡동</v>
      </c>
      <c r="H1177" t="s">
        <v>5788</v>
      </c>
      <c r="I1177">
        <v>7649</v>
      </c>
    </row>
    <row r="1178" spans="1:9" x14ac:dyDescent="0.4">
      <c r="A1178">
        <v>3150000</v>
      </c>
      <c r="B1178" t="s">
        <v>5771</v>
      </c>
      <c r="C1178" s="1">
        <v>39715</v>
      </c>
      <c r="D1178" t="s">
        <v>5772</v>
      </c>
      <c r="E1178" t="str">
        <f t="shared" si="56"/>
        <v>서울특별시</v>
      </c>
      <c r="F1178" t="str">
        <f t="shared" si="57"/>
        <v xml:space="preserve">강서구 </v>
      </c>
      <c r="G1178" t="str">
        <f t="shared" si="58"/>
        <v>화곡동</v>
      </c>
      <c r="H1178" t="s">
        <v>5773</v>
      </c>
      <c r="I1178">
        <v>7649</v>
      </c>
    </row>
    <row r="1179" spans="1:9" x14ac:dyDescent="0.4">
      <c r="A1179">
        <v>3150000</v>
      </c>
      <c r="B1179" t="s">
        <v>5990</v>
      </c>
      <c r="C1179" s="1">
        <v>33166</v>
      </c>
      <c r="D1179" t="s">
        <v>5991</v>
      </c>
      <c r="E1179" t="str">
        <f t="shared" si="56"/>
        <v>서울특별시</v>
      </c>
      <c r="F1179" t="str">
        <f t="shared" si="57"/>
        <v xml:space="preserve">강서구 </v>
      </c>
      <c r="G1179" t="str">
        <f t="shared" si="58"/>
        <v>화곡동</v>
      </c>
      <c r="H1179" t="s">
        <v>5992</v>
      </c>
      <c r="I1179">
        <v>7649</v>
      </c>
    </row>
    <row r="1180" spans="1:9" x14ac:dyDescent="0.4">
      <c r="A1180">
        <v>3150000</v>
      </c>
      <c r="B1180" t="s">
        <v>6018</v>
      </c>
      <c r="C1180" s="1">
        <v>31865</v>
      </c>
      <c r="D1180" t="s">
        <v>6019</v>
      </c>
      <c r="E1180" t="str">
        <f t="shared" si="56"/>
        <v>서울특별시</v>
      </c>
      <c r="F1180" t="str">
        <f t="shared" si="57"/>
        <v xml:space="preserve">강서구 </v>
      </c>
      <c r="G1180" t="str">
        <f t="shared" si="58"/>
        <v>화곡동</v>
      </c>
    </row>
    <row r="1181" spans="1:9" x14ac:dyDescent="0.4">
      <c r="A1181">
        <v>3150000</v>
      </c>
      <c r="B1181" t="s">
        <v>6039</v>
      </c>
      <c r="C1181" s="1">
        <v>36529</v>
      </c>
      <c r="D1181" t="s">
        <v>6040</v>
      </c>
      <c r="E1181" t="str">
        <f t="shared" si="56"/>
        <v>서울특별시</v>
      </c>
      <c r="F1181" t="str">
        <f t="shared" si="57"/>
        <v xml:space="preserve">강서구 </v>
      </c>
      <c r="G1181" t="str">
        <f t="shared" si="58"/>
        <v>화곡동</v>
      </c>
      <c r="H1181" t="s">
        <v>6041</v>
      </c>
      <c r="I1181">
        <v>7649</v>
      </c>
    </row>
    <row r="1182" spans="1:9" x14ac:dyDescent="0.4">
      <c r="A1182">
        <v>3150000</v>
      </c>
      <c r="B1182" t="s">
        <v>5965</v>
      </c>
      <c r="C1182" s="1">
        <v>32143</v>
      </c>
      <c r="D1182" t="s">
        <v>5966</v>
      </c>
      <c r="E1182" t="str">
        <f t="shared" si="56"/>
        <v>서울특별시</v>
      </c>
      <c r="F1182" t="str">
        <f t="shared" si="57"/>
        <v xml:space="preserve">강서구 </v>
      </c>
      <c r="G1182" t="str">
        <f t="shared" si="58"/>
        <v>화곡동</v>
      </c>
      <c r="H1182" t="s">
        <v>5967</v>
      </c>
      <c r="I1182">
        <v>7686</v>
      </c>
    </row>
    <row r="1183" spans="1:9" x14ac:dyDescent="0.4">
      <c r="A1183">
        <v>3150000</v>
      </c>
      <c r="B1183" t="s">
        <v>6044</v>
      </c>
      <c r="C1183" s="1">
        <v>36556</v>
      </c>
      <c r="D1183" t="s">
        <v>6045</v>
      </c>
      <c r="E1183" t="str">
        <f t="shared" si="56"/>
        <v>서울특별시</v>
      </c>
      <c r="F1183" t="str">
        <f t="shared" si="57"/>
        <v xml:space="preserve">강서구 </v>
      </c>
      <c r="G1183" t="str">
        <f t="shared" si="58"/>
        <v>화곡동</v>
      </c>
      <c r="H1183" t="s">
        <v>6046</v>
      </c>
      <c r="I1183">
        <v>7686</v>
      </c>
    </row>
    <row r="1184" spans="1:9" x14ac:dyDescent="0.4">
      <c r="A1184">
        <v>3150000</v>
      </c>
      <c r="B1184" t="s">
        <v>5864</v>
      </c>
      <c r="C1184" s="1">
        <v>36865</v>
      </c>
      <c r="D1184" t="s">
        <v>5865</v>
      </c>
      <c r="E1184" t="str">
        <f t="shared" si="56"/>
        <v>서울특별시</v>
      </c>
      <c r="F1184" t="str">
        <f t="shared" si="57"/>
        <v xml:space="preserve">강서구 </v>
      </c>
      <c r="G1184" t="str">
        <f t="shared" si="58"/>
        <v>화곡동</v>
      </c>
    </row>
    <row r="1185" spans="1:9" x14ac:dyDescent="0.4">
      <c r="A1185">
        <v>3150000</v>
      </c>
      <c r="B1185" t="s">
        <v>5995</v>
      </c>
      <c r="C1185" s="1">
        <v>31500</v>
      </c>
      <c r="D1185" t="s">
        <v>5865</v>
      </c>
      <c r="E1185" t="str">
        <f t="shared" si="56"/>
        <v>서울특별시</v>
      </c>
      <c r="F1185" t="str">
        <f t="shared" si="57"/>
        <v xml:space="preserve">강서구 </v>
      </c>
      <c r="G1185" t="str">
        <f t="shared" si="58"/>
        <v>화곡동</v>
      </c>
    </row>
    <row r="1186" spans="1:9" x14ac:dyDescent="0.4">
      <c r="A1186">
        <v>3150000</v>
      </c>
      <c r="B1186" t="s">
        <v>6002</v>
      </c>
      <c r="C1186" s="1">
        <v>39806</v>
      </c>
      <c r="D1186" t="s">
        <v>6003</v>
      </c>
      <c r="E1186" t="str">
        <f t="shared" si="56"/>
        <v>서울특별시</v>
      </c>
      <c r="F1186" t="str">
        <f t="shared" si="57"/>
        <v xml:space="preserve">강서구 </v>
      </c>
      <c r="G1186" t="str">
        <f t="shared" si="58"/>
        <v>화곡동</v>
      </c>
      <c r="H1186" t="s">
        <v>6004</v>
      </c>
    </row>
    <row r="1187" spans="1:9" x14ac:dyDescent="0.4">
      <c r="A1187">
        <v>3150000</v>
      </c>
      <c r="B1187" t="s">
        <v>5751</v>
      </c>
      <c r="C1187" s="1">
        <v>39304</v>
      </c>
      <c r="D1187" t="s">
        <v>5752</v>
      </c>
      <c r="E1187" t="str">
        <f t="shared" si="56"/>
        <v>서울특별시</v>
      </c>
      <c r="F1187" t="str">
        <f t="shared" si="57"/>
        <v xml:space="preserve">강서구 </v>
      </c>
      <c r="G1187" t="str">
        <f t="shared" si="58"/>
        <v>화곡동</v>
      </c>
      <c r="H1187" t="s">
        <v>5753</v>
      </c>
      <c r="I1187">
        <v>7686</v>
      </c>
    </row>
    <row r="1188" spans="1:9" x14ac:dyDescent="0.4">
      <c r="A1188">
        <v>3150000</v>
      </c>
      <c r="B1188" t="s">
        <v>5780</v>
      </c>
      <c r="C1188" s="1">
        <v>37183</v>
      </c>
      <c r="D1188" t="s">
        <v>5781</v>
      </c>
      <c r="E1188" t="str">
        <f t="shared" si="56"/>
        <v>서울특별시</v>
      </c>
      <c r="F1188" t="str">
        <f t="shared" si="57"/>
        <v xml:space="preserve">강서구 </v>
      </c>
      <c r="G1188" t="str">
        <f t="shared" si="58"/>
        <v>화곡동</v>
      </c>
      <c r="H1188" t="s">
        <v>5782</v>
      </c>
      <c r="I1188">
        <v>7686</v>
      </c>
    </row>
    <row r="1189" spans="1:9" x14ac:dyDescent="0.4">
      <c r="A1189">
        <v>3150000</v>
      </c>
      <c r="B1189" t="s">
        <v>6057</v>
      </c>
      <c r="C1189" s="1">
        <v>32700</v>
      </c>
      <c r="D1189" t="s">
        <v>6058</v>
      </c>
      <c r="E1189" t="str">
        <f t="shared" si="56"/>
        <v>서울특별시</v>
      </c>
      <c r="F1189" t="str">
        <f t="shared" si="57"/>
        <v xml:space="preserve">강서구 </v>
      </c>
      <c r="G1189" t="str">
        <f t="shared" si="58"/>
        <v>화곡동</v>
      </c>
      <c r="H1189" t="s">
        <v>6059</v>
      </c>
      <c r="I1189">
        <v>7686</v>
      </c>
    </row>
    <row r="1190" spans="1:9" x14ac:dyDescent="0.4">
      <c r="A1190">
        <v>3150000</v>
      </c>
      <c r="B1190" t="s">
        <v>5674</v>
      </c>
      <c r="C1190" s="1">
        <v>36696</v>
      </c>
      <c r="D1190" t="s">
        <v>5675</v>
      </c>
      <c r="E1190" t="str">
        <f t="shared" si="56"/>
        <v>서울특별시</v>
      </c>
      <c r="F1190" t="str">
        <f t="shared" si="57"/>
        <v xml:space="preserve">강서구 </v>
      </c>
      <c r="G1190" t="str">
        <f t="shared" si="58"/>
        <v>화곡동</v>
      </c>
      <c r="H1190" t="s">
        <v>5676</v>
      </c>
      <c r="I1190">
        <v>7686</v>
      </c>
    </row>
    <row r="1191" spans="1:9" x14ac:dyDescent="0.4">
      <c r="A1191">
        <v>3150000</v>
      </c>
      <c r="B1191" t="s">
        <v>5719</v>
      </c>
      <c r="C1191" s="1">
        <v>36612</v>
      </c>
      <c r="D1191" t="s">
        <v>5720</v>
      </c>
      <c r="E1191" t="str">
        <f t="shared" si="56"/>
        <v>서울특별시</v>
      </c>
      <c r="F1191" t="str">
        <f t="shared" si="57"/>
        <v xml:space="preserve">강서구 </v>
      </c>
      <c r="G1191" t="str">
        <f t="shared" si="58"/>
        <v>화곡동</v>
      </c>
      <c r="H1191" t="s">
        <v>5676</v>
      </c>
      <c r="I1191">
        <v>7686</v>
      </c>
    </row>
    <row r="1192" spans="1:9" x14ac:dyDescent="0.4">
      <c r="A1192">
        <v>3150000</v>
      </c>
      <c r="B1192" t="s">
        <v>5972</v>
      </c>
      <c r="C1192" s="1">
        <v>32840</v>
      </c>
      <c r="D1192" t="s">
        <v>5973</v>
      </c>
      <c r="E1192" t="str">
        <f t="shared" si="56"/>
        <v>서울특별시</v>
      </c>
      <c r="F1192" t="str">
        <f t="shared" si="57"/>
        <v xml:space="preserve">강서구 </v>
      </c>
      <c r="G1192" t="str">
        <f t="shared" si="58"/>
        <v>화곡동</v>
      </c>
    </row>
    <row r="1193" spans="1:9" x14ac:dyDescent="0.4">
      <c r="A1193">
        <v>3150000</v>
      </c>
      <c r="B1193" t="s">
        <v>5742</v>
      </c>
      <c r="C1193" s="1">
        <v>36865</v>
      </c>
      <c r="D1193" t="s">
        <v>5743</v>
      </c>
      <c r="E1193" t="str">
        <f t="shared" si="56"/>
        <v>서울특별시</v>
      </c>
      <c r="F1193" t="str">
        <f t="shared" si="57"/>
        <v xml:space="preserve">강서구 </v>
      </c>
      <c r="G1193" t="str">
        <f t="shared" si="58"/>
        <v>화곡동</v>
      </c>
      <c r="H1193" t="s">
        <v>5744</v>
      </c>
      <c r="I1193">
        <v>7686</v>
      </c>
    </row>
    <row r="1194" spans="1:9" x14ac:dyDescent="0.4">
      <c r="A1194">
        <v>3150000</v>
      </c>
      <c r="B1194" t="s">
        <v>6012</v>
      </c>
      <c r="C1194" s="1">
        <v>37237</v>
      </c>
      <c r="D1194" t="s">
        <v>6013</v>
      </c>
      <c r="E1194" t="str">
        <f t="shared" si="56"/>
        <v>서울특별시</v>
      </c>
      <c r="F1194" t="str">
        <f t="shared" si="57"/>
        <v xml:space="preserve">강서구 </v>
      </c>
      <c r="G1194" t="str">
        <f t="shared" si="58"/>
        <v>화곡동</v>
      </c>
      <c r="H1194" t="s">
        <v>6014</v>
      </c>
      <c r="I1194">
        <v>7654</v>
      </c>
    </row>
    <row r="1195" spans="1:9" x14ac:dyDescent="0.4">
      <c r="A1195">
        <v>3150000</v>
      </c>
      <c r="B1195" t="s">
        <v>5976</v>
      </c>
      <c r="C1195" s="1">
        <v>32855</v>
      </c>
      <c r="D1195" t="s">
        <v>5977</v>
      </c>
      <c r="E1195" t="str">
        <f t="shared" si="56"/>
        <v>서울특별시</v>
      </c>
      <c r="F1195" t="str">
        <f t="shared" si="57"/>
        <v xml:space="preserve">강서구 </v>
      </c>
      <c r="G1195" t="str">
        <f t="shared" si="58"/>
        <v>화곡동</v>
      </c>
    </row>
    <row r="1196" spans="1:9" x14ac:dyDescent="0.4">
      <c r="A1196">
        <v>3150000</v>
      </c>
      <c r="B1196" t="s">
        <v>6049</v>
      </c>
      <c r="C1196" s="1">
        <v>32420</v>
      </c>
      <c r="D1196" t="s">
        <v>6050</v>
      </c>
      <c r="E1196" t="str">
        <f t="shared" si="56"/>
        <v>서울특별시</v>
      </c>
      <c r="F1196" t="str">
        <f t="shared" si="57"/>
        <v xml:space="preserve">강서구 </v>
      </c>
      <c r="G1196" t="str">
        <f t="shared" si="58"/>
        <v>화곡동</v>
      </c>
    </row>
    <row r="1197" spans="1:9" x14ac:dyDescent="0.4">
      <c r="A1197">
        <v>3150000</v>
      </c>
      <c r="B1197" t="s">
        <v>6029</v>
      </c>
      <c r="C1197" s="1">
        <v>33498</v>
      </c>
      <c r="D1197" t="s">
        <v>6030</v>
      </c>
      <c r="E1197" t="str">
        <f t="shared" si="56"/>
        <v>서울특별시</v>
      </c>
      <c r="F1197" t="str">
        <f t="shared" si="57"/>
        <v xml:space="preserve">강서구 </v>
      </c>
      <c r="G1197" t="str">
        <f t="shared" si="58"/>
        <v>화곡동</v>
      </c>
    </row>
    <row r="1198" spans="1:9" x14ac:dyDescent="0.4">
      <c r="A1198">
        <v>3150000</v>
      </c>
      <c r="B1198" t="s">
        <v>5809</v>
      </c>
      <c r="C1198" s="1">
        <v>41194</v>
      </c>
      <c r="D1198" t="s">
        <v>5810</v>
      </c>
      <c r="E1198" t="str">
        <f t="shared" si="56"/>
        <v>서울특별시</v>
      </c>
      <c r="F1198" t="str">
        <f t="shared" si="57"/>
        <v xml:space="preserve">강서구 </v>
      </c>
      <c r="G1198" t="str">
        <f t="shared" si="58"/>
        <v>화곡동</v>
      </c>
      <c r="H1198" t="s">
        <v>5811</v>
      </c>
    </row>
    <row r="1199" spans="1:9" x14ac:dyDescent="0.4">
      <c r="A1199">
        <v>3150000</v>
      </c>
      <c r="B1199" t="s">
        <v>5759</v>
      </c>
      <c r="C1199" s="1">
        <v>39612</v>
      </c>
      <c r="D1199" t="s">
        <v>5760</v>
      </c>
      <c r="E1199" t="str">
        <f t="shared" si="56"/>
        <v>서울특별시</v>
      </c>
      <c r="F1199" t="str">
        <f t="shared" si="57"/>
        <v xml:space="preserve">강서구 </v>
      </c>
      <c r="G1199" t="str">
        <f t="shared" si="58"/>
        <v>화곡동</v>
      </c>
      <c r="H1199" t="s">
        <v>5761</v>
      </c>
      <c r="I1199">
        <v>7653</v>
      </c>
    </row>
    <row r="1200" spans="1:9" x14ac:dyDescent="0.4">
      <c r="A1200">
        <v>3150000</v>
      </c>
      <c r="B1200" t="s">
        <v>5745</v>
      </c>
      <c r="C1200" s="1">
        <v>37600</v>
      </c>
      <c r="D1200" t="s">
        <v>5746</v>
      </c>
      <c r="E1200" t="str">
        <f t="shared" si="56"/>
        <v>서울특별시</v>
      </c>
      <c r="F1200" t="str">
        <f t="shared" si="57"/>
        <v xml:space="preserve">강서구 </v>
      </c>
      <c r="G1200" t="str">
        <f t="shared" si="58"/>
        <v>화곡동</v>
      </c>
      <c r="H1200" t="s">
        <v>5747</v>
      </c>
      <c r="I1200">
        <v>7653</v>
      </c>
    </row>
    <row r="1201" spans="1:9" x14ac:dyDescent="0.4">
      <c r="A1201">
        <v>3150000</v>
      </c>
      <c r="B1201" t="s">
        <v>6000</v>
      </c>
      <c r="C1201" s="1">
        <v>31776</v>
      </c>
      <c r="D1201" t="s">
        <v>6001</v>
      </c>
      <c r="E1201" t="str">
        <f t="shared" si="56"/>
        <v>서울특별시</v>
      </c>
      <c r="F1201" t="str">
        <f t="shared" si="57"/>
        <v xml:space="preserve">강서구 </v>
      </c>
      <c r="G1201" t="str">
        <f t="shared" si="58"/>
        <v>화곡동</v>
      </c>
    </row>
    <row r="1202" spans="1:9" x14ac:dyDescent="0.4">
      <c r="A1202">
        <v>3150000</v>
      </c>
      <c r="B1202" t="s">
        <v>5724</v>
      </c>
      <c r="C1202" s="1">
        <v>36607</v>
      </c>
      <c r="D1202" t="s">
        <v>5725</v>
      </c>
      <c r="E1202" t="str">
        <f t="shared" si="56"/>
        <v>서울특별시</v>
      </c>
      <c r="F1202" t="str">
        <f t="shared" si="57"/>
        <v xml:space="preserve">강서구 </v>
      </c>
      <c r="G1202" t="str">
        <f t="shared" si="58"/>
        <v>화곡동</v>
      </c>
      <c r="H1202" t="s">
        <v>5726</v>
      </c>
      <c r="I1202">
        <v>7653</v>
      </c>
    </row>
    <row r="1203" spans="1:9" x14ac:dyDescent="0.4">
      <c r="A1203">
        <v>3150000</v>
      </c>
      <c r="B1203" t="s">
        <v>5847</v>
      </c>
      <c r="C1203" s="1">
        <v>36356</v>
      </c>
      <c r="D1203" t="s">
        <v>5848</v>
      </c>
      <c r="E1203" t="str">
        <f t="shared" si="56"/>
        <v>서울특별시</v>
      </c>
      <c r="F1203" t="str">
        <f t="shared" si="57"/>
        <v xml:space="preserve">강서구 </v>
      </c>
      <c r="G1203" t="str">
        <f t="shared" si="58"/>
        <v>화곡동</v>
      </c>
    </row>
    <row r="1204" spans="1:9" x14ac:dyDescent="0.4">
      <c r="A1204">
        <v>3150000</v>
      </c>
      <c r="B1204" t="s">
        <v>5866</v>
      </c>
      <c r="C1204" s="1">
        <v>37582</v>
      </c>
      <c r="D1204" t="s">
        <v>5867</v>
      </c>
      <c r="E1204" t="str">
        <f t="shared" si="56"/>
        <v>서울특별시</v>
      </c>
      <c r="F1204" t="str">
        <f t="shared" si="57"/>
        <v xml:space="preserve">강서구 </v>
      </c>
      <c r="G1204" t="str">
        <f t="shared" si="58"/>
        <v>화곡동</v>
      </c>
      <c r="H1204" t="s">
        <v>5868</v>
      </c>
      <c r="I1204">
        <v>7653</v>
      </c>
    </row>
    <row r="1205" spans="1:9" x14ac:dyDescent="0.4">
      <c r="A1205">
        <v>3150000</v>
      </c>
      <c r="B1205" t="s">
        <v>5650</v>
      </c>
      <c r="C1205" s="1">
        <v>29510</v>
      </c>
      <c r="D1205" t="s">
        <v>5651</v>
      </c>
      <c r="E1205" t="str">
        <f t="shared" si="56"/>
        <v>서울특별시</v>
      </c>
      <c r="F1205" t="str">
        <f t="shared" si="57"/>
        <v xml:space="preserve">강서구 </v>
      </c>
      <c r="G1205" t="str">
        <f t="shared" si="58"/>
        <v>화곡동</v>
      </c>
      <c r="H1205" t="s">
        <v>5652</v>
      </c>
      <c r="I1205">
        <v>7653</v>
      </c>
    </row>
    <row r="1206" spans="1:9" x14ac:dyDescent="0.4">
      <c r="A1206">
        <v>3150000</v>
      </c>
      <c r="B1206" t="s">
        <v>5727</v>
      </c>
      <c r="C1206" s="1">
        <v>41044</v>
      </c>
      <c r="D1206" t="s">
        <v>5728</v>
      </c>
      <c r="E1206" t="str">
        <f t="shared" si="56"/>
        <v>서울특별시</v>
      </c>
      <c r="F1206" t="str">
        <f t="shared" si="57"/>
        <v xml:space="preserve">강서구 </v>
      </c>
      <c r="G1206" t="str">
        <f t="shared" si="58"/>
        <v>화곡동</v>
      </c>
      <c r="H1206" t="s">
        <v>5729</v>
      </c>
      <c r="I1206">
        <v>7653</v>
      </c>
    </row>
    <row r="1207" spans="1:9" x14ac:dyDescent="0.4">
      <c r="A1207">
        <v>3150000</v>
      </c>
      <c r="B1207" t="s">
        <v>6072</v>
      </c>
      <c r="C1207" s="1">
        <v>30865</v>
      </c>
      <c r="D1207" t="s">
        <v>6073</v>
      </c>
      <c r="E1207" t="str">
        <f t="shared" si="56"/>
        <v>서울특별시</v>
      </c>
      <c r="F1207" t="str">
        <f t="shared" si="57"/>
        <v xml:space="preserve">강서구 </v>
      </c>
      <c r="G1207" t="str">
        <f t="shared" si="58"/>
        <v>화곡동</v>
      </c>
    </row>
    <row r="1208" spans="1:9" x14ac:dyDescent="0.4">
      <c r="A1208">
        <v>3150000</v>
      </c>
      <c r="B1208" t="s">
        <v>6037</v>
      </c>
      <c r="C1208" s="1">
        <v>36512</v>
      </c>
      <c r="D1208" t="s">
        <v>6038</v>
      </c>
      <c r="E1208" t="str">
        <f t="shared" si="56"/>
        <v>서울특별시</v>
      </c>
      <c r="F1208" t="str">
        <f t="shared" si="57"/>
        <v xml:space="preserve">강서구 </v>
      </c>
      <c r="G1208" t="str">
        <f t="shared" si="58"/>
        <v>화곡동</v>
      </c>
    </row>
    <row r="1209" spans="1:9" x14ac:dyDescent="0.4">
      <c r="A1209">
        <v>3150000</v>
      </c>
      <c r="B1209" t="s">
        <v>5851</v>
      </c>
      <c r="C1209" s="1">
        <v>36409</v>
      </c>
      <c r="D1209" t="s">
        <v>5852</v>
      </c>
      <c r="E1209" t="str">
        <f t="shared" si="56"/>
        <v>서울특별시</v>
      </c>
      <c r="F1209" t="str">
        <f t="shared" si="57"/>
        <v xml:space="preserve">강서구 </v>
      </c>
      <c r="G1209" t="str">
        <f t="shared" si="58"/>
        <v>화곡동</v>
      </c>
      <c r="H1209" t="s">
        <v>5853</v>
      </c>
    </row>
    <row r="1210" spans="1:9" x14ac:dyDescent="0.4">
      <c r="A1210">
        <v>3150000</v>
      </c>
      <c r="B1210" t="s">
        <v>5830</v>
      </c>
      <c r="C1210" s="1">
        <v>36613</v>
      </c>
      <c r="D1210" t="s">
        <v>5831</v>
      </c>
      <c r="E1210" t="str">
        <f t="shared" si="56"/>
        <v>서울특별시</v>
      </c>
      <c r="F1210" t="str">
        <f t="shared" si="57"/>
        <v xml:space="preserve">강서구 </v>
      </c>
      <c r="G1210" t="str">
        <f t="shared" si="58"/>
        <v>화곡동</v>
      </c>
    </row>
    <row r="1211" spans="1:9" x14ac:dyDescent="0.4">
      <c r="A1211">
        <v>3150000</v>
      </c>
      <c r="B1211" t="s">
        <v>5968</v>
      </c>
      <c r="C1211" s="1">
        <v>40311</v>
      </c>
      <c r="D1211" t="s">
        <v>5831</v>
      </c>
      <c r="E1211" t="str">
        <f t="shared" si="56"/>
        <v>서울특별시</v>
      </c>
      <c r="F1211" t="str">
        <f t="shared" si="57"/>
        <v xml:space="preserve">강서구 </v>
      </c>
      <c r="G1211" t="str">
        <f t="shared" si="58"/>
        <v>화곡동</v>
      </c>
      <c r="H1211" t="s">
        <v>5969</v>
      </c>
      <c r="I1211">
        <v>7653</v>
      </c>
    </row>
    <row r="1212" spans="1:9" x14ac:dyDescent="0.4">
      <c r="A1212">
        <v>3150000</v>
      </c>
      <c r="B1212" t="s">
        <v>12170</v>
      </c>
      <c r="C1212" s="1">
        <v>32779</v>
      </c>
      <c r="D1212" t="s">
        <v>12171</v>
      </c>
      <c r="E1212" t="str">
        <f t="shared" si="56"/>
        <v>서울특별시</v>
      </c>
      <c r="F1212" t="str">
        <f t="shared" si="57"/>
        <v xml:space="preserve">강서구 </v>
      </c>
      <c r="G1212" t="str">
        <f t="shared" si="58"/>
        <v>화곡동</v>
      </c>
      <c r="H1212" t="s">
        <v>12172</v>
      </c>
      <c r="I1212">
        <v>7653</v>
      </c>
    </row>
    <row r="1213" spans="1:9" x14ac:dyDescent="0.4">
      <c r="A1213">
        <v>3150000</v>
      </c>
      <c r="B1213" t="s">
        <v>5900</v>
      </c>
      <c r="C1213" s="1">
        <v>31568</v>
      </c>
      <c r="D1213" t="s">
        <v>5901</v>
      </c>
      <c r="E1213" t="str">
        <f t="shared" si="56"/>
        <v>서울특별시</v>
      </c>
      <c r="F1213" t="str">
        <f t="shared" si="57"/>
        <v xml:space="preserve">강서구 </v>
      </c>
      <c r="G1213" t="str">
        <f t="shared" si="58"/>
        <v>화곡동</v>
      </c>
      <c r="H1213" t="s">
        <v>5902</v>
      </c>
      <c r="I1213">
        <v>7658</v>
      </c>
    </row>
    <row r="1214" spans="1:9" x14ac:dyDescent="0.4">
      <c r="A1214">
        <v>3150000</v>
      </c>
      <c r="B1214" t="s">
        <v>5686</v>
      </c>
      <c r="C1214" s="1">
        <v>36705</v>
      </c>
      <c r="D1214" t="s">
        <v>5687</v>
      </c>
      <c r="E1214" t="str">
        <f t="shared" si="56"/>
        <v>서울특별시</v>
      </c>
      <c r="F1214" t="str">
        <f t="shared" si="57"/>
        <v xml:space="preserve">강서구 </v>
      </c>
      <c r="G1214" t="str">
        <f t="shared" si="58"/>
        <v>화곡동</v>
      </c>
      <c r="H1214" t="s">
        <v>5688</v>
      </c>
      <c r="I1214">
        <v>7658</v>
      </c>
    </row>
    <row r="1215" spans="1:9" x14ac:dyDescent="0.4">
      <c r="A1215">
        <v>3150000</v>
      </c>
      <c r="B1215" t="s">
        <v>6026</v>
      </c>
      <c r="C1215" s="1">
        <v>32249</v>
      </c>
      <c r="D1215" t="s">
        <v>6027</v>
      </c>
      <c r="E1215" t="str">
        <f t="shared" si="56"/>
        <v>서울특별시</v>
      </c>
      <c r="F1215" t="str">
        <f t="shared" si="57"/>
        <v xml:space="preserve">강서구 </v>
      </c>
      <c r="G1215" t="str">
        <f t="shared" si="58"/>
        <v>화곡동</v>
      </c>
      <c r="H1215" t="s">
        <v>6028</v>
      </c>
      <c r="I1215">
        <v>7658</v>
      </c>
    </row>
    <row r="1216" spans="1:9" x14ac:dyDescent="0.4">
      <c r="A1216">
        <v>3150000</v>
      </c>
      <c r="B1216" t="s">
        <v>6098</v>
      </c>
      <c r="C1216" s="1">
        <v>44879</v>
      </c>
      <c r="D1216" t="s">
        <v>6099</v>
      </c>
      <c r="E1216" t="str">
        <f t="shared" si="56"/>
        <v>서울특별시</v>
      </c>
      <c r="F1216" t="str">
        <f t="shared" si="57"/>
        <v xml:space="preserve">강서구 </v>
      </c>
      <c r="G1216" t="str">
        <f t="shared" si="58"/>
        <v>화곡동</v>
      </c>
      <c r="H1216" t="s">
        <v>6100</v>
      </c>
      <c r="I1216">
        <v>7658</v>
      </c>
    </row>
    <row r="1217" spans="1:9" x14ac:dyDescent="0.4">
      <c r="A1217">
        <v>3150000</v>
      </c>
      <c r="B1217" t="s">
        <v>5513</v>
      </c>
      <c r="C1217" s="1">
        <v>32773</v>
      </c>
      <c r="D1217" t="s">
        <v>5514</v>
      </c>
      <c r="E1217" t="str">
        <f t="shared" si="56"/>
        <v>서울특별시</v>
      </c>
      <c r="F1217" t="str">
        <f t="shared" si="57"/>
        <v xml:space="preserve">강서구 </v>
      </c>
      <c r="G1217" t="str">
        <f t="shared" si="58"/>
        <v>화곡동</v>
      </c>
      <c r="H1217" t="s">
        <v>5515</v>
      </c>
      <c r="I1217">
        <v>7658</v>
      </c>
    </row>
    <row r="1218" spans="1:9" x14ac:dyDescent="0.4">
      <c r="A1218">
        <v>3150000</v>
      </c>
      <c r="B1218" t="s">
        <v>6062</v>
      </c>
      <c r="C1218" s="1">
        <v>34605</v>
      </c>
      <c r="D1218" t="s">
        <v>6063</v>
      </c>
      <c r="E1218" t="str">
        <f t="shared" si="56"/>
        <v>서울특별시</v>
      </c>
      <c r="F1218" t="str">
        <f t="shared" si="57"/>
        <v xml:space="preserve">강서구 </v>
      </c>
      <c r="G1218" t="str">
        <f t="shared" si="58"/>
        <v>화곡동</v>
      </c>
    </row>
    <row r="1219" spans="1:9" x14ac:dyDescent="0.4">
      <c r="A1219">
        <v>3150000</v>
      </c>
      <c r="B1219" t="s">
        <v>5552</v>
      </c>
      <c r="C1219" s="1">
        <v>37215</v>
      </c>
      <c r="D1219" t="s">
        <v>5553</v>
      </c>
      <c r="E1219" t="str">
        <f t="shared" ref="E1219:E1282" si="59">LEFT(D1219,5)</f>
        <v>서울특별시</v>
      </c>
      <c r="F1219" t="str">
        <f t="shared" ref="F1219:F1282" si="60">MID(D1219,7,4)</f>
        <v xml:space="preserve">강서구 </v>
      </c>
      <c r="G1219" t="str">
        <f t="shared" ref="G1219:G1282" si="61">MID(SUBSTITUTE(D1219," ",""),9,3)</f>
        <v>화곡동</v>
      </c>
      <c r="H1219" t="s">
        <v>5554</v>
      </c>
      <c r="I1219">
        <v>7658</v>
      </c>
    </row>
    <row r="1220" spans="1:9" x14ac:dyDescent="0.4">
      <c r="A1220">
        <v>3150000</v>
      </c>
      <c r="B1220" t="s">
        <v>5716</v>
      </c>
      <c r="C1220" s="1">
        <v>36585</v>
      </c>
      <c r="D1220" t="s">
        <v>5717</v>
      </c>
      <c r="E1220" t="str">
        <f t="shared" si="59"/>
        <v>서울특별시</v>
      </c>
      <c r="F1220" t="str">
        <f t="shared" si="60"/>
        <v xml:space="preserve">강서구 </v>
      </c>
      <c r="G1220" t="str">
        <f t="shared" si="61"/>
        <v>화곡동</v>
      </c>
      <c r="H1220" t="s">
        <v>5718</v>
      </c>
      <c r="I1220">
        <v>7658</v>
      </c>
    </row>
    <row r="1221" spans="1:9" x14ac:dyDescent="0.4">
      <c r="A1221">
        <v>3150000</v>
      </c>
      <c r="B1221" t="s">
        <v>5757</v>
      </c>
      <c r="C1221" s="1">
        <v>39583</v>
      </c>
      <c r="D1221" t="s">
        <v>5758</v>
      </c>
      <c r="E1221" t="str">
        <f t="shared" si="59"/>
        <v>서울특별시</v>
      </c>
      <c r="F1221" t="str">
        <f t="shared" si="60"/>
        <v xml:space="preserve">강서구 </v>
      </c>
      <c r="G1221" t="str">
        <f t="shared" si="61"/>
        <v>화곡동</v>
      </c>
      <c r="H1221" t="s">
        <v>5718</v>
      </c>
      <c r="I1221">
        <v>7658</v>
      </c>
    </row>
    <row r="1222" spans="1:9" x14ac:dyDescent="0.4">
      <c r="A1222">
        <v>3150000</v>
      </c>
      <c r="B1222" t="s">
        <v>5897</v>
      </c>
      <c r="C1222" s="1">
        <v>31601</v>
      </c>
      <c r="D1222" t="s">
        <v>5898</v>
      </c>
      <c r="E1222" t="str">
        <f t="shared" si="59"/>
        <v>서울특별시</v>
      </c>
      <c r="F1222" t="str">
        <f t="shared" si="60"/>
        <v xml:space="preserve">강서구 </v>
      </c>
      <c r="G1222" t="str">
        <f t="shared" si="61"/>
        <v>화곡동</v>
      </c>
      <c r="H1222" t="s">
        <v>5899</v>
      </c>
      <c r="I1222">
        <v>7658</v>
      </c>
    </row>
    <row r="1223" spans="1:9" x14ac:dyDescent="0.4">
      <c r="A1223">
        <v>3150000</v>
      </c>
      <c r="B1223" t="s">
        <v>5609</v>
      </c>
      <c r="C1223" s="1">
        <v>28385</v>
      </c>
      <c r="D1223" t="s">
        <v>5610</v>
      </c>
      <c r="E1223" t="str">
        <f t="shared" si="59"/>
        <v>서울특별시</v>
      </c>
      <c r="F1223" t="str">
        <f t="shared" si="60"/>
        <v xml:space="preserve">강서구 </v>
      </c>
      <c r="G1223" t="str">
        <f t="shared" si="61"/>
        <v>화곡동</v>
      </c>
      <c r="H1223" t="s">
        <v>5611</v>
      </c>
      <c r="I1223">
        <v>7658</v>
      </c>
    </row>
    <row r="1224" spans="1:9" x14ac:dyDescent="0.4">
      <c r="A1224">
        <v>3150000</v>
      </c>
      <c r="B1224" t="s">
        <v>5635</v>
      </c>
      <c r="C1224" s="1">
        <v>30755</v>
      </c>
      <c r="D1224" t="s">
        <v>5636</v>
      </c>
      <c r="E1224" t="str">
        <f t="shared" si="59"/>
        <v>서울특별시</v>
      </c>
      <c r="F1224" t="str">
        <f t="shared" si="60"/>
        <v xml:space="preserve">강서구 </v>
      </c>
      <c r="G1224" t="str">
        <f t="shared" si="61"/>
        <v>화곡동</v>
      </c>
      <c r="H1224" t="s">
        <v>5637</v>
      </c>
      <c r="I1224">
        <v>7658</v>
      </c>
    </row>
    <row r="1225" spans="1:9" x14ac:dyDescent="0.4">
      <c r="A1225">
        <v>3150000</v>
      </c>
      <c r="B1225" t="s">
        <v>5945</v>
      </c>
      <c r="C1225" s="1">
        <v>32317</v>
      </c>
      <c r="D1225" t="s">
        <v>5946</v>
      </c>
      <c r="E1225" t="str">
        <f t="shared" si="59"/>
        <v>서울특별시</v>
      </c>
      <c r="F1225" t="str">
        <f t="shared" si="60"/>
        <v xml:space="preserve">강서구 </v>
      </c>
      <c r="G1225" t="str">
        <f t="shared" si="61"/>
        <v>화곡동</v>
      </c>
      <c r="H1225" t="s">
        <v>5947</v>
      </c>
      <c r="I1225">
        <v>7658</v>
      </c>
    </row>
    <row r="1226" spans="1:9" x14ac:dyDescent="0.4">
      <c r="A1226">
        <v>3150000</v>
      </c>
      <c r="B1226" t="s">
        <v>5534</v>
      </c>
      <c r="C1226" s="1">
        <v>32014</v>
      </c>
      <c r="D1226" t="s">
        <v>5535</v>
      </c>
      <c r="E1226" t="str">
        <f t="shared" si="59"/>
        <v>서울특별시</v>
      </c>
      <c r="F1226" t="str">
        <f t="shared" si="60"/>
        <v xml:space="preserve">강서구 </v>
      </c>
      <c r="G1226" t="str">
        <f t="shared" si="61"/>
        <v>화곡동</v>
      </c>
      <c r="H1226" t="s">
        <v>5536</v>
      </c>
      <c r="I1226">
        <v>7658</v>
      </c>
    </row>
    <row r="1227" spans="1:9" x14ac:dyDescent="0.4">
      <c r="A1227">
        <v>3150000</v>
      </c>
      <c r="B1227" t="s">
        <v>5546</v>
      </c>
      <c r="C1227" s="1">
        <v>33108</v>
      </c>
      <c r="D1227" t="s">
        <v>5547</v>
      </c>
      <c r="E1227" t="str">
        <f t="shared" si="59"/>
        <v>서울특별시</v>
      </c>
      <c r="F1227" t="str">
        <f t="shared" si="60"/>
        <v xml:space="preserve">강서구 </v>
      </c>
      <c r="G1227" t="str">
        <f t="shared" si="61"/>
        <v>화곡동</v>
      </c>
      <c r="H1227" t="s">
        <v>5548</v>
      </c>
      <c r="I1227">
        <v>7658</v>
      </c>
    </row>
    <row r="1228" spans="1:9" x14ac:dyDescent="0.4">
      <c r="A1228">
        <v>3150000</v>
      </c>
      <c r="B1228" t="s">
        <v>5701</v>
      </c>
      <c r="C1228" s="1">
        <v>40933</v>
      </c>
      <c r="D1228" t="s">
        <v>5547</v>
      </c>
      <c r="E1228" t="str">
        <f t="shared" si="59"/>
        <v>서울특별시</v>
      </c>
      <c r="F1228" t="str">
        <f t="shared" si="60"/>
        <v xml:space="preserve">강서구 </v>
      </c>
      <c r="G1228" t="str">
        <f t="shared" si="61"/>
        <v>화곡동</v>
      </c>
      <c r="H1228" t="s">
        <v>5548</v>
      </c>
      <c r="I1228">
        <v>7658</v>
      </c>
    </row>
    <row r="1229" spans="1:9" x14ac:dyDescent="0.4">
      <c r="A1229">
        <v>3150000</v>
      </c>
      <c r="B1229" t="s">
        <v>5912</v>
      </c>
      <c r="C1229" s="1">
        <v>36523</v>
      </c>
      <c r="D1229" t="s">
        <v>5913</v>
      </c>
      <c r="E1229" t="str">
        <f t="shared" si="59"/>
        <v>서울특별시</v>
      </c>
      <c r="F1229" t="str">
        <f t="shared" si="60"/>
        <v xml:space="preserve">강서구 </v>
      </c>
      <c r="G1229" t="str">
        <f t="shared" si="61"/>
        <v>화곡동</v>
      </c>
      <c r="H1229" t="s">
        <v>5914</v>
      </c>
      <c r="I1229">
        <v>7658</v>
      </c>
    </row>
    <row r="1230" spans="1:9" x14ac:dyDescent="0.4">
      <c r="A1230">
        <v>3150000</v>
      </c>
      <c r="B1230" t="s">
        <v>5909</v>
      </c>
      <c r="C1230" s="1">
        <v>36490</v>
      </c>
      <c r="D1230" t="s">
        <v>5910</v>
      </c>
      <c r="E1230" t="str">
        <f t="shared" si="59"/>
        <v>서울특별시</v>
      </c>
      <c r="F1230" t="str">
        <f t="shared" si="60"/>
        <v xml:space="preserve">강서구 </v>
      </c>
      <c r="G1230" t="str">
        <f t="shared" si="61"/>
        <v>화곡동</v>
      </c>
      <c r="H1230" t="s">
        <v>5911</v>
      </c>
      <c r="I1230">
        <v>7658</v>
      </c>
    </row>
    <row r="1231" spans="1:9" x14ac:dyDescent="0.4">
      <c r="A1231">
        <v>3150000</v>
      </c>
      <c r="B1231" t="s">
        <v>5644</v>
      </c>
      <c r="C1231" s="1">
        <v>31288</v>
      </c>
      <c r="D1231" t="s">
        <v>5645</v>
      </c>
      <c r="E1231" t="str">
        <f t="shared" si="59"/>
        <v>서울특별시</v>
      </c>
      <c r="F1231" t="str">
        <f t="shared" si="60"/>
        <v xml:space="preserve">강서구 </v>
      </c>
      <c r="G1231" t="str">
        <f t="shared" si="61"/>
        <v>화곡동</v>
      </c>
      <c r="H1231" t="s">
        <v>5646</v>
      </c>
      <c r="I1231">
        <v>7658</v>
      </c>
    </row>
    <row r="1232" spans="1:9" x14ac:dyDescent="0.4">
      <c r="A1232">
        <v>3150000</v>
      </c>
      <c r="B1232" t="s">
        <v>5906</v>
      </c>
      <c r="C1232" s="1">
        <v>32190</v>
      </c>
      <c r="D1232" t="s">
        <v>5907</v>
      </c>
      <c r="E1232" t="str">
        <f t="shared" si="59"/>
        <v>서울특별시</v>
      </c>
      <c r="F1232" t="str">
        <f t="shared" si="60"/>
        <v xml:space="preserve">강서구 </v>
      </c>
      <c r="G1232" t="str">
        <f t="shared" si="61"/>
        <v>화곡동</v>
      </c>
      <c r="H1232" t="s">
        <v>5908</v>
      </c>
      <c r="I1232">
        <v>7658</v>
      </c>
    </row>
    <row r="1233" spans="1:9" x14ac:dyDescent="0.4">
      <c r="A1233">
        <v>3150000</v>
      </c>
      <c r="B1233" t="s">
        <v>5942</v>
      </c>
      <c r="C1233" s="1">
        <v>42879</v>
      </c>
      <c r="D1233" t="s">
        <v>5943</v>
      </c>
      <c r="E1233" t="str">
        <f t="shared" si="59"/>
        <v>서울특별시</v>
      </c>
      <c r="F1233" t="str">
        <f t="shared" si="60"/>
        <v xml:space="preserve">강서구 </v>
      </c>
      <c r="G1233" t="str">
        <f t="shared" si="61"/>
        <v>화곡동</v>
      </c>
      <c r="H1233" t="s">
        <v>5944</v>
      </c>
      <c r="I1233">
        <v>7658</v>
      </c>
    </row>
    <row r="1234" spans="1:9" x14ac:dyDescent="0.4">
      <c r="A1234">
        <v>3150000</v>
      </c>
      <c r="B1234" t="s">
        <v>5849</v>
      </c>
      <c r="C1234" s="1">
        <v>36405</v>
      </c>
      <c r="D1234" t="s">
        <v>5850</v>
      </c>
      <c r="E1234" t="str">
        <f t="shared" si="59"/>
        <v>서울특별시</v>
      </c>
      <c r="F1234" t="str">
        <f t="shared" si="60"/>
        <v xml:space="preserve">강서구 </v>
      </c>
      <c r="G1234" t="str">
        <f t="shared" si="61"/>
        <v>화곡동</v>
      </c>
    </row>
    <row r="1235" spans="1:9" x14ac:dyDescent="0.4">
      <c r="A1235">
        <v>3150000</v>
      </c>
      <c r="B1235" t="s">
        <v>5891</v>
      </c>
      <c r="C1235" s="1">
        <v>37215</v>
      </c>
      <c r="D1235" t="s">
        <v>5892</v>
      </c>
      <c r="E1235" t="str">
        <f t="shared" si="59"/>
        <v>서울특별시</v>
      </c>
      <c r="F1235" t="str">
        <f t="shared" si="60"/>
        <v xml:space="preserve">강서구 </v>
      </c>
      <c r="G1235" t="str">
        <f t="shared" si="61"/>
        <v>화곡동</v>
      </c>
      <c r="H1235" t="s">
        <v>5893</v>
      </c>
      <c r="I1235">
        <v>7658</v>
      </c>
    </row>
    <row r="1236" spans="1:9" x14ac:dyDescent="0.4">
      <c r="A1236">
        <v>3150000</v>
      </c>
      <c r="B1236" t="s">
        <v>5954</v>
      </c>
      <c r="C1236" s="1">
        <v>32773</v>
      </c>
      <c r="D1236" t="s">
        <v>5955</v>
      </c>
      <c r="E1236" t="str">
        <f t="shared" si="59"/>
        <v>서울특별시</v>
      </c>
      <c r="F1236" t="str">
        <f t="shared" si="60"/>
        <v xml:space="preserve">강서구 </v>
      </c>
      <c r="G1236" t="str">
        <f t="shared" si="61"/>
        <v>화곡동</v>
      </c>
      <c r="H1236" t="s">
        <v>5956</v>
      </c>
      <c r="I1236">
        <v>7679</v>
      </c>
    </row>
    <row r="1237" spans="1:9" x14ac:dyDescent="0.4">
      <c r="A1237">
        <v>3150000</v>
      </c>
      <c r="B1237" t="s">
        <v>5845</v>
      </c>
      <c r="C1237" s="1">
        <v>36332</v>
      </c>
      <c r="D1237" t="s">
        <v>5846</v>
      </c>
      <c r="E1237" t="str">
        <f t="shared" si="59"/>
        <v>서울특별시</v>
      </c>
      <c r="F1237" t="str">
        <f t="shared" si="60"/>
        <v xml:space="preserve">강서구 </v>
      </c>
      <c r="G1237" t="str">
        <f t="shared" si="61"/>
        <v>화곡동</v>
      </c>
    </row>
    <row r="1238" spans="1:9" x14ac:dyDescent="0.4">
      <c r="A1238">
        <v>3150000</v>
      </c>
      <c r="B1238" t="s">
        <v>5739</v>
      </c>
      <c r="C1238" s="1">
        <v>36474</v>
      </c>
      <c r="D1238" t="s">
        <v>5740</v>
      </c>
      <c r="E1238" t="str">
        <f t="shared" si="59"/>
        <v>서울특별시</v>
      </c>
      <c r="F1238" t="str">
        <f t="shared" si="60"/>
        <v xml:space="preserve">강서구 </v>
      </c>
      <c r="G1238" t="str">
        <f t="shared" si="61"/>
        <v>화곡동</v>
      </c>
      <c r="H1238" t="s">
        <v>5741</v>
      </c>
      <c r="I1238">
        <v>7673</v>
      </c>
    </row>
    <row r="1239" spans="1:9" x14ac:dyDescent="0.4">
      <c r="A1239">
        <v>3150000</v>
      </c>
      <c r="B1239" t="s">
        <v>6051</v>
      </c>
      <c r="C1239" s="1">
        <v>32493</v>
      </c>
      <c r="D1239" t="s">
        <v>6052</v>
      </c>
      <c r="E1239" t="str">
        <f t="shared" si="59"/>
        <v>서울특별시</v>
      </c>
      <c r="F1239" t="str">
        <f t="shared" si="60"/>
        <v xml:space="preserve">강서구 </v>
      </c>
      <c r="G1239" t="str">
        <f t="shared" si="61"/>
        <v>화곡동</v>
      </c>
      <c r="H1239" t="s">
        <v>6053</v>
      </c>
      <c r="I1239">
        <v>7678</v>
      </c>
    </row>
    <row r="1240" spans="1:9" x14ac:dyDescent="0.4">
      <c r="A1240">
        <v>3150000</v>
      </c>
      <c r="B1240" t="s">
        <v>6084</v>
      </c>
      <c r="C1240" s="1">
        <v>31499</v>
      </c>
      <c r="D1240" t="s">
        <v>6085</v>
      </c>
      <c r="E1240" t="str">
        <f t="shared" si="59"/>
        <v>서울특별시</v>
      </c>
      <c r="F1240" t="str">
        <f t="shared" si="60"/>
        <v xml:space="preserve">강서구 </v>
      </c>
      <c r="G1240" t="str">
        <f t="shared" si="61"/>
        <v>화곡동</v>
      </c>
      <c r="H1240" t="s">
        <v>6086</v>
      </c>
      <c r="I1240">
        <v>7678</v>
      </c>
    </row>
    <row r="1241" spans="1:9" x14ac:dyDescent="0.4">
      <c r="A1241">
        <v>3150000</v>
      </c>
      <c r="B1241" t="s">
        <v>5857</v>
      </c>
      <c r="C1241" s="1">
        <v>36424</v>
      </c>
      <c r="D1241" t="s">
        <v>5858</v>
      </c>
      <c r="E1241" t="str">
        <f t="shared" si="59"/>
        <v>서울특별시</v>
      </c>
      <c r="F1241" t="str">
        <f t="shared" si="60"/>
        <v xml:space="preserve">강서구 </v>
      </c>
      <c r="G1241" t="str">
        <f t="shared" si="61"/>
        <v>화곡동</v>
      </c>
    </row>
    <row r="1242" spans="1:9" x14ac:dyDescent="0.4">
      <c r="A1242">
        <v>3150000</v>
      </c>
      <c r="B1242" t="s">
        <v>6054</v>
      </c>
      <c r="C1242" s="1">
        <v>32513</v>
      </c>
      <c r="D1242" t="s">
        <v>5858</v>
      </c>
      <c r="E1242" t="str">
        <f t="shared" si="59"/>
        <v>서울특별시</v>
      </c>
      <c r="F1242" t="str">
        <f t="shared" si="60"/>
        <v xml:space="preserve">강서구 </v>
      </c>
      <c r="G1242" t="str">
        <f t="shared" si="61"/>
        <v>화곡동</v>
      </c>
    </row>
    <row r="1243" spans="1:9" x14ac:dyDescent="0.4">
      <c r="A1243">
        <v>3150000</v>
      </c>
      <c r="B1243" t="s">
        <v>5879</v>
      </c>
      <c r="C1243" s="1">
        <v>36489</v>
      </c>
      <c r="D1243" t="s">
        <v>5880</v>
      </c>
      <c r="E1243" t="str">
        <f t="shared" si="59"/>
        <v>서울특별시</v>
      </c>
      <c r="F1243" t="str">
        <f t="shared" si="60"/>
        <v xml:space="preserve">강서구 </v>
      </c>
      <c r="G1243" t="str">
        <f t="shared" si="61"/>
        <v>화곡동</v>
      </c>
    </row>
    <row r="1244" spans="1:9" x14ac:dyDescent="0.4">
      <c r="A1244">
        <v>3150000</v>
      </c>
      <c r="B1244" t="s">
        <v>5842</v>
      </c>
      <c r="C1244" s="1">
        <v>36308</v>
      </c>
      <c r="D1244" t="s">
        <v>5843</v>
      </c>
      <c r="E1244" t="str">
        <f t="shared" si="59"/>
        <v>서울특별시</v>
      </c>
      <c r="F1244" t="str">
        <f t="shared" si="60"/>
        <v xml:space="preserve">강서구 </v>
      </c>
      <c r="G1244" t="str">
        <f t="shared" si="61"/>
        <v>화곡동</v>
      </c>
      <c r="H1244" t="s">
        <v>5844</v>
      </c>
      <c r="I1244">
        <v>7674</v>
      </c>
    </row>
    <row r="1245" spans="1:9" x14ac:dyDescent="0.4">
      <c r="A1245">
        <v>3150000</v>
      </c>
      <c r="B1245" t="s">
        <v>5549</v>
      </c>
      <c r="C1245" s="1">
        <v>33217</v>
      </c>
      <c r="D1245" t="s">
        <v>5550</v>
      </c>
      <c r="E1245" t="str">
        <f t="shared" si="59"/>
        <v>서울특별시</v>
      </c>
      <c r="F1245" t="str">
        <f t="shared" si="60"/>
        <v xml:space="preserve">강서구 </v>
      </c>
      <c r="G1245" t="str">
        <f t="shared" si="61"/>
        <v>화곡동</v>
      </c>
      <c r="H1245" t="s">
        <v>5551</v>
      </c>
      <c r="I1245">
        <v>7751</v>
      </c>
    </row>
    <row r="1246" spans="1:9" x14ac:dyDescent="0.4">
      <c r="A1246">
        <v>3150000</v>
      </c>
      <c r="B1246" t="s">
        <v>5618</v>
      </c>
      <c r="C1246" s="1">
        <v>28968</v>
      </c>
      <c r="D1246" t="s">
        <v>5619</v>
      </c>
      <c r="E1246" t="str">
        <f t="shared" si="59"/>
        <v>서울특별시</v>
      </c>
      <c r="F1246" t="str">
        <f t="shared" si="60"/>
        <v xml:space="preserve">강서구 </v>
      </c>
      <c r="G1246" t="str">
        <f t="shared" si="61"/>
        <v>화곡동</v>
      </c>
      <c r="H1246" t="s">
        <v>5620</v>
      </c>
      <c r="I1246">
        <v>7760</v>
      </c>
    </row>
    <row r="1247" spans="1:9" x14ac:dyDescent="0.4">
      <c r="A1247">
        <v>3150000</v>
      </c>
      <c r="B1247" t="s">
        <v>6068</v>
      </c>
      <c r="C1247" s="1">
        <v>28347</v>
      </c>
      <c r="D1247" t="s">
        <v>6069</v>
      </c>
      <c r="E1247" t="str">
        <f t="shared" si="59"/>
        <v>서울특별시</v>
      </c>
      <c r="F1247" t="str">
        <f t="shared" si="60"/>
        <v xml:space="preserve">강서구 </v>
      </c>
      <c r="G1247" t="str">
        <f t="shared" si="61"/>
        <v>화곡동</v>
      </c>
    </row>
    <row r="1248" spans="1:9" x14ac:dyDescent="0.4">
      <c r="A1248">
        <v>3150000</v>
      </c>
      <c r="B1248" t="s">
        <v>6047</v>
      </c>
      <c r="C1248" s="1">
        <v>36558</v>
      </c>
      <c r="D1248" t="s">
        <v>6048</v>
      </c>
      <c r="E1248" t="str">
        <f t="shared" si="59"/>
        <v>서울특별시</v>
      </c>
      <c r="F1248" t="str">
        <f t="shared" si="60"/>
        <v xml:space="preserve">강서구 </v>
      </c>
      <c r="G1248" t="str">
        <f t="shared" si="61"/>
        <v>화곡동</v>
      </c>
    </row>
    <row r="1249" spans="1:9" x14ac:dyDescent="0.4">
      <c r="A1249">
        <v>3150000</v>
      </c>
      <c r="B1249" t="s">
        <v>5698</v>
      </c>
      <c r="C1249" s="1">
        <v>36809</v>
      </c>
      <c r="D1249" t="s">
        <v>5699</v>
      </c>
      <c r="E1249" t="str">
        <f t="shared" si="59"/>
        <v>서울특별시</v>
      </c>
      <c r="F1249" t="str">
        <f t="shared" si="60"/>
        <v xml:space="preserve">강서구 </v>
      </c>
      <c r="G1249" t="str">
        <f t="shared" si="61"/>
        <v>화곡동</v>
      </c>
      <c r="H1249" t="s">
        <v>5700</v>
      </c>
      <c r="I1249">
        <v>7774</v>
      </c>
    </row>
    <row r="1250" spans="1:9" x14ac:dyDescent="0.4">
      <c r="A1250">
        <v>3150000</v>
      </c>
      <c r="B1250" t="s">
        <v>5705</v>
      </c>
      <c r="C1250" s="1">
        <v>41068</v>
      </c>
      <c r="D1250" t="s">
        <v>5699</v>
      </c>
      <c r="E1250" t="str">
        <f t="shared" si="59"/>
        <v>서울특별시</v>
      </c>
      <c r="F1250" t="str">
        <f t="shared" si="60"/>
        <v xml:space="preserve">강서구 </v>
      </c>
      <c r="G1250" t="str">
        <f t="shared" si="61"/>
        <v>화곡동</v>
      </c>
      <c r="H1250" t="s">
        <v>5706</v>
      </c>
      <c r="I1250">
        <v>7774</v>
      </c>
    </row>
    <row r="1251" spans="1:9" x14ac:dyDescent="0.4">
      <c r="A1251">
        <v>3150000</v>
      </c>
      <c r="B1251" t="s">
        <v>5707</v>
      </c>
      <c r="C1251" s="1">
        <v>41347</v>
      </c>
      <c r="D1251" t="s">
        <v>5708</v>
      </c>
      <c r="E1251" t="str">
        <f t="shared" si="59"/>
        <v>서울특별시</v>
      </c>
      <c r="F1251" t="str">
        <f t="shared" si="60"/>
        <v xml:space="preserve">강서구 </v>
      </c>
      <c r="G1251" t="str">
        <f t="shared" si="61"/>
        <v>화곡동</v>
      </c>
      <c r="H1251" t="s">
        <v>5709</v>
      </c>
      <c r="I1251">
        <v>7774</v>
      </c>
    </row>
    <row r="1252" spans="1:9" x14ac:dyDescent="0.4">
      <c r="A1252">
        <v>3150000</v>
      </c>
      <c r="B1252" t="s">
        <v>5903</v>
      </c>
      <c r="C1252" s="1">
        <v>42626</v>
      </c>
      <c r="D1252" t="s">
        <v>5904</v>
      </c>
      <c r="E1252" t="str">
        <f t="shared" si="59"/>
        <v>서울특별시</v>
      </c>
      <c r="F1252" t="str">
        <f t="shared" si="60"/>
        <v xml:space="preserve">강서구 </v>
      </c>
      <c r="G1252" t="str">
        <f t="shared" si="61"/>
        <v>화곡동</v>
      </c>
      <c r="H1252" t="s">
        <v>5905</v>
      </c>
      <c r="I1252">
        <v>7774</v>
      </c>
    </row>
    <row r="1253" spans="1:9" x14ac:dyDescent="0.4">
      <c r="A1253">
        <v>3150000</v>
      </c>
      <c r="B1253" t="s">
        <v>5653</v>
      </c>
      <c r="C1253" s="1">
        <v>30339</v>
      </c>
      <c r="D1253" t="s">
        <v>5654</v>
      </c>
      <c r="E1253" t="str">
        <f t="shared" si="59"/>
        <v>서울특별시</v>
      </c>
      <c r="F1253" t="str">
        <f t="shared" si="60"/>
        <v xml:space="preserve">강서구 </v>
      </c>
      <c r="G1253" t="str">
        <f t="shared" si="61"/>
        <v>화곡동</v>
      </c>
      <c r="H1253" t="s">
        <v>5655</v>
      </c>
      <c r="I1253">
        <v>7773</v>
      </c>
    </row>
    <row r="1254" spans="1:9" x14ac:dyDescent="0.4">
      <c r="A1254">
        <v>3150000</v>
      </c>
      <c r="B1254" t="s">
        <v>5594</v>
      </c>
      <c r="C1254" s="1">
        <v>29093</v>
      </c>
      <c r="D1254" t="s">
        <v>5595</v>
      </c>
      <c r="E1254" t="str">
        <f t="shared" si="59"/>
        <v>서울특별시</v>
      </c>
      <c r="F1254" t="str">
        <f t="shared" si="60"/>
        <v xml:space="preserve">강서구 </v>
      </c>
      <c r="G1254" t="str">
        <f t="shared" si="61"/>
        <v>화곡동</v>
      </c>
      <c r="H1254" t="s">
        <v>5596</v>
      </c>
      <c r="I1254">
        <v>7761</v>
      </c>
    </row>
    <row r="1255" spans="1:9" x14ac:dyDescent="0.4">
      <c r="A1255">
        <v>3150000</v>
      </c>
      <c r="B1255" t="s">
        <v>5783</v>
      </c>
      <c r="C1255" s="1">
        <v>37212</v>
      </c>
      <c r="D1255" t="s">
        <v>5784</v>
      </c>
      <c r="E1255" t="str">
        <f t="shared" si="59"/>
        <v>서울특별시</v>
      </c>
      <c r="F1255" t="str">
        <f t="shared" si="60"/>
        <v xml:space="preserve">강서구 </v>
      </c>
      <c r="G1255" t="str">
        <f t="shared" si="61"/>
        <v>화곡동</v>
      </c>
      <c r="H1255" t="s">
        <v>5785</v>
      </c>
      <c r="I1255">
        <v>7717</v>
      </c>
    </row>
    <row r="1256" spans="1:9" x14ac:dyDescent="0.4">
      <c r="A1256">
        <v>3150000</v>
      </c>
      <c r="B1256" t="s">
        <v>6060</v>
      </c>
      <c r="C1256" s="1">
        <v>34118</v>
      </c>
      <c r="D1256" t="s">
        <v>6061</v>
      </c>
      <c r="E1256" t="str">
        <f t="shared" si="59"/>
        <v>서울특별시</v>
      </c>
      <c r="F1256" t="str">
        <f t="shared" si="60"/>
        <v xml:space="preserve">강서구 </v>
      </c>
      <c r="G1256" t="str">
        <f t="shared" si="61"/>
        <v>화곡동</v>
      </c>
    </row>
    <row r="1257" spans="1:9" x14ac:dyDescent="0.4">
      <c r="A1257">
        <v>3150000</v>
      </c>
      <c r="B1257" t="s">
        <v>5948</v>
      </c>
      <c r="C1257" s="1">
        <v>32701</v>
      </c>
      <c r="D1257" t="s">
        <v>5949</v>
      </c>
      <c r="E1257" t="str">
        <f t="shared" si="59"/>
        <v>서울특별시</v>
      </c>
      <c r="F1257" t="str">
        <f t="shared" si="60"/>
        <v xml:space="preserve">강서구 </v>
      </c>
      <c r="G1257" t="str">
        <f t="shared" si="61"/>
        <v>화곡동</v>
      </c>
      <c r="H1257" t="s">
        <v>5950</v>
      </c>
    </row>
    <row r="1258" spans="1:9" x14ac:dyDescent="0.4">
      <c r="A1258">
        <v>3150000</v>
      </c>
      <c r="B1258" t="s">
        <v>5816</v>
      </c>
      <c r="C1258" s="1">
        <v>36571</v>
      </c>
      <c r="D1258" t="s">
        <v>5817</v>
      </c>
      <c r="E1258" t="str">
        <f t="shared" si="59"/>
        <v>서울특별시</v>
      </c>
      <c r="F1258" t="str">
        <f t="shared" si="60"/>
        <v xml:space="preserve">강서구 </v>
      </c>
      <c r="G1258" t="str">
        <f t="shared" si="61"/>
        <v>화곡동</v>
      </c>
    </row>
    <row r="1259" spans="1:9" x14ac:dyDescent="0.4">
      <c r="A1259">
        <v>3150000</v>
      </c>
      <c r="B1259" t="s">
        <v>5957</v>
      </c>
      <c r="C1259" s="1">
        <v>32787</v>
      </c>
      <c r="D1259" t="s">
        <v>5958</v>
      </c>
      <c r="E1259" t="str">
        <f t="shared" si="59"/>
        <v>서울특별시</v>
      </c>
      <c r="F1259" t="str">
        <f t="shared" si="60"/>
        <v xml:space="preserve">강서구 </v>
      </c>
      <c r="G1259" t="str">
        <f t="shared" si="61"/>
        <v>화곡동</v>
      </c>
      <c r="H1259" t="s">
        <v>5959</v>
      </c>
      <c r="I1259">
        <v>7678</v>
      </c>
    </row>
    <row r="1260" spans="1:9" x14ac:dyDescent="0.4">
      <c r="A1260">
        <v>3150000</v>
      </c>
      <c r="B1260" t="s">
        <v>24</v>
      </c>
      <c r="C1260" s="1">
        <v>40030</v>
      </c>
      <c r="D1260" t="s">
        <v>25</v>
      </c>
      <c r="E1260" t="str">
        <f t="shared" si="59"/>
        <v>서울특별시</v>
      </c>
      <c r="F1260" t="str">
        <f t="shared" si="60"/>
        <v xml:space="preserve">강서구 </v>
      </c>
      <c r="G1260" t="str">
        <f t="shared" si="61"/>
        <v>화곡동</v>
      </c>
      <c r="H1260" t="s">
        <v>26</v>
      </c>
      <c r="I1260">
        <v>7778</v>
      </c>
    </row>
    <row r="1261" spans="1:9" x14ac:dyDescent="0.4">
      <c r="A1261">
        <v>3150000</v>
      </c>
      <c r="B1261" t="s">
        <v>5939</v>
      </c>
      <c r="C1261" s="1">
        <v>33653</v>
      </c>
      <c r="D1261" t="s">
        <v>5940</v>
      </c>
      <c r="E1261" t="str">
        <f t="shared" si="59"/>
        <v>서울특별시</v>
      </c>
      <c r="F1261" t="str">
        <f t="shared" si="60"/>
        <v xml:space="preserve">강서구 </v>
      </c>
      <c r="G1261" t="str">
        <f t="shared" si="61"/>
        <v>화곡동</v>
      </c>
      <c r="H1261" t="s">
        <v>5941</v>
      </c>
      <c r="I1261">
        <v>7778</v>
      </c>
    </row>
    <row r="1262" spans="1:9" x14ac:dyDescent="0.4">
      <c r="A1262">
        <v>3150000</v>
      </c>
      <c r="B1262" t="s">
        <v>6094</v>
      </c>
      <c r="C1262" s="1">
        <v>29483</v>
      </c>
      <c r="D1262" t="s">
        <v>6095</v>
      </c>
      <c r="E1262" t="str">
        <f t="shared" si="59"/>
        <v>서울특별시</v>
      </c>
      <c r="F1262" t="str">
        <f t="shared" si="60"/>
        <v xml:space="preserve">강서구 </v>
      </c>
      <c r="G1262" t="str">
        <f t="shared" si="61"/>
        <v>화곡동</v>
      </c>
    </row>
    <row r="1263" spans="1:9" x14ac:dyDescent="0.4">
      <c r="A1263">
        <v>3150000</v>
      </c>
      <c r="B1263" t="s">
        <v>5748</v>
      </c>
      <c r="C1263" s="1">
        <v>38090</v>
      </c>
      <c r="D1263" t="s">
        <v>5749</v>
      </c>
      <c r="E1263" t="str">
        <f t="shared" si="59"/>
        <v>서울특별시</v>
      </c>
      <c r="F1263" t="str">
        <f t="shared" si="60"/>
        <v xml:space="preserve">강서구 </v>
      </c>
      <c r="G1263" t="str">
        <f t="shared" si="61"/>
        <v>화곡동</v>
      </c>
      <c r="H1263" t="s">
        <v>5750</v>
      </c>
      <c r="I1263">
        <v>7778</v>
      </c>
    </row>
    <row r="1264" spans="1:9" x14ac:dyDescent="0.4">
      <c r="A1264">
        <v>3150000</v>
      </c>
      <c r="B1264" t="s">
        <v>5813</v>
      </c>
      <c r="C1264" s="1">
        <v>41906</v>
      </c>
      <c r="D1264" t="s">
        <v>5814</v>
      </c>
      <c r="E1264" t="str">
        <f t="shared" si="59"/>
        <v>서울특별시</v>
      </c>
      <c r="F1264" t="str">
        <f t="shared" si="60"/>
        <v xml:space="preserve">강서구 </v>
      </c>
      <c r="G1264" t="str">
        <f t="shared" si="61"/>
        <v>화곡동</v>
      </c>
      <c r="H1264" t="s">
        <v>5815</v>
      </c>
      <c r="I1264">
        <v>7777</v>
      </c>
    </row>
    <row r="1265" spans="1:9" x14ac:dyDescent="0.4">
      <c r="A1265">
        <v>3150000</v>
      </c>
      <c r="B1265" t="s">
        <v>5839</v>
      </c>
      <c r="C1265" s="1">
        <v>36291</v>
      </c>
      <c r="D1265" t="s">
        <v>5840</v>
      </c>
      <c r="E1265" t="str">
        <f t="shared" si="59"/>
        <v>서울특별시</v>
      </c>
      <c r="F1265" t="str">
        <f t="shared" si="60"/>
        <v xml:space="preserve">강서구 </v>
      </c>
      <c r="G1265" t="str">
        <f t="shared" si="61"/>
        <v>화곡동</v>
      </c>
      <c r="H1265" t="s">
        <v>5841</v>
      </c>
      <c r="I1265">
        <v>7777</v>
      </c>
    </row>
    <row r="1266" spans="1:9" x14ac:dyDescent="0.4">
      <c r="A1266">
        <v>3150000</v>
      </c>
      <c r="B1266" t="s">
        <v>5806</v>
      </c>
      <c r="C1266" s="1">
        <v>40435</v>
      </c>
      <c r="D1266" t="s">
        <v>5807</v>
      </c>
      <c r="E1266" t="str">
        <f t="shared" si="59"/>
        <v>서울특별시</v>
      </c>
      <c r="F1266" t="str">
        <f t="shared" si="60"/>
        <v xml:space="preserve">강서구 </v>
      </c>
      <c r="G1266" t="str">
        <f t="shared" si="61"/>
        <v>화곡동</v>
      </c>
      <c r="H1266" t="s">
        <v>5808</v>
      </c>
      <c r="I1266">
        <v>7777</v>
      </c>
    </row>
    <row r="1267" spans="1:9" x14ac:dyDescent="0.4">
      <c r="A1267">
        <v>3150000</v>
      </c>
      <c r="B1267" t="s">
        <v>5671</v>
      </c>
      <c r="C1267" s="1">
        <v>45124</v>
      </c>
      <c r="D1267" t="s">
        <v>5672</v>
      </c>
      <c r="E1267" t="str">
        <f t="shared" si="59"/>
        <v>서울특별시</v>
      </c>
      <c r="F1267" t="str">
        <f t="shared" si="60"/>
        <v xml:space="preserve">강서구 </v>
      </c>
      <c r="G1267" t="str">
        <f t="shared" si="61"/>
        <v>화곡동</v>
      </c>
      <c r="H1267" t="s">
        <v>5673</v>
      </c>
      <c r="I1267">
        <v>7777</v>
      </c>
    </row>
    <row r="1268" spans="1:9" x14ac:dyDescent="0.4">
      <c r="A1268">
        <v>3150000</v>
      </c>
      <c r="B1268" t="s">
        <v>5576</v>
      </c>
      <c r="C1268" s="1">
        <v>44596</v>
      </c>
      <c r="D1268" t="s">
        <v>5577</v>
      </c>
      <c r="E1268" t="str">
        <f t="shared" si="59"/>
        <v>서울특별시</v>
      </c>
      <c r="F1268" t="str">
        <f t="shared" si="60"/>
        <v xml:space="preserve">강서구 </v>
      </c>
      <c r="G1268" t="str">
        <f t="shared" si="61"/>
        <v>화곡동</v>
      </c>
      <c r="H1268" t="s">
        <v>5578</v>
      </c>
      <c r="I1268">
        <v>7777</v>
      </c>
    </row>
    <row r="1269" spans="1:9" x14ac:dyDescent="0.4">
      <c r="A1269">
        <v>3150000</v>
      </c>
      <c r="B1269" t="s">
        <v>5585</v>
      </c>
      <c r="C1269" s="1">
        <v>44587</v>
      </c>
      <c r="D1269" t="s">
        <v>5586</v>
      </c>
      <c r="E1269" t="str">
        <f t="shared" si="59"/>
        <v>서울특별시</v>
      </c>
      <c r="F1269" t="str">
        <f t="shared" si="60"/>
        <v xml:space="preserve">강서구 </v>
      </c>
      <c r="G1269" t="str">
        <f t="shared" si="61"/>
        <v>화곡동</v>
      </c>
      <c r="H1269" t="s">
        <v>5587</v>
      </c>
      <c r="I1269">
        <v>7777</v>
      </c>
    </row>
    <row r="1270" spans="1:9" x14ac:dyDescent="0.4">
      <c r="A1270">
        <v>3150000</v>
      </c>
      <c r="B1270" t="s">
        <v>5597</v>
      </c>
      <c r="C1270" s="1">
        <v>44567</v>
      </c>
      <c r="D1270" t="s">
        <v>5598</v>
      </c>
      <c r="E1270" t="str">
        <f t="shared" si="59"/>
        <v>서울특별시</v>
      </c>
      <c r="F1270" t="str">
        <f t="shared" si="60"/>
        <v xml:space="preserve">강서구 </v>
      </c>
      <c r="G1270" t="str">
        <f t="shared" si="61"/>
        <v>화곡동</v>
      </c>
      <c r="H1270" t="s">
        <v>5599</v>
      </c>
      <c r="I1270">
        <v>7777</v>
      </c>
    </row>
    <row r="1271" spans="1:9" x14ac:dyDescent="0.4">
      <c r="A1271">
        <v>3150000</v>
      </c>
      <c r="B1271" t="s">
        <v>5582</v>
      </c>
      <c r="C1271" s="1">
        <v>44664</v>
      </c>
      <c r="D1271" t="s">
        <v>5583</v>
      </c>
      <c r="E1271" t="str">
        <f t="shared" si="59"/>
        <v>서울특별시</v>
      </c>
      <c r="F1271" t="str">
        <f t="shared" si="60"/>
        <v xml:space="preserve">강서구 </v>
      </c>
      <c r="G1271" t="str">
        <f t="shared" si="61"/>
        <v>화곡동</v>
      </c>
      <c r="H1271" t="s">
        <v>5584</v>
      </c>
      <c r="I1271">
        <v>7777</v>
      </c>
    </row>
    <row r="1272" spans="1:9" x14ac:dyDescent="0.4">
      <c r="A1272">
        <v>3150000</v>
      </c>
      <c r="B1272" t="s">
        <v>5570</v>
      </c>
      <c r="C1272" s="1">
        <v>44655</v>
      </c>
      <c r="D1272" t="s">
        <v>5571</v>
      </c>
      <c r="E1272" t="str">
        <f t="shared" si="59"/>
        <v>서울특별시</v>
      </c>
      <c r="F1272" t="str">
        <f t="shared" si="60"/>
        <v xml:space="preserve">강서구 </v>
      </c>
      <c r="G1272" t="str">
        <f t="shared" si="61"/>
        <v>화곡동</v>
      </c>
      <c r="H1272" t="s">
        <v>5572</v>
      </c>
      <c r="I1272">
        <v>7777</v>
      </c>
    </row>
    <row r="1273" spans="1:9" x14ac:dyDescent="0.4">
      <c r="A1273">
        <v>3150000</v>
      </c>
      <c r="B1273" t="s">
        <v>5930</v>
      </c>
      <c r="C1273" s="1">
        <v>42690</v>
      </c>
      <c r="D1273" t="s">
        <v>5931</v>
      </c>
      <c r="E1273" t="str">
        <f t="shared" si="59"/>
        <v>서울특별시</v>
      </c>
      <c r="F1273" t="str">
        <f t="shared" si="60"/>
        <v xml:space="preserve">강서구 </v>
      </c>
      <c r="G1273" t="str">
        <f t="shared" si="61"/>
        <v>화곡동</v>
      </c>
      <c r="H1273" t="s">
        <v>5932</v>
      </c>
      <c r="I1273">
        <v>7777</v>
      </c>
    </row>
    <row r="1274" spans="1:9" x14ac:dyDescent="0.4">
      <c r="A1274">
        <v>3150000</v>
      </c>
      <c r="B1274" t="s">
        <v>5889</v>
      </c>
      <c r="C1274" s="1">
        <v>37138</v>
      </c>
      <c r="D1274" t="s">
        <v>5890</v>
      </c>
      <c r="E1274" t="str">
        <f t="shared" si="59"/>
        <v>서울특별시</v>
      </c>
      <c r="F1274" t="str">
        <f t="shared" si="60"/>
        <v xml:space="preserve">강서구 </v>
      </c>
      <c r="G1274" t="str">
        <f t="shared" si="61"/>
        <v>화곡동</v>
      </c>
    </row>
    <row r="1275" spans="1:9" x14ac:dyDescent="0.4">
      <c r="A1275">
        <v>3150000</v>
      </c>
      <c r="B1275" t="s">
        <v>5713</v>
      </c>
      <c r="C1275" s="1">
        <v>42199</v>
      </c>
      <c r="D1275" t="s">
        <v>5714</v>
      </c>
      <c r="E1275" t="str">
        <f t="shared" si="59"/>
        <v>서울특별시</v>
      </c>
      <c r="F1275" t="str">
        <f t="shared" si="60"/>
        <v xml:space="preserve">강서구 </v>
      </c>
      <c r="G1275" t="str">
        <f t="shared" si="61"/>
        <v>화곡동</v>
      </c>
      <c r="H1275" t="s">
        <v>5715</v>
      </c>
      <c r="I1275">
        <v>7777</v>
      </c>
    </row>
    <row r="1276" spans="1:9" x14ac:dyDescent="0.4">
      <c r="A1276">
        <v>3150000</v>
      </c>
      <c r="B1276" t="s">
        <v>5537</v>
      </c>
      <c r="C1276" s="1">
        <v>40176</v>
      </c>
      <c r="D1276" t="s">
        <v>5538</v>
      </c>
      <c r="E1276" t="str">
        <f t="shared" si="59"/>
        <v>서울특별시</v>
      </c>
      <c r="F1276" t="str">
        <f t="shared" si="60"/>
        <v xml:space="preserve">강서구 </v>
      </c>
      <c r="G1276" t="str">
        <f t="shared" si="61"/>
        <v>화곡동</v>
      </c>
      <c r="H1276" t="s">
        <v>5539</v>
      </c>
      <c r="I1276">
        <v>7777</v>
      </c>
    </row>
    <row r="1277" spans="1:9" x14ac:dyDescent="0.4">
      <c r="A1277">
        <v>3150000</v>
      </c>
      <c r="B1277" t="s">
        <v>93</v>
      </c>
      <c r="C1277" s="1">
        <v>44992</v>
      </c>
      <c r="D1277" t="s">
        <v>94</v>
      </c>
      <c r="E1277" t="str">
        <f t="shared" si="59"/>
        <v>서울특별시</v>
      </c>
      <c r="F1277" t="str">
        <f t="shared" si="60"/>
        <v xml:space="preserve">강서구 </v>
      </c>
      <c r="G1277" t="str">
        <f t="shared" si="61"/>
        <v>화곡동</v>
      </c>
      <c r="H1277" t="s">
        <v>95</v>
      </c>
      <c r="I1277">
        <v>7777</v>
      </c>
    </row>
    <row r="1278" spans="1:9" x14ac:dyDescent="0.4">
      <c r="A1278">
        <v>3150000</v>
      </c>
      <c r="B1278" t="s">
        <v>5710</v>
      </c>
      <c r="C1278" s="1">
        <v>41471</v>
      </c>
      <c r="D1278" t="s">
        <v>5711</v>
      </c>
      <c r="E1278" t="str">
        <f t="shared" si="59"/>
        <v>서울특별시</v>
      </c>
      <c r="F1278" t="str">
        <f t="shared" si="60"/>
        <v xml:space="preserve">강서구 </v>
      </c>
      <c r="G1278" t="str">
        <f t="shared" si="61"/>
        <v>화곡동</v>
      </c>
      <c r="H1278" t="s">
        <v>5712</v>
      </c>
      <c r="I1278">
        <v>7777</v>
      </c>
    </row>
    <row r="1279" spans="1:9" x14ac:dyDescent="0.4">
      <c r="A1279">
        <v>3150000</v>
      </c>
      <c r="B1279" t="s">
        <v>5825</v>
      </c>
      <c r="C1279" s="1">
        <v>36602</v>
      </c>
      <c r="D1279" t="s">
        <v>5826</v>
      </c>
      <c r="E1279" t="str">
        <f t="shared" si="59"/>
        <v>서울특별시</v>
      </c>
      <c r="F1279" t="str">
        <f t="shared" si="60"/>
        <v xml:space="preserve">강서구 </v>
      </c>
      <c r="G1279" t="str">
        <f t="shared" si="61"/>
        <v>화곡동</v>
      </c>
    </row>
    <row r="1280" spans="1:9" x14ac:dyDescent="0.4">
      <c r="A1280">
        <v>3150000</v>
      </c>
      <c r="B1280" t="s">
        <v>6034</v>
      </c>
      <c r="C1280" s="1">
        <v>33960</v>
      </c>
      <c r="D1280" t="s">
        <v>5826</v>
      </c>
      <c r="E1280" t="str">
        <f t="shared" si="59"/>
        <v>서울특별시</v>
      </c>
      <c r="F1280" t="str">
        <f t="shared" si="60"/>
        <v xml:space="preserve">강서구 </v>
      </c>
      <c r="G1280" t="str">
        <f t="shared" si="61"/>
        <v>화곡동</v>
      </c>
    </row>
    <row r="1281" spans="1:9" x14ac:dyDescent="0.4">
      <c r="A1281">
        <v>3150000</v>
      </c>
      <c r="B1281" t="s">
        <v>5768</v>
      </c>
      <c r="C1281" s="1">
        <v>42317</v>
      </c>
      <c r="D1281" t="s">
        <v>5769</v>
      </c>
      <c r="E1281" t="str">
        <f t="shared" si="59"/>
        <v>서울특별시</v>
      </c>
      <c r="F1281" t="str">
        <f t="shared" si="60"/>
        <v xml:space="preserve">강서구 </v>
      </c>
      <c r="G1281" t="str">
        <f t="shared" si="61"/>
        <v>화곡동</v>
      </c>
      <c r="H1281" t="s">
        <v>5770</v>
      </c>
      <c r="I1281">
        <v>7778</v>
      </c>
    </row>
    <row r="1282" spans="1:9" x14ac:dyDescent="0.4">
      <c r="A1282">
        <v>3150000</v>
      </c>
      <c r="B1282" t="s">
        <v>66</v>
      </c>
      <c r="C1282" s="1">
        <v>42299</v>
      </c>
      <c r="D1282" t="s">
        <v>67</v>
      </c>
      <c r="E1282" t="str">
        <f t="shared" si="59"/>
        <v>서울특별시</v>
      </c>
      <c r="F1282" t="str">
        <f t="shared" si="60"/>
        <v xml:space="preserve">강서구 </v>
      </c>
      <c r="G1282" t="str">
        <f t="shared" si="61"/>
        <v>화곡동</v>
      </c>
      <c r="H1282" t="s">
        <v>68</v>
      </c>
      <c r="I1282">
        <v>7778</v>
      </c>
    </row>
    <row r="1283" spans="1:9" x14ac:dyDescent="0.4">
      <c r="A1283">
        <v>3150000</v>
      </c>
      <c r="B1283" t="s">
        <v>21</v>
      </c>
      <c r="C1283" s="1">
        <v>42299</v>
      </c>
      <c r="D1283" t="s">
        <v>22</v>
      </c>
      <c r="E1283" t="str">
        <f t="shared" ref="E1283:E1346" si="62">LEFT(D1283,5)</f>
        <v>서울특별시</v>
      </c>
      <c r="F1283" t="str">
        <f t="shared" ref="F1283:F1346" si="63">MID(D1283,7,4)</f>
        <v xml:space="preserve">강서구 </v>
      </c>
      <c r="G1283" t="str">
        <f t="shared" ref="G1283:G1346" si="64">MID(SUBSTITUTE(D1283," ",""),9,3)</f>
        <v>화곡동</v>
      </c>
      <c r="H1283" t="s">
        <v>23</v>
      </c>
      <c r="I1283">
        <v>7778</v>
      </c>
    </row>
    <row r="1284" spans="1:9" x14ac:dyDescent="0.4">
      <c r="A1284">
        <v>3150000</v>
      </c>
      <c r="B1284" t="s">
        <v>5765</v>
      </c>
      <c r="C1284" s="1">
        <v>42299</v>
      </c>
      <c r="D1284" t="s">
        <v>5766</v>
      </c>
      <c r="E1284" t="str">
        <f t="shared" si="62"/>
        <v>서울특별시</v>
      </c>
      <c r="F1284" t="str">
        <f t="shared" si="63"/>
        <v xml:space="preserve">강서구 </v>
      </c>
      <c r="G1284" t="str">
        <f t="shared" si="64"/>
        <v>화곡동</v>
      </c>
      <c r="H1284" t="s">
        <v>5767</v>
      </c>
      <c r="I1284">
        <v>7778</v>
      </c>
    </row>
    <row r="1285" spans="1:9" x14ac:dyDescent="0.4">
      <c r="A1285">
        <v>3150000</v>
      </c>
      <c r="B1285" t="s">
        <v>5762</v>
      </c>
      <c r="C1285" s="1">
        <v>38310</v>
      </c>
      <c r="D1285" t="s">
        <v>5763</v>
      </c>
      <c r="E1285" t="str">
        <f t="shared" si="62"/>
        <v>서울특별시</v>
      </c>
      <c r="F1285" t="str">
        <f t="shared" si="63"/>
        <v xml:space="preserve">강서구 </v>
      </c>
      <c r="G1285" t="str">
        <f t="shared" si="64"/>
        <v>화곡동</v>
      </c>
      <c r="H1285" t="s">
        <v>5764</v>
      </c>
      <c r="I1285">
        <v>7778</v>
      </c>
    </row>
    <row r="1286" spans="1:9" x14ac:dyDescent="0.4">
      <c r="A1286">
        <v>3150000</v>
      </c>
      <c r="B1286" t="s">
        <v>5615</v>
      </c>
      <c r="C1286" s="1">
        <v>28672</v>
      </c>
      <c r="D1286" t="s">
        <v>5616</v>
      </c>
      <c r="E1286" t="str">
        <f t="shared" si="62"/>
        <v>서울특별시</v>
      </c>
      <c r="F1286" t="str">
        <f t="shared" si="63"/>
        <v xml:space="preserve">강서구 </v>
      </c>
      <c r="G1286" t="str">
        <f t="shared" si="64"/>
        <v>화곡동</v>
      </c>
      <c r="H1286" t="s">
        <v>5617</v>
      </c>
      <c r="I1286">
        <v>7778</v>
      </c>
    </row>
    <row r="1287" spans="1:9" x14ac:dyDescent="0.4">
      <c r="A1287">
        <v>3150000</v>
      </c>
      <c r="B1287" t="s">
        <v>5730</v>
      </c>
      <c r="C1287" s="1">
        <v>36250</v>
      </c>
      <c r="D1287" t="s">
        <v>5731</v>
      </c>
      <c r="E1287" t="str">
        <f t="shared" si="62"/>
        <v>서울특별시</v>
      </c>
      <c r="F1287" t="str">
        <f t="shared" si="63"/>
        <v xml:space="preserve">강서구 </v>
      </c>
      <c r="G1287" t="str">
        <f t="shared" si="64"/>
        <v>화곡동</v>
      </c>
      <c r="H1287" t="s">
        <v>5732</v>
      </c>
      <c r="I1287">
        <v>7778</v>
      </c>
    </row>
    <row r="1288" spans="1:9" x14ac:dyDescent="0.4">
      <c r="A1288">
        <v>3150000</v>
      </c>
      <c r="B1288" t="s">
        <v>5736</v>
      </c>
      <c r="C1288" s="1">
        <v>36347</v>
      </c>
      <c r="D1288" t="s">
        <v>5737</v>
      </c>
      <c r="E1288" t="str">
        <f t="shared" si="62"/>
        <v>서울특별시</v>
      </c>
      <c r="F1288" t="str">
        <f t="shared" si="63"/>
        <v xml:space="preserve">강서구 </v>
      </c>
      <c r="G1288" t="str">
        <f t="shared" si="64"/>
        <v>화곡동</v>
      </c>
      <c r="H1288" t="s">
        <v>5738</v>
      </c>
      <c r="I1288">
        <v>7778</v>
      </c>
    </row>
    <row r="1289" spans="1:9" x14ac:dyDescent="0.4">
      <c r="A1289">
        <v>3150000</v>
      </c>
      <c r="B1289" t="s">
        <v>5638</v>
      </c>
      <c r="C1289" s="1">
        <v>30854</v>
      </c>
      <c r="D1289" t="s">
        <v>5639</v>
      </c>
      <c r="E1289" t="str">
        <f t="shared" si="62"/>
        <v>서울특별시</v>
      </c>
      <c r="F1289" t="str">
        <f t="shared" si="63"/>
        <v xml:space="preserve">강서구 </v>
      </c>
      <c r="G1289" t="str">
        <f t="shared" si="64"/>
        <v>화곡동</v>
      </c>
      <c r="H1289" t="s">
        <v>5640</v>
      </c>
      <c r="I1289">
        <v>7778</v>
      </c>
    </row>
    <row r="1290" spans="1:9" x14ac:dyDescent="0.4">
      <c r="A1290">
        <v>3150000</v>
      </c>
      <c r="B1290" t="s">
        <v>5812</v>
      </c>
      <c r="C1290" s="1">
        <v>41746</v>
      </c>
      <c r="D1290" t="s">
        <v>5639</v>
      </c>
      <c r="E1290" t="str">
        <f t="shared" si="62"/>
        <v>서울특별시</v>
      </c>
      <c r="F1290" t="str">
        <f t="shared" si="63"/>
        <v xml:space="preserve">강서구 </v>
      </c>
      <c r="G1290" t="str">
        <f t="shared" si="64"/>
        <v>화곡동</v>
      </c>
      <c r="H1290" t="s">
        <v>5640</v>
      </c>
      <c r="I1290">
        <v>7778</v>
      </c>
    </row>
    <row r="1291" spans="1:9" x14ac:dyDescent="0.4">
      <c r="A1291">
        <v>3150000</v>
      </c>
      <c r="B1291" t="s">
        <v>5692</v>
      </c>
      <c r="C1291" s="1">
        <v>36773</v>
      </c>
      <c r="D1291" t="s">
        <v>5693</v>
      </c>
      <c r="E1291" t="str">
        <f t="shared" si="62"/>
        <v>서울특별시</v>
      </c>
      <c r="F1291" t="str">
        <f t="shared" si="63"/>
        <v xml:space="preserve">강서구 </v>
      </c>
      <c r="G1291" t="str">
        <f t="shared" si="64"/>
        <v>화곡동</v>
      </c>
      <c r="H1291" t="s">
        <v>5694</v>
      </c>
      <c r="I1291">
        <v>7778</v>
      </c>
    </row>
    <row r="1292" spans="1:9" x14ac:dyDescent="0.4">
      <c r="A1292">
        <v>3150000</v>
      </c>
      <c r="B1292" t="s">
        <v>5540</v>
      </c>
      <c r="C1292" s="1">
        <v>40190</v>
      </c>
      <c r="D1292" t="s">
        <v>5541</v>
      </c>
      <c r="E1292" t="str">
        <f t="shared" si="62"/>
        <v>서울특별시</v>
      </c>
      <c r="F1292" t="str">
        <f t="shared" si="63"/>
        <v xml:space="preserve">강서구 </v>
      </c>
      <c r="G1292" t="str">
        <f t="shared" si="64"/>
        <v>화곡동</v>
      </c>
      <c r="H1292" t="s">
        <v>5542</v>
      </c>
      <c r="I1292">
        <v>7777</v>
      </c>
    </row>
    <row r="1293" spans="1:9" x14ac:dyDescent="0.4">
      <c r="A1293">
        <v>3150000</v>
      </c>
      <c r="B1293" t="s">
        <v>6066</v>
      </c>
      <c r="C1293" s="1">
        <v>35313</v>
      </c>
      <c r="D1293" t="s">
        <v>6067</v>
      </c>
      <c r="E1293" t="str">
        <f t="shared" si="62"/>
        <v>서울특별시</v>
      </c>
      <c r="F1293" t="str">
        <f t="shared" si="63"/>
        <v xml:space="preserve">강서구 </v>
      </c>
      <c r="G1293" t="str">
        <f t="shared" si="64"/>
        <v>화곡동</v>
      </c>
    </row>
    <row r="1294" spans="1:9" x14ac:dyDescent="0.4">
      <c r="A1294">
        <v>3150000</v>
      </c>
      <c r="B1294" t="s">
        <v>5754</v>
      </c>
      <c r="C1294" s="1">
        <v>39311</v>
      </c>
      <c r="D1294" t="s">
        <v>5755</v>
      </c>
      <c r="E1294" t="str">
        <f t="shared" si="62"/>
        <v>서울특별시</v>
      </c>
      <c r="F1294" t="str">
        <f t="shared" si="63"/>
        <v xml:space="preserve">강서구 </v>
      </c>
      <c r="G1294" t="str">
        <f t="shared" si="64"/>
        <v>화곡동</v>
      </c>
      <c r="H1294" t="s">
        <v>5756</v>
      </c>
      <c r="I1294">
        <v>7777</v>
      </c>
    </row>
    <row r="1295" spans="1:9" x14ac:dyDescent="0.4">
      <c r="A1295">
        <v>3150000</v>
      </c>
      <c r="B1295" t="s">
        <v>36</v>
      </c>
      <c r="C1295" s="1">
        <v>43761</v>
      </c>
      <c r="D1295" t="s">
        <v>37</v>
      </c>
      <c r="E1295" t="str">
        <f t="shared" si="62"/>
        <v>서울특별시</v>
      </c>
      <c r="F1295" t="str">
        <f t="shared" si="63"/>
        <v xml:space="preserve">강서구 </v>
      </c>
      <c r="G1295" t="str">
        <f t="shared" si="64"/>
        <v>화곡동</v>
      </c>
      <c r="H1295" t="s">
        <v>38</v>
      </c>
      <c r="I1295">
        <v>7776</v>
      </c>
    </row>
    <row r="1296" spans="1:9" x14ac:dyDescent="0.4">
      <c r="A1296">
        <v>3150000</v>
      </c>
      <c r="B1296" t="s">
        <v>5683</v>
      </c>
      <c r="C1296" s="1">
        <v>43439</v>
      </c>
      <c r="D1296" t="s">
        <v>5684</v>
      </c>
      <c r="E1296" t="str">
        <f t="shared" si="62"/>
        <v>서울특별시</v>
      </c>
      <c r="F1296" t="str">
        <f t="shared" si="63"/>
        <v xml:space="preserve">강서구 </v>
      </c>
      <c r="G1296" t="str">
        <f t="shared" si="64"/>
        <v>화곡동</v>
      </c>
      <c r="H1296" t="s">
        <v>5685</v>
      </c>
      <c r="I1296">
        <v>7776</v>
      </c>
    </row>
    <row r="1297" spans="1:9" x14ac:dyDescent="0.4">
      <c r="A1297">
        <v>3150000</v>
      </c>
      <c r="B1297" t="s">
        <v>5869</v>
      </c>
      <c r="C1297" s="1">
        <v>37596</v>
      </c>
      <c r="D1297" t="s">
        <v>5870</v>
      </c>
      <c r="E1297" t="str">
        <f t="shared" si="62"/>
        <v>서울특별시</v>
      </c>
      <c r="F1297" t="str">
        <f t="shared" si="63"/>
        <v xml:space="preserve">강서구 </v>
      </c>
      <c r="G1297" t="str">
        <f t="shared" si="64"/>
        <v>화곡동</v>
      </c>
    </row>
    <row r="1298" spans="1:9" x14ac:dyDescent="0.4">
      <c r="A1298">
        <v>3150000</v>
      </c>
      <c r="B1298" t="s">
        <v>5665</v>
      </c>
      <c r="C1298" s="1">
        <v>44195</v>
      </c>
      <c r="D1298" t="s">
        <v>5666</v>
      </c>
      <c r="E1298" t="str">
        <f t="shared" si="62"/>
        <v>서울특별시</v>
      </c>
      <c r="F1298" t="str">
        <f t="shared" si="63"/>
        <v xml:space="preserve">강서구 </v>
      </c>
      <c r="G1298" t="str">
        <f t="shared" si="64"/>
        <v>화곡동</v>
      </c>
      <c r="H1298" t="s">
        <v>5667</v>
      </c>
      <c r="I1298">
        <v>7775</v>
      </c>
    </row>
    <row r="1299" spans="1:9" x14ac:dyDescent="0.4">
      <c r="A1299">
        <v>3150000</v>
      </c>
      <c r="B1299" t="s">
        <v>5662</v>
      </c>
      <c r="C1299" s="1">
        <v>44195</v>
      </c>
      <c r="D1299" t="s">
        <v>5663</v>
      </c>
      <c r="E1299" t="str">
        <f t="shared" si="62"/>
        <v>서울특별시</v>
      </c>
      <c r="F1299" t="str">
        <f t="shared" si="63"/>
        <v xml:space="preserve">강서구 </v>
      </c>
      <c r="G1299" t="str">
        <f t="shared" si="64"/>
        <v>화곡동</v>
      </c>
      <c r="H1299" t="s">
        <v>5664</v>
      </c>
      <c r="I1299">
        <v>7775</v>
      </c>
    </row>
    <row r="1300" spans="1:9" x14ac:dyDescent="0.4">
      <c r="A1300">
        <v>3150000</v>
      </c>
      <c r="B1300" t="s">
        <v>5659</v>
      </c>
      <c r="C1300" s="1">
        <v>44188</v>
      </c>
      <c r="D1300" t="s">
        <v>5660</v>
      </c>
      <c r="E1300" t="str">
        <f t="shared" si="62"/>
        <v>서울특별시</v>
      </c>
      <c r="F1300" t="str">
        <f t="shared" si="63"/>
        <v xml:space="preserve">강서구 </v>
      </c>
      <c r="G1300" t="str">
        <f t="shared" si="64"/>
        <v>화곡동</v>
      </c>
      <c r="H1300" t="s">
        <v>5661</v>
      </c>
      <c r="I1300">
        <v>7775</v>
      </c>
    </row>
    <row r="1301" spans="1:9" x14ac:dyDescent="0.4">
      <c r="A1301">
        <v>3150000</v>
      </c>
      <c r="B1301" t="s">
        <v>5668</v>
      </c>
      <c r="C1301" s="1">
        <v>44235</v>
      </c>
      <c r="D1301" t="s">
        <v>5669</v>
      </c>
      <c r="E1301" t="str">
        <f t="shared" si="62"/>
        <v>서울특별시</v>
      </c>
      <c r="F1301" t="str">
        <f t="shared" si="63"/>
        <v xml:space="preserve">강서구 </v>
      </c>
      <c r="G1301" t="str">
        <f t="shared" si="64"/>
        <v>화곡동</v>
      </c>
      <c r="H1301" t="s">
        <v>5670</v>
      </c>
      <c r="I1301">
        <v>7775</v>
      </c>
    </row>
    <row r="1302" spans="1:9" x14ac:dyDescent="0.4">
      <c r="A1302">
        <v>3150000</v>
      </c>
      <c r="B1302" t="s">
        <v>5721</v>
      </c>
      <c r="C1302" s="1">
        <v>36682</v>
      </c>
      <c r="D1302" t="s">
        <v>5722</v>
      </c>
      <c r="E1302" t="str">
        <f t="shared" si="62"/>
        <v>서울특별시</v>
      </c>
      <c r="F1302" t="str">
        <f t="shared" si="63"/>
        <v xml:space="preserve">강서구 </v>
      </c>
      <c r="G1302" t="str">
        <f t="shared" si="64"/>
        <v>화곡동</v>
      </c>
      <c r="H1302" t="s">
        <v>5723</v>
      </c>
      <c r="I1302">
        <v>7775</v>
      </c>
    </row>
    <row r="1303" spans="1:9" x14ac:dyDescent="0.4">
      <c r="A1303">
        <v>3150000</v>
      </c>
      <c r="B1303" t="s">
        <v>5803</v>
      </c>
      <c r="C1303" s="1">
        <v>36797</v>
      </c>
      <c r="D1303" t="s">
        <v>5804</v>
      </c>
      <c r="E1303" t="str">
        <f t="shared" si="62"/>
        <v>서울특별시</v>
      </c>
      <c r="F1303" t="str">
        <f t="shared" si="63"/>
        <v xml:space="preserve">강서구 </v>
      </c>
      <c r="G1303" t="str">
        <f t="shared" si="64"/>
        <v>화곡동</v>
      </c>
      <c r="H1303" t="s">
        <v>5805</v>
      </c>
      <c r="I1303">
        <v>7775</v>
      </c>
    </row>
    <row r="1304" spans="1:9" x14ac:dyDescent="0.4">
      <c r="A1304">
        <v>3150000</v>
      </c>
      <c r="B1304" t="s">
        <v>5774</v>
      </c>
      <c r="C1304" s="1">
        <v>37047</v>
      </c>
      <c r="D1304" t="s">
        <v>5775</v>
      </c>
      <c r="E1304" t="str">
        <f t="shared" si="62"/>
        <v>서울특별시</v>
      </c>
      <c r="F1304" t="str">
        <f t="shared" si="63"/>
        <v xml:space="preserve">강서구 </v>
      </c>
      <c r="G1304" t="str">
        <f t="shared" si="64"/>
        <v>화곡동</v>
      </c>
      <c r="H1304" t="s">
        <v>5776</v>
      </c>
      <c r="I1304">
        <v>7775</v>
      </c>
    </row>
    <row r="1305" spans="1:9" x14ac:dyDescent="0.4">
      <c r="A1305">
        <v>3150000</v>
      </c>
      <c r="B1305" t="s">
        <v>5733</v>
      </c>
      <c r="C1305" s="1">
        <v>36308</v>
      </c>
      <c r="D1305" t="s">
        <v>5734</v>
      </c>
      <c r="E1305" t="str">
        <f t="shared" si="62"/>
        <v>서울특별시</v>
      </c>
      <c r="F1305" t="str">
        <f t="shared" si="63"/>
        <v xml:space="preserve">강서구 </v>
      </c>
      <c r="G1305" t="str">
        <f t="shared" si="64"/>
        <v>화곡동</v>
      </c>
      <c r="H1305" t="s">
        <v>5735</v>
      </c>
      <c r="I1305">
        <v>7775</v>
      </c>
    </row>
    <row r="1306" spans="1:9" x14ac:dyDescent="0.4">
      <c r="A1306">
        <v>3150000</v>
      </c>
      <c r="B1306" t="s">
        <v>6103</v>
      </c>
      <c r="C1306" s="1">
        <v>45020</v>
      </c>
      <c r="D1306" t="s">
        <v>6104</v>
      </c>
      <c r="E1306" t="str">
        <f t="shared" si="62"/>
        <v>서울특별시</v>
      </c>
      <c r="F1306" t="str">
        <f t="shared" si="63"/>
        <v xml:space="preserve">강서구 </v>
      </c>
      <c r="G1306" t="str">
        <f t="shared" si="64"/>
        <v>화곡동</v>
      </c>
      <c r="H1306" t="s">
        <v>6105</v>
      </c>
      <c r="I1306">
        <v>7775</v>
      </c>
    </row>
    <row r="1307" spans="1:9" x14ac:dyDescent="0.4">
      <c r="A1307">
        <v>3150000</v>
      </c>
      <c r="B1307" t="s">
        <v>5600</v>
      </c>
      <c r="C1307" s="1">
        <v>45040</v>
      </c>
      <c r="D1307" t="s">
        <v>5601</v>
      </c>
      <c r="E1307" t="str">
        <f t="shared" si="62"/>
        <v>서울특별시</v>
      </c>
      <c r="F1307" t="str">
        <f t="shared" si="63"/>
        <v xml:space="preserve">강서구 </v>
      </c>
      <c r="G1307" t="str">
        <f t="shared" si="64"/>
        <v>화곡동</v>
      </c>
      <c r="H1307" t="s">
        <v>5602</v>
      </c>
      <c r="I1307">
        <v>7775</v>
      </c>
    </row>
    <row r="1308" spans="1:9" x14ac:dyDescent="0.4">
      <c r="A1308">
        <v>3150000</v>
      </c>
      <c r="B1308" t="s">
        <v>5624</v>
      </c>
      <c r="C1308" s="1">
        <v>45065</v>
      </c>
      <c r="D1308" t="s">
        <v>5625</v>
      </c>
      <c r="E1308" t="str">
        <f t="shared" si="62"/>
        <v>서울특별시</v>
      </c>
      <c r="F1308" t="str">
        <f t="shared" si="63"/>
        <v xml:space="preserve">강서구 </v>
      </c>
      <c r="G1308" t="str">
        <f t="shared" si="64"/>
        <v>화곡동</v>
      </c>
      <c r="H1308" t="s">
        <v>5626</v>
      </c>
      <c r="I1308">
        <v>7775</v>
      </c>
    </row>
    <row r="1309" spans="1:9" x14ac:dyDescent="0.4">
      <c r="A1309">
        <v>3150000</v>
      </c>
      <c r="B1309" t="s">
        <v>54</v>
      </c>
      <c r="C1309" s="1">
        <v>45065</v>
      </c>
      <c r="D1309" t="s">
        <v>55</v>
      </c>
      <c r="E1309" t="str">
        <f t="shared" si="62"/>
        <v>서울특별시</v>
      </c>
      <c r="F1309" t="str">
        <f t="shared" si="63"/>
        <v xml:space="preserve">강서구 </v>
      </c>
      <c r="G1309" t="str">
        <f t="shared" si="64"/>
        <v>화곡동</v>
      </c>
      <c r="H1309" t="s">
        <v>56</v>
      </c>
      <c r="I1309">
        <v>7775</v>
      </c>
    </row>
    <row r="1310" spans="1:9" x14ac:dyDescent="0.4">
      <c r="A1310">
        <v>3150000</v>
      </c>
      <c r="B1310" t="s">
        <v>5567</v>
      </c>
      <c r="C1310" s="1">
        <v>45572</v>
      </c>
      <c r="D1310" t="s">
        <v>5568</v>
      </c>
      <c r="E1310" t="str">
        <f t="shared" si="62"/>
        <v>서울특별시</v>
      </c>
      <c r="F1310" t="str">
        <f t="shared" si="63"/>
        <v xml:space="preserve">강서구 </v>
      </c>
      <c r="G1310" t="str">
        <f t="shared" si="64"/>
        <v>화곡동</v>
      </c>
      <c r="H1310" t="s">
        <v>5569</v>
      </c>
      <c r="I1310">
        <v>7775</v>
      </c>
    </row>
    <row r="1311" spans="1:9" x14ac:dyDescent="0.4">
      <c r="A1311">
        <v>3150000</v>
      </c>
      <c r="B1311" t="s">
        <v>48</v>
      </c>
      <c r="C1311" s="1">
        <v>42282</v>
      </c>
      <c r="D1311" t="s">
        <v>49</v>
      </c>
      <c r="E1311" t="str">
        <f t="shared" si="62"/>
        <v>서울특별시</v>
      </c>
      <c r="F1311" t="str">
        <f t="shared" si="63"/>
        <v xml:space="preserve">강서구 </v>
      </c>
      <c r="G1311" t="str">
        <f t="shared" si="64"/>
        <v>화곡동</v>
      </c>
      <c r="H1311" t="s">
        <v>50</v>
      </c>
      <c r="I1311">
        <v>7775</v>
      </c>
    </row>
    <row r="1312" spans="1:9" x14ac:dyDescent="0.4">
      <c r="A1312">
        <v>3150000</v>
      </c>
      <c r="B1312" t="s">
        <v>5886</v>
      </c>
      <c r="C1312" s="1">
        <v>37095</v>
      </c>
      <c r="D1312" t="s">
        <v>5887</v>
      </c>
      <c r="E1312" t="str">
        <f t="shared" si="62"/>
        <v>서울특별시</v>
      </c>
      <c r="F1312" t="str">
        <f t="shared" si="63"/>
        <v xml:space="preserve">강서구 </v>
      </c>
      <c r="G1312" t="str">
        <f t="shared" si="64"/>
        <v>화곡동</v>
      </c>
      <c r="H1312" t="s">
        <v>5888</v>
      </c>
      <c r="I1312">
        <v>7775</v>
      </c>
    </row>
    <row r="1313" spans="1:9" x14ac:dyDescent="0.4">
      <c r="A1313">
        <v>3150000</v>
      </c>
      <c r="B1313" t="s">
        <v>5543</v>
      </c>
      <c r="C1313" s="1">
        <v>40291</v>
      </c>
      <c r="D1313" t="s">
        <v>5544</v>
      </c>
      <c r="E1313" t="str">
        <f t="shared" si="62"/>
        <v>서울특별시</v>
      </c>
      <c r="F1313" t="str">
        <f t="shared" si="63"/>
        <v xml:space="preserve">강서구 </v>
      </c>
      <c r="G1313" t="str">
        <f t="shared" si="64"/>
        <v>화곡동</v>
      </c>
      <c r="H1313" t="s">
        <v>5545</v>
      </c>
      <c r="I1313">
        <v>7775</v>
      </c>
    </row>
    <row r="1314" spans="1:9" x14ac:dyDescent="0.4">
      <c r="A1314">
        <v>3150000</v>
      </c>
      <c r="B1314" t="s">
        <v>6070</v>
      </c>
      <c r="C1314" s="1">
        <v>28611</v>
      </c>
      <c r="D1314" t="s">
        <v>6071</v>
      </c>
      <c r="E1314" t="str">
        <f t="shared" si="62"/>
        <v>서울특별시</v>
      </c>
      <c r="F1314" t="str">
        <f t="shared" si="63"/>
        <v xml:space="preserve">강서구 </v>
      </c>
      <c r="G1314" t="str">
        <f t="shared" si="64"/>
        <v>화곡동</v>
      </c>
    </row>
    <row r="1315" spans="1:9" x14ac:dyDescent="0.4">
      <c r="A1315">
        <v>3150000</v>
      </c>
      <c r="B1315" t="s">
        <v>5978</v>
      </c>
      <c r="C1315" s="1">
        <v>32961</v>
      </c>
      <c r="D1315" t="s">
        <v>5979</v>
      </c>
      <c r="E1315" t="str">
        <f t="shared" si="62"/>
        <v>서울특별시</v>
      </c>
      <c r="F1315" t="str">
        <f t="shared" si="63"/>
        <v xml:space="preserve">강서구 </v>
      </c>
      <c r="G1315" t="str">
        <f t="shared" si="64"/>
        <v>화곡동</v>
      </c>
      <c r="H1315" t="s">
        <v>5980</v>
      </c>
      <c r="I1315">
        <v>7678</v>
      </c>
    </row>
    <row r="1316" spans="1:9" x14ac:dyDescent="0.4">
      <c r="A1316">
        <v>3150000</v>
      </c>
      <c r="B1316" t="s">
        <v>6042</v>
      </c>
      <c r="C1316" s="1">
        <v>36544</v>
      </c>
      <c r="D1316" t="s">
        <v>6043</v>
      </c>
      <c r="E1316" t="str">
        <f t="shared" si="62"/>
        <v>서울특별시</v>
      </c>
      <c r="F1316" t="str">
        <f t="shared" si="63"/>
        <v xml:space="preserve">강서구 </v>
      </c>
      <c r="G1316" t="str">
        <f t="shared" si="64"/>
        <v>화곡동</v>
      </c>
    </row>
    <row r="1317" spans="1:9" x14ac:dyDescent="0.4">
      <c r="A1317">
        <v>3150000</v>
      </c>
      <c r="B1317" t="s">
        <v>5818</v>
      </c>
      <c r="C1317" s="1">
        <v>36578</v>
      </c>
      <c r="D1317" t="s">
        <v>5819</v>
      </c>
      <c r="E1317" t="str">
        <f t="shared" si="62"/>
        <v>서울특별시</v>
      </c>
      <c r="F1317" t="str">
        <f t="shared" si="63"/>
        <v xml:space="preserve">강서구 </v>
      </c>
      <c r="G1317" t="str">
        <f t="shared" si="64"/>
        <v>화곡동</v>
      </c>
    </row>
    <row r="1318" spans="1:9" x14ac:dyDescent="0.4">
      <c r="A1318">
        <v>3150000</v>
      </c>
      <c r="B1318" t="s">
        <v>5970</v>
      </c>
      <c r="C1318" s="1">
        <v>32836</v>
      </c>
      <c r="D1318" t="s">
        <v>5971</v>
      </c>
      <c r="E1318" t="str">
        <f t="shared" si="62"/>
        <v>서울특별시</v>
      </c>
      <c r="F1318" t="str">
        <f t="shared" si="63"/>
        <v xml:space="preserve">강서구 </v>
      </c>
      <c r="G1318" t="str">
        <f t="shared" si="64"/>
        <v>화곡동</v>
      </c>
    </row>
    <row r="1319" spans="1:9" x14ac:dyDescent="0.4">
      <c r="A1319">
        <v>3150000</v>
      </c>
      <c r="B1319" t="s">
        <v>5695</v>
      </c>
      <c r="C1319" s="1">
        <v>36790</v>
      </c>
      <c r="D1319" t="s">
        <v>5696</v>
      </c>
      <c r="E1319" t="str">
        <f t="shared" si="62"/>
        <v>서울특별시</v>
      </c>
      <c r="F1319" t="str">
        <f t="shared" si="63"/>
        <v xml:space="preserve">강서구 </v>
      </c>
      <c r="G1319" t="str">
        <f t="shared" si="64"/>
        <v>화곡동</v>
      </c>
      <c r="H1319" t="s">
        <v>5697</v>
      </c>
      <c r="I1319">
        <v>7663</v>
      </c>
    </row>
    <row r="1320" spans="1:9" x14ac:dyDescent="0.4">
      <c r="A1320">
        <v>3150000</v>
      </c>
      <c r="B1320" t="s">
        <v>5996</v>
      </c>
      <c r="C1320" s="1">
        <v>31500</v>
      </c>
      <c r="D1320" t="s">
        <v>5997</v>
      </c>
      <c r="E1320" t="str">
        <f t="shared" si="62"/>
        <v>서울특별시</v>
      </c>
      <c r="F1320" t="str">
        <f t="shared" si="63"/>
        <v xml:space="preserve">강서구 </v>
      </c>
      <c r="G1320" t="str">
        <f t="shared" si="64"/>
        <v>화곡동</v>
      </c>
    </row>
    <row r="1321" spans="1:9" x14ac:dyDescent="0.4">
      <c r="A1321">
        <v>3150000</v>
      </c>
      <c r="B1321" t="s">
        <v>5881</v>
      </c>
      <c r="C1321" s="1">
        <v>36489</v>
      </c>
      <c r="D1321" t="s">
        <v>5882</v>
      </c>
      <c r="E1321" t="str">
        <f t="shared" si="62"/>
        <v>서울특별시</v>
      </c>
      <c r="F1321" t="str">
        <f t="shared" si="63"/>
        <v xml:space="preserve">강서구 </v>
      </c>
      <c r="G1321" t="str">
        <f t="shared" si="64"/>
        <v>화곡동</v>
      </c>
    </row>
    <row r="1322" spans="1:9" x14ac:dyDescent="0.4">
      <c r="A1322">
        <v>3150000</v>
      </c>
      <c r="B1322" t="s">
        <v>5883</v>
      </c>
      <c r="C1322" s="1">
        <v>36865</v>
      </c>
      <c r="D1322" t="s">
        <v>5884</v>
      </c>
      <c r="E1322" t="str">
        <f t="shared" si="62"/>
        <v>서울특별시</v>
      </c>
      <c r="F1322" t="str">
        <f t="shared" si="63"/>
        <v xml:space="preserve">강서구 </v>
      </c>
      <c r="G1322" t="str">
        <f t="shared" si="64"/>
        <v>화곡동</v>
      </c>
      <c r="H1322" t="s">
        <v>5885</v>
      </c>
      <c r="I1322">
        <v>7663</v>
      </c>
    </row>
    <row r="1323" spans="1:9" x14ac:dyDescent="0.4">
      <c r="A1323">
        <v>3150000</v>
      </c>
      <c r="B1323" t="s">
        <v>5960</v>
      </c>
      <c r="C1323" s="1">
        <v>32098</v>
      </c>
      <c r="D1323" t="s">
        <v>5961</v>
      </c>
      <c r="E1323" t="str">
        <f t="shared" si="62"/>
        <v>서울특별시</v>
      </c>
      <c r="F1323" t="str">
        <f t="shared" si="63"/>
        <v xml:space="preserve">강서구 </v>
      </c>
      <c r="G1323" t="str">
        <f t="shared" si="64"/>
        <v>화곡동</v>
      </c>
    </row>
    <row r="1324" spans="1:9" x14ac:dyDescent="0.4">
      <c r="A1324">
        <v>3150000</v>
      </c>
      <c r="B1324" t="s">
        <v>6076</v>
      </c>
      <c r="C1324" s="1">
        <v>31248</v>
      </c>
      <c r="D1324" t="s">
        <v>6077</v>
      </c>
      <c r="E1324" t="str">
        <f t="shared" si="62"/>
        <v>서울특별시</v>
      </c>
      <c r="F1324" t="str">
        <f t="shared" si="63"/>
        <v xml:space="preserve">강서구 </v>
      </c>
      <c r="G1324" t="str">
        <f t="shared" si="64"/>
        <v>화곡동</v>
      </c>
    </row>
    <row r="1325" spans="1:9" x14ac:dyDescent="0.4">
      <c r="A1325">
        <v>3150000</v>
      </c>
      <c r="B1325" t="s">
        <v>5641</v>
      </c>
      <c r="C1325" s="1">
        <v>31287</v>
      </c>
      <c r="D1325" t="s">
        <v>5642</v>
      </c>
      <c r="E1325" t="str">
        <f t="shared" si="62"/>
        <v>서울특별시</v>
      </c>
      <c r="F1325" t="str">
        <f t="shared" si="63"/>
        <v xml:space="preserve">강서구 </v>
      </c>
      <c r="G1325" t="str">
        <f t="shared" si="64"/>
        <v>화곡동</v>
      </c>
      <c r="H1325" t="s">
        <v>5643</v>
      </c>
      <c r="I1325">
        <v>7663</v>
      </c>
    </row>
    <row r="1326" spans="1:9" x14ac:dyDescent="0.4">
      <c r="A1326">
        <v>3150000</v>
      </c>
      <c r="B1326" t="s">
        <v>6078</v>
      </c>
      <c r="C1326" s="1">
        <v>31272</v>
      </c>
      <c r="D1326" t="s">
        <v>6079</v>
      </c>
      <c r="E1326" t="str">
        <f t="shared" si="62"/>
        <v>서울특별시</v>
      </c>
      <c r="F1326" t="str">
        <f t="shared" si="63"/>
        <v xml:space="preserve">강서구 </v>
      </c>
      <c r="G1326" t="str">
        <f t="shared" si="64"/>
        <v>화곡동</v>
      </c>
      <c r="H1326" t="s">
        <v>6080</v>
      </c>
      <c r="I1326">
        <v>7687</v>
      </c>
    </row>
    <row r="1327" spans="1:9" x14ac:dyDescent="0.4">
      <c r="A1327">
        <v>3150000</v>
      </c>
      <c r="B1327" t="s">
        <v>5962</v>
      </c>
      <c r="C1327" s="1">
        <v>32121</v>
      </c>
      <c r="D1327" t="s">
        <v>5963</v>
      </c>
      <c r="E1327" t="str">
        <f t="shared" si="62"/>
        <v>서울특별시</v>
      </c>
      <c r="F1327" t="str">
        <f t="shared" si="63"/>
        <v xml:space="preserve">강서구 </v>
      </c>
      <c r="G1327" t="str">
        <f t="shared" si="64"/>
        <v>화곡동</v>
      </c>
      <c r="H1327" t="s">
        <v>5964</v>
      </c>
      <c r="I1327">
        <v>7687</v>
      </c>
    </row>
    <row r="1328" spans="1:9" x14ac:dyDescent="0.4">
      <c r="A1328">
        <v>3150000</v>
      </c>
      <c r="B1328" t="s">
        <v>6020</v>
      </c>
      <c r="C1328" s="1">
        <v>32010</v>
      </c>
      <c r="D1328" t="s">
        <v>6021</v>
      </c>
      <c r="E1328" t="str">
        <f t="shared" si="62"/>
        <v>서울특별시</v>
      </c>
      <c r="F1328" t="str">
        <f t="shared" si="63"/>
        <v xml:space="preserve">강서구 </v>
      </c>
      <c r="G1328" t="str">
        <f t="shared" si="64"/>
        <v>화곡동</v>
      </c>
      <c r="H1328" t="s">
        <v>6022</v>
      </c>
      <c r="I1328">
        <v>7687</v>
      </c>
    </row>
    <row r="1329" spans="1:9" x14ac:dyDescent="0.4">
      <c r="A1329">
        <v>3150000</v>
      </c>
      <c r="B1329" t="s">
        <v>6023</v>
      </c>
      <c r="C1329" s="1">
        <v>32176</v>
      </c>
      <c r="D1329" t="s">
        <v>6024</v>
      </c>
      <c r="E1329" t="str">
        <f t="shared" si="62"/>
        <v>서울특별시</v>
      </c>
      <c r="F1329" t="str">
        <f t="shared" si="63"/>
        <v xml:space="preserve">강서구 </v>
      </c>
      <c r="G1329" t="str">
        <f t="shared" si="64"/>
        <v>화곡동</v>
      </c>
      <c r="H1329" t="s">
        <v>6025</v>
      </c>
    </row>
    <row r="1330" spans="1:9" x14ac:dyDescent="0.4">
      <c r="A1330">
        <v>3150000</v>
      </c>
      <c r="B1330" t="s">
        <v>6005</v>
      </c>
      <c r="C1330" s="1">
        <v>36684</v>
      </c>
      <c r="D1330" t="s">
        <v>6006</v>
      </c>
      <c r="E1330" t="str">
        <f t="shared" si="62"/>
        <v>서울특별시</v>
      </c>
      <c r="F1330" t="str">
        <f t="shared" si="63"/>
        <v xml:space="preserve">강서구 </v>
      </c>
      <c r="G1330" t="str">
        <f t="shared" si="64"/>
        <v>화곡동</v>
      </c>
      <c r="H1330" t="s">
        <v>6007</v>
      </c>
      <c r="I1330">
        <v>7687</v>
      </c>
    </row>
    <row r="1331" spans="1:9" x14ac:dyDescent="0.4">
      <c r="A1331">
        <v>3150000</v>
      </c>
      <c r="B1331" t="s">
        <v>6082</v>
      </c>
      <c r="C1331" s="1">
        <v>31393</v>
      </c>
      <c r="D1331" t="s">
        <v>6006</v>
      </c>
      <c r="E1331" t="str">
        <f t="shared" si="62"/>
        <v>서울특별시</v>
      </c>
      <c r="F1331" t="str">
        <f t="shared" si="63"/>
        <v xml:space="preserve">강서구 </v>
      </c>
      <c r="G1331" t="str">
        <f t="shared" si="64"/>
        <v>화곡동</v>
      </c>
      <c r="H1331" t="s">
        <v>6083</v>
      </c>
      <c r="I1331">
        <v>7687</v>
      </c>
    </row>
    <row r="1332" spans="1:9" x14ac:dyDescent="0.4">
      <c r="A1332">
        <v>3150000</v>
      </c>
      <c r="B1332" t="s">
        <v>5894</v>
      </c>
      <c r="C1332" s="1">
        <v>37335</v>
      </c>
      <c r="D1332" t="s">
        <v>5895</v>
      </c>
      <c r="E1332" t="str">
        <f t="shared" si="62"/>
        <v>서울특별시</v>
      </c>
      <c r="F1332" t="str">
        <f t="shared" si="63"/>
        <v xml:space="preserve">강서구 </v>
      </c>
      <c r="G1332" t="str">
        <f t="shared" si="64"/>
        <v>화곡동</v>
      </c>
      <c r="H1332" t="s">
        <v>5896</v>
      </c>
      <c r="I1332">
        <v>7686</v>
      </c>
    </row>
    <row r="1333" spans="1:9" x14ac:dyDescent="0.4">
      <c r="A1333">
        <v>3150000</v>
      </c>
      <c r="B1333" t="s">
        <v>6008</v>
      </c>
      <c r="C1333" s="1">
        <v>36692</v>
      </c>
      <c r="D1333" t="s">
        <v>6009</v>
      </c>
      <c r="E1333" t="str">
        <f t="shared" si="62"/>
        <v>서울특별시</v>
      </c>
      <c r="F1333" t="str">
        <f t="shared" si="63"/>
        <v xml:space="preserve">강서구 </v>
      </c>
      <c r="G1333" t="str">
        <f t="shared" si="64"/>
        <v>화곡동</v>
      </c>
    </row>
    <row r="1334" spans="1:9" x14ac:dyDescent="0.4">
      <c r="A1334">
        <v>3150000</v>
      </c>
      <c r="B1334" t="s">
        <v>5832</v>
      </c>
      <c r="C1334" s="1">
        <v>36614</v>
      </c>
      <c r="D1334" t="s">
        <v>5833</v>
      </c>
      <c r="E1334" t="str">
        <f t="shared" si="62"/>
        <v>서울특별시</v>
      </c>
      <c r="F1334" t="str">
        <f t="shared" si="63"/>
        <v xml:space="preserve">강서구 </v>
      </c>
      <c r="G1334" t="str">
        <f t="shared" si="64"/>
        <v>화곡동</v>
      </c>
      <c r="H1334" t="s">
        <v>5834</v>
      </c>
      <c r="I1334">
        <v>7686</v>
      </c>
    </row>
    <row r="1335" spans="1:9" x14ac:dyDescent="0.4">
      <c r="A1335">
        <v>3150000</v>
      </c>
      <c r="B1335" t="s">
        <v>6035</v>
      </c>
      <c r="C1335" s="1">
        <v>34001</v>
      </c>
      <c r="D1335" t="s">
        <v>6036</v>
      </c>
      <c r="E1335" t="str">
        <f t="shared" si="62"/>
        <v>서울특별시</v>
      </c>
      <c r="F1335" t="str">
        <f t="shared" si="63"/>
        <v xml:space="preserve">강서구 </v>
      </c>
      <c r="G1335" t="str">
        <f t="shared" si="64"/>
        <v>화곡동</v>
      </c>
      <c r="H1335" t="s">
        <v>5834</v>
      </c>
      <c r="I1335">
        <v>7686</v>
      </c>
    </row>
    <row r="1336" spans="1:9" x14ac:dyDescent="0.4">
      <c r="A1336">
        <v>3200000</v>
      </c>
      <c r="B1336" t="s">
        <v>8785</v>
      </c>
      <c r="C1336" s="1">
        <v>36654</v>
      </c>
      <c r="D1336" t="s">
        <v>8786</v>
      </c>
      <c r="E1336" t="str">
        <f t="shared" si="62"/>
        <v>서울특별시</v>
      </c>
      <c r="F1336" t="str">
        <f t="shared" si="63"/>
        <v xml:space="preserve">관악구 </v>
      </c>
      <c r="G1336" t="str">
        <f t="shared" si="64"/>
        <v>남현동</v>
      </c>
      <c r="H1336" t="s">
        <v>8787</v>
      </c>
      <c r="I1336">
        <v>8806</v>
      </c>
    </row>
    <row r="1337" spans="1:9" x14ac:dyDescent="0.4">
      <c r="A1337">
        <v>3200000</v>
      </c>
      <c r="B1337" t="s">
        <v>8404</v>
      </c>
      <c r="C1337" s="1">
        <v>37181</v>
      </c>
      <c r="D1337" t="s">
        <v>8405</v>
      </c>
      <c r="E1337" t="str">
        <f t="shared" si="62"/>
        <v>서울특별시</v>
      </c>
      <c r="F1337" t="str">
        <f t="shared" si="63"/>
        <v xml:space="preserve">관악구 </v>
      </c>
      <c r="G1337" t="str">
        <f t="shared" si="64"/>
        <v>남현동</v>
      </c>
      <c r="H1337" t="s">
        <v>8406</v>
      </c>
      <c r="I1337">
        <v>8806</v>
      </c>
    </row>
    <row r="1338" spans="1:9" x14ac:dyDescent="0.4">
      <c r="A1338">
        <v>3200000</v>
      </c>
      <c r="B1338" t="s">
        <v>8296</v>
      </c>
      <c r="C1338" s="1">
        <v>36865</v>
      </c>
      <c r="D1338" t="s">
        <v>8297</v>
      </c>
      <c r="E1338" t="str">
        <f t="shared" si="62"/>
        <v>서울특별시</v>
      </c>
      <c r="F1338" t="str">
        <f t="shared" si="63"/>
        <v xml:space="preserve">관악구 </v>
      </c>
      <c r="G1338" t="str">
        <f t="shared" si="64"/>
        <v>남현동</v>
      </c>
    </row>
    <row r="1339" spans="1:9" x14ac:dyDescent="0.4">
      <c r="A1339">
        <v>3200000</v>
      </c>
      <c r="B1339" t="s">
        <v>7865</v>
      </c>
      <c r="C1339" s="1">
        <v>36517</v>
      </c>
      <c r="D1339" t="s">
        <v>7866</v>
      </c>
      <c r="E1339" t="str">
        <f t="shared" si="62"/>
        <v>서울특별시</v>
      </c>
      <c r="F1339" t="str">
        <f t="shared" si="63"/>
        <v xml:space="preserve">관악구 </v>
      </c>
      <c r="G1339" t="str">
        <f t="shared" si="64"/>
        <v>남현동</v>
      </c>
      <c r="H1339" t="s">
        <v>7867</v>
      </c>
      <c r="I1339">
        <v>8806</v>
      </c>
    </row>
    <row r="1340" spans="1:9" x14ac:dyDescent="0.4">
      <c r="A1340">
        <v>3200000</v>
      </c>
      <c r="B1340" t="s">
        <v>8202</v>
      </c>
      <c r="C1340" s="1">
        <v>36616</v>
      </c>
      <c r="D1340" t="s">
        <v>8203</v>
      </c>
      <c r="E1340" t="str">
        <f t="shared" si="62"/>
        <v>서울특별시</v>
      </c>
      <c r="F1340" t="str">
        <f t="shared" si="63"/>
        <v xml:space="preserve">관악구 </v>
      </c>
      <c r="G1340" t="str">
        <f t="shared" si="64"/>
        <v>남현동</v>
      </c>
      <c r="H1340" t="s">
        <v>8204</v>
      </c>
      <c r="I1340">
        <v>8807</v>
      </c>
    </row>
    <row r="1341" spans="1:9" x14ac:dyDescent="0.4">
      <c r="A1341">
        <v>3200000</v>
      </c>
      <c r="B1341" t="s">
        <v>8770</v>
      </c>
      <c r="C1341" s="1">
        <v>36582</v>
      </c>
      <c r="D1341" t="s">
        <v>8771</v>
      </c>
      <c r="E1341" t="str">
        <f t="shared" si="62"/>
        <v>서울특별시</v>
      </c>
      <c r="F1341" t="str">
        <f t="shared" si="63"/>
        <v xml:space="preserve">관악구 </v>
      </c>
      <c r="G1341" t="str">
        <f t="shared" si="64"/>
        <v>남현동</v>
      </c>
      <c r="H1341" t="s">
        <v>8772</v>
      </c>
      <c r="I1341">
        <v>8807</v>
      </c>
    </row>
    <row r="1342" spans="1:9" x14ac:dyDescent="0.4">
      <c r="A1342">
        <v>3200000</v>
      </c>
      <c r="B1342" t="s">
        <v>7967</v>
      </c>
      <c r="C1342" s="1">
        <v>36509</v>
      </c>
      <c r="D1342" t="s">
        <v>7968</v>
      </c>
      <c r="E1342" t="str">
        <f t="shared" si="62"/>
        <v>서울특별시</v>
      </c>
      <c r="F1342" t="str">
        <f t="shared" si="63"/>
        <v xml:space="preserve">관악구 </v>
      </c>
      <c r="G1342" t="str">
        <f t="shared" si="64"/>
        <v>남현동</v>
      </c>
      <c r="H1342" t="s">
        <v>7969</v>
      </c>
      <c r="I1342">
        <v>8807</v>
      </c>
    </row>
    <row r="1343" spans="1:9" x14ac:dyDescent="0.4">
      <c r="A1343">
        <v>3200000</v>
      </c>
      <c r="B1343" t="s">
        <v>8284</v>
      </c>
      <c r="C1343" s="1">
        <v>36826</v>
      </c>
      <c r="D1343" t="s">
        <v>8285</v>
      </c>
      <c r="E1343" t="str">
        <f t="shared" si="62"/>
        <v>서울특별시</v>
      </c>
      <c r="F1343" t="str">
        <f t="shared" si="63"/>
        <v xml:space="preserve">관악구 </v>
      </c>
      <c r="G1343" t="str">
        <f t="shared" si="64"/>
        <v>남현동</v>
      </c>
      <c r="H1343" t="s">
        <v>8234</v>
      </c>
      <c r="I1343">
        <v>8807</v>
      </c>
    </row>
    <row r="1344" spans="1:9" x14ac:dyDescent="0.4">
      <c r="A1344">
        <v>3200000</v>
      </c>
      <c r="B1344" t="s">
        <v>8232</v>
      </c>
      <c r="C1344" s="1">
        <v>36539</v>
      </c>
      <c r="D1344" t="s">
        <v>8233</v>
      </c>
      <c r="E1344" t="str">
        <f t="shared" si="62"/>
        <v>서울특별시</v>
      </c>
      <c r="F1344" t="str">
        <f t="shared" si="63"/>
        <v xml:space="preserve">관악구 </v>
      </c>
      <c r="G1344" t="str">
        <f t="shared" si="64"/>
        <v>남현동</v>
      </c>
      <c r="H1344" t="s">
        <v>8234</v>
      </c>
      <c r="I1344">
        <v>8807</v>
      </c>
    </row>
    <row r="1345" spans="1:9" x14ac:dyDescent="0.4">
      <c r="A1345">
        <v>3200000</v>
      </c>
      <c r="B1345" t="s">
        <v>8066</v>
      </c>
      <c r="C1345" s="1">
        <v>28440</v>
      </c>
      <c r="D1345" t="s">
        <v>8067</v>
      </c>
      <c r="E1345" t="str">
        <f t="shared" si="62"/>
        <v>서울특별시</v>
      </c>
      <c r="F1345" t="str">
        <f t="shared" si="63"/>
        <v xml:space="preserve">관악구 </v>
      </c>
      <c r="G1345" t="str">
        <f t="shared" si="64"/>
        <v>남현동</v>
      </c>
      <c r="H1345" t="s">
        <v>8068</v>
      </c>
      <c r="I1345">
        <v>8807</v>
      </c>
    </row>
    <row r="1346" spans="1:9" x14ac:dyDescent="0.4">
      <c r="A1346">
        <v>3200000</v>
      </c>
      <c r="B1346" t="s">
        <v>144</v>
      </c>
      <c r="C1346" s="1">
        <v>36602</v>
      </c>
      <c r="D1346" t="s">
        <v>145</v>
      </c>
      <c r="E1346" t="str">
        <f t="shared" si="62"/>
        <v>서울특별시</v>
      </c>
      <c r="F1346" t="str">
        <f t="shared" si="63"/>
        <v xml:space="preserve">관악구 </v>
      </c>
      <c r="G1346" t="str">
        <f t="shared" si="64"/>
        <v>남현동</v>
      </c>
      <c r="H1346" t="s">
        <v>146</v>
      </c>
      <c r="I1346">
        <v>8807</v>
      </c>
    </row>
    <row r="1347" spans="1:9" x14ac:dyDescent="0.4">
      <c r="A1347">
        <v>3200000</v>
      </c>
      <c r="B1347" t="s">
        <v>8238</v>
      </c>
      <c r="C1347" s="1">
        <v>37971</v>
      </c>
      <c r="D1347" t="s">
        <v>8239</v>
      </c>
      <c r="E1347" t="str">
        <f t="shared" ref="E1347:E1410" si="65">LEFT(D1347,5)</f>
        <v>서울특별시</v>
      </c>
      <c r="F1347" t="str">
        <f t="shared" ref="F1347:F1410" si="66">MID(D1347,7,4)</f>
        <v xml:space="preserve">관악구 </v>
      </c>
      <c r="G1347" t="str">
        <f t="shared" ref="G1347:G1410" si="67">MID(SUBSTITUTE(D1347," ",""),9,3)</f>
        <v>남현동</v>
      </c>
      <c r="H1347" t="s">
        <v>8240</v>
      </c>
      <c r="I1347">
        <v>8807</v>
      </c>
    </row>
    <row r="1348" spans="1:9" x14ac:dyDescent="0.4">
      <c r="A1348">
        <v>3200000</v>
      </c>
      <c r="B1348" t="s">
        <v>8235</v>
      </c>
      <c r="C1348" s="1">
        <v>37809</v>
      </c>
      <c r="D1348" t="s">
        <v>8236</v>
      </c>
      <c r="E1348" t="str">
        <f t="shared" si="65"/>
        <v>서울특별시</v>
      </c>
      <c r="F1348" t="str">
        <f t="shared" si="66"/>
        <v xml:space="preserve">관악구 </v>
      </c>
      <c r="G1348" t="str">
        <f t="shared" si="67"/>
        <v>남현동</v>
      </c>
      <c r="H1348" t="s">
        <v>8237</v>
      </c>
      <c r="I1348">
        <v>8807</v>
      </c>
    </row>
    <row r="1349" spans="1:9" x14ac:dyDescent="0.4">
      <c r="A1349">
        <v>3200000</v>
      </c>
      <c r="B1349" t="s">
        <v>8482</v>
      </c>
      <c r="C1349" s="1">
        <v>36532</v>
      </c>
      <c r="D1349" t="s">
        <v>8483</v>
      </c>
      <c r="E1349" t="str">
        <f t="shared" si="65"/>
        <v>서울특별시</v>
      </c>
      <c r="F1349" t="str">
        <f t="shared" si="66"/>
        <v xml:space="preserve">관악구 </v>
      </c>
      <c r="G1349" t="str">
        <f t="shared" si="67"/>
        <v>남현동</v>
      </c>
    </row>
    <row r="1350" spans="1:9" x14ac:dyDescent="0.4">
      <c r="A1350">
        <v>3200000</v>
      </c>
      <c r="B1350" t="s">
        <v>8020</v>
      </c>
      <c r="C1350" s="1">
        <v>37095</v>
      </c>
      <c r="D1350" t="s">
        <v>8021</v>
      </c>
      <c r="E1350" t="str">
        <f t="shared" si="65"/>
        <v>서울특별시</v>
      </c>
      <c r="F1350" t="str">
        <f t="shared" si="66"/>
        <v xml:space="preserve">관악구 </v>
      </c>
      <c r="G1350" t="str">
        <f t="shared" si="67"/>
        <v>남현동</v>
      </c>
      <c r="H1350" t="s">
        <v>8022</v>
      </c>
      <c r="I1350">
        <v>8807</v>
      </c>
    </row>
    <row r="1351" spans="1:9" x14ac:dyDescent="0.4">
      <c r="A1351">
        <v>3200000</v>
      </c>
      <c r="B1351" t="s">
        <v>8012</v>
      </c>
      <c r="C1351" s="1">
        <v>37981</v>
      </c>
      <c r="D1351" t="s">
        <v>8013</v>
      </c>
      <c r="E1351" t="str">
        <f t="shared" si="65"/>
        <v>서울특별시</v>
      </c>
      <c r="F1351" t="str">
        <f t="shared" si="66"/>
        <v xml:space="preserve">관악구 </v>
      </c>
      <c r="G1351" t="str">
        <f t="shared" si="67"/>
        <v>남현동</v>
      </c>
      <c r="H1351" t="s">
        <v>8014</v>
      </c>
      <c r="I1351">
        <v>8807</v>
      </c>
    </row>
    <row r="1352" spans="1:9" x14ac:dyDescent="0.4">
      <c r="A1352">
        <v>3200000</v>
      </c>
      <c r="B1352" t="s">
        <v>8259</v>
      </c>
      <c r="C1352" s="1">
        <v>40806</v>
      </c>
      <c r="D1352" t="s">
        <v>8260</v>
      </c>
      <c r="E1352" t="str">
        <f t="shared" si="65"/>
        <v>서울특별시</v>
      </c>
      <c r="F1352" t="str">
        <f t="shared" si="66"/>
        <v xml:space="preserve">관악구 </v>
      </c>
      <c r="G1352" t="str">
        <f t="shared" si="67"/>
        <v>남현동</v>
      </c>
      <c r="H1352" t="s">
        <v>8261</v>
      </c>
      <c r="I1352">
        <v>8807</v>
      </c>
    </row>
    <row r="1353" spans="1:9" x14ac:dyDescent="0.4">
      <c r="A1353">
        <v>3200000</v>
      </c>
      <c r="B1353" t="s">
        <v>7985</v>
      </c>
      <c r="C1353" s="1">
        <v>36514</v>
      </c>
      <c r="D1353" t="s">
        <v>7986</v>
      </c>
      <c r="E1353" t="str">
        <f t="shared" si="65"/>
        <v>서울특별시</v>
      </c>
      <c r="F1353" t="str">
        <f t="shared" si="66"/>
        <v xml:space="preserve">관악구 </v>
      </c>
      <c r="G1353" t="str">
        <f t="shared" si="67"/>
        <v>남현동</v>
      </c>
      <c r="H1353" t="s">
        <v>7987</v>
      </c>
      <c r="I1353">
        <v>8807</v>
      </c>
    </row>
    <row r="1354" spans="1:9" x14ac:dyDescent="0.4">
      <c r="A1354">
        <v>3200000</v>
      </c>
      <c r="B1354" t="s">
        <v>8220</v>
      </c>
      <c r="C1354" s="1">
        <v>36494</v>
      </c>
      <c r="D1354" t="s">
        <v>8221</v>
      </c>
      <c r="E1354" t="str">
        <f t="shared" si="65"/>
        <v>서울특별시</v>
      </c>
      <c r="F1354" t="str">
        <f t="shared" si="66"/>
        <v xml:space="preserve">관악구 </v>
      </c>
      <c r="G1354" t="str">
        <f t="shared" si="67"/>
        <v>남현동</v>
      </c>
      <c r="H1354" t="s">
        <v>8222</v>
      </c>
      <c r="I1354">
        <v>8806</v>
      </c>
    </row>
    <row r="1355" spans="1:9" x14ac:dyDescent="0.4">
      <c r="A1355">
        <v>3200000</v>
      </c>
      <c r="B1355" t="s">
        <v>7844</v>
      </c>
      <c r="C1355" s="1">
        <v>36823</v>
      </c>
      <c r="D1355" t="s">
        <v>7845</v>
      </c>
      <c r="E1355" t="str">
        <f t="shared" si="65"/>
        <v>서울특별시</v>
      </c>
      <c r="F1355" t="str">
        <f t="shared" si="66"/>
        <v xml:space="preserve">관악구 </v>
      </c>
      <c r="G1355" t="str">
        <f t="shared" si="67"/>
        <v>봉천동</v>
      </c>
      <c r="H1355" t="s">
        <v>7846</v>
      </c>
      <c r="I1355">
        <v>8788</v>
      </c>
    </row>
    <row r="1356" spans="1:9" x14ac:dyDescent="0.4">
      <c r="A1356">
        <v>3200000</v>
      </c>
      <c r="B1356" t="s">
        <v>8449</v>
      </c>
      <c r="C1356" s="1">
        <v>32871</v>
      </c>
      <c r="D1356" t="s">
        <v>8450</v>
      </c>
      <c r="E1356" t="str">
        <f t="shared" si="65"/>
        <v>서울특별시</v>
      </c>
      <c r="F1356" t="str">
        <f t="shared" si="66"/>
        <v xml:space="preserve">관악구 </v>
      </c>
      <c r="G1356" t="str">
        <f t="shared" si="67"/>
        <v>봉천동</v>
      </c>
    </row>
    <row r="1357" spans="1:9" x14ac:dyDescent="0.4">
      <c r="A1357">
        <v>3200000</v>
      </c>
      <c r="B1357" t="s">
        <v>8309</v>
      </c>
      <c r="C1357" s="1">
        <v>37117</v>
      </c>
      <c r="D1357" t="s">
        <v>8310</v>
      </c>
      <c r="E1357" t="str">
        <f t="shared" si="65"/>
        <v>서울특별시</v>
      </c>
      <c r="F1357" t="str">
        <f t="shared" si="66"/>
        <v xml:space="preserve">관악구 </v>
      </c>
      <c r="G1357" t="str">
        <f t="shared" si="67"/>
        <v>봉천동</v>
      </c>
    </row>
    <row r="1358" spans="1:9" x14ac:dyDescent="0.4">
      <c r="A1358">
        <v>3200000</v>
      </c>
      <c r="B1358" t="s">
        <v>8656</v>
      </c>
      <c r="C1358" s="1">
        <v>37079</v>
      </c>
      <c r="D1358" t="s">
        <v>8657</v>
      </c>
      <c r="E1358" t="str">
        <f t="shared" si="65"/>
        <v>서울특별시</v>
      </c>
      <c r="F1358" t="str">
        <f t="shared" si="66"/>
        <v xml:space="preserve">관악구 </v>
      </c>
      <c r="G1358" t="str">
        <f t="shared" si="67"/>
        <v>봉천동</v>
      </c>
    </row>
    <row r="1359" spans="1:9" x14ac:dyDescent="0.4">
      <c r="A1359">
        <v>3200000</v>
      </c>
      <c r="B1359" t="s">
        <v>8799</v>
      </c>
      <c r="C1359" s="1">
        <v>36700</v>
      </c>
      <c r="D1359" t="s">
        <v>8800</v>
      </c>
      <c r="E1359" t="str">
        <f t="shared" si="65"/>
        <v>서울특별시</v>
      </c>
      <c r="F1359" t="str">
        <f t="shared" si="66"/>
        <v xml:space="preserve">관악구 </v>
      </c>
      <c r="G1359" t="str">
        <f t="shared" si="67"/>
        <v>봉천동</v>
      </c>
    </row>
    <row r="1360" spans="1:9" x14ac:dyDescent="0.4">
      <c r="A1360">
        <v>3200000</v>
      </c>
      <c r="B1360" t="s">
        <v>8191</v>
      </c>
      <c r="C1360" s="1">
        <v>37001</v>
      </c>
      <c r="D1360" t="s">
        <v>8192</v>
      </c>
      <c r="E1360" t="str">
        <f t="shared" si="65"/>
        <v>서울특별시</v>
      </c>
      <c r="F1360" t="str">
        <f t="shared" si="66"/>
        <v xml:space="preserve">관악구 </v>
      </c>
      <c r="G1360" t="str">
        <f t="shared" si="67"/>
        <v>봉천동</v>
      </c>
      <c r="H1360" t="s">
        <v>8193</v>
      </c>
      <c r="I1360">
        <v>8739</v>
      </c>
    </row>
    <row r="1361" spans="1:9" x14ac:dyDescent="0.4">
      <c r="A1361">
        <v>3200000</v>
      </c>
      <c r="B1361" t="s">
        <v>7901</v>
      </c>
      <c r="C1361" s="1">
        <v>28675</v>
      </c>
      <c r="D1361" t="s">
        <v>7902</v>
      </c>
      <c r="E1361" t="str">
        <f t="shared" si="65"/>
        <v>서울특별시</v>
      </c>
      <c r="F1361" t="str">
        <f t="shared" si="66"/>
        <v xml:space="preserve">관악구 </v>
      </c>
      <c r="G1361" t="str">
        <f t="shared" si="67"/>
        <v>봉천동</v>
      </c>
      <c r="H1361" t="s">
        <v>7903</v>
      </c>
      <c r="I1361">
        <v>8739</v>
      </c>
    </row>
    <row r="1362" spans="1:9" x14ac:dyDescent="0.4">
      <c r="A1362">
        <v>3200000</v>
      </c>
      <c r="B1362" t="s">
        <v>8638</v>
      </c>
      <c r="C1362" s="1">
        <v>31549</v>
      </c>
      <c r="D1362" t="s">
        <v>8639</v>
      </c>
      <c r="E1362" t="str">
        <f t="shared" si="65"/>
        <v>서울특별시</v>
      </c>
      <c r="F1362" t="str">
        <f t="shared" si="66"/>
        <v xml:space="preserve">관악구 </v>
      </c>
      <c r="G1362" t="str">
        <f t="shared" si="67"/>
        <v>봉천동</v>
      </c>
    </row>
    <row r="1363" spans="1:9" x14ac:dyDescent="0.4">
      <c r="A1363">
        <v>3200000</v>
      </c>
      <c r="B1363" t="s">
        <v>8635</v>
      </c>
      <c r="C1363" s="1">
        <v>31549</v>
      </c>
      <c r="D1363" t="s">
        <v>8636</v>
      </c>
      <c r="E1363" t="str">
        <f t="shared" si="65"/>
        <v>서울특별시</v>
      </c>
      <c r="F1363" t="str">
        <f t="shared" si="66"/>
        <v xml:space="preserve">관악구 </v>
      </c>
      <c r="G1363" t="str">
        <f t="shared" si="67"/>
        <v>봉천동</v>
      </c>
    </row>
    <row r="1364" spans="1:9" x14ac:dyDescent="0.4">
      <c r="A1364">
        <v>3200000</v>
      </c>
      <c r="B1364" t="s">
        <v>8765</v>
      </c>
      <c r="C1364" s="1">
        <v>31549</v>
      </c>
      <c r="D1364" t="s">
        <v>8636</v>
      </c>
      <c r="E1364" t="str">
        <f t="shared" si="65"/>
        <v>서울특별시</v>
      </c>
      <c r="F1364" t="str">
        <f t="shared" si="66"/>
        <v xml:space="preserve">관악구 </v>
      </c>
      <c r="G1364" t="str">
        <f t="shared" si="67"/>
        <v>봉천동</v>
      </c>
    </row>
    <row r="1365" spans="1:9" x14ac:dyDescent="0.4">
      <c r="A1365">
        <v>3200000</v>
      </c>
      <c r="B1365" t="s">
        <v>8330</v>
      </c>
      <c r="C1365" s="1">
        <v>30758</v>
      </c>
      <c r="D1365" t="s">
        <v>8331</v>
      </c>
      <c r="E1365" t="str">
        <f t="shared" si="65"/>
        <v>서울특별시</v>
      </c>
      <c r="F1365" t="str">
        <f t="shared" si="66"/>
        <v xml:space="preserve">관악구 </v>
      </c>
      <c r="G1365" t="str">
        <f t="shared" si="67"/>
        <v>봉천동</v>
      </c>
    </row>
    <row r="1366" spans="1:9" x14ac:dyDescent="0.4">
      <c r="A1366">
        <v>3200000</v>
      </c>
      <c r="B1366" t="s">
        <v>8637</v>
      </c>
      <c r="C1366" s="1">
        <v>31549</v>
      </c>
      <c r="D1366" t="s">
        <v>8331</v>
      </c>
      <c r="E1366" t="str">
        <f t="shared" si="65"/>
        <v>서울특별시</v>
      </c>
      <c r="F1366" t="str">
        <f t="shared" si="66"/>
        <v xml:space="preserve">관악구 </v>
      </c>
      <c r="G1366" t="str">
        <f t="shared" si="67"/>
        <v>봉천동</v>
      </c>
    </row>
    <row r="1367" spans="1:9" x14ac:dyDescent="0.4">
      <c r="A1367">
        <v>3200000</v>
      </c>
      <c r="B1367" t="s">
        <v>8694</v>
      </c>
      <c r="C1367" s="1">
        <v>31693</v>
      </c>
      <c r="D1367" t="s">
        <v>8331</v>
      </c>
      <c r="E1367" t="str">
        <f t="shared" si="65"/>
        <v>서울특별시</v>
      </c>
      <c r="F1367" t="str">
        <f t="shared" si="66"/>
        <v xml:space="preserve">관악구 </v>
      </c>
      <c r="G1367" t="str">
        <f t="shared" si="67"/>
        <v>봉천동</v>
      </c>
      <c r="H1367" t="s">
        <v>8695</v>
      </c>
      <c r="I1367">
        <v>8737</v>
      </c>
    </row>
    <row r="1368" spans="1:9" x14ac:dyDescent="0.4">
      <c r="A1368">
        <v>3200000</v>
      </c>
      <c r="B1368" t="s">
        <v>8332</v>
      </c>
      <c r="C1368" s="1">
        <v>30762</v>
      </c>
      <c r="D1368" t="s">
        <v>8333</v>
      </c>
      <c r="E1368" t="str">
        <f t="shared" si="65"/>
        <v>서울특별시</v>
      </c>
      <c r="F1368" t="str">
        <f t="shared" si="66"/>
        <v xml:space="preserve">관악구 </v>
      </c>
      <c r="G1368" t="str">
        <f t="shared" si="67"/>
        <v>봉천동</v>
      </c>
      <c r="H1368" t="s">
        <v>8334</v>
      </c>
      <c r="I1368">
        <v>8737</v>
      </c>
    </row>
    <row r="1369" spans="1:9" x14ac:dyDescent="0.4">
      <c r="A1369">
        <v>3200000</v>
      </c>
      <c r="B1369" t="s">
        <v>8644</v>
      </c>
      <c r="C1369" s="1">
        <v>37061</v>
      </c>
      <c r="D1369" t="s">
        <v>8645</v>
      </c>
      <c r="E1369" t="str">
        <f t="shared" si="65"/>
        <v>서울특별시</v>
      </c>
      <c r="F1369" t="str">
        <f t="shared" si="66"/>
        <v xml:space="preserve">관악구 </v>
      </c>
      <c r="G1369" t="str">
        <f t="shared" si="67"/>
        <v>봉천동</v>
      </c>
    </row>
    <row r="1370" spans="1:9" x14ac:dyDescent="0.4">
      <c r="A1370">
        <v>3200000</v>
      </c>
      <c r="B1370" t="s">
        <v>8781</v>
      </c>
      <c r="C1370" s="1">
        <v>36623</v>
      </c>
      <c r="D1370" t="s">
        <v>8645</v>
      </c>
      <c r="E1370" t="str">
        <f t="shared" si="65"/>
        <v>서울특별시</v>
      </c>
      <c r="F1370" t="str">
        <f t="shared" si="66"/>
        <v xml:space="preserve">관악구 </v>
      </c>
      <c r="G1370" t="str">
        <f t="shared" si="67"/>
        <v>봉천동</v>
      </c>
    </row>
    <row r="1371" spans="1:9" x14ac:dyDescent="0.4">
      <c r="A1371">
        <v>3200000</v>
      </c>
      <c r="B1371" t="s">
        <v>8140</v>
      </c>
      <c r="C1371" s="1">
        <v>37552</v>
      </c>
      <c r="D1371" t="s">
        <v>8141</v>
      </c>
      <c r="E1371" t="str">
        <f t="shared" si="65"/>
        <v>서울특별시</v>
      </c>
      <c r="F1371" t="str">
        <f t="shared" si="66"/>
        <v xml:space="preserve">관악구 </v>
      </c>
      <c r="G1371" t="str">
        <f t="shared" si="67"/>
        <v>봉천동</v>
      </c>
      <c r="H1371" t="s">
        <v>8142</v>
      </c>
      <c r="I1371">
        <v>8737</v>
      </c>
    </row>
    <row r="1372" spans="1:9" x14ac:dyDescent="0.4">
      <c r="A1372">
        <v>3200000</v>
      </c>
      <c r="B1372" t="s">
        <v>8460</v>
      </c>
      <c r="C1372" s="1">
        <v>36369</v>
      </c>
      <c r="D1372" t="s">
        <v>8461</v>
      </c>
      <c r="E1372" t="str">
        <f t="shared" si="65"/>
        <v>서울특별시</v>
      </c>
      <c r="F1372" t="str">
        <f t="shared" si="66"/>
        <v xml:space="preserve">관악구 </v>
      </c>
      <c r="G1372" t="str">
        <f t="shared" si="67"/>
        <v>봉천동</v>
      </c>
    </row>
    <row r="1373" spans="1:9" x14ac:dyDescent="0.4">
      <c r="A1373">
        <v>3200000</v>
      </c>
      <c r="B1373" t="s">
        <v>8829</v>
      </c>
      <c r="C1373" s="1">
        <v>30616</v>
      </c>
      <c r="D1373" t="s">
        <v>8830</v>
      </c>
      <c r="E1373" t="str">
        <f t="shared" si="65"/>
        <v>서울특별시</v>
      </c>
      <c r="F1373" t="str">
        <f t="shared" si="66"/>
        <v xml:space="preserve">관악구 </v>
      </c>
      <c r="G1373" t="str">
        <f t="shared" si="67"/>
        <v>봉천동</v>
      </c>
    </row>
    <row r="1374" spans="1:9" x14ac:dyDescent="0.4">
      <c r="A1374">
        <v>3200000</v>
      </c>
      <c r="B1374" t="s">
        <v>8814</v>
      </c>
      <c r="C1374" s="1">
        <v>31625</v>
      </c>
      <c r="D1374" t="s">
        <v>8815</v>
      </c>
      <c r="E1374" t="str">
        <f t="shared" si="65"/>
        <v>서울특별시</v>
      </c>
      <c r="F1374" t="str">
        <f t="shared" si="66"/>
        <v xml:space="preserve">관악구 </v>
      </c>
      <c r="G1374" t="str">
        <f t="shared" si="67"/>
        <v>봉천동</v>
      </c>
    </row>
    <row r="1375" spans="1:9" x14ac:dyDescent="0.4">
      <c r="A1375">
        <v>3200000</v>
      </c>
      <c r="B1375" t="s">
        <v>7859</v>
      </c>
      <c r="C1375" s="1">
        <v>37149</v>
      </c>
      <c r="D1375" t="s">
        <v>7860</v>
      </c>
      <c r="E1375" t="str">
        <f t="shared" si="65"/>
        <v>서울특별시</v>
      </c>
      <c r="F1375" t="str">
        <f t="shared" si="66"/>
        <v xml:space="preserve">관악구 </v>
      </c>
      <c r="G1375" t="str">
        <f t="shared" si="67"/>
        <v>봉천동</v>
      </c>
      <c r="H1375" t="s">
        <v>7861</v>
      </c>
      <c r="I1375">
        <v>8737</v>
      </c>
    </row>
    <row r="1376" spans="1:9" x14ac:dyDescent="0.4">
      <c r="A1376">
        <v>3200000</v>
      </c>
      <c r="B1376" t="s">
        <v>8582</v>
      </c>
      <c r="C1376" s="1">
        <v>36515</v>
      </c>
      <c r="D1376" t="s">
        <v>8583</v>
      </c>
      <c r="E1376" t="str">
        <f t="shared" si="65"/>
        <v>서울특별시</v>
      </c>
      <c r="F1376" t="str">
        <f t="shared" si="66"/>
        <v xml:space="preserve">관악구 </v>
      </c>
      <c r="G1376" t="str">
        <f t="shared" si="67"/>
        <v>봉천동</v>
      </c>
    </row>
    <row r="1377" spans="1:9" x14ac:dyDescent="0.4">
      <c r="A1377">
        <v>3200000</v>
      </c>
      <c r="B1377" t="s">
        <v>78</v>
      </c>
      <c r="C1377" s="1">
        <v>37553</v>
      </c>
      <c r="D1377" t="s">
        <v>79</v>
      </c>
      <c r="E1377" t="str">
        <f t="shared" si="65"/>
        <v>서울특별시</v>
      </c>
      <c r="F1377" t="str">
        <f t="shared" si="66"/>
        <v xml:space="preserve">관악구 </v>
      </c>
      <c r="G1377" t="str">
        <f t="shared" si="67"/>
        <v>봉천동</v>
      </c>
      <c r="H1377" t="s">
        <v>80</v>
      </c>
      <c r="I1377">
        <v>8737</v>
      </c>
    </row>
    <row r="1378" spans="1:9" x14ac:dyDescent="0.4">
      <c r="A1378">
        <v>3200000</v>
      </c>
      <c r="B1378" t="s">
        <v>7850</v>
      </c>
      <c r="C1378" s="1">
        <v>36836</v>
      </c>
      <c r="D1378" t="s">
        <v>7851</v>
      </c>
      <c r="E1378" t="str">
        <f t="shared" si="65"/>
        <v>서울특별시</v>
      </c>
      <c r="F1378" t="str">
        <f t="shared" si="66"/>
        <v xml:space="preserve">관악구 </v>
      </c>
      <c r="G1378" t="str">
        <f t="shared" si="67"/>
        <v>봉천동</v>
      </c>
      <c r="H1378" t="s">
        <v>7852</v>
      </c>
      <c r="I1378">
        <v>8737</v>
      </c>
    </row>
    <row r="1379" spans="1:9" x14ac:dyDescent="0.4">
      <c r="A1379">
        <v>3200000</v>
      </c>
      <c r="B1379" t="s">
        <v>8512</v>
      </c>
      <c r="C1379" s="1">
        <v>36549</v>
      </c>
      <c r="D1379" t="s">
        <v>8513</v>
      </c>
      <c r="E1379" t="str">
        <f t="shared" si="65"/>
        <v>서울특별시</v>
      </c>
      <c r="F1379" t="str">
        <f t="shared" si="66"/>
        <v xml:space="preserve">관악구 </v>
      </c>
      <c r="G1379" t="str">
        <f t="shared" si="67"/>
        <v>봉천동</v>
      </c>
    </row>
    <row r="1380" spans="1:9" x14ac:dyDescent="0.4">
      <c r="A1380">
        <v>3200000</v>
      </c>
      <c r="B1380" t="s">
        <v>7961</v>
      </c>
      <c r="C1380" s="1">
        <v>38370</v>
      </c>
      <c r="D1380" t="s">
        <v>7962</v>
      </c>
      <c r="E1380" t="str">
        <f t="shared" si="65"/>
        <v>서울특별시</v>
      </c>
      <c r="F1380" t="str">
        <f t="shared" si="66"/>
        <v xml:space="preserve">관악구 </v>
      </c>
      <c r="G1380" t="str">
        <f t="shared" si="67"/>
        <v>봉천동</v>
      </c>
      <c r="H1380" t="s">
        <v>7963</v>
      </c>
      <c r="I1380">
        <v>8737</v>
      </c>
    </row>
    <row r="1381" spans="1:9" x14ac:dyDescent="0.4">
      <c r="A1381">
        <v>3200000</v>
      </c>
      <c r="B1381" t="s">
        <v>8169</v>
      </c>
      <c r="C1381" s="1">
        <v>44960</v>
      </c>
      <c r="D1381" t="s">
        <v>8170</v>
      </c>
      <c r="E1381" t="str">
        <f t="shared" si="65"/>
        <v>서울특별시</v>
      </c>
      <c r="F1381" t="str">
        <f t="shared" si="66"/>
        <v xml:space="preserve">관악구 </v>
      </c>
      <c r="G1381" t="str">
        <f t="shared" si="67"/>
        <v>봉천동</v>
      </c>
      <c r="H1381" t="s">
        <v>8171</v>
      </c>
      <c r="I1381">
        <v>8737</v>
      </c>
    </row>
    <row r="1382" spans="1:9" x14ac:dyDescent="0.4">
      <c r="A1382">
        <v>3200000</v>
      </c>
      <c r="B1382" t="s">
        <v>8226</v>
      </c>
      <c r="C1382" s="1">
        <v>37498</v>
      </c>
      <c r="D1382" t="s">
        <v>8227</v>
      </c>
      <c r="E1382" t="str">
        <f t="shared" si="65"/>
        <v>서울특별시</v>
      </c>
      <c r="F1382" t="str">
        <f t="shared" si="66"/>
        <v xml:space="preserve">관악구 </v>
      </c>
      <c r="G1382" t="str">
        <f t="shared" si="67"/>
        <v>봉천동</v>
      </c>
      <c r="H1382" t="s">
        <v>8228</v>
      </c>
      <c r="I1382">
        <v>8737</v>
      </c>
    </row>
    <row r="1383" spans="1:9" x14ac:dyDescent="0.4">
      <c r="A1383">
        <v>3200000</v>
      </c>
      <c r="B1383" t="s">
        <v>8723</v>
      </c>
      <c r="C1383" s="1">
        <v>39616</v>
      </c>
      <c r="D1383" t="s">
        <v>8724</v>
      </c>
      <c r="E1383" t="str">
        <f t="shared" si="65"/>
        <v>서울특별시</v>
      </c>
      <c r="F1383" t="str">
        <f t="shared" si="66"/>
        <v xml:space="preserve">관악구 </v>
      </c>
      <c r="G1383" t="str">
        <f t="shared" si="67"/>
        <v>봉천동</v>
      </c>
      <c r="H1383" t="s">
        <v>8725</v>
      </c>
      <c r="I1383">
        <v>8737</v>
      </c>
    </row>
    <row r="1384" spans="1:9" x14ac:dyDescent="0.4">
      <c r="A1384">
        <v>3200000</v>
      </c>
      <c r="B1384" t="s">
        <v>8729</v>
      </c>
      <c r="C1384" s="1">
        <v>37154</v>
      </c>
      <c r="D1384" t="s">
        <v>8730</v>
      </c>
      <c r="E1384" t="str">
        <f t="shared" si="65"/>
        <v>서울특별시</v>
      </c>
      <c r="F1384" t="str">
        <f t="shared" si="66"/>
        <v xml:space="preserve">관악구 </v>
      </c>
      <c r="G1384" t="str">
        <f t="shared" si="67"/>
        <v>봉천동</v>
      </c>
    </row>
    <row r="1385" spans="1:9" x14ac:dyDescent="0.4">
      <c r="A1385">
        <v>3200000</v>
      </c>
      <c r="B1385" t="s">
        <v>8753</v>
      </c>
      <c r="C1385" s="1">
        <v>37672</v>
      </c>
      <c r="D1385" t="s">
        <v>8754</v>
      </c>
      <c r="E1385" t="str">
        <f t="shared" si="65"/>
        <v>서울특별시</v>
      </c>
      <c r="F1385" t="str">
        <f t="shared" si="66"/>
        <v xml:space="preserve">관악구 </v>
      </c>
      <c r="G1385" t="str">
        <f t="shared" si="67"/>
        <v>봉천동</v>
      </c>
    </row>
    <row r="1386" spans="1:9" x14ac:dyDescent="0.4">
      <c r="A1386">
        <v>3200000</v>
      </c>
      <c r="B1386" t="s">
        <v>8597</v>
      </c>
      <c r="C1386" s="1">
        <v>39052</v>
      </c>
      <c r="D1386" t="s">
        <v>8598</v>
      </c>
      <c r="E1386" t="str">
        <f t="shared" si="65"/>
        <v>서울특별시</v>
      </c>
      <c r="F1386" t="str">
        <f t="shared" si="66"/>
        <v xml:space="preserve">관악구 </v>
      </c>
      <c r="G1386" t="str">
        <f t="shared" si="67"/>
        <v>봉천동</v>
      </c>
    </row>
    <row r="1387" spans="1:9" x14ac:dyDescent="0.4">
      <c r="A1387">
        <v>3200000</v>
      </c>
      <c r="B1387" t="s">
        <v>8633</v>
      </c>
      <c r="C1387" s="1">
        <v>31549</v>
      </c>
      <c r="D1387" t="s">
        <v>8634</v>
      </c>
      <c r="E1387" t="str">
        <f t="shared" si="65"/>
        <v>서울특별시</v>
      </c>
      <c r="F1387" t="str">
        <f t="shared" si="66"/>
        <v xml:space="preserve">관악구 </v>
      </c>
      <c r="G1387" t="str">
        <f t="shared" si="67"/>
        <v>봉천동</v>
      </c>
    </row>
    <row r="1388" spans="1:9" x14ac:dyDescent="0.4">
      <c r="A1388">
        <v>3200000</v>
      </c>
      <c r="B1388" t="s">
        <v>8146</v>
      </c>
      <c r="C1388" s="1">
        <v>37572</v>
      </c>
      <c r="D1388" t="s">
        <v>8147</v>
      </c>
      <c r="E1388" t="str">
        <f t="shared" si="65"/>
        <v>서울특별시</v>
      </c>
      <c r="F1388" t="str">
        <f t="shared" si="66"/>
        <v xml:space="preserve">관악구 </v>
      </c>
      <c r="G1388" t="str">
        <f t="shared" si="67"/>
        <v>봉천동</v>
      </c>
      <c r="H1388" t="s">
        <v>8148</v>
      </c>
      <c r="I1388">
        <v>8738</v>
      </c>
    </row>
    <row r="1389" spans="1:9" x14ac:dyDescent="0.4">
      <c r="A1389">
        <v>3200000</v>
      </c>
      <c r="B1389" t="s">
        <v>8352</v>
      </c>
      <c r="C1389" s="1">
        <v>30806</v>
      </c>
      <c r="D1389" t="s">
        <v>8353</v>
      </c>
      <c r="E1389" t="str">
        <f t="shared" si="65"/>
        <v>서울특별시</v>
      </c>
      <c r="F1389" t="str">
        <f t="shared" si="66"/>
        <v xml:space="preserve">관악구 </v>
      </c>
      <c r="G1389" t="str">
        <f t="shared" si="67"/>
        <v>봉천동</v>
      </c>
    </row>
    <row r="1390" spans="1:9" x14ac:dyDescent="0.4">
      <c r="A1390">
        <v>3200000</v>
      </c>
      <c r="B1390" t="s">
        <v>8828</v>
      </c>
      <c r="C1390" s="1">
        <v>30495</v>
      </c>
      <c r="D1390" t="s">
        <v>8353</v>
      </c>
      <c r="E1390" t="str">
        <f t="shared" si="65"/>
        <v>서울특별시</v>
      </c>
      <c r="F1390" t="str">
        <f t="shared" si="66"/>
        <v xml:space="preserve">관악구 </v>
      </c>
      <c r="G1390" t="str">
        <f t="shared" si="67"/>
        <v>봉천동</v>
      </c>
    </row>
    <row r="1391" spans="1:9" x14ac:dyDescent="0.4">
      <c r="A1391">
        <v>3200000</v>
      </c>
      <c r="B1391" t="s">
        <v>8622</v>
      </c>
      <c r="C1391" s="1">
        <v>31290</v>
      </c>
      <c r="D1391" t="s">
        <v>8623</v>
      </c>
      <c r="E1391" t="str">
        <f t="shared" si="65"/>
        <v>서울특별시</v>
      </c>
      <c r="F1391" t="str">
        <f t="shared" si="66"/>
        <v xml:space="preserve">관악구 </v>
      </c>
      <c r="G1391" t="str">
        <f t="shared" si="67"/>
        <v>봉천동</v>
      </c>
    </row>
    <row r="1392" spans="1:9" x14ac:dyDescent="0.4">
      <c r="A1392">
        <v>3200000</v>
      </c>
      <c r="B1392" t="s">
        <v>8649</v>
      </c>
      <c r="C1392" s="1">
        <v>37069</v>
      </c>
      <c r="D1392" t="s">
        <v>8650</v>
      </c>
      <c r="E1392" t="str">
        <f t="shared" si="65"/>
        <v>서울특별시</v>
      </c>
      <c r="F1392" t="str">
        <f t="shared" si="66"/>
        <v xml:space="preserve">관악구 </v>
      </c>
      <c r="G1392" t="str">
        <f t="shared" si="67"/>
        <v>봉천동</v>
      </c>
      <c r="H1392" t="s">
        <v>8651</v>
      </c>
      <c r="I1392">
        <v>8788</v>
      </c>
    </row>
    <row r="1393" spans="1:9" x14ac:dyDescent="0.4">
      <c r="A1393">
        <v>3200000</v>
      </c>
      <c r="B1393" t="s">
        <v>8306</v>
      </c>
      <c r="C1393" s="1">
        <v>37112</v>
      </c>
      <c r="D1393" t="s">
        <v>8307</v>
      </c>
      <c r="E1393" t="str">
        <f t="shared" si="65"/>
        <v>서울특별시</v>
      </c>
      <c r="F1393" t="str">
        <f t="shared" si="66"/>
        <v xml:space="preserve">관악구 </v>
      </c>
      <c r="G1393" t="str">
        <f t="shared" si="67"/>
        <v>봉천동</v>
      </c>
      <c r="H1393" t="s">
        <v>8308</v>
      </c>
      <c r="I1393">
        <v>8788</v>
      </c>
    </row>
    <row r="1394" spans="1:9" x14ac:dyDescent="0.4">
      <c r="A1394">
        <v>3200000</v>
      </c>
      <c r="B1394" t="s">
        <v>7904</v>
      </c>
      <c r="C1394" s="1">
        <v>42338</v>
      </c>
      <c r="D1394" t="s">
        <v>7905</v>
      </c>
      <c r="E1394" t="str">
        <f t="shared" si="65"/>
        <v>서울특별시</v>
      </c>
      <c r="F1394" t="str">
        <f t="shared" si="66"/>
        <v xml:space="preserve">관악구 </v>
      </c>
      <c r="G1394" t="str">
        <f t="shared" si="67"/>
        <v>봉천동</v>
      </c>
      <c r="H1394" t="s">
        <v>7906</v>
      </c>
      <c r="I1394">
        <v>8788</v>
      </c>
    </row>
    <row r="1395" spans="1:9" x14ac:dyDescent="0.4">
      <c r="A1395">
        <v>3200000</v>
      </c>
      <c r="B1395" t="s">
        <v>8652</v>
      </c>
      <c r="C1395" s="1">
        <v>37071</v>
      </c>
      <c r="D1395" t="s">
        <v>7905</v>
      </c>
      <c r="E1395" t="str">
        <f t="shared" si="65"/>
        <v>서울특별시</v>
      </c>
      <c r="F1395" t="str">
        <f t="shared" si="66"/>
        <v xml:space="preserve">관악구 </v>
      </c>
      <c r="G1395" t="str">
        <f t="shared" si="67"/>
        <v>봉천동</v>
      </c>
      <c r="H1395" t="s">
        <v>8653</v>
      </c>
      <c r="I1395">
        <v>8788</v>
      </c>
    </row>
    <row r="1396" spans="1:9" x14ac:dyDescent="0.4">
      <c r="A1396">
        <v>3200000</v>
      </c>
      <c r="B1396" t="s">
        <v>7976</v>
      </c>
      <c r="C1396" s="1">
        <v>38415</v>
      </c>
      <c r="D1396" t="s">
        <v>7977</v>
      </c>
      <c r="E1396" t="str">
        <f t="shared" si="65"/>
        <v>서울특별시</v>
      </c>
      <c r="F1396" t="str">
        <f t="shared" si="66"/>
        <v xml:space="preserve">관악구 </v>
      </c>
      <c r="G1396" t="str">
        <f t="shared" si="67"/>
        <v>봉천동</v>
      </c>
      <c r="H1396" t="s">
        <v>7978</v>
      </c>
      <c r="I1396">
        <v>8788</v>
      </c>
    </row>
    <row r="1397" spans="1:9" x14ac:dyDescent="0.4">
      <c r="A1397">
        <v>3200000</v>
      </c>
      <c r="B1397" t="s">
        <v>8311</v>
      </c>
      <c r="C1397" s="1">
        <v>37146</v>
      </c>
      <c r="D1397" t="s">
        <v>8312</v>
      </c>
      <c r="E1397" t="str">
        <f t="shared" si="65"/>
        <v>서울특별시</v>
      </c>
      <c r="F1397" t="str">
        <f t="shared" si="66"/>
        <v xml:space="preserve">관악구 </v>
      </c>
      <c r="G1397" t="str">
        <f t="shared" si="67"/>
        <v>봉천동</v>
      </c>
    </row>
    <row r="1398" spans="1:9" x14ac:dyDescent="0.4">
      <c r="A1398">
        <v>3200000</v>
      </c>
      <c r="B1398" t="s">
        <v>8692</v>
      </c>
      <c r="C1398" s="1">
        <v>37433</v>
      </c>
      <c r="D1398" t="s">
        <v>8693</v>
      </c>
      <c r="E1398" t="str">
        <f t="shared" si="65"/>
        <v>서울특별시</v>
      </c>
      <c r="F1398" t="str">
        <f t="shared" si="66"/>
        <v xml:space="preserve">관악구 </v>
      </c>
      <c r="G1398" t="str">
        <f t="shared" si="67"/>
        <v>봉천동</v>
      </c>
    </row>
    <row r="1399" spans="1:9" x14ac:dyDescent="0.4">
      <c r="A1399">
        <v>3200000</v>
      </c>
      <c r="B1399" t="s">
        <v>8608</v>
      </c>
      <c r="C1399" s="1">
        <v>31064</v>
      </c>
      <c r="D1399" t="s">
        <v>8609</v>
      </c>
      <c r="E1399" t="str">
        <f t="shared" si="65"/>
        <v>서울특별시</v>
      </c>
      <c r="F1399" t="str">
        <f t="shared" si="66"/>
        <v xml:space="preserve">관악구 </v>
      </c>
      <c r="G1399" t="str">
        <f t="shared" si="67"/>
        <v>봉천동</v>
      </c>
    </row>
    <row r="1400" spans="1:9" x14ac:dyDescent="0.4">
      <c r="A1400">
        <v>3200000</v>
      </c>
      <c r="B1400" t="s">
        <v>8613</v>
      </c>
      <c r="C1400" s="1">
        <v>31154</v>
      </c>
      <c r="D1400" t="s">
        <v>8609</v>
      </c>
      <c r="E1400" t="str">
        <f t="shared" si="65"/>
        <v>서울특별시</v>
      </c>
      <c r="F1400" t="str">
        <f t="shared" si="66"/>
        <v xml:space="preserve">관악구 </v>
      </c>
      <c r="G1400" t="str">
        <f t="shared" si="67"/>
        <v>봉천동</v>
      </c>
    </row>
    <row r="1401" spans="1:9" x14ac:dyDescent="0.4">
      <c r="A1401">
        <v>3200000</v>
      </c>
      <c r="B1401" t="s">
        <v>8492</v>
      </c>
      <c r="C1401" s="1">
        <v>37708</v>
      </c>
      <c r="D1401" t="s">
        <v>8493</v>
      </c>
      <c r="E1401" t="str">
        <f t="shared" si="65"/>
        <v>서울특별시</v>
      </c>
      <c r="F1401" t="str">
        <f t="shared" si="66"/>
        <v xml:space="preserve">관악구 </v>
      </c>
      <c r="G1401" t="str">
        <f t="shared" si="67"/>
        <v>봉천동</v>
      </c>
    </row>
    <row r="1402" spans="1:9" x14ac:dyDescent="0.4">
      <c r="A1402">
        <v>3200000</v>
      </c>
      <c r="B1402" t="s">
        <v>8447</v>
      </c>
      <c r="C1402" s="1">
        <v>32861</v>
      </c>
      <c r="D1402" t="s">
        <v>8448</v>
      </c>
      <c r="E1402" t="str">
        <f t="shared" si="65"/>
        <v>서울특별시</v>
      </c>
      <c r="F1402" t="str">
        <f t="shared" si="66"/>
        <v xml:space="preserve">관악구 </v>
      </c>
      <c r="G1402" t="str">
        <f t="shared" si="67"/>
        <v>봉천동</v>
      </c>
    </row>
    <row r="1403" spans="1:9" x14ac:dyDescent="0.4">
      <c r="A1403">
        <v>3200000</v>
      </c>
      <c r="B1403" t="s">
        <v>8736</v>
      </c>
      <c r="C1403" s="1">
        <v>37252</v>
      </c>
      <c r="D1403" t="s">
        <v>8737</v>
      </c>
      <c r="E1403" t="str">
        <f t="shared" si="65"/>
        <v>서울특별시</v>
      </c>
      <c r="F1403" t="str">
        <f t="shared" si="66"/>
        <v xml:space="preserve">관악구 </v>
      </c>
      <c r="G1403" t="str">
        <f t="shared" si="67"/>
        <v>봉천동</v>
      </c>
    </row>
    <row r="1404" spans="1:9" x14ac:dyDescent="0.4">
      <c r="A1404">
        <v>3200000</v>
      </c>
      <c r="B1404" t="s">
        <v>12173</v>
      </c>
      <c r="C1404" s="1">
        <v>43776</v>
      </c>
      <c r="D1404" t="s">
        <v>12174</v>
      </c>
      <c r="E1404" t="str">
        <f t="shared" si="65"/>
        <v>서울특별시</v>
      </c>
      <c r="F1404" t="str">
        <f t="shared" si="66"/>
        <v xml:space="preserve">관악구 </v>
      </c>
      <c r="G1404" t="str">
        <f t="shared" si="67"/>
        <v>봉천동</v>
      </c>
      <c r="H1404" t="s">
        <v>12175</v>
      </c>
      <c r="I1404">
        <v>8788</v>
      </c>
    </row>
    <row r="1405" spans="1:9" x14ac:dyDescent="0.4">
      <c r="A1405">
        <v>3200000</v>
      </c>
      <c r="B1405" t="s">
        <v>8500</v>
      </c>
      <c r="C1405" s="1">
        <v>37944</v>
      </c>
      <c r="D1405" t="s">
        <v>8501</v>
      </c>
      <c r="E1405" t="str">
        <f t="shared" si="65"/>
        <v>서울특별시</v>
      </c>
      <c r="F1405" t="str">
        <f t="shared" si="66"/>
        <v xml:space="preserve">관악구 </v>
      </c>
      <c r="G1405" t="str">
        <f t="shared" si="67"/>
        <v>봉천동</v>
      </c>
      <c r="H1405" t="s">
        <v>8502</v>
      </c>
      <c r="I1405">
        <v>8788</v>
      </c>
    </row>
    <row r="1406" spans="1:9" x14ac:dyDescent="0.4">
      <c r="A1406">
        <v>3200000</v>
      </c>
      <c r="B1406" t="s">
        <v>8782</v>
      </c>
      <c r="C1406" s="1">
        <v>36630</v>
      </c>
      <c r="D1406" t="s">
        <v>8783</v>
      </c>
      <c r="E1406" t="str">
        <f t="shared" si="65"/>
        <v>서울특별시</v>
      </c>
      <c r="F1406" t="str">
        <f t="shared" si="66"/>
        <v xml:space="preserve">관악구 </v>
      </c>
      <c r="G1406" t="str">
        <f t="shared" si="67"/>
        <v>봉천동</v>
      </c>
      <c r="H1406" t="s">
        <v>8784</v>
      </c>
      <c r="I1406">
        <v>8788</v>
      </c>
    </row>
    <row r="1407" spans="1:9" x14ac:dyDescent="0.4">
      <c r="A1407">
        <v>3200000</v>
      </c>
      <c r="B1407" t="s">
        <v>8366</v>
      </c>
      <c r="C1407" s="1">
        <v>39353</v>
      </c>
      <c r="D1407" t="s">
        <v>8367</v>
      </c>
      <c r="E1407" t="str">
        <f t="shared" si="65"/>
        <v>서울특별시</v>
      </c>
      <c r="F1407" t="str">
        <f t="shared" si="66"/>
        <v xml:space="preserve">관악구 </v>
      </c>
      <c r="G1407" t="str">
        <f t="shared" si="67"/>
        <v>봉천동</v>
      </c>
      <c r="H1407" t="s">
        <v>8368</v>
      </c>
      <c r="I1407">
        <v>8788</v>
      </c>
    </row>
    <row r="1408" spans="1:9" x14ac:dyDescent="0.4">
      <c r="A1408">
        <v>3200000</v>
      </c>
      <c r="B1408" t="s">
        <v>8349</v>
      </c>
      <c r="C1408" s="1">
        <v>31572</v>
      </c>
      <c r="D1408" t="s">
        <v>8350</v>
      </c>
      <c r="E1408" t="str">
        <f t="shared" si="65"/>
        <v>서울특별시</v>
      </c>
      <c r="F1408" t="str">
        <f t="shared" si="66"/>
        <v xml:space="preserve">관악구 </v>
      </c>
      <c r="G1408" t="str">
        <f t="shared" si="67"/>
        <v>봉천동</v>
      </c>
      <c r="H1408" t="s">
        <v>8351</v>
      </c>
      <c r="I1408">
        <v>8738</v>
      </c>
    </row>
    <row r="1409" spans="1:9" x14ac:dyDescent="0.4">
      <c r="A1409">
        <v>3200000</v>
      </c>
      <c r="B1409" t="s">
        <v>8760</v>
      </c>
      <c r="C1409" s="1">
        <v>40709</v>
      </c>
      <c r="D1409" t="s">
        <v>8350</v>
      </c>
      <c r="E1409" t="str">
        <f t="shared" si="65"/>
        <v>서울특별시</v>
      </c>
      <c r="F1409" t="str">
        <f t="shared" si="66"/>
        <v xml:space="preserve">관악구 </v>
      </c>
      <c r="G1409" t="str">
        <f t="shared" si="67"/>
        <v>봉천동</v>
      </c>
      <c r="H1409" t="s">
        <v>8351</v>
      </c>
      <c r="I1409">
        <v>8738</v>
      </c>
    </row>
    <row r="1410" spans="1:9" x14ac:dyDescent="0.4">
      <c r="A1410">
        <v>3200000</v>
      </c>
      <c r="B1410" t="s">
        <v>8761</v>
      </c>
      <c r="C1410" s="1">
        <v>40709</v>
      </c>
      <c r="D1410" t="s">
        <v>8350</v>
      </c>
      <c r="E1410" t="str">
        <f t="shared" si="65"/>
        <v>서울특별시</v>
      </c>
      <c r="F1410" t="str">
        <f t="shared" si="66"/>
        <v xml:space="preserve">관악구 </v>
      </c>
      <c r="G1410" t="str">
        <f t="shared" si="67"/>
        <v>봉천동</v>
      </c>
      <c r="H1410" t="s">
        <v>8351</v>
      </c>
      <c r="I1410">
        <v>8738</v>
      </c>
    </row>
    <row r="1411" spans="1:9" x14ac:dyDescent="0.4">
      <c r="A1411">
        <v>3200000</v>
      </c>
      <c r="B1411" t="s">
        <v>8037</v>
      </c>
      <c r="C1411" s="1">
        <v>28445</v>
      </c>
      <c r="D1411" t="s">
        <v>8038</v>
      </c>
      <c r="E1411" t="str">
        <f t="shared" ref="E1411:E1474" si="68">LEFT(D1411,5)</f>
        <v>서울특별시</v>
      </c>
      <c r="F1411" t="str">
        <f t="shared" ref="F1411:F1474" si="69">MID(D1411,7,4)</f>
        <v xml:space="preserve">관악구 </v>
      </c>
      <c r="G1411" t="str">
        <f t="shared" ref="G1411:G1474" si="70">MID(SUBSTITUTE(D1411," ",""),9,3)</f>
        <v>봉천동</v>
      </c>
      <c r="H1411" t="s">
        <v>8039</v>
      </c>
      <c r="I1411">
        <v>8738</v>
      </c>
    </row>
    <row r="1412" spans="1:9" x14ac:dyDescent="0.4">
      <c r="A1412">
        <v>3200000</v>
      </c>
      <c r="B1412" t="s">
        <v>8565</v>
      </c>
      <c r="C1412" s="1">
        <v>36969</v>
      </c>
      <c r="D1412" t="s">
        <v>8566</v>
      </c>
      <c r="E1412" t="str">
        <f t="shared" si="68"/>
        <v>서울특별시</v>
      </c>
      <c r="F1412" t="str">
        <f t="shared" si="69"/>
        <v xml:space="preserve">관악구 </v>
      </c>
      <c r="G1412" t="str">
        <f t="shared" si="70"/>
        <v>봉천동</v>
      </c>
      <c r="H1412" t="s">
        <v>8567</v>
      </c>
    </row>
    <row r="1413" spans="1:9" x14ac:dyDescent="0.4">
      <c r="A1413">
        <v>3200000</v>
      </c>
      <c r="B1413" t="s">
        <v>8401</v>
      </c>
      <c r="C1413" s="1">
        <v>37152</v>
      </c>
      <c r="D1413" t="s">
        <v>8402</v>
      </c>
      <c r="E1413" t="str">
        <f t="shared" si="68"/>
        <v>서울특별시</v>
      </c>
      <c r="F1413" t="str">
        <f t="shared" si="69"/>
        <v xml:space="preserve">관악구 </v>
      </c>
      <c r="G1413" t="str">
        <f t="shared" si="70"/>
        <v>봉천동</v>
      </c>
      <c r="H1413" t="s">
        <v>8403</v>
      </c>
      <c r="I1413">
        <v>8738</v>
      </c>
    </row>
    <row r="1414" spans="1:9" x14ac:dyDescent="0.4">
      <c r="A1414">
        <v>3200000</v>
      </c>
      <c r="B1414" t="s">
        <v>8624</v>
      </c>
      <c r="C1414" s="1">
        <v>31316</v>
      </c>
      <c r="D1414" t="s">
        <v>8402</v>
      </c>
      <c r="E1414" t="str">
        <f t="shared" si="68"/>
        <v>서울특별시</v>
      </c>
      <c r="F1414" t="str">
        <f t="shared" si="69"/>
        <v xml:space="preserve">관악구 </v>
      </c>
      <c r="G1414" t="str">
        <f t="shared" si="70"/>
        <v>봉천동</v>
      </c>
    </row>
    <row r="1415" spans="1:9" x14ac:dyDescent="0.4">
      <c r="A1415">
        <v>3200000</v>
      </c>
      <c r="B1415" t="s">
        <v>8790</v>
      </c>
      <c r="C1415" s="1">
        <v>36679</v>
      </c>
      <c r="D1415" t="s">
        <v>8402</v>
      </c>
      <c r="E1415" t="str">
        <f t="shared" si="68"/>
        <v>서울특별시</v>
      </c>
      <c r="F1415" t="str">
        <f t="shared" si="69"/>
        <v xml:space="preserve">관악구 </v>
      </c>
      <c r="G1415" t="str">
        <f t="shared" si="70"/>
        <v>봉천동</v>
      </c>
    </row>
    <row r="1416" spans="1:9" x14ac:dyDescent="0.4">
      <c r="A1416">
        <v>3200000</v>
      </c>
      <c r="B1416" t="s">
        <v>8026</v>
      </c>
      <c r="C1416" s="1">
        <v>28360</v>
      </c>
      <c r="D1416" t="s">
        <v>8027</v>
      </c>
      <c r="E1416" t="str">
        <f t="shared" si="68"/>
        <v>서울특별시</v>
      </c>
      <c r="F1416" t="str">
        <f t="shared" si="69"/>
        <v xml:space="preserve">관악구 </v>
      </c>
      <c r="G1416" t="str">
        <f t="shared" si="70"/>
        <v>봉천동</v>
      </c>
      <c r="H1416" t="s">
        <v>8028</v>
      </c>
      <c r="I1416">
        <v>8745</v>
      </c>
    </row>
    <row r="1417" spans="1:9" x14ac:dyDescent="0.4">
      <c r="A1417">
        <v>3200000</v>
      </c>
      <c r="B1417" t="s">
        <v>7856</v>
      </c>
      <c r="C1417" s="1">
        <v>37141</v>
      </c>
      <c r="D1417" t="s">
        <v>7857</v>
      </c>
      <c r="E1417" t="str">
        <f t="shared" si="68"/>
        <v>서울특별시</v>
      </c>
      <c r="F1417" t="str">
        <f t="shared" si="69"/>
        <v xml:space="preserve">관악구 </v>
      </c>
      <c r="G1417" t="str">
        <f t="shared" si="70"/>
        <v>봉천동</v>
      </c>
      <c r="H1417" t="s">
        <v>7858</v>
      </c>
      <c r="I1417">
        <v>8745</v>
      </c>
    </row>
    <row r="1418" spans="1:9" x14ac:dyDescent="0.4">
      <c r="A1418">
        <v>3200000</v>
      </c>
      <c r="B1418" t="s">
        <v>8126</v>
      </c>
      <c r="C1418" s="1">
        <v>40323</v>
      </c>
      <c r="D1418" t="s">
        <v>8127</v>
      </c>
      <c r="E1418" t="str">
        <f t="shared" si="68"/>
        <v>서울특별시</v>
      </c>
      <c r="F1418" t="str">
        <f t="shared" si="69"/>
        <v xml:space="preserve">관악구 </v>
      </c>
      <c r="G1418" t="str">
        <f t="shared" si="70"/>
        <v>봉천동</v>
      </c>
      <c r="H1418" t="s">
        <v>8128</v>
      </c>
      <c r="I1418">
        <v>8758</v>
      </c>
    </row>
    <row r="1419" spans="1:9" x14ac:dyDescent="0.4">
      <c r="A1419">
        <v>3200000</v>
      </c>
      <c r="B1419" t="s">
        <v>8268</v>
      </c>
      <c r="C1419" s="1">
        <v>41068</v>
      </c>
      <c r="D1419" t="s">
        <v>8269</v>
      </c>
      <c r="E1419" t="str">
        <f t="shared" si="68"/>
        <v>서울특별시</v>
      </c>
      <c r="F1419" t="str">
        <f t="shared" si="69"/>
        <v xml:space="preserve">관악구 </v>
      </c>
      <c r="G1419" t="str">
        <f t="shared" si="70"/>
        <v>봉천동</v>
      </c>
      <c r="H1419" t="s">
        <v>8270</v>
      </c>
      <c r="I1419">
        <v>8758</v>
      </c>
    </row>
    <row r="1420" spans="1:9" x14ac:dyDescent="0.4">
      <c r="A1420">
        <v>3200000</v>
      </c>
      <c r="B1420" t="s">
        <v>8797</v>
      </c>
      <c r="C1420" s="1">
        <v>36696</v>
      </c>
      <c r="D1420" t="s">
        <v>8798</v>
      </c>
      <c r="E1420" t="str">
        <f t="shared" si="68"/>
        <v>서울특별시</v>
      </c>
      <c r="F1420" t="str">
        <f t="shared" si="69"/>
        <v xml:space="preserve">관악구 </v>
      </c>
      <c r="G1420" t="str">
        <f t="shared" si="70"/>
        <v>봉천동</v>
      </c>
    </row>
    <row r="1421" spans="1:9" x14ac:dyDescent="0.4">
      <c r="A1421">
        <v>3200000</v>
      </c>
      <c r="B1421" t="s">
        <v>8669</v>
      </c>
      <c r="C1421" s="1">
        <v>37091</v>
      </c>
      <c r="D1421" t="s">
        <v>8670</v>
      </c>
      <c r="E1421" t="str">
        <f t="shared" si="68"/>
        <v>서울특별시</v>
      </c>
      <c r="F1421" t="str">
        <f t="shared" si="69"/>
        <v xml:space="preserve">관악구 </v>
      </c>
      <c r="G1421" t="str">
        <f t="shared" si="70"/>
        <v>봉천동</v>
      </c>
      <c r="H1421" t="s">
        <v>8671</v>
      </c>
      <c r="I1421">
        <v>8787</v>
      </c>
    </row>
    <row r="1422" spans="1:9" x14ac:dyDescent="0.4">
      <c r="A1422">
        <v>3200000</v>
      </c>
      <c r="B1422" t="s">
        <v>7997</v>
      </c>
      <c r="C1422" s="1">
        <v>38936</v>
      </c>
      <c r="D1422" t="s">
        <v>7998</v>
      </c>
      <c r="E1422" t="str">
        <f t="shared" si="68"/>
        <v>서울특별시</v>
      </c>
      <c r="F1422" t="str">
        <f t="shared" si="69"/>
        <v xml:space="preserve">관악구 </v>
      </c>
      <c r="G1422" t="str">
        <f t="shared" si="70"/>
        <v>봉천동</v>
      </c>
      <c r="H1422" t="s">
        <v>7999</v>
      </c>
      <c r="I1422">
        <v>8787</v>
      </c>
    </row>
    <row r="1423" spans="1:9" x14ac:dyDescent="0.4">
      <c r="A1423">
        <v>3200000</v>
      </c>
      <c r="B1423" t="s">
        <v>8579</v>
      </c>
      <c r="C1423" s="1">
        <v>38315</v>
      </c>
      <c r="D1423" t="s">
        <v>8580</v>
      </c>
      <c r="E1423" t="str">
        <f t="shared" si="68"/>
        <v>서울특별시</v>
      </c>
      <c r="F1423" t="str">
        <f t="shared" si="69"/>
        <v xml:space="preserve">관악구 </v>
      </c>
      <c r="G1423" t="str">
        <f t="shared" si="70"/>
        <v>봉천동</v>
      </c>
      <c r="H1423" t="s">
        <v>8581</v>
      </c>
      <c r="I1423">
        <v>8787</v>
      </c>
    </row>
    <row r="1424" spans="1:9" x14ac:dyDescent="0.4">
      <c r="A1424">
        <v>3200000</v>
      </c>
      <c r="B1424" t="s">
        <v>8658</v>
      </c>
      <c r="C1424" s="1">
        <v>37079</v>
      </c>
      <c r="D1424" t="s">
        <v>8659</v>
      </c>
      <c r="E1424" t="str">
        <f t="shared" si="68"/>
        <v>서울특별시</v>
      </c>
      <c r="F1424" t="str">
        <f t="shared" si="69"/>
        <v xml:space="preserve">관악구 </v>
      </c>
      <c r="G1424" t="str">
        <f t="shared" si="70"/>
        <v>봉천동</v>
      </c>
      <c r="H1424" t="s">
        <v>8660</v>
      </c>
      <c r="I1424">
        <v>8787</v>
      </c>
    </row>
    <row r="1425" spans="1:9" x14ac:dyDescent="0.4">
      <c r="A1425">
        <v>3200000</v>
      </c>
      <c r="B1425" t="s">
        <v>8451</v>
      </c>
      <c r="C1425" s="1">
        <v>34296</v>
      </c>
      <c r="D1425" t="s">
        <v>8452</v>
      </c>
      <c r="E1425" t="str">
        <f t="shared" si="68"/>
        <v>서울특별시</v>
      </c>
      <c r="F1425" t="str">
        <f t="shared" si="69"/>
        <v xml:space="preserve">관악구 </v>
      </c>
      <c r="G1425" t="str">
        <f t="shared" si="70"/>
        <v>봉천동</v>
      </c>
    </row>
    <row r="1426" spans="1:9" x14ac:dyDescent="0.4">
      <c r="A1426">
        <v>3200000</v>
      </c>
      <c r="B1426" t="s">
        <v>8505</v>
      </c>
      <c r="C1426" s="1">
        <v>37971</v>
      </c>
      <c r="D1426" t="s">
        <v>8452</v>
      </c>
      <c r="E1426" t="str">
        <f t="shared" si="68"/>
        <v>서울특별시</v>
      </c>
      <c r="F1426" t="str">
        <f t="shared" si="69"/>
        <v xml:space="preserve">관악구 </v>
      </c>
      <c r="G1426" t="str">
        <f t="shared" si="70"/>
        <v>봉천동</v>
      </c>
      <c r="H1426" t="s">
        <v>8506</v>
      </c>
      <c r="I1426">
        <v>8787</v>
      </c>
    </row>
    <row r="1427" spans="1:9" x14ac:dyDescent="0.4">
      <c r="A1427">
        <v>3200000</v>
      </c>
      <c r="B1427" t="s">
        <v>8593</v>
      </c>
      <c r="C1427" s="1">
        <v>38681</v>
      </c>
      <c r="D1427" t="s">
        <v>8594</v>
      </c>
      <c r="E1427" t="str">
        <f t="shared" si="68"/>
        <v>서울특별시</v>
      </c>
      <c r="F1427" t="str">
        <f t="shared" si="69"/>
        <v xml:space="preserve">관악구 </v>
      </c>
      <c r="G1427" t="str">
        <f t="shared" si="70"/>
        <v>봉천동</v>
      </c>
      <c r="H1427" t="s">
        <v>8595</v>
      </c>
      <c r="I1427">
        <v>8787</v>
      </c>
    </row>
    <row r="1428" spans="1:9" x14ac:dyDescent="0.4">
      <c r="A1428">
        <v>3200000</v>
      </c>
      <c r="B1428" t="s">
        <v>8596</v>
      </c>
      <c r="C1428" s="1">
        <v>39008</v>
      </c>
      <c r="D1428" t="s">
        <v>8594</v>
      </c>
      <c r="E1428" t="str">
        <f t="shared" si="68"/>
        <v>서울특별시</v>
      </c>
      <c r="F1428" t="str">
        <f t="shared" si="69"/>
        <v xml:space="preserve">관악구 </v>
      </c>
      <c r="G1428" t="str">
        <f t="shared" si="70"/>
        <v>봉천동</v>
      </c>
      <c r="H1428" t="s">
        <v>8595</v>
      </c>
      <c r="I1428">
        <v>8787</v>
      </c>
    </row>
    <row r="1429" spans="1:9" x14ac:dyDescent="0.4">
      <c r="A1429">
        <v>3200000</v>
      </c>
      <c r="B1429" t="s">
        <v>8507</v>
      </c>
      <c r="C1429" s="1">
        <v>36546</v>
      </c>
      <c r="D1429" t="s">
        <v>8508</v>
      </c>
      <c r="E1429" t="str">
        <f t="shared" si="68"/>
        <v>서울특별시</v>
      </c>
      <c r="F1429" t="str">
        <f t="shared" si="69"/>
        <v xml:space="preserve">관악구 </v>
      </c>
      <c r="G1429" t="str">
        <f t="shared" si="70"/>
        <v>봉천동</v>
      </c>
    </row>
    <row r="1430" spans="1:9" x14ac:dyDescent="0.4">
      <c r="A1430">
        <v>3200000</v>
      </c>
      <c r="B1430" t="s">
        <v>8115</v>
      </c>
      <c r="C1430" s="1">
        <v>40093</v>
      </c>
      <c r="D1430" t="s">
        <v>8116</v>
      </c>
      <c r="E1430" t="str">
        <f t="shared" si="68"/>
        <v>서울특별시</v>
      </c>
      <c r="F1430" t="str">
        <f t="shared" si="69"/>
        <v xml:space="preserve">관악구 </v>
      </c>
      <c r="G1430" t="str">
        <f t="shared" si="70"/>
        <v>봉천동</v>
      </c>
      <c r="H1430" t="s">
        <v>8117</v>
      </c>
      <c r="I1430">
        <v>8787</v>
      </c>
    </row>
    <row r="1431" spans="1:9" x14ac:dyDescent="0.4">
      <c r="A1431">
        <v>3200000</v>
      </c>
      <c r="B1431" t="s">
        <v>8552</v>
      </c>
      <c r="C1431" s="1">
        <v>37049</v>
      </c>
      <c r="D1431" t="s">
        <v>8553</v>
      </c>
      <c r="E1431" t="str">
        <f t="shared" si="68"/>
        <v>서울특별시</v>
      </c>
      <c r="F1431" t="str">
        <f t="shared" si="69"/>
        <v xml:space="preserve">관악구 </v>
      </c>
      <c r="G1431" t="str">
        <f t="shared" si="70"/>
        <v>봉천동</v>
      </c>
      <c r="H1431" t="s">
        <v>8554</v>
      </c>
      <c r="I1431">
        <v>8787</v>
      </c>
    </row>
    <row r="1432" spans="1:9" x14ac:dyDescent="0.4">
      <c r="A1432">
        <v>3200000</v>
      </c>
      <c r="B1432" t="s">
        <v>8755</v>
      </c>
      <c r="C1432" s="1">
        <v>37674</v>
      </c>
      <c r="D1432" t="s">
        <v>8756</v>
      </c>
      <c r="E1432" t="str">
        <f t="shared" si="68"/>
        <v>서울특별시</v>
      </c>
      <c r="F1432" t="str">
        <f t="shared" si="69"/>
        <v xml:space="preserve">관악구 </v>
      </c>
      <c r="G1432" t="str">
        <f t="shared" si="70"/>
        <v>봉천동</v>
      </c>
    </row>
    <row r="1433" spans="1:9" x14ac:dyDescent="0.4">
      <c r="A1433">
        <v>3200000</v>
      </c>
      <c r="B1433" t="s">
        <v>8276</v>
      </c>
      <c r="C1433" s="1">
        <v>36747</v>
      </c>
      <c r="D1433" t="s">
        <v>8277</v>
      </c>
      <c r="E1433" t="str">
        <f t="shared" si="68"/>
        <v>서울특별시</v>
      </c>
      <c r="F1433" t="str">
        <f t="shared" si="69"/>
        <v xml:space="preserve">관악구 </v>
      </c>
      <c r="G1433" t="str">
        <f t="shared" si="70"/>
        <v>봉천동</v>
      </c>
    </row>
    <row r="1434" spans="1:9" x14ac:dyDescent="0.4">
      <c r="A1434">
        <v>3200000</v>
      </c>
      <c r="B1434" t="s">
        <v>8654</v>
      </c>
      <c r="C1434" s="1">
        <v>37075</v>
      </c>
      <c r="D1434" t="s">
        <v>8655</v>
      </c>
      <c r="E1434" t="str">
        <f t="shared" si="68"/>
        <v>서울특별시</v>
      </c>
      <c r="F1434" t="str">
        <f t="shared" si="69"/>
        <v xml:space="preserve">관악구 </v>
      </c>
      <c r="G1434" t="str">
        <f t="shared" si="70"/>
        <v>봉천동</v>
      </c>
    </row>
    <row r="1435" spans="1:9" x14ac:dyDescent="0.4">
      <c r="A1435">
        <v>3200000</v>
      </c>
      <c r="B1435" t="s">
        <v>8679</v>
      </c>
      <c r="C1435" s="1">
        <v>30863</v>
      </c>
      <c r="D1435" t="s">
        <v>8655</v>
      </c>
      <c r="E1435" t="str">
        <f t="shared" si="68"/>
        <v>서울특별시</v>
      </c>
      <c r="F1435" t="str">
        <f t="shared" si="69"/>
        <v xml:space="preserve">관악구 </v>
      </c>
      <c r="G1435" t="str">
        <f t="shared" si="70"/>
        <v>봉천동</v>
      </c>
    </row>
    <row r="1436" spans="1:9" x14ac:dyDescent="0.4">
      <c r="A1436">
        <v>3200000</v>
      </c>
      <c r="B1436" t="s">
        <v>8696</v>
      </c>
      <c r="C1436" s="1">
        <v>31912</v>
      </c>
      <c r="D1436" t="s">
        <v>8655</v>
      </c>
      <c r="E1436" t="str">
        <f t="shared" si="68"/>
        <v>서울특별시</v>
      </c>
      <c r="F1436" t="str">
        <f t="shared" si="69"/>
        <v xml:space="preserve">관악구 </v>
      </c>
      <c r="G1436" t="str">
        <f t="shared" si="70"/>
        <v>봉천동</v>
      </c>
    </row>
    <row r="1437" spans="1:9" x14ac:dyDescent="0.4">
      <c r="A1437">
        <v>3200000</v>
      </c>
      <c r="B1437" t="s">
        <v>8631</v>
      </c>
      <c r="C1437" s="1">
        <v>31527</v>
      </c>
      <c r="D1437" t="s">
        <v>8632</v>
      </c>
      <c r="E1437" t="str">
        <f t="shared" si="68"/>
        <v>서울특별시</v>
      </c>
      <c r="F1437" t="str">
        <f t="shared" si="69"/>
        <v xml:space="preserve">관악구 </v>
      </c>
      <c r="G1437" t="str">
        <f t="shared" si="70"/>
        <v>봉천동</v>
      </c>
    </row>
    <row r="1438" spans="1:9" x14ac:dyDescent="0.4">
      <c r="A1438">
        <v>3200000</v>
      </c>
      <c r="B1438" t="s">
        <v>8748</v>
      </c>
      <c r="C1438" s="1">
        <v>37511</v>
      </c>
      <c r="D1438" t="s">
        <v>8749</v>
      </c>
      <c r="E1438" t="str">
        <f t="shared" si="68"/>
        <v>서울특별시</v>
      </c>
      <c r="F1438" t="str">
        <f t="shared" si="69"/>
        <v xml:space="preserve">관악구 </v>
      </c>
      <c r="G1438" t="str">
        <f t="shared" si="70"/>
        <v>봉천동</v>
      </c>
    </row>
    <row r="1439" spans="1:9" x14ac:dyDescent="0.4">
      <c r="A1439">
        <v>3200000</v>
      </c>
      <c r="B1439" t="s">
        <v>8615</v>
      </c>
      <c r="C1439" s="1">
        <v>31281</v>
      </c>
      <c r="D1439" t="s">
        <v>8616</v>
      </c>
      <c r="E1439" t="str">
        <f t="shared" si="68"/>
        <v>서울특별시</v>
      </c>
      <c r="F1439" t="str">
        <f t="shared" si="69"/>
        <v xml:space="preserve">관악구 </v>
      </c>
      <c r="G1439" t="str">
        <f t="shared" si="70"/>
        <v>봉천동</v>
      </c>
    </row>
    <row r="1440" spans="1:9" x14ac:dyDescent="0.4">
      <c r="A1440">
        <v>3200000</v>
      </c>
      <c r="B1440" t="s">
        <v>8821</v>
      </c>
      <c r="C1440" s="1">
        <v>29538</v>
      </c>
      <c r="D1440" t="s">
        <v>8822</v>
      </c>
      <c r="E1440" t="str">
        <f t="shared" si="68"/>
        <v>서울특별시</v>
      </c>
      <c r="F1440" t="str">
        <f t="shared" si="69"/>
        <v xml:space="preserve">관악구 </v>
      </c>
      <c r="G1440" t="str">
        <f t="shared" si="70"/>
        <v>봉천동</v>
      </c>
    </row>
    <row r="1441" spans="1:9" x14ac:dyDescent="0.4">
      <c r="A1441">
        <v>3200000</v>
      </c>
      <c r="B1441" t="s">
        <v>8107</v>
      </c>
      <c r="C1441" s="1">
        <v>36925</v>
      </c>
      <c r="D1441" t="s">
        <v>8108</v>
      </c>
      <c r="E1441" t="str">
        <f t="shared" si="68"/>
        <v>서울특별시</v>
      </c>
      <c r="F1441" t="str">
        <f t="shared" si="69"/>
        <v xml:space="preserve">관악구 </v>
      </c>
      <c r="G1441" t="str">
        <f t="shared" si="70"/>
        <v>봉천동</v>
      </c>
      <c r="H1441" t="s">
        <v>8109</v>
      </c>
      <c r="I1441">
        <v>8786</v>
      </c>
    </row>
    <row r="1442" spans="1:9" x14ac:dyDescent="0.4">
      <c r="A1442">
        <v>3200000</v>
      </c>
      <c r="B1442" t="s">
        <v>8819</v>
      </c>
      <c r="C1442" s="1">
        <v>29500</v>
      </c>
      <c r="D1442" t="s">
        <v>8820</v>
      </c>
      <c r="E1442" t="str">
        <f t="shared" si="68"/>
        <v>서울특별시</v>
      </c>
      <c r="F1442" t="str">
        <f t="shared" si="69"/>
        <v xml:space="preserve">관악구 </v>
      </c>
      <c r="G1442" t="str">
        <f t="shared" si="70"/>
        <v>봉천동</v>
      </c>
    </row>
    <row r="1443" spans="1:9" x14ac:dyDescent="0.4">
      <c r="A1443">
        <v>3200000</v>
      </c>
      <c r="B1443" t="s">
        <v>8680</v>
      </c>
      <c r="C1443" s="1">
        <v>28878</v>
      </c>
      <c r="D1443" t="s">
        <v>8681</v>
      </c>
      <c r="E1443" t="str">
        <f t="shared" si="68"/>
        <v>서울특별시</v>
      </c>
      <c r="F1443" t="str">
        <f t="shared" si="69"/>
        <v xml:space="preserve">관악구 </v>
      </c>
      <c r="G1443" t="str">
        <f t="shared" si="70"/>
        <v>봉천동</v>
      </c>
    </row>
    <row r="1444" spans="1:9" x14ac:dyDescent="0.4">
      <c r="A1444">
        <v>3200000</v>
      </c>
      <c r="B1444" t="s">
        <v>8558</v>
      </c>
      <c r="C1444" s="1">
        <v>36904</v>
      </c>
      <c r="D1444" t="s">
        <v>8559</v>
      </c>
      <c r="E1444" t="str">
        <f t="shared" si="68"/>
        <v>서울특별시</v>
      </c>
      <c r="F1444" t="str">
        <f t="shared" si="69"/>
        <v xml:space="preserve">관악구 </v>
      </c>
      <c r="G1444" t="str">
        <f t="shared" si="70"/>
        <v>봉천동</v>
      </c>
    </row>
    <row r="1445" spans="1:9" x14ac:dyDescent="0.4">
      <c r="A1445">
        <v>3200000</v>
      </c>
      <c r="B1445" t="s">
        <v>7874</v>
      </c>
      <c r="C1445" s="1">
        <v>36970</v>
      </c>
      <c r="D1445" t="s">
        <v>7875</v>
      </c>
      <c r="E1445" t="str">
        <f t="shared" si="68"/>
        <v>서울특별시</v>
      </c>
      <c r="F1445" t="str">
        <f t="shared" si="69"/>
        <v xml:space="preserve">관악구 </v>
      </c>
      <c r="G1445" t="str">
        <f t="shared" si="70"/>
        <v>봉천동</v>
      </c>
      <c r="H1445" t="s">
        <v>7876</v>
      </c>
      <c r="I1445">
        <v>8784</v>
      </c>
    </row>
    <row r="1446" spans="1:9" x14ac:dyDescent="0.4">
      <c r="A1446">
        <v>3200000</v>
      </c>
      <c r="B1446" t="s">
        <v>8586</v>
      </c>
      <c r="C1446" s="1">
        <v>29472</v>
      </c>
      <c r="D1446" t="s">
        <v>8587</v>
      </c>
      <c r="E1446" t="str">
        <f t="shared" si="68"/>
        <v>서울특별시</v>
      </c>
      <c r="F1446" t="str">
        <f t="shared" si="69"/>
        <v xml:space="preserve">관악구 </v>
      </c>
      <c r="G1446" t="str">
        <f t="shared" si="70"/>
        <v>봉천동</v>
      </c>
    </row>
    <row r="1447" spans="1:9" x14ac:dyDescent="0.4">
      <c r="A1447">
        <v>3200000</v>
      </c>
      <c r="B1447" t="s">
        <v>99</v>
      </c>
      <c r="C1447" s="1">
        <v>36953</v>
      </c>
      <c r="D1447" t="s">
        <v>100</v>
      </c>
      <c r="E1447" t="str">
        <f t="shared" si="68"/>
        <v>서울특별시</v>
      </c>
      <c r="F1447" t="str">
        <f t="shared" si="69"/>
        <v xml:space="preserve">관악구 </v>
      </c>
      <c r="G1447" t="str">
        <f t="shared" si="70"/>
        <v>봉천동</v>
      </c>
      <c r="H1447" t="s">
        <v>101</v>
      </c>
      <c r="I1447">
        <v>8722</v>
      </c>
    </row>
    <row r="1448" spans="1:9" x14ac:dyDescent="0.4">
      <c r="A1448">
        <v>3200000</v>
      </c>
      <c r="B1448" t="s">
        <v>120</v>
      </c>
      <c r="C1448" s="1">
        <v>45796</v>
      </c>
      <c r="D1448" t="s">
        <v>121</v>
      </c>
      <c r="E1448" t="str">
        <f t="shared" si="68"/>
        <v>서울특별시</v>
      </c>
      <c r="F1448" t="str">
        <f t="shared" si="69"/>
        <v xml:space="preserve">관악구 </v>
      </c>
      <c r="G1448" t="str">
        <f t="shared" si="70"/>
        <v>신림동</v>
      </c>
      <c r="H1448" t="s">
        <v>122</v>
      </c>
      <c r="I1448">
        <v>8754</v>
      </c>
    </row>
    <row r="1449" spans="1:9" x14ac:dyDescent="0.4">
      <c r="A1449">
        <v>3200000</v>
      </c>
      <c r="B1449" t="s">
        <v>8384</v>
      </c>
      <c r="C1449" s="1">
        <v>39811</v>
      </c>
      <c r="D1449" t="s">
        <v>8385</v>
      </c>
      <c r="E1449" t="str">
        <f t="shared" si="68"/>
        <v>서울특별시</v>
      </c>
      <c r="F1449" t="str">
        <f t="shared" si="69"/>
        <v xml:space="preserve">관악구 </v>
      </c>
      <c r="G1449" t="str">
        <f t="shared" si="70"/>
        <v>신림동</v>
      </c>
      <c r="H1449" t="s">
        <v>8386</v>
      </c>
      <c r="I1449">
        <v>8754</v>
      </c>
    </row>
    <row r="1450" spans="1:9" x14ac:dyDescent="0.4">
      <c r="A1450">
        <v>3200000</v>
      </c>
      <c r="B1450" t="s">
        <v>8806</v>
      </c>
      <c r="C1450" s="1">
        <v>41106</v>
      </c>
      <c r="D1450" t="s">
        <v>8807</v>
      </c>
      <c r="E1450" t="str">
        <f t="shared" si="68"/>
        <v>서울특별시</v>
      </c>
      <c r="F1450" t="str">
        <f t="shared" si="69"/>
        <v xml:space="preserve">관악구 </v>
      </c>
      <c r="G1450" t="str">
        <f t="shared" si="70"/>
        <v>신림동</v>
      </c>
      <c r="H1450" t="s">
        <v>8808</v>
      </c>
      <c r="I1450">
        <v>8754</v>
      </c>
    </row>
    <row r="1451" spans="1:9" x14ac:dyDescent="0.4">
      <c r="A1451">
        <v>3200000</v>
      </c>
      <c r="B1451" t="s">
        <v>8211</v>
      </c>
      <c r="C1451" s="1">
        <v>36403</v>
      </c>
      <c r="D1451" t="s">
        <v>8212</v>
      </c>
      <c r="E1451" t="str">
        <f t="shared" si="68"/>
        <v>서울특별시</v>
      </c>
      <c r="F1451" t="str">
        <f t="shared" si="69"/>
        <v xml:space="preserve">관악구 </v>
      </c>
      <c r="G1451" t="str">
        <f t="shared" si="70"/>
        <v>신림동</v>
      </c>
      <c r="H1451" t="s">
        <v>8213</v>
      </c>
      <c r="I1451">
        <v>8754</v>
      </c>
    </row>
    <row r="1452" spans="1:9" x14ac:dyDescent="0.4">
      <c r="A1452">
        <v>3200000</v>
      </c>
      <c r="B1452" t="s">
        <v>8803</v>
      </c>
      <c r="C1452" s="1">
        <v>36993</v>
      </c>
      <c r="D1452" t="s">
        <v>8804</v>
      </c>
      <c r="E1452" t="str">
        <f t="shared" si="68"/>
        <v>서울특별시</v>
      </c>
      <c r="F1452" t="str">
        <f t="shared" si="69"/>
        <v xml:space="preserve">관악구 </v>
      </c>
      <c r="G1452" t="str">
        <f t="shared" si="70"/>
        <v>신림동</v>
      </c>
      <c r="H1452" t="s">
        <v>8805</v>
      </c>
      <c r="I1452">
        <v>8754</v>
      </c>
    </row>
    <row r="1453" spans="1:9" x14ac:dyDescent="0.4">
      <c r="A1453">
        <v>3200000</v>
      </c>
      <c r="B1453" t="s">
        <v>8702</v>
      </c>
      <c r="C1453" s="1">
        <v>32590</v>
      </c>
      <c r="D1453" t="s">
        <v>8703</v>
      </c>
      <c r="E1453" t="str">
        <f t="shared" si="68"/>
        <v>서울특별시</v>
      </c>
      <c r="F1453" t="str">
        <f t="shared" si="69"/>
        <v xml:space="preserve">관악구 </v>
      </c>
      <c r="G1453" t="str">
        <f t="shared" si="70"/>
        <v>신림동</v>
      </c>
    </row>
    <row r="1454" spans="1:9" x14ac:dyDescent="0.4">
      <c r="A1454">
        <v>3200000</v>
      </c>
      <c r="B1454" t="s">
        <v>8743</v>
      </c>
      <c r="C1454" s="1">
        <v>40133</v>
      </c>
      <c r="D1454" t="s">
        <v>8703</v>
      </c>
      <c r="E1454" t="str">
        <f t="shared" si="68"/>
        <v>서울특별시</v>
      </c>
      <c r="F1454" t="str">
        <f t="shared" si="69"/>
        <v xml:space="preserve">관악구 </v>
      </c>
      <c r="G1454" t="str">
        <f t="shared" si="70"/>
        <v>신림동</v>
      </c>
      <c r="H1454" t="s">
        <v>8744</v>
      </c>
      <c r="I1454">
        <v>8754</v>
      </c>
    </row>
    <row r="1455" spans="1:9" x14ac:dyDescent="0.4">
      <c r="A1455">
        <v>3200000</v>
      </c>
      <c r="B1455" t="s">
        <v>8738</v>
      </c>
      <c r="C1455" s="1">
        <v>37254</v>
      </c>
      <c r="D1455" t="s">
        <v>8739</v>
      </c>
      <c r="E1455" t="str">
        <f t="shared" si="68"/>
        <v>서울특별시</v>
      </c>
      <c r="F1455" t="str">
        <f t="shared" si="69"/>
        <v xml:space="preserve">관악구 </v>
      </c>
      <c r="G1455" t="str">
        <f t="shared" si="70"/>
        <v>신림동</v>
      </c>
    </row>
    <row r="1456" spans="1:9" x14ac:dyDescent="0.4">
      <c r="A1456">
        <v>3200000</v>
      </c>
      <c r="B1456" t="s">
        <v>7853</v>
      </c>
      <c r="C1456" s="1">
        <v>36845</v>
      </c>
      <c r="D1456" t="s">
        <v>7854</v>
      </c>
      <c r="E1456" t="str">
        <f t="shared" si="68"/>
        <v>서울특별시</v>
      </c>
      <c r="F1456" t="str">
        <f t="shared" si="69"/>
        <v xml:space="preserve">관악구 </v>
      </c>
      <c r="G1456" t="str">
        <f t="shared" si="70"/>
        <v>신림동</v>
      </c>
      <c r="H1456" t="s">
        <v>7855</v>
      </c>
      <c r="I1456">
        <v>8754</v>
      </c>
    </row>
    <row r="1457" spans="1:9" x14ac:dyDescent="0.4">
      <c r="A1457">
        <v>3200000</v>
      </c>
      <c r="B1457" t="s">
        <v>8104</v>
      </c>
      <c r="C1457" s="1">
        <v>36894</v>
      </c>
      <c r="D1457" t="s">
        <v>8105</v>
      </c>
      <c r="E1457" t="str">
        <f t="shared" si="68"/>
        <v>서울특별시</v>
      </c>
      <c r="F1457" t="str">
        <f t="shared" si="69"/>
        <v xml:space="preserve">관악구 </v>
      </c>
      <c r="G1457" t="str">
        <f t="shared" si="70"/>
        <v>신림동</v>
      </c>
      <c r="H1457" t="s">
        <v>8106</v>
      </c>
      <c r="I1457">
        <v>8754</v>
      </c>
    </row>
    <row r="1458" spans="1:9" x14ac:dyDescent="0.4">
      <c r="A1458">
        <v>3200000</v>
      </c>
      <c r="B1458" t="s">
        <v>8823</v>
      </c>
      <c r="C1458" s="1">
        <v>29973</v>
      </c>
      <c r="D1458" t="s">
        <v>8105</v>
      </c>
      <c r="E1458" t="str">
        <f t="shared" si="68"/>
        <v>서울특별시</v>
      </c>
      <c r="F1458" t="str">
        <f t="shared" si="69"/>
        <v xml:space="preserve">관악구 </v>
      </c>
      <c r="G1458" t="str">
        <f t="shared" si="70"/>
        <v>신림동</v>
      </c>
    </row>
    <row r="1459" spans="1:9" x14ac:dyDescent="0.4">
      <c r="A1459">
        <v>3200000</v>
      </c>
      <c r="B1459" t="s">
        <v>8809</v>
      </c>
      <c r="C1459" s="1">
        <v>31574</v>
      </c>
      <c r="D1459" t="s">
        <v>8810</v>
      </c>
      <c r="E1459" t="str">
        <f t="shared" si="68"/>
        <v>서울특별시</v>
      </c>
      <c r="F1459" t="str">
        <f t="shared" si="69"/>
        <v xml:space="preserve">관악구 </v>
      </c>
      <c r="G1459" t="str">
        <f t="shared" si="70"/>
        <v>신림동</v>
      </c>
    </row>
    <row r="1460" spans="1:9" x14ac:dyDescent="0.4">
      <c r="A1460">
        <v>3200000</v>
      </c>
      <c r="B1460" t="s">
        <v>8777</v>
      </c>
      <c r="C1460" s="1">
        <v>36599</v>
      </c>
      <c r="D1460" t="s">
        <v>8778</v>
      </c>
      <c r="E1460" t="str">
        <f t="shared" si="68"/>
        <v>서울특별시</v>
      </c>
      <c r="F1460" t="str">
        <f t="shared" si="69"/>
        <v xml:space="preserve">관악구 </v>
      </c>
      <c r="G1460" t="str">
        <f t="shared" si="70"/>
        <v>신림동</v>
      </c>
      <c r="H1460" t="s">
        <v>8779</v>
      </c>
      <c r="I1460">
        <v>8754</v>
      </c>
    </row>
    <row r="1461" spans="1:9" x14ac:dyDescent="0.4">
      <c r="A1461">
        <v>3200000</v>
      </c>
      <c r="B1461" t="s">
        <v>7877</v>
      </c>
      <c r="C1461" s="1">
        <v>36979</v>
      </c>
      <c r="D1461" t="s">
        <v>7878</v>
      </c>
      <c r="E1461" t="str">
        <f t="shared" si="68"/>
        <v>서울특별시</v>
      </c>
      <c r="F1461" t="str">
        <f t="shared" si="69"/>
        <v xml:space="preserve">관악구 </v>
      </c>
      <c r="G1461" t="str">
        <f t="shared" si="70"/>
        <v>신림동</v>
      </c>
      <c r="H1461" t="s">
        <v>7879</v>
      </c>
      <c r="I1461">
        <v>8754</v>
      </c>
    </row>
    <row r="1462" spans="1:9" x14ac:dyDescent="0.4">
      <c r="A1462">
        <v>3200000</v>
      </c>
      <c r="B1462" t="s">
        <v>8000</v>
      </c>
      <c r="C1462" s="1">
        <v>38959</v>
      </c>
      <c r="D1462" t="s">
        <v>8001</v>
      </c>
      <c r="E1462" t="str">
        <f t="shared" si="68"/>
        <v>서울특별시</v>
      </c>
      <c r="F1462" t="str">
        <f t="shared" si="69"/>
        <v xml:space="preserve">관악구 </v>
      </c>
      <c r="G1462" t="str">
        <f t="shared" si="70"/>
        <v>신림동</v>
      </c>
      <c r="H1462" t="s">
        <v>8002</v>
      </c>
      <c r="I1462">
        <v>8754</v>
      </c>
    </row>
    <row r="1463" spans="1:9" x14ac:dyDescent="0.4">
      <c r="A1463">
        <v>3200000</v>
      </c>
      <c r="B1463" t="s">
        <v>8304</v>
      </c>
      <c r="C1463" s="1">
        <v>36869</v>
      </c>
      <c r="D1463" t="s">
        <v>8305</v>
      </c>
      <c r="E1463" t="str">
        <f t="shared" si="68"/>
        <v>서울특별시</v>
      </c>
      <c r="F1463" t="str">
        <f t="shared" si="69"/>
        <v xml:space="preserve">관악구 </v>
      </c>
      <c r="G1463" t="str">
        <f t="shared" si="70"/>
        <v>신림동</v>
      </c>
    </row>
    <row r="1464" spans="1:9" x14ac:dyDescent="0.4">
      <c r="A1464">
        <v>3200000</v>
      </c>
      <c r="B1464" t="s">
        <v>8441</v>
      </c>
      <c r="C1464" s="1">
        <v>32681</v>
      </c>
      <c r="D1464" t="s">
        <v>8442</v>
      </c>
      <c r="E1464" t="str">
        <f t="shared" si="68"/>
        <v>서울특별시</v>
      </c>
      <c r="F1464" t="str">
        <f t="shared" si="69"/>
        <v xml:space="preserve">관악구 </v>
      </c>
      <c r="G1464" t="str">
        <f t="shared" si="70"/>
        <v>신림동</v>
      </c>
    </row>
    <row r="1465" spans="1:9" x14ac:dyDescent="0.4">
      <c r="A1465">
        <v>3200000</v>
      </c>
      <c r="B1465" t="s">
        <v>8478</v>
      </c>
      <c r="C1465" s="1">
        <v>31629</v>
      </c>
      <c r="D1465" t="s">
        <v>8442</v>
      </c>
      <c r="E1465" t="str">
        <f t="shared" si="68"/>
        <v>서울특별시</v>
      </c>
      <c r="F1465" t="str">
        <f t="shared" si="69"/>
        <v xml:space="preserve">관악구 </v>
      </c>
      <c r="G1465" t="str">
        <f t="shared" si="70"/>
        <v>신림동</v>
      </c>
    </row>
    <row r="1466" spans="1:9" x14ac:dyDescent="0.4">
      <c r="A1466">
        <v>3200000</v>
      </c>
      <c r="B1466" t="s">
        <v>7979</v>
      </c>
      <c r="C1466" s="1">
        <v>38321</v>
      </c>
      <c r="D1466" t="s">
        <v>7980</v>
      </c>
      <c r="E1466" t="str">
        <f t="shared" si="68"/>
        <v>서울특별시</v>
      </c>
      <c r="F1466" t="str">
        <f t="shared" si="69"/>
        <v xml:space="preserve">관악구 </v>
      </c>
      <c r="G1466" t="str">
        <f t="shared" si="70"/>
        <v>신림동</v>
      </c>
      <c r="H1466" t="s">
        <v>7981</v>
      </c>
      <c r="I1466">
        <v>8754</v>
      </c>
    </row>
    <row r="1467" spans="1:9" x14ac:dyDescent="0.4">
      <c r="A1467">
        <v>3200000</v>
      </c>
      <c r="B1467" t="s">
        <v>8465</v>
      </c>
      <c r="C1467" s="1">
        <v>36421</v>
      </c>
      <c r="D1467" t="s">
        <v>8466</v>
      </c>
      <c r="E1467" t="str">
        <f t="shared" si="68"/>
        <v>서울특별시</v>
      </c>
      <c r="F1467" t="str">
        <f t="shared" si="69"/>
        <v xml:space="preserve">관악구 </v>
      </c>
      <c r="G1467" t="str">
        <f t="shared" si="70"/>
        <v>신림동</v>
      </c>
    </row>
    <row r="1468" spans="1:9" x14ac:dyDescent="0.4">
      <c r="A1468">
        <v>3200000</v>
      </c>
      <c r="B1468" t="s">
        <v>8531</v>
      </c>
      <c r="C1468" s="1">
        <v>40851</v>
      </c>
      <c r="D1468" t="s">
        <v>8466</v>
      </c>
      <c r="E1468" t="str">
        <f t="shared" si="68"/>
        <v>서울특별시</v>
      </c>
      <c r="F1468" t="str">
        <f t="shared" si="69"/>
        <v xml:space="preserve">관악구 </v>
      </c>
      <c r="G1468" t="str">
        <f t="shared" si="70"/>
        <v>신림동</v>
      </c>
      <c r="H1468" t="s">
        <v>8532</v>
      </c>
      <c r="I1468">
        <v>8754</v>
      </c>
    </row>
    <row r="1469" spans="1:9" x14ac:dyDescent="0.4">
      <c r="A1469">
        <v>3200000</v>
      </c>
      <c r="B1469" t="s">
        <v>8355</v>
      </c>
      <c r="C1469" s="1">
        <v>30818</v>
      </c>
      <c r="D1469" t="s">
        <v>8356</v>
      </c>
      <c r="E1469" t="str">
        <f t="shared" si="68"/>
        <v>서울특별시</v>
      </c>
      <c r="F1469" t="str">
        <f t="shared" si="69"/>
        <v xml:space="preserve">관악구 </v>
      </c>
      <c r="G1469" t="str">
        <f t="shared" si="70"/>
        <v>신림동</v>
      </c>
    </row>
    <row r="1470" spans="1:9" x14ac:dyDescent="0.4">
      <c r="A1470">
        <v>3200000</v>
      </c>
      <c r="B1470" t="s">
        <v>8282</v>
      </c>
      <c r="C1470" s="1">
        <v>36816</v>
      </c>
      <c r="D1470" t="s">
        <v>8283</v>
      </c>
      <c r="E1470" t="str">
        <f t="shared" si="68"/>
        <v>서울특별시</v>
      </c>
      <c r="F1470" t="str">
        <f t="shared" si="69"/>
        <v xml:space="preserve">관악구 </v>
      </c>
      <c r="G1470" t="str">
        <f t="shared" si="70"/>
        <v>신림동</v>
      </c>
    </row>
    <row r="1471" spans="1:9" x14ac:dyDescent="0.4">
      <c r="A1471">
        <v>3200000</v>
      </c>
      <c r="B1471" t="s">
        <v>7937</v>
      </c>
      <c r="C1471" s="1">
        <v>37357</v>
      </c>
      <c r="D1471" t="s">
        <v>7938</v>
      </c>
      <c r="E1471" t="str">
        <f t="shared" si="68"/>
        <v>서울특별시</v>
      </c>
      <c r="F1471" t="str">
        <f t="shared" si="69"/>
        <v xml:space="preserve">관악구 </v>
      </c>
      <c r="G1471" t="str">
        <f t="shared" si="70"/>
        <v>신림동</v>
      </c>
      <c r="H1471" t="s">
        <v>7939</v>
      </c>
      <c r="I1471">
        <v>8754</v>
      </c>
    </row>
    <row r="1472" spans="1:9" x14ac:dyDescent="0.4">
      <c r="A1472">
        <v>3200000</v>
      </c>
      <c r="B1472" t="s">
        <v>8182</v>
      </c>
      <c r="C1472" s="1">
        <v>36662</v>
      </c>
      <c r="D1472" t="s">
        <v>8183</v>
      </c>
      <c r="E1472" t="str">
        <f t="shared" si="68"/>
        <v>서울특별시</v>
      </c>
      <c r="F1472" t="str">
        <f t="shared" si="69"/>
        <v xml:space="preserve">관악구 </v>
      </c>
      <c r="G1472" t="str">
        <f t="shared" si="70"/>
        <v>신림동</v>
      </c>
      <c r="H1472" t="s">
        <v>8184</v>
      </c>
      <c r="I1472">
        <v>8754</v>
      </c>
    </row>
    <row r="1473" spans="1:9" x14ac:dyDescent="0.4">
      <c r="A1473">
        <v>3200000</v>
      </c>
      <c r="B1473" t="s">
        <v>8690</v>
      </c>
      <c r="C1473" s="1">
        <v>37400</v>
      </c>
      <c r="D1473" t="s">
        <v>8691</v>
      </c>
      <c r="E1473" t="str">
        <f t="shared" si="68"/>
        <v>서울특별시</v>
      </c>
      <c r="F1473" t="str">
        <f t="shared" si="69"/>
        <v xml:space="preserve">관악구 </v>
      </c>
      <c r="G1473" t="str">
        <f t="shared" si="70"/>
        <v>신림동</v>
      </c>
    </row>
    <row r="1474" spans="1:9" x14ac:dyDescent="0.4">
      <c r="A1474">
        <v>3200000</v>
      </c>
      <c r="B1474" t="s">
        <v>8688</v>
      </c>
      <c r="C1474" s="1">
        <v>37398</v>
      </c>
      <c r="D1474" t="s">
        <v>8689</v>
      </c>
      <c r="E1474" t="str">
        <f t="shared" si="68"/>
        <v>서울특별시</v>
      </c>
      <c r="F1474" t="str">
        <f t="shared" si="69"/>
        <v xml:space="preserve">관악구 </v>
      </c>
      <c r="G1474" t="str">
        <f t="shared" si="70"/>
        <v>신림동</v>
      </c>
    </row>
    <row r="1475" spans="1:9" x14ac:dyDescent="0.4">
      <c r="A1475">
        <v>3200000</v>
      </c>
      <c r="B1475" t="s">
        <v>8735</v>
      </c>
      <c r="C1475" s="1">
        <v>37236</v>
      </c>
      <c r="D1475" t="s">
        <v>8689</v>
      </c>
      <c r="E1475" t="str">
        <f t="shared" ref="E1475:E1538" si="71">LEFT(D1475,5)</f>
        <v>서울특별시</v>
      </c>
      <c r="F1475" t="str">
        <f t="shared" ref="F1475:F1538" si="72">MID(D1475,7,4)</f>
        <v xml:space="preserve">관악구 </v>
      </c>
      <c r="G1475" t="str">
        <f t="shared" ref="G1475:G1538" si="73">MID(SUBSTITUTE(D1475," ",""),9,3)</f>
        <v>신림동</v>
      </c>
    </row>
    <row r="1476" spans="1:9" x14ac:dyDescent="0.4">
      <c r="A1476">
        <v>3200000</v>
      </c>
      <c r="B1476" t="s">
        <v>7955</v>
      </c>
      <c r="C1476" s="1">
        <v>38232</v>
      </c>
      <c r="D1476" t="s">
        <v>7956</v>
      </c>
      <c r="E1476" t="str">
        <f t="shared" si="71"/>
        <v>서울특별시</v>
      </c>
      <c r="F1476" t="str">
        <f t="shared" si="72"/>
        <v xml:space="preserve">관악구 </v>
      </c>
      <c r="G1476" t="str">
        <f t="shared" si="73"/>
        <v>신림동</v>
      </c>
      <c r="H1476" t="s">
        <v>7957</v>
      </c>
      <c r="I1476">
        <v>8754</v>
      </c>
    </row>
    <row r="1477" spans="1:9" x14ac:dyDescent="0.4">
      <c r="A1477">
        <v>3200000</v>
      </c>
      <c r="B1477" t="s">
        <v>8707</v>
      </c>
      <c r="C1477" s="1">
        <v>41290</v>
      </c>
      <c r="D1477" t="s">
        <v>8708</v>
      </c>
      <c r="E1477" t="str">
        <f t="shared" si="71"/>
        <v>서울특별시</v>
      </c>
      <c r="F1477" t="str">
        <f t="shared" si="72"/>
        <v xml:space="preserve">관악구 </v>
      </c>
      <c r="G1477" t="str">
        <f t="shared" si="73"/>
        <v>신림동</v>
      </c>
      <c r="H1477" t="s">
        <v>8709</v>
      </c>
      <c r="I1477">
        <v>8754</v>
      </c>
    </row>
    <row r="1478" spans="1:9" x14ac:dyDescent="0.4">
      <c r="A1478">
        <v>3200000</v>
      </c>
      <c r="B1478" t="s">
        <v>8666</v>
      </c>
      <c r="C1478" s="1">
        <v>37088</v>
      </c>
      <c r="D1478" t="s">
        <v>8667</v>
      </c>
      <c r="E1478" t="str">
        <f t="shared" si="71"/>
        <v>서울특별시</v>
      </c>
      <c r="F1478" t="str">
        <f t="shared" si="72"/>
        <v xml:space="preserve">관악구 </v>
      </c>
      <c r="G1478" t="str">
        <f t="shared" si="73"/>
        <v>신림동</v>
      </c>
      <c r="H1478" t="s">
        <v>8668</v>
      </c>
      <c r="I1478">
        <v>8754</v>
      </c>
    </row>
    <row r="1479" spans="1:9" x14ac:dyDescent="0.4">
      <c r="A1479">
        <v>3200000</v>
      </c>
      <c r="B1479" t="s">
        <v>8769</v>
      </c>
      <c r="C1479" s="1">
        <v>36330</v>
      </c>
      <c r="D1479" t="s">
        <v>8667</v>
      </c>
      <c r="E1479" t="str">
        <f t="shared" si="71"/>
        <v>서울특별시</v>
      </c>
      <c r="F1479" t="str">
        <f t="shared" si="72"/>
        <v xml:space="preserve">관악구 </v>
      </c>
      <c r="G1479" t="str">
        <f t="shared" si="73"/>
        <v>신림동</v>
      </c>
    </row>
    <row r="1480" spans="1:9" x14ac:dyDescent="0.4">
      <c r="A1480">
        <v>3200000</v>
      </c>
      <c r="B1480" t="s">
        <v>7835</v>
      </c>
      <c r="C1480" s="1">
        <v>36770</v>
      </c>
      <c r="D1480" t="s">
        <v>7836</v>
      </c>
      <c r="E1480" t="str">
        <f t="shared" si="71"/>
        <v>서울특별시</v>
      </c>
      <c r="F1480" t="str">
        <f t="shared" si="72"/>
        <v xml:space="preserve">관악구 </v>
      </c>
      <c r="G1480" t="str">
        <f t="shared" si="73"/>
        <v>신림동</v>
      </c>
      <c r="H1480" t="s">
        <v>7837</v>
      </c>
      <c r="I1480">
        <v>8754</v>
      </c>
    </row>
    <row r="1481" spans="1:9" x14ac:dyDescent="0.4">
      <c r="A1481">
        <v>3200000</v>
      </c>
      <c r="B1481" t="s">
        <v>8118</v>
      </c>
      <c r="C1481" s="1">
        <v>40086</v>
      </c>
      <c r="D1481" t="s">
        <v>8119</v>
      </c>
      <c r="E1481" t="str">
        <f t="shared" si="71"/>
        <v>서울특별시</v>
      </c>
      <c r="F1481" t="str">
        <f t="shared" si="72"/>
        <v xml:space="preserve">관악구 </v>
      </c>
      <c r="G1481" t="str">
        <f t="shared" si="73"/>
        <v>신림동</v>
      </c>
      <c r="H1481" t="s">
        <v>8120</v>
      </c>
    </row>
    <row r="1482" spans="1:9" x14ac:dyDescent="0.4">
      <c r="A1482">
        <v>3200000</v>
      </c>
      <c r="B1482" t="s">
        <v>8458</v>
      </c>
      <c r="C1482" s="1">
        <v>36319</v>
      </c>
      <c r="D1482" t="s">
        <v>8459</v>
      </c>
      <c r="E1482" t="str">
        <f t="shared" si="71"/>
        <v>서울특별시</v>
      </c>
      <c r="F1482" t="str">
        <f t="shared" si="72"/>
        <v xml:space="preserve">관악구 </v>
      </c>
      <c r="G1482" t="str">
        <f t="shared" si="73"/>
        <v>신림동</v>
      </c>
    </row>
    <row r="1483" spans="1:9" x14ac:dyDescent="0.4">
      <c r="A1483">
        <v>3200000</v>
      </c>
      <c r="B1483" t="s">
        <v>7919</v>
      </c>
      <c r="C1483" s="1">
        <v>37322</v>
      </c>
      <c r="D1483" t="s">
        <v>7920</v>
      </c>
      <c r="E1483" t="str">
        <f t="shared" si="71"/>
        <v>서울특별시</v>
      </c>
      <c r="F1483" t="str">
        <f t="shared" si="72"/>
        <v xml:space="preserve">관악구 </v>
      </c>
      <c r="G1483" t="str">
        <f t="shared" si="73"/>
        <v>신림동</v>
      </c>
      <c r="H1483" t="s">
        <v>7921</v>
      </c>
      <c r="I1483">
        <v>8754</v>
      </c>
    </row>
    <row r="1484" spans="1:9" x14ac:dyDescent="0.4">
      <c r="A1484">
        <v>3200000</v>
      </c>
      <c r="B1484" t="s">
        <v>8773</v>
      </c>
      <c r="C1484" s="1">
        <v>36585</v>
      </c>
      <c r="D1484" t="s">
        <v>8774</v>
      </c>
      <c r="E1484" t="str">
        <f t="shared" si="71"/>
        <v>서울특별시</v>
      </c>
      <c r="F1484" t="str">
        <f t="shared" si="72"/>
        <v xml:space="preserve">관악구 </v>
      </c>
      <c r="G1484" t="str">
        <f t="shared" si="73"/>
        <v>신림동</v>
      </c>
    </row>
    <row r="1485" spans="1:9" x14ac:dyDescent="0.4">
      <c r="A1485">
        <v>3200000</v>
      </c>
      <c r="B1485" t="s">
        <v>8475</v>
      </c>
      <c r="C1485" s="1">
        <v>36500</v>
      </c>
      <c r="D1485" t="s">
        <v>8476</v>
      </c>
      <c r="E1485" t="str">
        <f t="shared" si="71"/>
        <v>서울특별시</v>
      </c>
      <c r="F1485" t="str">
        <f t="shared" si="72"/>
        <v xml:space="preserve">관악구 </v>
      </c>
      <c r="G1485" t="str">
        <f t="shared" si="73"/>
        <v>신림동</v>
      </c>
      <c r="H1485" t="s">
        <v>8477</v>
      </c>
      <c r="I1485">
        <v>8754</v>
      </c>
    </row>
    <row r="1486" spans="1:9" x14ac:dyDescent="0.4">
      <c r="A1486">
        <v>3200000</v>
      </c>
      <c r="B1486" t="s">
        <v>8521</v>
      </c>
      <c r="C1486" s="1">
        <v>36572</v>
      </c>
      <c r="D1486" t="s">
        <v>8522</v>
      </c>
      <c r="E1486" t="str">
        <f t="shared" si="71"/>
        <v>서울특별시</v>
      </c>
      <c r="F1486" t="str">
        <f t="shared" si="72"/>
        <v xml:space="preserve">관악구 </v>
      </c>
      <c r="G1486" t="str">
        <f t="shared" si="73"/>
        <v>신림동</v>
      </c>
    </row>
    <row r="1487" spans="1:9" x14ac:dyDescent="0.4">
      <c r="A1487">
        <v>3200000</v>
      </c>
      <c r="B1487" t="s">
        <v>7862</v>
      </c>
      <c r="C1487" s="1">
        <v>36516</v>
      </c>
      <c r="D1487" t="s">
        <v>7863</v>
      </c>
      <c r="E1487" t="str">
        <f t="shared" si="71"/>
        <v>서울특별시</v>
      </c>
      <c r="F1487" t="str">
        <f t="shared" si="72"/>
        <v xml:space="preserve">관악구 </v>
      </c>
      <c r="G1487" t="str">
        <f t="shared" si="73"/>
        <v>신림동</v>
      </c>
      <c r="H1487" t="s">
        <v>7864</v>
      </c>
      <c r="I1487">
        <v>8754</v>
      </c>
    </row>
    <row r="1488" spans="1:9" x14ac:dyDescent="0.4">
      <c r="A1488">
        <v>3200000</v>
      </c>
      <c r="B1488" t="s">
        <v>8699</v>
      </c>
      <c r="C1488" s="1">
        <v>32395</v>
      </c>
      <c r="D1488" t="s">
        <v>8700</v>
      </c>
      <c r="E1488" t="str">
        <f t="shared" si="71"/>
        <v>서울특별시</v>
      </c>
      <c r="F1488" t="str">
        <f t="shared" si="72"/>
        <v xml:space="preserve">관악구 </v>
      </c>
      <c r="G1488" t="str">
        <f t="shared" si="73"/>
        <v>신림동</v>
      </c>
    </row>
    <row r="1489" spans="1:9" x14ac:dyDescent="0.4">
      <c r="A1489">
        <v>3200000</v>
      </c>
      <c r="B1489" t="s">
        <v>8455</v>
      </c>
      <c r="C1489" s="1">
        <v>36262</v>
      </c>
      <c r="D1489" t="s">
        <v>8456</v>
      </c>
      <c r="E1489" t="str">
        <f t="shared" si="71"/>
        <v>서울특별시</v>
      </c>
      <c r="F1489" t="str">
        <f t="shared" si="72"/>
        <v xml:space="preserve">관악구 </v>
      </c>
      <c r="G1489" t="str">
        <f t="shared" si="73"/>
        <v>신림동</v>
      </c>
      <c r="H1489" t="s">
        <v>8457</v>
      </c>
      <c r="I1489">
        <v>8754</v>
      </c>
    </row>
    <row r="1490" spans="1:9" x14ac:dyDescent="0.4">
      <c r="A1490">
        <v>3200000</v>
      </c>
      <c r="B1490" t="s">
        <v>174</v>
      </c>
      <c r="C1490" s="1">
        <v>40459</v>
      </c>
      <c r="D1490" t="s">
        <v>175</v>
      </c>
      <c r="E1490" t="str">
        <f t="shared" si="71"/>
        <v>서울특별시</v>
      </c>
      <c r="F1490" t="str">
        <f t="shared" si="72"/>
        <v xml:space="preserve">관악구 </v>
      </c>
      <c r="G1490" t="str">
        <f t="shared" si="73"/>
        <v>신림동</v>
      </c>
      <c r="H1490" t="s">
        <v>176</v>
      </c>
      <c r="I1490">
        <v>8754</v>
      </c>
    </row>
    <row r="1491" spans="1:9" x14ac:dyDescent="0.4">
      <c r="A1491">
        <v>3200000</v>
      </c>
      <c r="B1491" t="s">
        <v>8158</v>
      </c>
      <c r="C1491" s="1">
        <v>40464</v>
      </c>
      <c r="D1491" t="s">
        <v>175</v>
      </c>
      <c r="E1491" t="str">
        <f t="shared" si="71"/>
        <v>서울특별시</v>
      </c>
      <c r="F1491" t="str">
        <f t="shared" si="72"/>
        <v xml:space="preserve">관악구 </v>
      </c>
      <c r="G1491" t="str">
        <f t="shared" si="73"/>
        <v>신림동</v>
      </c>
      <c r="H1491" t="s">
        <v>8159</v>
      </c>
      <c r="I1491">
        <v>8754</v>
      </c>
    </row>
    <row r="1492" spans="1:9" x14ac:dyDescent="0.4">
      <c r="A1492">
        <v>3200000</v>
      </c>
      <c r="B1492" t="s">
        <v>7898</v>
      </c>
      <c r="C1492" s="1">
        <v>41865</v>
      </c>
      <c r="D1492" t="s">
        <v>7899</v>
      </c>
      <c r="E1492" t="str">
        <f t="shared" si="71"/>
        <v>서울특별시</v>
      </c>
      <c r="F1492" t="str">
        <f t="shared" si="72"/>
        <v xml:space="preserve">관악구 </v>
      </c>
      <c r="G1492" t="str">
        <f t="shared" si="73"/>
        <v>신림동</v>
      </c>
      <c r="H1492" t="s">
        <v>7900</v>
      </c>
      <c r="I1492">
        <v>8754</v>
      </c>
    </row>
    <row r="1493" spans="1:9" x14ac:dyDescent="0.4">
      <c r="A1493">
        <v>3200000</v>
      </c>
      <c r="B1493" t="s">
        <v>8059</v>
      </c>
      <c r="C1493" s="1">
        <v>43685</v>
      </c>
      <c r="D1493" t="s">
        <v>7899</v>
      </c>
      <c r="E1493" t="str">
        <f t="shared" si="71"/>
        <v>서울특별시</v>
      </c>
      <c r="F1493" t="str">
        <f t="shared" si="72"/>
        <v xml:space="preserve">관악구 </v>
      </c>
      <c r="G1493" t="str">
        <f t="shared" si="73"/>
        <v>신림동</v>
      </c>
      <c r="H1493" t="s">
        <v>8060</v>
      </c>
      <c r="I1493">
        <v>8754</v>
      </c>
    </row>
    <row r="1494" spans="1:9" x14ac:dyDescent="0.4">
      <c r="A1494">
        <v>3200000</v>
      </c>
      <c r="B1494" t="s">
        <v>8077</v>
      </c>
      <c r="C1494" s="1">
        <v>43745</v>
      </c>
      <c r="D1494" t="s">
        <v>7899</v>
      </c>
      <c r="E1494" t="str">
        <f t="shared" si="71"/>
        <v>서울특별시</v>
      </c>
      <c r="F1494" t="str">
        <f t="shared" si="72"/>
        <v xml:space="preserve">관악구 </v>
      </c>
      <c r="G1494" t="str">
        <f t="shared" si="73"/>
        <v>신림동</v>
      </c>
      <c r="H1494" t="s">
        <v>8078</v>
      </c>
      <c r="I1494">
        <v>8754</v>
      </c>
    </row>
    <row r="1495" spans="1:9" x14ac:dyDescent="0.4">
      <c r="A1495">
        <v>3200000</v>
      </c>
      <c r="B1495" t="s">
        <v>8610</v>
      </c>
      <c r="C1495" s="1">
        <v>31097</v>
      </c>
      <c r="D1495" t="s">
        <v>8611</v>
      </c>
      <c r="E1495" t="str">
        <f t="shared" si="71"/>
        <v>서울특별시</v>
      </c>
      <c r="F1495" t="str">
        <f t="shared" si="72"/>
        <v xml:space="preserve">관악구 </v>
      </c>
      <c r="G1495" t="str">
        <f t="shared" si="73"/>
        <v>신림동</v>
      </c>
    </row>
    <row r="1496" spans="1:9" x14ac:dyDescent="0.4">
      <c r="A1496">
        <v>3200000</v>
      </c>
      <c r="B1496" t="s">
        <v>8713</v>
      </c>
      <c r="C1496" s="1">
        <v>39141</v>
      </c>
      <c r="D1496" t="s">
        <v>8611</v>
      </c>
      <c r="E1496" t="str">
        <f t="shared" si="71"/>
        <v>서울특별시</v>
      </c>
      <c r="F1496" t="str">
        <f t="shared" si="72"/>
        <v xml:space="preserve">관악구 </v>
      </c>
      <c r="G1496" t="str">
        <f t="shared" si="73"/>
        <v>신림동</v>
      </c>
    </row>
    <row r="1497" spans="1:9" x14ac:dyDescent="0.4">
      <c r="A1497">
        <v>3200000</v>
      </c>
      <c r="B1497" t="s">
        <v>8049</v>
      </c>
      <c r="C1497" s="1">
        <v>42314</v>
      </c>
      <c r="D1497" t="s">
        <v>8050</v>
      </c>
      <c r="E1497" t="str">
        <f t="shared" si="71"/>
        <v>서울특별시</v>
      </c>
      <c r="F1497" t="str">
        <f t="shared" si="72"/>
        <v xml:space="preserve">관악구 </v>
      </c>
      <c r="G1497" t="str">
        <f t="shared" si="73"/>
        <v>신림동</v>
      </c>
      <c r="H1497" t="s">
        <v>8051</v>
      </c>
      <c r="I1497">
        <v>8754</v>
      </c>
    </row>
    <row r="1498" spans="1:9" x14ac:dyDescent="0.4">
      <c r="A1498">
        <v>3200000</v>
      </c>
      <c r="B1498" t="s">
        <v>8619</v>
      </c>
      <c r="C1498" s="1">
        <v>31289</v>
      </c>
      <c r="D1498" t="s">
        <v>8620</v>
      </c>
      <c r="E1498" t="str">
        <f t="shared" si="71"/>
        <v>서울특별시</v>
      </c>
      <c r="F1498" t="str">
        <f t="shared" si="72"/>
        <v xml:space="preserve">관악구 </v>
      </c>
      <c r="G1498" t="str">
        <f t="shared" si="73"/>
        <v>신림동</v>
      </c>
      <c r="H1498" t="s">
        <v>8621</v>
      </c>
      <c r="I1498">
        <v>8754</v>
      </c>
    </row>
    <row r="1499" spans="1:9" x14ac:dyDescent="0.4">
      <c r="A1499">
        <v>3200000</v>
      </c>
      <c r="B1499" t="s">
        <v>7889</v>
      </c>
      <c r="C1499" s="1">
        <v>41605</v>
      </c>
      <c r="D1499" t="s">
        <v>7890</v>
      </c>
      <c r="E1499" t="str">
        <f t="shared" si="71"/>
        <v>서울특별시</v>
      </c>
      <c r="F1499" t="str">
        <f t="shared" si="72"/>
        <v xml:space="preserve">관악구 </v>
      </c>
      <c r="G1499" t="str">
        <f t="shared" si="73"/>
        <v>신림동</v>
      </c>
      <c r="H1499" t="s">
        <v>7891</v>
      </c>
      <c r="I1499">
        <v>8754</v>
      </c>
    </row>
    <row r="1500" spans="1:9" x14ac:dyDescent="0.4">
      <c r="A1500">
        <v>3200000</v>
      </c>
      <c r="B1500" t="s">
        <v>8143</v>
      </c>
      <c r="C1500" s="1">
        <v>37545</v>
      </c>
      <c r="D1500" t="s">
        <v>8144</v>
      </c>
      <c r="E1500" t="str">
        <f t="shared" si="71"/>
        <v>서울특별시</v>
      </c>
      <c r="F1500" t="str">
        <f t="shared" si="72"/>
        <v xml:space="preserve">관악구 </v>
      </c>
      <c r="G1500" t="str">
        <f t="shared" si="73"/>
        <v>신림동</v>
      </c>
      <c r="H1500" t="s">
        <v>8145</v>
      </c>
      <c r="I1500">
        <v>8753</v>
      </c>
    </row>
    <row r="1501" spans="1:9" x14ac:dyDescent="0.4">
      <c r="A1501">
        <v>3200000</v>
      </c>
      <c r="B1501" t="s">
        <v>7922</v>
      </c>
      <c r="C1501" s="1">
        <v>37349</v>
      </c>
      <c r="D1501" t="s">
        <v>7923</v>
      </c>
      <c r="E1501" t="str">
        <f t="shared" si="71"/>
        <v>서울특별시</v>
      </c>
      <c r="F1501" t="str">
        <f t="shared" si="72"/>
        <v xml:space="preserve">관악구 </v>
      </c>
      <c r="G1501" t="str">
        <f t="shared" si="73"/>
        <v>신림동</v>
      </c>
      <c r="H1501" t="s">
        <v>7924</v>
      </c>
      <c r="I1501">
        <v>8753</v>
      </c>
    </row>
    <row r="1502" spans="1:9" x14ac:dyDescent="0.4">
      <c r="A1502">
        <v>3200000</v>
      </c>
      <c r="B1502" t="s">
        <v>8573</v>
      </c>
      <c r="C1502" s="1">
        <v>36714</v>
      </c>
      <c r="D1502" t="s">
        <v>8574</v>
      </c>
      <c r="E1502" t="str">
        <f t="shared" si="71"/>
        <v>서울특별시</v>
      </c>
      <c r="F1502" t="str">
        <f t="shared" si="72"/>
        <v xml:space="preserve">관악구 </v>
      </c>
      <c r="G1502" t="str">
        <f t="shared" si="73"/>
        <v>신림동</v>
      </c>
      <c r="H1502" t="s">
        <v>8575</v>
      </c>
      <c r="I1502">
        <v>8753</v>
      </c>
    </row>
    <row r="1503" spans="1:9" x14ac:dyDescent="0.4">
      <c r="A1503">
        <v>3200000</v>
      </c>
      <c r="B1503" t="s">
        <v>8833</v>
      </c>
      <c r="C1503" s="1">
        <v>38148</v>
      </c>
      <c r="D1503" t="s">
        <v>8834</v>
      </c>
      <c r="E1503" t="str">
        <f t="shared" si="71"/>
        <v>서울특별시</v>
      </c>
      <c r="F1503" t="str">
        <f t="shared" si="72"/>
        <v xml:space="preserve">관악구 </v>
      </c>
      <c r="G1503" t="str">
        <f t="shared" si="73"/>
        <v>신림동</v>
      </c>
    </row>
    <row r="1504" spans="1:9" x14ac:dyDescent="0.4">
      <c r="A1504">
        <v>3200000</v>
      </c>
      <c r="B1504" t="s">
        <v>7952</v>
      </c>
      <c r="C1504" s="1">
        <v>38056</v>
      </c>
      <c r="D1504" t="s">
        <v>7953</v>
      </c>
      <c r="E1504" t="str">
        <f t="shared" si="71"/>
        <v>서울특별시</v>
      </c>
      <c r="F1504" t="str">
        <f t="shared" si="72"/>
        <v xml:space="preserve">관악구 </v>
      </c>
      <c r="G1504" t="str">
        <f t="shared" si="73"/>
        <v>신림동</v>
      </c>
      <c r="H1504" t="s">
        <v>7954</v>
      </c>
      <c r="I1504">
        <v>8753</v>
      </c>
    </row>
    <row r="1505" spans="1:9" x14ac:dyDescent="0.4">
      <c r="A1505">
        <v>3200000</v>
      </c>
      <c r="B1505" t="s">
        <v>8816</v>
      </c>
      <c r="C1505" s="1">
        <v>36374</v>
      </c>
      <c r="D1505" t="s">
        <v>8817</v>
      </c>
      <c r="E1505" t="str">
        <f t="shared" si="71"/>
        <v>서울특별시</v>
      </c>
      <c r="F1505" t="str">
        <f t="shared" si="72"/>
        <v xml:space="preserve">관악구 </v>
      </c>
      <c r="G1505" t="str">
        <f t="shared" si="73"/>
        <v>신림동</v>
      </c>
      <c r="H1505" t="s">
        <v>8818</v>
      </c>
      <c r="I1505">
        <v>8753</v>
      </c>
    </row>
    <row r="1506" spans="1:9" x14ac:dyDescent="0.4">
      <c r="A1506">
        <v>3200000</v>
      </c>
      <c r="B1506" t="s">
        <v>8437</v>
      </c>
      <c r="C1506" s="1">
        <v>32615</v>
      </c>
      <c r="D1506" t="s">
        <v>8438</v>
      </c>
      <c r="E1506" t="str">
        <f t="shared" si="71"/>
        <v>서울특별시</v>
      </c>
      <c r="F1506" t="str">
        <f t="shared" si="72"/>
        <v xml:space="preserve">관악구 </v>
      </c>
      <c r="G1506" t="str">
        <f t="shared" si="73"/>
        <v>신림동</v>
      </c>
    </row>
    <row r="1507" spans="1:9" x14ac:dyDescent="0.4">
      <c r="A1507">
        <v>3200000</v>
      </c>
      <c r="B1507" t="s">
        <v>8612</v>
      </c>
      <c r="C1507" s="1">
        <v>31153</v>
      </c>
      <c r="D1507" t="s">
        <v>8438</v>
      </c>
      <c r="E1507" t="str">
        <f t="shared" si="71"/>
        <v>서울특별시</v>
      </c>
      <c r="F1507" t="str">
        <f t="shared" si="72"/>
        <v xml:space="preserve">관악구 </v>
      </c>
      <c r="G1507" t="str">
        <f t="shared" si="73"/>
        <v>신림동</v>
      </c>
    </row>
    <row r="1508" spans="1:9" x14ac:dyDescent="0.4">
      <c r="A1508">
        <v>3200000</v>
      </c>
      <c r="B1508" t="s">
        <v>8676</v>
      </c>
      <c r="C1508" s="1">
        <v>28597</v>
      </c>
      <c r="D1508" t="s">
        <v>8677</v>
      </c>
      <c r="E1508" t="str">
        <f t="shared" si="71"/>
        <v>서울특별시</v>
      </c>
      <c r="F1508" t="str">
        <f t="shared" si="72"/>
        <v xml:space="preserve">관악구 </v>
      </c>
      <c r="G1508" t="str">
        <f t="shared" si="73"/>
        <v>신림동</v>
      </c>
      <c r="H1508" t="s">
        <v>8678</v>
      </c>
    </row>
    <row r="1509" spans="1:9" x14ac:dyDescent="0.4">
      <c r="A1509">
        <v>3200000</v>
      </c>
      <c r="B1509" t="s">
        <v>8425</v>
      </c>
      <c r="C1509" s="1">
        <v>42999</v>
      </c>
      <c r="D1509" t="s">
        <v>8426</v>
      </c>
      <c r="E1509" t="str">
        <f t="shared" si="71"/>
        <v>서울특별시</v>
      </c>
      <c r="F1509" t="str">
        <f t="shared" si="72"/>
        <v xml:space="preserve">관악구 </v>
      </c>
      <c r="G1509" t="str">
        <f t="shared" si="73"/>
        <v>신림동</v>
      </c>
      <c r="H1509" t="s">
        <v>8427</v>
      </c>
      <c r="I1509">
        <v>8753</v>
      </c>
    </row>
    <row r="1510" spans="1:9" x14ac:dyDescent="0.4">
      <c r="A1510">
        <v>3200000</v>
      </c>
      <c r="B1510" t="s">
        <v>8487</v>
      </c>
      <c r="C1510" s="1">
        <v>37676</v>
      </c>
      <c r="D1510" t="s">
        <v>8488</v>
      </c>
      <c r="E1510" t="str">
        <f t="shared" si="71"/>
        <v>서울특별시</v>
      </c>
      <c r="F1510" t="str">
        <f t="shared" si="72"/>
        <v xml:space="preserve">관악구 </v>
      </c>
      <c r="G1510" t="str">
        <f t="shared" si="73"/>
        <v>신림동</v>
      </c>
      <c r="H1510" t="s">
        <v>8427</v>
      </c>
      <c r="I1510">
        <v>8753</v>
      </c>
    </row>
    <row r="1511" spans="1:9" x14ac:dyDescent="0.4">
      <c r="A1511">
        <v>3200000</v>
      </c>
      <c r="B1511" t="s">
        <v>7982</v>
      </c>
      <c r="C1511" s="1">
        <v>31712</v>
      </c>
      <c r="D1511" t="s">
        <v>7983</v>
      </c>
      <c r="E1511" t="str">
        <f t="shared" si="71"/>
        <v>서울특별시</v>
      </c>
      <c r="F1511" t="str">
        <f t="shared" si="72"/>
        <v xml:space="preserve">관악구 </v>
      </c>
      <c r="G1511" t="str">
        <f t="shared" si="73"/>
        <v>신림동</v>
      </c>
      <c r="H1511" t="s">
        <v>7984</v>
      </c>
      <c r="I1511">
        <v>8753</v>
      </c>
    </row>
    <row r="1512" spans="1:9" x14ac:dyDescent="0.4">
      <c r="A1512">
        <v>3200000</v>
      </c>
      <c r="B1512" t="s">
        <v>8286</v>
      </c>
      <c r="C1512" s="1">
        <v>36833</v>
      </c>
      <c r="D1512" t="s">
        <v>8287</v>
      </c>
      <c r="E1512" t="str">
        <f t="shared" si="71"/>
        <v>서울특별시</v>
      </c>
      <c r="F1512" t="str">
        <f t="shared" si="72"/>
        <v xml:space="preserve">관악구 </v>
      </c>
      <c r="G1512" t="str">
        <f t="shared" si="73"/>
        <v>신림동</v>
      </c>
      <c r="H1512" t="s">
        <v>8288</v>
      </c>
      <c r="I1512">
        <v>8753</v>
      </c>
    </row>
    <row r="1513" spans="1:9" x14ac:dyDescent="0.4">
      <c r="A1513">
        <v>3200000</v>
      </c>
      <c r="B1513" t="s">
        <v>7871</v>
      </c>
      <c r="C1513" s="1">
        <v>36517</v>
      </c>
      <c r="D1513" t="s">
        <v>7872</v>
      </c>
      <c r="E1513" t="str">
        <f t="shared" si="71"/>
        <v>서울특별시</v>
      </c>
      <c r="F1513" t="str">
        <f t="shared" si="72"/>
        <v xml:space="preserve">관악구 </v>
      </c>
      <c r="G1513" t="str">
        <f t="shared" si="73"/>
        <v>신림동</v>
      </c>
      <c r="H1513" t="s">
        <v>7873</v>
      </c>
      <c r="I1513">
        <v>8753</v>
      </c>
    </row>
    <row r="1514" spans="1:9" x14ac:dyDescent="0.4">
      <c r="A1514">
        <v>3200000</v>
      </c>
      <c r="B1514" t="s">
        <v>8054</v>
      </c>
      <c r="C1514" s="1">
        <v>43635</v>
      </c>
      <c r="D1514" t="s">
        <v>8055</v>
      </c>
      <c r="E1514" t="str">
        <f t="shared" si="71"/>
        <v>서울특별시</v>
      </c>
      <c r="F1514" t="str">
        <f t="shared" si="72"/>
        <v xml:space="preserve">관악구 </v>
      </c>
      <c r="G1514" t="str">
        <f t="shared" si="73"/>
        <v>신림동</v>
      </c>
      <c r="H1514" t="s">
        <v>8056</v>
      </c>
      <c r="I1514">
        <v>8753</v>
      </c>
    </row>
    <row r="1515" spans="1:9" x14ac:dyDescent="0.4">
      <c r="A1515">
        <v>3200000</v>
      </c>
      <c r="B1515" t="s">
        <v>8209</v>
      </c>
      <c r="C1515" s="1">
        <v>36322</v>
      </c>
      <c r="D1515" t="s">
        <v>8055</v>
      </c>
      <c r="E1515" t="str">
        <f t="shared" si="71"/>
        <v>서울특별시</v>
      </c>
      <c r="F1515" t="str">
        <f t="shared" si="72"/>
        <v xml:space="preserve">관악구 </v>
      </c>
      <c r="G1515" t="str">
        <f t="shared" si="73"/>
        <v>신림동</v>
      </c>
      <c r="H1515" t="s">
        <v>8210</v>
      </c>
      <c r="I1515">
        <v>8753</v>
      </c>
    </row>
    <row r="1516" spans="1:9" x14ac:dyDescent="0.4">
      <c r="A1516">
        <v>3200000</v>
      </c>
      <c r="B1516" t="s">
        <v>8625</v>
      </c>
      <c r="C1516" s="1">
        <v>31442</v>
      </c>
      <c r="D1516" t="s">
        <v>8626</v>
      </c>
      <c r="E1516" t="str">
        <f t="shared" si="71"/>
        <v>서울특별시</v>
      </c>
      <c r="F1516" t="str">
        <f t="shared" si="72"/>
        <v xml:space="preserve">관악구 </v>
      </c>
      <c r="G1516" t="str">
        <f t="shared" si="73"/>
        <v>신림동</v>
      </c>
    </row>
    <row r="1517" spans="1:9" x14ac:dyDescent="0.4">
      <c r="A1517">
        <v>3200000</v>
      </c>
      <c r="B1517" t="s">
        <v>8682</v>
      </c>
      <c r="C1517" s="1">
        <v>28991</v>
      </c>
      <c r="D1517" t="s">
        <v>8626</v>
      </c>
      <c r="E1517" t="str">
        <f t="shared" si="71"/>
        <v>서울특별시</v>
      </c>
      <c r="F1517" t="str">
        <f t="shared" si="72"/>
        <v xml:space="preserve">관악구 </v>
      </c>
      <c r="G1517" t="str">
        <f t="shared" si="73"/>
        <v>신림동</v>
      </c>
    </row>
    <row r="1518" spans="1:9" x14ac:dyDescent="0.4">
      <c r="A1518">
        <v>3200000</v>
      </c>
      <c r="B1518" t="s">
        <v>8673</v>
      </c>
      <c r="C1518" s="1">
        <v>28257</v>
      </c>
      <c r="D1518" t="s">
        <v>8674</v>
      </c>
      <c r="E1518" t="str">
        <f t="shared" si="71"/>
        <v>서울특별시</v>
      </c>
      <c r="F1518" t="str">
        <f t="shared" si="72"/>
        <v xml:space="preserve">관악구 </v>
      </c>
      <c r="G1518" t="str">
        <f t="shared" si="73"/>
        <v>신림동</v>
      </c>
      <c r="H1518" t="s">
        <v>8675</v>
      </c>
      <c r="I1518">
        <v>8753</v>
      </c>
    </row>
    <row r="1519" spans="1:9" x14ac:dyDescent="0.4">
      <c r="A1519">
        <v>3200000</v>
      </c>
      <c r="B1519" t="s">
        <v>8017</v>
      </c>
      <c r="C1519" s="1">
        <v>37071</v>
      </c>
      <c r="D1519" t="s">
        <v>8018</v>
      </c>
      <c r="E1519" t="str">
        <f t="shared" si="71"/>
        <v>서울특별시</v>
      </c>
      <c r="F1519" t="str">
        <f t="shared" si="72"/>
        <v xml:space="preserve">관악구 </v>
      </c>
      <c r="G1519" t="str">
        <f t="shared" si="73"/>
        <v>신림동</v>
      </c>
      <c r="H1519" t="s">
        <v>8019</v>
      </c>
      <c r="I1519">
        <v>8753</v>
      </c>
    </row>
    <row r="1520" spans="1:9" x14ac:dyDescent="0.4">
      <c r="A1520">
        <v>3200000</v>
      </c>
      <c r="B1520" t="s">
        <v>210</v>
      </c>
      <c r="C1520" s="1">
        <v>29050</v>
      </c>
      <c r="D1520" t="s">
        <v>211</v>
      </c>
      <c r="E1520" t="str">
        <f t="shared" si="71"/>
        <v>서울특별시</v>
      </c>
      <c r="F1520" t="str">
        <f t="shared" si="72"/>
        <v xml:space="preserve">관악구 </v>
      </c>
      <c r="G1520" t="str">
        <f t="shared" si="73"/>
        <v>신림동</v>
      </c>
      <c r="H1520" t="s">
        <v>212</v>
      </c>
      <c r="I1520">
        <v>8707</v>
      </c>
    </row>
    <row r="1521" spans="1:9" x14ac:dyDescent="0.4">
      <c r="A1521">
        <v>3200000</v>
      </c>
      <c r="B1521" t="s">
        <v>8023</v>
      </c>
      <c r="C1521" s="1">
        <v>28103</v>
      </c>
      <c r="D1521" t="s">
        <v>8024</v>
      </c>
      <c r="E1521" t="str">
        <f t="shared" si="71"/>
        <v>서울특별시</v>
      </c>
      <c r="F1521" t="str">
        <f t="shared" si="72"/>
        <v xml:space="preserve">관악구 </v>
      </c>
      <c r="G1521" t="str">
        <f t="shared" si="73"/>
        <v>신림동</v>
      </c>
      <c r="H1521" t="s">
        <v>8025</v>
      </c>
      <c r="I1521">
        <v>8707</v>
      </c>
    </row>
    <row r="1522" spans="1:9" x14ac:dyDescent="0.4">
      <c r="A1522">
        <v>3200000</v>
      </c>
      <c r="B1522" t="s">
        <v>8034</v>
      </c>
      <c r="C1522" s="1">
        <v>28372</v>
      </c>
      <c r="D1522" t="s">
        <v>8035</v>
      </c>
      <c r="E1522" t="str">
        <f t="shared" si="71"/>
        <v>서울특별시</v>
      </c>
      <c r="F1522" t="str">
        <f t="shared" si="72"/>
        <v xml:space="preserve">관악구 </v>
      </c>
      <c r="G1522" t="str">
        <f t="shared" si="73"/>
        <v>신림동</v>
      </c>
      <c r="H1522" t="s">
        <v>8036</v>
      </c>
      <c r="I1522">
        <v>8707</v>
      </c>
    </row>
    <row r="1523" spans="1:9" x14ac:dyDescent="0.4">
      <c r="A1523">
        <v>3200000</v>
      </c>
      <c r="B1523" t="s">
        <v>8188</v>
      </c>
      <c r="C1523" s="1">
        <v>36998</v>
      </c>
      <c r="D1523" t="s">
        <v>8189</v>
      </c>
      <c r="E1523" t="str">
        <f t="shared" si="71"/>
        <v>서울특별시</v>
      </c>
      <c r="F1523" t="str">
        <f t="shared" si="72"/>
        <v xml:space="preserve">관악구 </v>
      </c>
      <c r="G1523" t="str">
        <f t="shared" si="73"/>
        <v>신림동</v>
      </c>
      <c r="H1523" t="s">
        <v>8190</v>
      </c>
      <c r="I1523">
        <v>8707</v>
      </c>
    </row>
    <row r="1524" spans="1:9" x14ac:dyDescent="0.4">
      <c r="A1524">
        <v>3200000</v>
      </c>
      <c r="B1524" t="s">
        <v>7847</v>
      </c>
      <c r="C1524" s="1">
        <v>36825</v>
      </c>
      <c r="D1524" t="s">
        <v>7848</v>
      </c>
      <c r="E1524" t="str">
        <f t="shared" si="71"/>
        <v>서울특별시</v>
      </c>
      <c r="F1524" t="str">
        <f t="shared" si="72"/>
        <v xml:space="preserve">관악구 </v>
      </c>
      <c r="G1524" t="str">
        <f t="shared" si="73"/>
        <v>신림동</v>
      </c>
      <c r="H1524" t="s">
        <v>7849</v>
      </c>
      <c r="I1524">
        <v>8760</v>
      </c>
    </row>
    <row r="1525" spans="1:9" x14ac:dyDescent="0.4">
      <c r="A1525">
        <v>3200000</v>
      </c>
      <c r="B1525" t="s">
        <v>7964</v>
      </c>
      <c r="C1525" s="1">
        <v>38401</v>
      </c>
      <c r="D1525" t="s">
        <v>7965</v>
      </c>
      <c r="E1525" t="str">
        <f t="shared" si="71"/>
        <v>서울특별시</v>
      </c>
      <c r="F1525" t="str">
        <f t="shared" si="72"/>
        <v xml:space="preserve">관악구 </v>
      </c>
      <c r="G1525" t="str">
        <f t="shared" si="73"/>
        <v>신림동</v>
      </c>
      <c r="H1525" t="s">
        <v>7966</v>
      </c>
      <c r="I1525">
        <v>8760</v>
      </c>
    </row>
    <row r="1526" spans="1:9" x14ac:dyDescent="0.4">
      <c r="A1526">
        <v>3200000</v>
      </c>
      <c r="B1526" t="s">
        <v>8121</v>
      </c>
      <c r="C1526" s="1">
        <v>40142</v>
      </c>
      <c r="D1526" t="s">
        <v>7965</v>
      </c>
      <c r="E1526" t="str">
        <f t="shared" si="71"/>
        <v>서울특별시</v>
      </c>
      <c r="F1526" t="str">
        <f t="shared" si="72"/>
        <v xml:space="preserve">관악구 </v>
      </c>
      <c r="G1526" t="str">
        <f t="shared" si="73"/>
        <v>신림동</v>
      </c>
      <c r="H1526" t="s">
        <v>8122</v>
      </c>
      <c r="I1526">
        <v>8760</v>
      </c>
    </row>
    <row r="1527" spans="1:9" x14ac:dyDescent="0.4">
      <c r="A1527">
        <v>3200000</v>
      </c>
      <c r="B1527" t="s">
        <v>81</v>
      </c>
      <c r="C1527" s="1">
        <v>37196</v>
      </c>
      <c r="D1527" t="s">
        <v>82</v>
      </c>
      <c r="E1527" t="str">
        <f t="shared" si="71"/>
        <v>서울특별시</v>
      </c>
      <c r="F1527" t="str">
        <f t="shared" si="72"/>
        <v xml:space="preserve">관악구 </v>
      </c>
      <c r="G1527" t="str">
        <f t="shared" si="73"/>
        <v>신림동</v>
      </c>
      <c r="H1527" t="s">
        <v>83</v>
      </c>
      <c r="I1527">
        <v>8760</v>
      </c>
    </row>
    <row r="1528" spans="1:9" x14ac:dyDescent="0.4">
      <c r="A1528">
        <v>3200000</v>
      </c>
      <c r="B1528" t="s">
        <v>8244</v>
      </c>
      <c r="C1528" s="1">
        <v>36578</v>
      </c>
      <c r="D1528" t="s">
        <v>8245</v>
      </c>
      <c r="E1528" t="str">
        <f t="shared" si="71"/>
        <v>서울특별시</v>
      </c>
      <c r="F1528" t="str">
        <f t="shared" si="72"/>
        <v xml:space="preserve">관악구 </v>
      </c>
      <c r="G1528" t="str">
        <f t="shared" si="73"/>
        <v>신림동</v>
      </c>
      <c r="H1528" t="s">
        <v>8246</v>
      </c>
      <c r="I1528">
        <v>8760</v>
      </c>
    </row>
    <row r="1529" spans="1:9" x14ac:dyDescent="0.4">
      <c r="A1529">
        <v>3200000</v>
      </c>
      <c r="B1529" t="s">
        <v>8389</v>
      </c>
      <c r="C1529" s="1">
        <v>39430</v>
      </c>
      <c r="D1529" t="s">
        <v>8390</v>
      </c>
      <c r="E1529" t="str">
        <f t="shared" si="71"/>
        <v>서울특별시</v>
      </c>
      <c r="F1529" t="str">
        <f t="shared" si="72"/>
        <v xml:space="preserve">관악구 </v>
      </c>
      <c r="G1529" t="str">
        <f t="shared" si="73"/>
        <v>신림동</v>
      </c>
      <c r="H1529" t="s">
        <v>8391</v>
      </c>
      <c r="I1529">
        <v>8760</v>
      </c>
    </row>
    <row r="1530" spans="1:9" x14ac:dyDescent="0.4">
      <c r="A1530">
        <v>3200000</v>
      </c>
      <c r="B1530" t="s">
        <v>8378</v>
      </c>
      <c r="C1530" s="1">
        <v>39574</v>
      </c>
      <c r="D1530" t="s">
        <v>8379</v>
      </c>
      <c r="E1530" t="str">
        <f t="shared" si="71"/>
        <v>서울특별시</v>
      </c>
      <c r="F1530" t="str">
        <f t="shared" si="72"/>
        <v xml:space="preserve">관악구 </v>
      </c>
      <c r="G1530" t="str">
        <f t="shared" si="73"/>
        <v>신림동</v>
      </c>
      <c r="H1530" t="s">
        <v>8380</v>
      </c>
      <c r="I1530">
        <v>8760</v>
      </c>
    </row>
    <row r="1531" spans="1:9" x14ac:dyDescent="0.4">
      <c r="A1531">
        <v>3200000</v>
      </c>
      <c r="B1531" t="s">
        <v>8136</v>
      </c>
      <c r="C1531" s="1">
        <v>40445</v>
      </c>
      <c r="D1531" t="s">
        <v>8137</v>
      </c>
      <c r="E1531" t="str">
        <f t="shared" si="71"/>
        <v>서울특별시</v>
      </c>
      <c r="F1531" t="str">
        <f t="shared" si="72"/>
        <v xml:space="preserve">관악구 </v>
      </c>
      <c r="G1531" t="str">
        <f t="shared" si="73"/>
        <v>신림동</v>
      </c>
      <c r="H1531" t="s">
        <v>8138</v>
      </c>
      <c r="I1531">
        <v>8760</v>
      </c>
    </row>
    <row r="1532" spans="1:9" x14ac:dyDescent="0.4">
      <c r="A1532">
        <v>3200000</v>
      </c>
      <c r="B1532" t="s">
        <v>8071</v>
      </c>
      <c r="C1532" s="1">
        <v>44665</v>
      </c>
      <c r="D1532" t="s">
        <v>8072</v>
      </c>
      <c r="E1532" t="str">
        <f t="shared" si="71"/>
        <v>서울특별시</v>
      </c>
      <c r="F1532" t="str">
        <f t="shared" si="72"/>
        <v xml:space="preserve">관악구 </v>
      </c>
      <c r="G1532" t="str">
        <f t="shared" si="73"/>
        <v>신림동</v>
      </c>
      <c r="H1532" t="s">
        <v>8073</v>
      </c>
      <c r="I1532">
        <v>8760</v>
      </c>
    </row>
    <row r="1533" spans="1:9" x14ac:dyDescent="0.4">
      <c r="A1533">
        <v>3200000</v>
      </c>
      <c r="B1533" t="s">
        <v>8207</v>
      </c>
      <c r="C1533" s="1">
        <v>36705</v>
      </c>
      <c r="D1533" t="s">
        <v>8072</v>
      </c>
      <c r="E1533" t="str">
        <f t="shared" si="71"/>
        <v>서울특별시</v>
      </c>
      <c r="F1533" t="str">
        <f t="shared" si="72"/>
        <v xml:space="preserve">관악구 </v>
      </c>
      <c r="G1533" t="str">
        <f t="shared" si="73"/>
        <v>신림동</v>
      </c>
      <c r="H1533" t="s">
        <v>8208</v>
      </c>
      <c r="I1533">
        <v>8760</v>
      </c>
    </row>
    <row r="1534" spans="1:9" x14ac:dyDescent="0.4">
      <c r="A1534">
        <v>3200000</v>
      </c>
      <c r="B1534" t="s">
        <v>8795</v>
      </c>
      <c r="C1534" s="1">
        <v>36690</v>
      </c>
      <c r="D1534" t="s">
        <v>8796</v>
      </c>
      <c r="E1534" t="str">
        <f t="shared" si="71"/>
        <v>서울특별시</v>
      </c>
      <c r="F1534" t="str">
        <f t="shared" si="72"/>
        <v xml:space="preserve">관악구 </v>
      </c>
      <c r="G1534" t="str">
        <f t="shared" si="73"/>
        <v>신림동</v>
      </c>
      <c r="H1534" t="s">
        <v>8073</v>
      </c>
      <c r="I1534">
        <v>8760</v>
      </c>
    </row>
    <row r="1535" spans="1:9" x14ac:dyDescent="0.4">
      <c r="A1535">
        <v>3200000</v>
      </c>
      <c r="B1535" t="s">
        <v>8217</v>
      </c>
      <c r="C1535" s="1">
        <v>36440</v>
      </c>
      <c r="D1535" t="s">
        <v>8218</v>
      </c>
      <c r="E1535" t="str">
        <f t="shared" si="71"/>
        <v>서울특별시</v>
      </c>
      <c r="F1535" t="str">
        <f t="shared" si="72"/>
        <v xml:space="preserve">관악구 </v>
      </c>
      <c r="G1535" t="str">
        <f t="shared" si="73"/>
        <v>신림동</v>
      </c>
      <c r="H1535" t="s">
        <v>8219</v>
      </c>
      <c r="I1535">
        <v>8760</v>
      </c>
    </row>
    <row r="1536" spans="1:9" x14ac:dyDescent="0.4">
      <c r="A1536">
        <v>3200000</v>
      </c>
      <c r="B1536" t="s">
        <v>8540</v>
      </c>
      <c r="C1536" s="1">
        <v>41064</v>
      </c>
      <c r="D1536" t="s">
        <v>8541</v>
      </c>
      <c r="E1536" t="str">
        <f t="shared" si="71"/>
        <v>서울특별시</v>
      </c>
      <c r="F1536" t="str">
        <f t="shared" si="72"/>
        <v xml:space="preserve">관악구 </v>
      </c>
      <c r="G1536" t="str">
        <f t="shared" si="73"/>
        <v>신림동</v>
      </c>
      <c r="H1536" t="s">
        <v>8542</v>
      </c>
      <c r="I1536">
        <v>8760</v>
      </c>
    </row>
    <row r="1537" spans="1:9" x14ac:dyDescent="0.4">
      <c r="A1537">
        <v>3200000</v>
      </c>
      <c r="B1537" t="s">
        <v>8372</v>
      </c>
      <c r="C1537" s="1">
        <v>39496</v>
      </c>
      <c r="D1537" t="s">
        <v>8373</v>
      </c>
      <c r="E1537" t="str">
        <f t="shared" si="71"/>
        <v>서울특별시</v>
      </c>
      <c r="F1537" t="str">
        <f t="shared" si="72"/>
        <v xml:space="preserve">관악구 </v>
      </c>
      <c r="G1537" t="str">
        <f t="shared" si="73"/>
        <v>신림동</v>
      </c>
      <c r="H1537" t="s">
        <v>8374</v>
      </c>
      <c r="I1537">
        <v>8760</v>
      </c>
    </row>
    <row r="1538" spans="1:9" x14ac:dyDescent="0.4">
      <c r="A1538">
        <v>3200000</v>
      </c>
      <c r="B1538" t="s">
        <v>8194</v>
      </c>
      <c r="C1538" s="1">
        <v>44897</v>
      </c>
      <c r="D1538" t="s">
        <v>8195</v>
      </c>
      <c r="E1538" t="str">
        <f t="shared" si="71"/>
        <v>서울특별시</v>
      </c>
      <c r="F1538" t="str">
        <f t="shared" si="72"/>
        <v xml:space="preserve">관악구 </v>
      </c>
      <c r="G1538" t="str">
        <f t="shared" si="73"/>
        <v>신림동</v>
      </c>
      <c r="H1538" t="s">
        <v>8196</v>
      </c>
      <c r="I1538">
        <v>8760</v>
      </c>
    </row>
    <row r="1539" spans="1:9" x14ac:dyDescent="0.4">
      <c r="A1539">
        <v>3200000</v>
      </c>
      <c r="B1539" t="s">
        <v>7994</v>
      </c>
      <c r="C1539" s="1">
        <v>38814</v>
      </c>
      <c r="D1539" t="s">
        <v>7995</v>
      </c>
      <c r="E1539" t="str">
        <f t="shared" ref="E1539:E1602" si="74">LEFT(D1539,5)</f>
        <v>서울특별시</v>
      </c>
      <c r="F1539" t="str">
        <f t="shared" ref="F1539:F1602" si="75">MID(D1539,7,4)</f>
        <v xml:space="preserve">관악구 </v>
      </c>
      <c r="G1539" t="str">
        <f t="shared" ref="G1539:G1602" si="76">MID(SUBSTITUTE(D1539," ",""),9,3)</f>
        <v>신림동</v>
      </c>
      <c r="H1539" t="s">
        <v>7996</v>
      </c>
      <c r="I1539">
        <v>8760</v>
      </c>
    </row>
    <row r="1540" spans="1:9" x14ac:dyDescent="0.4">
      <c r="A1540">
        <v>3200000</v>
      </c>
      <c r="B1540" t="s">
        <v>7838</v>
      </c>
      <c r="C1540" s="1">
        <v>36810</v>
      </c>
      <c r="D1540" t="s">
        <v>7839</v>
      </c>
      <c r="E1540" t="str">
        <f t="shared" si="74"/>
        <v>서울특별시</v>
      </c>
      <c r="F1540" t="str">
        <f t="shared" si="75"/>
        <v xml:space="preserve">관악구 </v>
      </c>
      <c r="G1540" t="str">
        <f t="shared" si="76"/>
        <v>신림동</v>
      </c>
      <c r="H1540" t="s">
        <v>7840</v>
      </c>
      <c r="I1540">
        <v>8760</v>
      </c>
    </row>
    <row r="1541" spans="1:9" x14ac:dyDescent="0.4">
      <c r="A1541">
        <v>3200000</v>
      </c>
      <c r="B1541" t="s">
        <v>8468</v>
      </c>
      <c r="C1541" s="1">
        <v>36445</v>
      </c>
      <c r="D1541" t="s">
        <v>8469</v>
      </c>
      <c r="E1541" t="str">
        <f t="shared" si="74"/>
        <v>서울특별시</v>
      </c>
      <c r="F1541" t="str">
        <f t="shared" si="75"/>
        <v xml:space="preserve">관악구 </v>
      </c>
      <c r="G1541" t="str">
        <f t="shared" si="76"/>
        <v>신림동</v>
      </c>
    </row>
    <row r="1542" spans="1:9" x14ac:dyDescent="0.4">
      <c r="A1542">
        <v>3200000</v>
      </c>
      <c r="B1542" t="s">
        <v>7973</v>
      </c>
      <c r="C1542" s="1">
        <v>36512</v>
      </c>
      <c r="D1542" t="s">
        <v>7974</v>
      </c>
      <c r="E1542" t="str">
        <f t="shared" si="74"/>
        <v>서울특별시</v>
      </c>
      <c r="F1542" t="str">
        <f t="shared" si="75"/>
        <v xml:space="preserve">관악구 </v>
      </c>
      <c r="G1542" t="str">
        <f t="shared" si="76"/>
        <v>신림동</v>
      </c>
      <c r="H1542" t="s">
        <v>7975</v>
      </c>
      <c r="I1542">
        <v>8760</v>
      </c>
    </row>
    <row r="1543" spans="1:9" x14ac:dyDescent="0.4">
      <c r="A1543">
        <v>3200000</v>
      </c>
      <c r="B1543" t="s">
        <v>8015</v>
      </c>
      <c r="C1543" s="1">
        <v>37065</v>
      </c>
      <c r="D1543" t="s">
        <v>7974</v>
      </c>
      <c r="E1543" t="str">
        <f t="shared" si="74"/>
        <v>서울특별시</v>
      </c>
      <c r="F1543" t="str">
        <f t="shared" si="75"/>
        <v xml:space="preserve">관악구 </v>
      </c>
      <c r="G1543" t="str">
        <f t="shared" si="76"/>
        <v>신림동</v>
      </c>
      <c r="H1543" t="s">
        <v>8016</v>
      </c>
      <c r="I1543">
        <v>8760</v>
      </c>
    </row>
    <row r="1544" spans="1:9" x14ac:dyDescent="0.4">
      <c r="A1544">
        <v>3200000</v>
      </c>
      <c r="B1544" t="s">
        <v>8472</v>
      </c>
      <c r="C1544" s="1">
        <v>36497</v>
      </c>
      <c r="D1544" t="s">
        <v>8473</v>
      </c>
      <c r="E1544" t="str">
        <f t="shared" si="74"/>
        <v>서울특별시</v>
      </c>
      <c r="F1544" t="str">
        <f t="shared" si="75"/>
        <v xml:space="preserve">관악구 </v>
      </c>
      <c r="G1544" t="str">
        <f t="shared" si="76"/>
        <v>신림동</v>
      </c>
      <c r="H1544" t="s">
        <v>8474</v>
      </c>
      <c r="I1544">
        <v>8760</v>
      </c>
    </row>
    <row r="1545" spans="1:9" x14ac:dyDescent="0.4">
      <c r="A1545">
        <v>3200000</v>
      </c>
      <c r="B1545" t="s">
        <v>8319</v>
      </c>
      <c r="C1545" s="1">
        <v>41689</v>
      </c>
      <c r="D1545" t="s">
        <v>8320</v>
      </c>
      <c r="E1545" t="str">
        <f t="shared" si="74"/>
        <v>서울특별시</v>
      </c>
      <c r="F1545" t="str">
        <f t="shared" si="75"/>
        <v xml:space="preserve">관악구 </v>
      </c>
      <c r="G1545" t="str">
        <f t="shared" si="76"/>
        <v>신림동</v>
      </c>
      <c r="H1545" t="s">
        <v>8321</v>
      </c>
      <c r="I1545">
        <v>8760</v>
      </c>
    </row>
    <row r="1546" spans="1:9" x14ac:dyDescent="0.4">
      <c r="A1546">
        <v>3200000</v>
      </c>
      <c r="B1546" t="s">
        <v>8298</v>
      </c>
      <c r="C1546" s="1">
        <v>41131</v>
      </c>
      <c r="D1546" t="s">
        <v>8299</v>
      </c>
      <c r="E1546" t="str">
        <f t="shared" si="74"/>
        <v>서울특별시</v>
      </c>
      <c r="F1546" t="str">
        <f t="shared" si="75"/>
        <v xml:space="preserve">관악구 </v>
      </c>
      <c r="G1546" t="str">
        <f t="shared" si="76"/>
        <v>신림동</v>
      </c>
      <c r="H1546" t="s">
        <v>8300</v>
      </c>
      <c r="I1546">
        <v>8760</v>
      </c>
    </row>
    <row r="1547" spans="1:9" x14ac:dyDescent="0.4">
      <c r="A1547">
        <v>3200000</v>
      </c>
      <c r="B1547" t="s">
        <v>7943</v>
      </c>
      <c r="C1547" s="1">
        <v>36391</v>
      </c>
      <c r="D1547" t="s">
        <v>7944</v>
      </c>
      <c r="E1547" t="str">
        <f t="shared" si="74"/>
        <v>서울특별시</v>
      </c>
      <c r="F1547" t="str">
        <f t="shared" si="75"/>
        <v xml:space="preserve">관악구 </v>
      </c>
      <c r="G1547" t="str">
        <f t="shared" si="76"/>
        <v>신림동</v>
      </c>
      <c r="H1547" t="s">
        <v>7945</v>
      </c>
      <c r="I1547">
        <v>8760</v>
      </c>
    </row>
    <row r="1548" spans="1:9" x14ac:dyDescent="0.4">
      <c r="A1548">
        <v>3200000</v>
      </c>
      <c r="B1548" t="s">
        <v>8375</v>
      </c>
      <c r="C1548" s="1">
        <v>39505</v>
      </c>
      <c r="D1548" t="s">
        <v>8376</v>
      </c>
      <c r="E1548" t="str">
        <f t="shared" si="74"/>
        <v>서울특별시</v>
      </c>
      <c r="F1548" t="str">
        <f t="shared" si="75"/>
        <v xml:space="preserve">관악구 </v>
      </c>
      <c r="G1548" t="str">
        <f t="shared" si="76"/>
        <v>신림동</v>
      </c>
      <c r="H1548" t="s">
        <v>8377</v>
      </c>
      <c r="I1548">
        <v>8760</v>
      </c>
    </row>
    <row r="1549" spans="1:9" x14ac:dyDescent="0.4">
      <c r="A1549">
        <v>3200000</v>
      </c>
      <c r="B1549" t="s">
        <v>7940</v>
      </c>
      <c r="C1549" s="1">
        <v>36375</v>
      </c>
      <c r="D1549" t="s">
        <v>7941</v>
      </c>
      <c r="E1549" t="str">
        <f t="shared" si="74"/>
        <v>서울특별시</v>
      </c>
      <c r="F1549" t="str">
        <f t="shared" si="75"/>
        <v xml:space="preserve">관악구 </v>
      </c>
      <c r="G1549" t="str">
        <f t="shared" si="76"/>
        <v>신림동</v>
      </c>
      <c r="H1549" t="s">
        <v>7942</v>
      </c>
      <c r="I1549">
        <v>8760</v>
      </c>
    </row>
    <row r="1550" spans="1:9" x14ac:dyDescent="0.4">
      <c r="A1550">
        <v>3200000</v>
      </c>
      <c r="B1550" t="s">
        <v>8139</v>
      </c>
      <c r="C1550" s="1">
        <v>37498</v>
      </c>
      <c r="D1550" t="s">
        <v>7941</v>
      </c>
      <c r="E1550" t="str">
        <f t="shared" si="74"/>
        <v>서울특별시</v>
      </c>
      <c r="F1550" t="str">
        <f t="shared" si="75"/>
        <v xml:space="preserve">관악구 </v>
      </c>
      <c r="G1550" t="str">
        <f t="shared" si="76"/>
        <v>신림동</v>
      </c>
      <c r="H1550" t="s">
        <v>7942</v>
      </c>
      <c r="I1550">
        <v>8760</v>
      </c>
    </row>
    <row r="1551" spans="1:9" x14ac:dyDescent="0.4">
      <c r="A1551">
        <v>3200000</v>
      </c>
      <c r="B1551" t="s">
        <v>8599</v>
      </c>
      <c r="C1551" s="1">
        <v>30945</v>
      </c>
      <c r="D1551" t="s">
        <v>8600</v>
      </c>
      <c r="E1551" t="str">
        <f t="shared" si="74"/>
        <v>서울특별시</v>
      </c>
      <c r="F1551" t="str">
        <f t="shared" si="75"/>
        <v xml:space="preserve">관악구 </v>
      </c>
      <c r="G1551" t="str">
        <f t="shared" si="76"/>
        <v>신림동</v>
      </c>
    </row>
    <row r="1552" spans="1:9" x14ac:dyDescent="0.4">
      <c r="A1552">
        <v>3200000</v>
      </c>
      <c r="B1552" t="s">
        <v>8205</v>
      </c>
      <c r="C1552" s="1">
        <v>40610</v>
      </c>
      <c r="D1552" t="s">
        <v>8206</v>
      </c>
      <c r="E1552" t="str">
        <f t="shared" si="74"/>
        <v>서울특별시</v>
      </c>
      <c r="F1552" t="str">
        <f t="shared" si="75"/>
        <v xml:space="preserve">관악구 </v>
      </c>
      <c r="G1552" t="str">
        <f t="shared" si="76"/>
        <v>신림동</v>
      </c>
      <c r="H1552" t="s">
        <v>7870</v>
      </c>
      <c r="I1552">
        <v>8760</v>
      </c>
    </row>
    <row r="1553" spans="1:9" x14ac:dyDescent="0.4">
      <c r="A1553">
        <v>3200000</v>
      </c>
      <c r="B1553" t="s">
        <v>7868</v>
      </c>
      <c r="C1553" s="1">
        <v>36517</v>
      </c>
      <c r="D1553" t="s">
        <v>7869</v>
      </c>
      <c r="E1553" t="str">
        <f t="shared" si="74"/>
        <v>서울특별시</v>
      </c>
      <c r="F1553" t="str">
        <f t="shared" si="75"/>
        <v xml:space="preserve">관악구 </v>
      </c>
      <c r="G1553" t="str">
        <f t="shared" si="76"/>
        <v>신림동</v>
      </c>
      <c r="H1553" t="s">
        <v>7870</v>
      </c>
      <c r="I1553">
        <v>8760</v>
      </c>
    </row>
    <row r="1554" spans="1:9" x14ac:dyDescent="0.4">
      <c r="A1554">
        <v>3200000</v>
      </c>
      <c r="B1554" t="s">
        <v>141</v>
      </c>
      <c r="C1554" s="1">
        <v>40981</v>
      </c>
      <c r="D1554" t="s">
        <v>142</v>
      </c>
      <c r="E1554" t="str">
        <f t="shared" si="74"/>
        <v>서울특별시</v>
      </c>
      <c r="F1554" t="str">
        <f t="shared" si="75"/>
        <v xml:space="preserve">관악구 </v>
      </c>
      <c r="G1554" t="str">
        <f t="shared" si="76"/>
        <v>신림동</v>
      </c>
      <c r="H1554" t="s">
        <v>143</v>
      </c>
      <c r="I1554">
        <v>8760</v>
      </c>
    </row>
    <row r="1555" spans="1:9" x14ac:dyDescent="0.4">
      <c r="A1555">
        <v>3200000</v>
      </c>
      <c r="B1555" t="s">
        <v>8241</v>
      </c>
      <c r="C1555" s="1">
        <v>36543</v>
      </c>
      <c r="D1555" t="s">
        <v>8242</v>
      </c>
      <c r="E1555" t="str">
        <f t="shared" si="74"/>
        <v>서울특별시</v>
      </c>
      <c r="F1555" t="str">
        <f t="shared" si="75"/>
        <v xml:space="preserve">관악구 </v>
      </c>
      <c r="G1555" t="str">
        <f t="shared" si="76"/>
        <v>신림동</v>
      </c>
      <c r="H1555" t="s">
        <v>8243</v>
      </c>
      <c r="I1555">
        <v>8760</v>
      </c>
    </row>
    <row r="1556" spans="1:9" x14ac:dyDescent="0.4">
      <c r="A1556">
        <v>3200000</v>
      </c>
      <c r="B1556" t="s">
        <v>8214</v>
      </c>
      <c r="C1556" s="1">
        <v>36414</v>
      </c>
      <c r="D1556" t="s">
        <v>8215</v>
      </c>
      <c r="E1556" t="str">
        <f t="shared" si="74"/>
        <v>서울특별시</v>
      </c>
      <c r="F1556" t="str">
        <f t="shared" si="75"/>
        <v xml:space="preserve">관악구 </v>
      </c>
      <c r="G1556" t="str">
        <f t="shared" si="76"/>
        <v>신림동</v>
      </c>
      <c r="H1556" t="s">
        <v>8216</v>
      </c>
      <c r="I1556">
        <v>8760</v>
      </c>
    </row>
    <row r="1557" spans="1:9" x14ac:dyDescent="0.4">
      <c r="A1557">
        <v>3200000</v>
      </c>
      <c r="B1557" t="s">
        <v>8133</v>
      </c>
      <c r="C1557" s="1">
        <v>40385</v>
      </c>
      <c r="D1557" t="s">
        <v>8134</v>
      </c>
      <c r="E1557" t="str">
        <f t="shared" si="74"/>
        <v>서울특별시</v>
      </c>
      <c r="F1557" t="str">
        <f t="shared" si="75"/>
        <v xml:space="preserve">관악구 </v>
      </c>
      <c r="G1557" t="str">
        <f t="shared" si="76"/>
        <v>신림동</v>
      </c>
      <c r="H1557" t="s">
        <v>8135</v>
      </c>
      <c r="I1557">
        <v>8760</v>
      </c>
    </row>
    <row r="1558" spans="1:9" x14ac:dyDescent="0.4">
      <c r="A1558">
        <v>3200000</v>
      </c>
      <c r="B1558" t="s">
        <v>8484</v>
      </c>
      <c r="C1558" s="1">
        <v>36537</v>
      </c>
      <c r="D1558" t="s">
        <v>8485</v>
      </c>
      <c r="E1558" t="str">
        <f t="shared" si="74"/>
        <v>서울특별시</v>
      </c>
      <c r="F1558" t="str">
        <f t="shared" si="75"/>
        <v xml:space="preserve">관악구 </v>
      </c>
      <c r="G1558" t="str">
        <f t="shared" si="76"/>
        <v>신림동</v>
      </c>
      <c r="H1558" t="s">
        <v>8486</v>
      </c>
      <c r="I1558">
        <v>8760</v>
      </c>
    </row>
    <row r="1559" spans="1:9" x14ac:dyDescent="0.4">
      <c r="A1559">
        <v>3200000</v>
      </c>
      <c r="B1559" t="s">
        <v>8685</v>
      </c>
      <c r="C1559" s="1">
        <v>29001</v>
      </c>
      <c r="D1559" t="s">
        <v>8485</v>
      </c>
      <c r="E1559" t="str">
        <f t="shared" si="74"/>
        <v>서울특별시</v>
      </c>
      <c r="F1559" t="str">
        <f t="shared" si="75"/>
        <v xml:space="preserve">관악구 </v>
      </c>
      <c r="G1559" t="str">
        <f t="shared" si="76"/>
        <v>신림동</v>
      </c>
    </row>
    <row r="1560" spans="1:9" x14ac:dyDescent="0.4">
      <c r="A1560">
        <v>3200000</v>
      </c>
      <c r="B1560" t="s">
        <v>8131</v>
      </c>
      <c r="C1560" s="1">
        <v>40375</v>
      </c>
      <c r="D1560" t="s">
        <v>8132</v>
      </c>
      <c r="E1560" t="str">
        <f t="shared" si="74"/>
        <v>서울특별시</v>
      </c>
      <c r="F1560" t="str">
        <f t="shared" si="75"/>
        <v xml:space="preserve">관악구 </v>
      </c>
      <c r="G1560" t="str">
        <f t="shared" si="76"/>
        <v>신림동</v>
      </c>
      <c r="H1560" t="s">
        <v>8114</v>
      </c>
      <c r="I1560">
        <v>8760</v>
      </c>
    </row>
    <row r="1561" spans="1:9" x14ac:dyDescent="0.4">
      <c r="A1561">
        <v>3200000</v>
      </c>
      <c r="B1561" t="s">
        <v>7907</v>
      </c>
      <c r="C1561" s="1">
        <v>42494</v>
      </c>
      <c r="D1561" t="s">
        <v>7908</v>
      </c>
      <c r="E1561" t="str">
        <f t="shared" si="74"/>
        <v>서울특별시</v>
      </c>
      <c r="F1561" t="str">
        <f t="shared" si="75"/>
        <v xml:space="preserve">관악구 </v>
      </c>
      <c r="G1561" t="str">
        <f t="shared" si="76"/>
        <v>신림동</v>
      </c>
      <c r="H1561" t="s">
        <v>7909</v>
      </c>
      <c r="I1561">
        <v>8760</v>
      </c>
    </row>
    <row r="1562" spans="1:9" x14ac:dyDescent="0.4">
      <c r="A1562">
        <v>3200000</v>
      </c>
      <c r="B1562" t="s">
        <v>8113</v>
      </c>
      <c r="C1562" s="1">
        <v>40081</v>
      </c>
      <c r="D1562" t="s">
        <v>7908</v>
      </c>
      <c r="E1562" t="str">
        <f t="shared" si="74"/>
        <v>서울특별시</v>
      </c>
      <c r="F1562" t="str">
        <f t="shared" si="75"/>
        <v xml:space="preserve">관악구 </v>
      </c>
      <c r="G1562" t="str">
        <f t="shared" si="76"/>
        <v>신림동</v>
      </c>
      <c r="H1562" t="s">
        <v>8114</v>
      </c>
      <c r="I1562">
        <v>8760</v>
      </c>
    </row>
    <row r="1563" spans="1:9" x14ac:dyDescent="0.4">
      <c r="A1563">
        <v>3200000</v>
      </c>
      <c r="B1563" t="s">
        <v>8572</v>
      </c>
      <c r="C1563" s="1">
        <v>36708</v>
      </c>
      <c r="D1563" t="s">
        <v>7908</v>
      </c>
      <c r="E1563" t="str">
        <f t="shared" si="74"/>
        <v>서울특별시</v>
      </c>
      <c r="F1563" t="str">
        <f t="shared" si="75"/>
        <v xml:space="preserve">관악구 </v>
      </c>
      <c r="G1563" t="str">
        <f t="shared" si="76"/>
        <v>신림동</v>
      </c>
    </row>
    <row r="1564" spans="1:9" x14ac:dyDescent="0.4">
      <c r="A1564">
        <v>3200000</v>
      </c>
      <c r="B1564" t="s">
        <v>8643</v>
      </c>
      <c r="C1564" s="1">
        <v>37055</v>
      </c>
      <c r="D1564" t="s">
        <v>7908</v>
      </c>
      <c r="E1564" t="str">
        <f t="shared" si="74"/>
        <v>서울특별시</v>
      </c>
      <c r="F1564" t="str">
        <f t="shared" si="75"/>
        <v xml:space="preserve">관악구 </v>
      </c>
      <c r="G1564" t="str">
        <f t="shared" si="76"/>
        <v>신림동</v>
      </c>
    </row>
    <row r="1565" spans="1:9" x14ac:dyDescent="0.4">
      <c r="A1565">
        <v>3200000</v>
      </c>
      <c r="B1565" t="s">
        <v>7958</v>
      </c>
      <c r="C1565" s="1">
        <v>38290</v>
      </c>
      <c r="D1565" t="s">
        <v>7959</v>
      </c>
      <c r="E1565" t="str">
        <f t="shared" si="74"/>
        <v>서울특별시</v>
      </c>
      <c r="F1565" t="str">
        <f t="shared" si="75"/>
        <v xml:space="preserve">관악구 </v>
      </c>
      <c r="G1565" t="str">
        <f t="shared" si="76"/>
        <v>신림동</v>
      </c>
      <c r="H1565" t="s">
        <v>7960</v>
      </c>
      <c r="I1565">
        <v>8760</v>
      </c>
    </row>
    <row r="1566" spans="1:9" x14ac:dyDescent="0.4">
      <c r="A1566">
        <v>3200000</v>
      </c>
      <c r="B1566" t="s">
        <v>8061</v>
      </c>
      <c r="C1566" s="1">
        <v>43655</v>
      </c>
      <c r="D1566" t="s">
        <v>8062</v>
      </c>
      <c r="E1566" t="str">
        <f t="shared" si="74"/>
        <v>서울특별시</v>
      </c>
      <c r="F1566" t="str">
        <f t="shared" si="75"/>
        <v xml:space="preserve">관악구 </v>
      </c>
      <c r="G1566" t="str">
        <f t="shared" si="76"/>
        <v>신림동</v>
      </c>
      <c r="H1566" t="s">
        <v>8063</v>
      </c>
      <c r="I1566">
        <v>8760</v>
      </c>
    </row>
    <row r="1567" spans="1:9" x14ac:dyDescent="0.4">
      <c r="A1567">
        <v>3200000</v>
      </c>
      <c r="B1567" t="s">
        <v>8129</v>
      </c>
      <c r="C1567" s="1">
        <v>40324</v>
      </c>
      <c r="D1567" t="s">
        <v>8062</v>
      </c>
      <c r="E1567" t="str">
        <f t="shared" si="74"/>
        <v>서울특별시</v>
      </c>
      <c r="F1567" t="str">
        <f t="shared" si="75"/>
        <v xml:space="preserve">관악구 </v>
      </c>
      <c r="G1567" t="str">
        <f t="shared" si="76"/>
        <v>신림동</v>
      </c>
      <c r="H1567" t="s">
        <v>8130</v>
      </c>
      <c r="I1567">
        <v>8760</v>
      </c>
    </row>
    <row r="1568" spans="1:9" x14ac:dyDescent="0.4">
      <c r="A1568">
        <v>3200000</v>
      </c>
      <c r="B1568" t="s">
        <v>8381</v>
      </c>
      <c r="C1568" s="1">
        <v>39611</v>
      </c>
      <c r="D1568" t="s">
        <v>8382</v>
      </c>
      <c r="E1568" t="str">
        <f t="shared" si="74"/>
        <v>서울특별시</v>
      </c>
      <c r="F1568" t="str">
        <f t="shared" si="75"/>
        <v xml:space="preserve">관악구 </v>
      </c>
      <c r="G1568" t="str">
        <f t="shared" si="76"/>
        <v>신림동</v>
      </c>
      <c r="H1568" t="s">
        <v>8383</v>
      </c>
      <c r="I1568">
        <v>8760</v>
      </c>
    </row>
    <row r="1569" spans="1:9" x14ac:dyDescent="0.4">
      <c r="A1569">
        <v>3200000</v>
      </c>
      <c r="B1569" t="s">
        <v>8064</v>
      </c>
      <c r="C1569" s="1">
        <v>43648</v>
      </c>
      <c r="D1569" t="s">
        <v>8065</v>
      </c>
      <c r="E1569" t="str">
        <f t="shared" si="74"/>
        <v>서울특별시</v>
      </c>
      <c r="F1569" t="str">
        <f t="shared" si="75"/>
        <v xml:space="preserve">관악구 </v>
      </c>
      <c r="G1569" t="str">
        <f t="shared" si="76"/>
        <v>신림동</v>
      </c>
      <c r="H1569" t="s">
        <v>8063</v>
      </c>
      <c r="I1569">
        <v>8760</v>
      </c>
    </row>
    <row r="1570" spans="1:9" x14ac:dyDescent="0.4">
      <c r="A1570">
        <v>3200000</v>
      </c>
      <c r="B1570" t="s">
        <v>7928</v>
      </c>
      <c r="C1570" s="1">
        <v>42744</v>
      </c>
      <c r="D1570" t="s">
        <v>7929</v>
      </c>
      <c r="E1570" t="str">
        <f t="shared" si="74"/>
        <v>서울특별시</v>
      </c>
      <c r="F1570" t="str">
        <f t="shared" si="75"/>
        <v xml:space="preserve">관악구 </v>
      </c>
      <c r="G1570" t="str">
        <f t="shared" si="76"/>
        <v>신림동</v>
      </c>
      <c r="H1570" t="s">
        <v>7930</v>
      </c>
      <c r="I1570">
        <v>8760</v>
      </c>
    </row>
    <row r="1571" spans="1:9" x14ac:dyDescent="0.4">
      <c r="A1571">
        <v>3200000</v>
      </c>
      <c r="B1571" t="s">
        <v>8434</v>
      </c>
      <c r="C1571" s="1">
        <v>40079</v>
      </c>
      <c r="D1571" t="s">
        <v>8435</v>
      </c>
      <c r="E1571" t="str">
        <f t="shared" si="74"/>
        <v>서울특별시</v>
      </c>
      <c r="F1571" t="str">
        <f t="shared" si="75"/>
        <v xml:space="preserve">관악구 </v>
      </c>
      <c r="G1571" t="str">
        <f t="shared" si="76"/>
        <v>신림동</v>
      </c>
      <c r="H1571" t="s">
        <v>8436</v>
      </c>
      <c r="I1571">
        <v>8760</v>
      </c>
    </row>
    <row r="1572" spans="1:9" x14ac:dyDescent="0.4">
      <c r="A1572">
        <v>3200000</v>
      </c>
      <c r="B1572" t="s">
        <v>171</v>
      </c>
      <c r="C1572" s="1">
        <v>36559</v>
      </c>
      <c r="D1572" t="s">
        <v>172</v>
      </c>
      <c r="E1572" t="str">
        <f t="shared" si="74"/>
        <v>서울특별시</v>
      </c>
      <c r="F1572" t="str">
        <f t="shared" si="75"/>
        <v xml:space="preserve">관악구 </v>
      </c>
      <c r="G1572" t="str">
        <f t="shared" si="76"/>
        <v>신림동</v>
      </c>
      <c r="H1572" t="s">
        <v>173</v>
      </c>
      <c r="I1572">
        <v>8760</v>
      </c>
    </row>
    <row r="1573" spans="1:9" x14ac:dyDescent="0.4">
      <c r="A1573">
        <v>3200000</v>
      </c>
      <c r="B1573" t="s">
        <v>8369</v>
      </c>
      <c r="C1573" s="1">
        <v>39476</v>
      </c>
      <c r="D1573" t="s">
        <v>8370</v>
      </c>
      <c r="E1573" t="str">
        <f t="shared" si="74"/>
        <v>서울특별시</v>
      </c>
      <c r="F1573" t="str">
        <f t="shared" si="75"/>
        <v xml:space="preserve">관악구 </v>
      </c>
      <c r="G1573" t="str">
        <f t="shared" si="76"/>
        <v>신림동</v>
      </c>
      <c r="H1573" t="s">
        <v>8371</v>
      </c>
      <c r="I1573">
        <v>8760</v>
      </c>
    </row>
    <row r="1574" spans="1:9" x14ac:dyDescent="0.4">
      <c r="A1574">
        <v>3200000</v>
      </c>
      <c r="B1574" t="s">
        <v>8740</v>
      </c>
      <c r="C1574" s="1">
        <v>43220</v>
      </c>
      <c r="D1574" t="s">
        <v>8741</v>
      </c>
      <c r="E1574" t="str">
        <f t="shared" si="74"/>
        <v>서울특별시</v>
      </c>
      <c r="F1574" t="str">
        <f t="shared" si="75"/>
        <v xml:space="preserve">관악구 </v>
      </c>
      <c r="G1574" t="str">
        <f t="shared" si="76"/>
        <v>신림동</v>
      </c>
      <c r="H1574" t="s">
        <v>8742</v>
      </c>
      <c r="I1574">
        <v>8760</v>
      </c>
    </row>
    <row r="1575" spans="1:9" x14ac:dyDescent="0.4">
      <c r="A1575">
        <v>3200000</v>
      </c>
      <c r="B1575" t="s">
        <v>8082</v>
      </c>
      <c r="C1575" s="1">
        <v>45462</v>
      </c>
      <c r="D1575" t="s">
        <v>8083</v>
      </c>
      <c r="E1575" t="str">
        <f t="shared" si="74"/>
        <v>서울특별시</v>
      </c>
      <c r="F1575" t="str">
        <f t="shared" si="75"/>
        <v xml:space="preserve">관악구 </v>
      </c>
      <c r="G1575" t="str">
        <f t="shared" si="76"/>
        <v>신림동</v>
      </c>
      <c r="H1575" t="s">
        <v>8084</v>
      </c>
      <c r="I1575">
        <v>8760</v>
      </c>
    </row>
    <row r="1576" spans="1:9" x14ac:dyDescent="0.4">
      <c r="A1576">
        <v>3200000</v>
      </c>
      <c r="B1576" t="s">
        <v>8085</v>
      </c>
      <c r="C1576" s="1">
        <v>45468</v>
      </c>
      <c r="D1576" t="s">
        <v>8083</v>
      </c>
      <c r="E1576" t="str">
        <f t="shared" si="74"/>
        <v>서울특별시</v>
      </c>
      <c r="F1576" t="str">
        <f t="shared" si="75"/>
        <v xml:space="preserve">관악구 </v>
      </c>
      <c r="G1576" t="str">
        <f t="shared" si="76"/>
        <v>신림동</v>
      </c>
      <c r="H1576" t="s">
        <v>8086</v>
      </c>
      <c r="I1576">
        <v>8760</v>
      </c>
    </row>
    <row r="1577" spans="1:9" x14ac:dyDescent="0.4">
      <c r="A1577">
        <v>3200000</v>
      </c>
      <c r="B1577" t="s">
        <v>8087</v>
      </c>
      <c r="C1577" s="1">
        <v>45468</v>
      </c>
      <c r="D1577" t="s">
        <v>8083</v>
      </c>
      <c r="E1577" t="str">
        <f t="shared" si="74"/>
        <v>서울특별시</v>
      </c>
      <c r="F1577" t="str">
        <f t="shared" si="75"/>
        <v xml:space="preserve">관악구 </v>
      </c>
      <c r="G1577" t="str">
        <f t="shared" si="76"/>
        <v>신림동</v>
      </c>
      <c r="H1577" t="s">
        <v>8086</v>
      </c>
      <c r="I1577">
        <v>8760</v>
      </c>
    </row>
    <row r="1578" spans="1:9" x14ac:dyDescent="0.4">
      <c r="A1578">
        <v>3200000</v>
      </c>
      <c r="B1578" t="s">
        <v>8543</v>
      </c>
      <c r="C1578" s="1">
        <v>44546</v>
      </c>
      <c r="D1578" t="s">
        <v>8083</v>
      </c>
      <c r="E1578" t="str">
        <f t="shared" si="74"/>
        <v>서울특별시</v>
      </c>
      <c r="F1578" t="str">
        <f t="shared" si="75"/>
        <v xml:space="preserve">관악구 </v>
      </c>
      <c r="G1578" t="str">
        <f t="shared" si="76"/>
        <v>신림동</v>
      </c>
      <c r="H1578" t="s">
        <v>8544</v>
      </c>
      <c r="I1578">
        <v>8760</v>
      </c>
    </row>
    <row r="1579" spans="1:9" x14ac:dyDescent="0.4">
      <c r="A1579">
        <v>3200000</v>
      </c>
      <c r="B1579" t="s">
        <v>8088</v>
      </c>
      <c r="C1579" s="1">
        <v>45462</v>
      </c>
      <c r="D1579" t="s">
        <v>8089</v>
      </c>
      <c r="E1579" t="str">
        <f t="shared" si="74"/>
        <v>서울특별시</v>
      </c>
      <c r="F1579" t="str">
        <f t="shared" si="75"/>
        <v xml:space="preserve">관악구 </v>
      </c>
      <c r="G1579" t="str">
        <f t="shared" si="76"/>
        <v>신림동</v>
      </c>
      <c r="H1579" t="s">
        <v>8090</v>
      </c>
      <c r="I1579">
        <v>8760</v>
      </c>
    </row>
    <row r="1580" spans="1:9" x14ac:dyDescent="0.4">
      <c r="A1580">
        <v>3200000</v>
      </c>
      <c r="B1580" t="s">
        <v>7931</v>
      </c>
      <c r="C1580" s="1">
        <v>42422</v>
      </c>
      <c r="D1580" t="s">
        <v>7932</v>
      </c>
      <c r="E1580" t="str">
        <f t="shared" si="74"/>
        <v>서울특별시</v>
      </c>
      <c r="F1580" t="str">
        <f t="shared" si="75"/>
        <v xml:space="preserve">관악구 </v>
      </c>
      <c r="G1580" t="str">
        <f t="shared" si="76"/>
        <v>신림동</v>
      </c>
      <c r="H1580" t="s">
        <v>7933</v>
      </c>
      <c r="I1580">
        <v>8760</v>
      </c>
    </row>
    <row r="1581" spans="1:9" x14ac:dyDescent="0.4">
      <c r="A1581">
        <v>3200000</v>
      </c>
      <c r="B1581" t="s">
        <v>7895</v>
      </c>
      <c r="C1581" s="1">
        <v>41743</v>
      </c>
      <c r="D1581" t="s">
        <v>7896</v>
      </c>
      <c r="E1581" t="str">
        <f t="shared" si="74"/>
        <v>서울특별시</v>
      </c>
      <c r="F1581" t="str">
        <f t="shared" si="75"/>
        <v xml:space="preserve">관악구 </v>
      </c>
      <c r="G1581" t="str">
        <f t="shared" si="76"/>
        <v>신림동</v>
      </c>
      <c r="H1581" t="s">
        <v>7897</v>
      </c>
      <c r="I1581">
        <v>8759</v>
      </c>
    </row>
    <row r="1582" spans="1:9" x14ac:dyDescent="0.4">
      <c r="A1582">
        <v>3200000</v>
      </c>
      <c r="B1582" t="s">
        <v>8009</v>
      </c>
      <c r="C1582" s="1">
        <v>41481</v>
      </c>
      <c r="D1582" t="s">
        <v>8010</v>
      </c>
      <c r="E1582" t="str">
        <f t="shared" si="74"/>
        <v>서울특별시</v>
      </c>
      <c r="F1582" t="str">
        <f t="shared" si="75"/>
        <v xml:space="preserve">관악구 </v>
      </c>
      <c r="G1582" t="str">
        <f t="shared" si="76"/>
        <v>신림동</v>
      </c>
      <c r="H1582" t="s">
        <v>8011</v>
      </c>
      <c r="I1582">
        <v>8759</v>
      </c>
    </row>
    <row r="1583" spans="1:9" x14ac:dyDescent="0.4">
      <c r="A1583">
        <v>3200000</v>
      </c>
      <c r="B1583" t="s">
        <v>8291</v>
      </c>
      <c r="C1583" s="1">
        <v>36864</v>
      </c>
      <c r="D1583" t="s">
        <v>8292</v>
      </c>
      <c r="E1583" t="str">
        <f t="shared" si="74"/>
        <v>서울특별시</v>
      </c>
      <c r="F1583" t="str">
        <f t="shared" si="75"/>
        <v xml:space="preserve">관악구 </v>
      </c>
      <c r="G1583" t="str">
        <f t="shared" si="76"/>
        <v>신림동</v>
      </c>
      <c r="H1583" t="s">
        <v>8293</v>
      </c>
      <c r="I1583">
        <v>8759</v>
      </c>
    </row>
    <row r="1584" spans="1:9" x14ac:dyDescent="0.4">
      <c r="A1584">
        <v>3200000</v>
      </c>
      <c r="B1584" t="s">
        <v>42</v>
      </c>
      <c r="C1584" s="1">
        <v>36988</v>
      </c>
      <c r="D1584" t="s">
        <v>43</v>
      </c>
      <c r="E1584" t="str">
        <f t="shared" si="74"/>
        <v>서울특별시</v>
      </c>
      <c r="F1584" t="str">
        <f t="shared" si="75"/>
        <v xml:space="preserve">관악구 </v>
      </c>
      <c r="G1584" t="str">
        <f t="shared" si="76"/>
        <v>신림동</v>
      </c>
      <c r="H1584" t="s">
        <v>44</v>
      </c>
      <c r="I1584">
        <v>8759</v>
      </c>
    </row>
    <row r="1585" spans="1:9" x14ac:dyDescent="0.4">
      <c r="A1585">
        <v>3200000</v>
      </c>
      <c r="B1585" t="s">
        <v>7934</v>
      </c>
      <c r="C1585" s="1">
        <v>37354</v>
      </c>
      <c r="D1585" t="s">
        <v>7935</v>
      </c>
      <c r="E1585" t="str">
        <f t="shared" si="74"/>
        <v>서울특별시</v>
      </c>
      <c r="F1585" t="str">
        <f t="shared" si="75"/>
        <v xml:space="preserve">관악구 </v>
      </c>
      <c r="G1585" t="str">
        <f t="shared" si="76"/>
        <v>신림동</v>
      </c>
      <c r="H1585" t="s">
        <v>7936</v>
      </c>
      <c r="I1585">
        <v>8759</v>
      </c>
    </row>
    <row r="1586" spans="1:9" x14ac:dyDescent="0.4">
      <c r="A1586">
        <v>3200000</v>
      </c>
      <c r="B1586" t="s">
        <v>8603</v>
      </c>
      <c r="C1586" s="1">
        <v>30985</v>
      </c>
      <c r="D1586" t="s">
        <v>8604</v>
      </c>
      <c r="E1586" t="str">
        <f t="shared" si="74"/>
        <v>서울특별시</v>
      </c>
      <c r="F1586" t="str">
        <f t="shared" si="75"/>
        <v xml:space="preserve">관악구 </v>
      </c>
      <c r="G1586" t="str">
        <f t="shared" si="76"/>
        <v>신림동</v>
      </c>
      <c r="H1586" t="s">
        <v>8605</v>
      </c>
      <c r="I1586">
        <v>8759</v>
      </c>
    </row>
    <row r="1587" spans="1:9" x14ac:dyDescent="0.4">
      <c r="A1587">
        <v>3200000</v>
      </c>
      <c r="B1587" t="s">
        <v>8686</v>
      </c>
      <c r="C1587" s="1">
        <v>37362</v>
      </c>
      <c r="D1587" t="s">
        <v>8687</v>
      </c>
      <c r="E1587" t="str">
        <f t="shared" si="74"/>
        <v>서울특별시</v>
      </c>
      <c r="F1587" t="str">
        <f t="shared" si="75"/>
        <v xml:space="preserve">관악구 </v>
      </c>
      <c r="G1587" t="str">
        <f t="shared" si="76"/>
        <v>신림동</v>
      </c>
    </row>
    <row r="1588" spans="1:9" x14ac:dyDescent="0.4">
      <c r="A1588">
        <v>3200000</v>
      </c>
      <c r="B1588" t="s">
        <v>8757</v>
      </c>
      <c r="C1588" s="1">
        <v>37621</v>
      </c>
      <c r="D1588" t="s">
        <v>8758</v>
      </c>
      <c r="E1588" t="str">
        <f t="shared" si="74"/>
        <v>서울특별시</v>
      </c>
      <c r="F1588" t="str">
        <f t="shared" si="75"/>
        <v xml:space="preserve">관악구 </v>
      </c>
      <c r="G1588" t="str">
        <f t="shared" si="76"/>
        <v>신림동</v>
      </c>
      <c r="H1588" t="s">
        <v>8759</v>
      </c>
    </row>
    <row r="1589" spans="1:9" x14ac:dyDescent="0.4">
      <c r="A1589">
        <v>3200000</v>
      </c>
      <c r="B1589" t="s">
        <v>7886</v>
      </c>
      <c r="C1589" s="1">
        <v>41600</v>
      </c>
      <c r="D1589" t="s">
        <v>7887</v>
      </c>
      <c r="E1589" t="str">
        <f t="shared" si="74"/>
        <v>서울특별시</v>
      </c>
      <c r="F1589" t="str">
        <f t="shared" si="75"/>
        <v xml:space="preserve">관악구 </v>
      </c>
      <c r="G1589" t="str">
        <f t="shared" si="76"/>
        <v>신림동</v>
      </c>
      <c r="H1589" t="s">
        <v>7888</v>
      </c>
      <c r="I1589">
        <v>8759</v>
      </c>
    </row>
    <row r="1590" spans="1:9" x14ac:dyDescent="0.4">
      <c r="A1590">
        <v>3200000</v>
      </c>
      <c r="B1590" t="s">
        <v>8640</v>
      </c>
      <c r="C1590" s="1">
        <v>37054</v>
      </c>
      <c r="D1590" t="s">
        <v>8641</v>
      </c>
      <c r="E1590" t="str">
        <f t="shared" si="74"/>
        <v>서울특별시</v>
      </c>
      <c r="F1590" t="str">
        <f t="shared" si="75"/>
        <v xml:space="preserve">관악구 </v>
      </c>
      <c r="G1590" t="str">
        <f t="shared" si="76"/>
        <v>신림동</v>
      </c>
      <c r="H1590" t="s">
        <v>8642</v>
      </c>
      <c r="I1590">
        <v>8759</v>
      </c>
    </row>
    <row r="1591" spans="1:9" x14ac:dyDescent="0.4">
      <c r="A1591">
        <v>3200000</v>
      </c>
      <c r="B1591" t="s">
        <v>8726</v>
      </c>
      <c r="C1591" s="1">
        <v>39897</v>
      </c>
      <c r="D1591" t="s">
        <v>8727</v>
      </c>
      <c r="E1591" t="str">
        <f t="shared" si="74"/>
        <v>서울특별시</v>
      </c>
      <c r="F1591" t="str">
        <f t="shared" si="75"/>
        <v xml:space="preserve">관악구 </v>
      </c>
      <c r="G1591" t="str">
        <f t="shared" si="76"/>
        <v>신림동</v>
      </c>
      <c r="H1591" t="s">
        <v>8728</v>
      </c>
      <c r="I1591">
        <v>8759</v>
      </c>
    </row>
    <row r="1592" spans="1:9" x14ac:dyDescent="0.4">
      <c r="A1592">
        <v>3200000</v>
      </c>
      <c r="B1592" t="s">
        <v>8714</v>
      </c>
      <c r="C1592" s="1">
        <v>39476</v>
      </c>
      <c r="D1592" t="s">
        <v>8715</v>
      </c>
      <c r="E1592" t="str">
        <f t="shared" si="74"/>
        <v>서울특별시</v>
      </c>
      <c r="F1592" t="str">
        <f t="shared" si="75"/>
        <v xml:space="preserve">관악구 </v>
      </c>
      <c r="G1592" t="str">
        <f t="shared" si="76"/>
        <v>신림동</v>
      </c>
      <c r="H1592" t="s">
        <v>8716</v>
      </c>
      <c r="I1592">
        <v>8759</v>
      </c>
    </row>
    <row r="1593" spans="1:9" x14ac:dyDescent="0.4">
      <c r="A1593">
        <v>3200000</v>
      </c>
      <c r="B1593" t="s">
        <v>8149</v>
      </c>
      <c r="C1593" s="1">
        <v>37666</v>
      </c>
      <c r="D1593" t="s">
        <v>8150</v>
      </c>
      <c r="E1593" t="str">
        <f t="shared" si="74"/>
        <v>서울특별시</v>
      </c>
      <c r="F1593" t="str">
        <f t="shared" si="75"/>
        <v xml:space="preserve">관악구 </v>
      </c>
      <c r="G1593" t="str">
        <f t="shared" si="76"/>
        <v>신림동</v>
      </c>
      <c r="H1593" t="s">
        <v>8151</v>
      </c>
      <c r="I1593">
        <v>8759</v>
      </c>
    </row>
    <row r="1594" spans="1:9" x14ac:dyDescent="0.4">
      <c r="A1594">
        <v>3200000</v>
      </c>
      <c r="B1594" t="s">
        <v>8811</v>
      </c>
      <c r="C1594" s="1">
        <v>31617</v>
      </c>
      <c r="D1594" t="s">
        <v>8812</v>
      </c>
      <c r="E1594" t="str">
        <f t="shared" si="74"/>
        <v>서울특별시</v>
      </c>
      <c r="F1594" t="str">
        <f t="shared" si="75"/>
        <v xml:space="preserve">관악구 </v>
      </c>
      <c r="G1594" t="str">
        <f t="shared" si="76"/>
        <v>신림동</v>
      </c>
      <c r="H1594" t="s">
        <v>8813</v>
      </c>
      <c r="I1594">
        <v>8759</v>
      </c>
    </row>
    <row r="1595" spans="1:9" x14ac:dyDescent="0.4">
      <c r="A1595">
        <v>3200000</v>
      </c>
      <c r="B1595" t="s">
        <v>8750</v>
      </c>
      <c r="C1595" s="1">
        <v>37578</v>
      </c>
      <c r="D1595" t="s">
        <v>8751</v>
      </c>
      <c r="E1595" t="str">
        <f t="shared" si="74"/>
        <v>서울특별시</v>
      </c>
      <c r="F1595" t="str">
        <f t="shared" si="75"/>
        <v xml:space="preserve">관악구 </v>
      </c>
      <c r="G1595" t="str">
        <f t="shared" si="76"/>
        <v>신림동</v>
      </c>
    </row>
    <row r="1596" spans="1:9" x14ac:dyDescent="0.4">
      <c r="A1596">
        <v>3200000</v>
      </c>
      <c r="B1596" t="s">
        <v>8098</v>
      </c>
      <c r="C1596" s="1">
        <v>37042</v>
      </c>
      <c r="D1596" t="s">
        <v>8099</v>
      </c>
      <c r="E1596" t="str">
        <f t="shared" si="74"/>
        <v>서울특별시</v>
      </c>
      <c r="F1596" t="str">
        <f t="shared" si="75"/>
        <v xml:space="preserve">관악구 </v>
      </c>
      <c r="G1596" t="str">
        <f t="shared" si="76"/>
        <v>신림동</v>
      </c>
      <c r="H1596" t="s">
        <v>8100</v>
      </c>
      <c r="I1596">
        <v>8759</v>
      </c>
    </row>
    <row r="1597" spans="1:9" x14ac:dyDescent="0.4">
      <c r="A1597">
        <v>3200000</v>
      </c>
      <c r="B1597" t="s">
        <v>8584</v>
      </c>
      <c r="C1597" s="1">
        <v>29454</v>
      </c>
      <c r="D1597" t="s">
        <v>8585</v>
      </c>
      <c r="E1597" t="str">
        <f t="shared" si="74"/>
        <v>서울특별시</v>
      </c>
      <c r="F1597" t="str">
        <f t="shared" si="75"/>
        <v xml:space="preserve">관악구 </v>
      </c>
      <c r="G1597" t="str">
        <f t="shared" si="76"/>
        <v>신림동</v>
      </c>
    </row>
    <row r="1598" spans="1:9" x14ac:dyDescent="0.4">
      <c r="A1598">
        <v>3200000</v>
      </c>
      <c r="B1598" t="s">
        <v>8395</v>
      </c>
      <c r="C1598" s="1">
        <v>40007</v>
      </c>
      <c r="D1598" t="s">
        <v>8396</v>
      </c>
      <c r="E1598" t="str">
        <f t="shared" si="74"/>
        <v>서울특별시</v>
      </c>
      <c r="F1598" t="str">
        <f t="shared" si="75"/>
        <v xml:space="preserve">관악구 </v>
      </c>
      <c r="G1598" t="str">
        <f t="shared" si="76"/>
        <v>신림동</v>
      </c>
      <c r="H1598" t="s">
        <v>8397</v>
      </c>
      <c r="I1598">
        <v>8759</v>
      </c>
    </row>
    <row r="1599" spans="1:9" x14ac:dyDescent="0.4">
      <c r="A1599">
        <v>3200000</v>
      </c>
      <c r="B1599" t="s">
        <v>8763</v>
      </c>
      <c r="C1599" s="1">
        <v>36705</v>
      </c>
      <c r="D1599" t="s">
        <v>8764</v>
      </c>
      <c r="E1599" t="str">
        <f t="shared" si="74"/>
        <v>서울특별시</v>
      </c>
      <c r="F1599" t="str">
        <f t="shared" si="75"/>
        <v xml:space="preserve">관악구 </v>
      </c>
      <c r="G1599" t="str">
        <f t="shared" si="76"/>
        <v>신림동</v>
      </c>
    </row>
    <row r="1600" spans="1:9" x14ac:dyDescent="0.4">
      <c r="A1600">
        <v>3200000</v>
      </c>
      <c r="B1600" t="s">
        <v>8832</v>
      </c>
      <c r="C1600" s="1">
        <v>30733</v>
      </c>
      <c r="D1600" t="s">
        <v>8764</v>
      </c>
      <c r="E1600" t="str">
        <f t="shared" si="74"/>
        <v>서울특별시</v>
      </c>
      <c r="F1600" t="str">
        <f t="shared" si="75"/>
        <v xml:space="preserve">관악구 </v>
      </c>
      <c r="G1600" t="str">
        <f t="shared" si="76"/>
        <v>신림동</v>
      </c>
    </row>
    <row r="1601" spans="1:9" x14ac:dyDescent="0.4">
      <c r="A1601">
        <v>3200000</v>
      </c>
      <c r="B1601" t="s">
        <v>8278</v>
      </c>
      <c r="C1601" s="1">
        <v>36787</v>
      </c>
      <c r="D1601" t="s">
        <v>8279</v>
      </c>
      <c r="E1601" t="str">
        <f t="shared" si="74"/>
        <v>서울특별시</v>
      </c>
      <c r="F1601" t="str">
        <f t="shared" si="75"/>
        <v xml:space="preserve">관악구 </v>
      </c>
      <c r="G1601" t="str">
        <f t="shared" si="76"/>
        <v>신림동</v>
      </c>
    </row>
    <row r="1602" spans="1:9" x14ac:dyDescent="0.4">
      <c r="A1602">
        <v>3200000</v>
      </c>
      <c r="B1602" t="s">
        <v>8363</v>
      </c>
      <c r="C1602" s="1">
        <v>45253</v>
      </c>
      <c r="D1602" t="s">
        <v>8364</v>
      </c>
      <c r="E1602" t="str">
        <f t="shared" si="74"/>
        <v>서울특별시</v>
      </c>
      <c r="F1602" t="str">
        <f t="shared" si="75"/>
        <v xml:space="preserve">관악구 </v>
      </c>
      <c r="G1602" t="str">
        <f t="shared" si="76"/>
        <v>신림동</v>
      </c>
      <c r="H1602" t="s">
        <v>8365</v>
      </c>
      <c r="I1602">
        <v>8759</v>
      </c>
    </row>
    <row r="1603" spans="1:9" x14ac:dyDescent="0.4">
      <c r="A1603">
        <v>3200000</v>
      </c>
      <c r="B1603" t="s">
        <v>8629</v>
      </c>
      <c r="C1603" s="1">
        <v>31026</v>
      </c>
      <c r="D1603" t="s">
        <v>8630</v>
      </c>
      <c r="E1603" t="str">
        <f t="shared" ref="E1603:E1666" si="77">LEFT(D1603,5)</f>
        <v>서울특별시</v>
      </c>
      <c r="F1603" t="str">
        <f t="shared" ref="F1603:F1666" si="78">MID(D1603,7,4)</f>
        <v xml:space="preserve">관악구 </v>
      </c>
      <c r="G1603" t="str">
        <f t="shared" ref="G1603:G1666" si="79">MID(SUBSTITUTE(D1603," ",""),9,3)</f>
        <v>신림동</v>
      </c>
    </row>
    <row r="1604" spans="1:9" x14ac:dyDescent="0.4">
      <c r="A1604">
        <v>3200000</v>
      </c>
      <c r="B1604" t="s">
        <v>7970</v>
      </c>
      <c r="C1604" s="1">
        <v>36509</v>
      </c>
      <c r="D1604" t="s">
        <v>7971</v>
      </c>
      <c r="E1604" t="str">
        <f t="shared" si="77"/>
        <v>서울특별시</v>
      </c>
      <c r="F1604" t="str">
        <f t="shared" si="78"/>
        <v xml:space="preserve">관악구 </v>
      </c>
      <c r="G1604" t="str">
        <f t="shared" si="79"/>
        <v>신림동</v>
      </c>
      <c r="H1604" t="s">
        <v>7972</v>
      </c>
      <c r="I1604">
        <v>8759</v>
      </c>
    </row>
    <row r="1605" spans="1:9" x14ac:dyDescent="0.4">
      <c r="A1605">
        <v>3200000</v>
      </c>
      <c r="B1605" t="s">
        <v>8046</v>
      </c>
      <c r="C1605" s="1">
        <v>42165</v>
      </c>
      <c r="D1605" t="s">
        <v>8047</v>
      </c>
      <c r="E1605" t="str">
        <f t="shared" si="77"/>
        <v>서울특별시</v>
      </c>
      <c r="F1605" t="str">
        <f t="shared" si="78"/>
        <v xml:space="preserve">관악구 </v>
      </c>
      <c r="G1605" t="str">
        <f t="shared" si="79"/>
        <v>신림동</v>
      </c>
      <c r="H1605" t="s">
        <v>8048</v>
      </c>
      <c r="I1605">
        <v>8759</v>
      </c>
    </row>
    <row r="1606" spans="1:9" x14ac:dyDescent="0.4">
      <c r="A1606">
        <v>3200000</v>
      </c>
      <c r="B1606" t="s">
        <v>8313</v>
      </c>
      <c r="C1606" s="1">
        <v>36521</v>
      </c>
      <c r="D1606" t="s">
        <v>8047</v>
      </c>
      <c r="E1606" t="str">
        <f t="shared" si="77"/>
        <v>서울특별시</v>
      </c>
      <c r="F1606" t="str">
        <f t="shared" si="78"/>
        <v xml:space="preserve">관악구 </v>
      </c>
      <c r="G1606" t="str">
        <f t="shared" si="79"/>
        <v>신림동</v>
      </c>
    </row>
    <row r="1607" spans="1:9" x14ac:dyDescent="0.4">
      <c r="A1607">
        <v>3200000</v>
      </c>
      <c r="B1607" t="s">
        <v>8627</v>
      </c>
      <c r="C1607" s="1">
        <v>31527</v>
      </c>
      <c r="D1607" t="s">
        <v>8628</v>
      </c>
      <c r="E1607" t="str">
        <f t="shared" si="77"/>
        <v>서울특별시</v>
      </c>
      <c r="F1607" t="str">
        <f t="shared" si="78"/>
        <v xml:space="preserve">관악구 </v>
      </c>
      <c r="G1607" t="str">
        <f t="shared" si="79"/>
        <v>신림동</v>
      </c>
    </row>
    <row r="1608" spans="1:9" x14ac:dyDescent="0.4">
      <c r="A1608">
        <v>3200000</v>
      </c>
      <c r="B1608" t="s">
        <v>8569</v>
      </c>
      <c r="C1608" s="1">
        <v>36706</v>
      </c>
      <c r="D1608" t="s">
        <v>8570</v>
      </c>
      <c r="E1608" t="str">
        <f t="shared" si="77"/>
        <v>서울특별시</v>
      </c>
      <c r="F1608" t="str">
        <f t="shared" si="78"/>
        <v xml:space="preserve">관악구 </v>
      </c>
      <c r="G1608" t="str">
        <f t="shared" si="79"/>
        <v>신림동</v>
      </c>
      <c r="H1608" t="s">
        <v>8571</v>
      </c>
    </row>
    <row r="1609" spans="1:9" x14ac:dyDescent="0.4">
      <c r="A1609">
        <v>3200000</v>
      </c>
      <c r="B1609" t="s">
        <v>8509</v>
      </c>
      <c r="C1609" s="1">
        <v>36547</v>
      </c>
      <c r="D1609" t="s">
        <v>8510</v>
      </c>
      <c r="E1609" t="str">
        <f t="shared" si="77"/>
        <v>서울특별시</v>
      </c>
      <c r="F1609" t="str">
        <f t="shared" si="78"/>
        <v xml:space="preserve">관악구 </v>
      </c>
      <c r="G1609" t="str">
        <f t="shared" si="79"/>
        <v>신림동</v>
      </c>
      <c r="H1609" t="s">
        <v>8511</v>
      </c>
      <c r="I1609">
        <v>8771</v>
      </c>
    </row>
    <row r="1610" spans="1:9" x14ac:dyDescent="0.4">
      <c r="A1610">
        <v>3200000</v>
      </c>
      <c r="B1610" t="s">
        <v>8175</v>
      </c>
      <c r="C1610" s="1">
        <v>36609</v>
      </c>
      <c r="D1610" t="s">
        <v>8176</v>
      </c>
      <c r="E1610" t="str">
        <f t="shared" si="77"/>
        <v>서울특별시</v>
      </c>
      <c r="F1610" t="str">
        <f t="shared" si="78"/>
        <v xml:space="preserve">관악구 </v>
      </c>
      <c r="G1610" t="str">
        <f t="shared" si="79"/>
        <v>신림동</v>
      </c>
      <c r="H1610" t="s">
        <v>8177</v>
      </c>
      <c r="I1610">
        <v>8771</v>
      </c>
    </row>
    <row r="1611" spans="1:9" x14ac:dyDescent="0.4">
      <c r="A1611">
        <v>3200000</v>
      </c>
      <c r="B1611" t="s">
        <v>8294</v>
      </c>
      <c r="C1611" s="1">
        <v>36864</v>
      </c>
      <c r="D1611" t="s">
        <v>8295</v>
      </c>
      <c r="E1611" t="str">
        <f t="shared" si="77"/>
        <v>서울특별시</v>
      </c>
      <c r="F1611" t="str">
        <f t="shared" si="78"/>
        <v xml:space="preserve">관악구 </v>
      </c>
      <c r="G1611" t="str">
        <f t="shared" si="79"/>
        <v>신림동</v>
      </c>
    </row>
    <row r="1612" spans="1:9" x14ac:dyDescent="0.4">
      <c r="A1612">
        <v>3200000</v>
      </c>
      <c r="B1612" t="s">
        <v>7916</v>
      </c>
      <c r="C1612" s="1">
        <v>37319</v>
      </c>
      <c r="D1612" t="s">
        <v>7917</v>
      </c>
      <c r="E1612" t="str">
        <f t="shared" si="77"/>
        <v>서울특별시</v>
      </c>
      <c r="F1612" t="str">
        <f t="shared" si="78"/>
        <v xml:space="preserve">관악구 </v>
      </c>
      <c r="G1612" t="str">
        <f t="shared" si="79"/>
        <v>신림동</v>
      </c>
      <c r="H1612" t="s">
        <v>7918</v>
      </c>
      <c r="I1612">
        <v>8771</v>
      </c>
    </row>
    <row r="1613" spans="1:9" x14ac:dyDescent="0.4">
      <c r="A1613">
        <v>3200000</v>
      </c>
      <c r="B1613" t="s">
        <v>7949</v>
      </c>
      <c r="C1613" s="1">
        <v>38000</v>
      </c>
      <c r="D1613" t="s">
        <v>7950</v>
      </c>
      <c r="E1613" t="str">
        <f t="shared" si="77"/>
        <v>서울특별시</v>
      </c>
      <c r="F1613" t="str">
        <f t="shared" si="78"/>
        <v xml:space="preserve">관악구 </v>
      </c>
      <c r="G1613" t="str">
        <f t="shared" si="79"/>
        <v>신림동</v>
      </c>
      <c r="H1613" t="s">
        <v>7951</v>
      </c>
      <c r="I1613">
        <v>8771</v>
      </c>
    </row>
    <row r="1614" spans="1:9" x14ac:dyDescent="0.4">
      <c r="A1614">
        <v>3200000</v>
      </c>
      <c r="B1614" t="s">
        <v>8560</v>
      </c>
      <c r="C1614" s="1">
        <v>36906</v>
      </c>
      <c r="D1614" t="s">
        <v>8561</v>
      </c>
      <c r="E1614" t="str">
        <f t="shared" si="77"/>
        <v>서울특별시</v>
      </c>
      <c r="F1614" t="str">
        <f t="shared" si="78"/>
        <v xml:space="preserve">관악구 </v>
      </c>
      <c r="G1614" t="str">
        <f t="shared" si="79"/>
        <v>신림동</v>
      </c>
      <c r="H1614" t="s">
        <v>8562</v>
      </c>
      <c r="I1614">
        <v>8846</v>
      </c>
    </row>
    <row r="1615" spans="1:9" x14ac:dyDescent="0.4">
      <c r="A1615">
        <v>3200000</v>
      </c>
      <c r="B1615" t="s">
        <v>8545</v>
      </c>
      <c r="C1615" s="1">
        <v>37011</v>
      </c>
      <c r="D1615" t="s">
        <v>8546</v>
      </c>
      <c r="E1615" t="str">
        <f t="shared" si="77"/>
        <v>서울특별시</v>
      </c>
      <c r="F1615" t="str">
        <f t="shared" si="78"/>
        <v xml:space="preserve">관악구 </v>
      </c>
      <c r="G1615" t="str">
        <f t="shared" si="79"/>
        <v>신림동</v>
      </c>
      <c r="H1615" t="s">
        <v>8547</v>
      </c>
      <c r="I1615">
        <v>8846</v>
      </c>
    </row>
    <row r="1616" spans="1:9" x14ac:dyDescent="0.4">
      <c r="A1616">
        <v>3200000</v>
      </c>
      <c r="B1616" t="s">
        <v>7946</v>
      </c>
      <c r="C1616" s="1">
        <v>29518</v>
      </c>
      <c r="D1616" t="s">
        <v>7947</v>
      </c>
      <c r="E1616" t="str">
        <f t="shared" si="77"/>
        <v>서울특별시</v>
      </c>
      <c r="F1616" t="str">
        <f t="shared" si="78"/>
        <v xml:space="preserve">관악구 </v>
      </c>
      <c r="G1616" t="str">
        <f t="shared" si="79"/>
        <v>신림동</v>
      </c>
      <c r="H1616" t="s">
        <v>7948</v>
      </c>
      <c r="I1616">
        <v>8772</v>
      </c>
    </row>
    <row r="1617" spans="1:9" x14ac:dyDescent="0.4">
      <c r="A1617">
        <v>3200000</v>
      </c>
      <c r="B1617" t="s">
        <v>8731</v>
      </c>
      <c r="C1617" s="1">
        <v>37155</v>
      </c>
      <c r="D1617" t="s">
        <v>8732</v>
      </c>
      <c r="E1617" t="str">
        <f t="shared" si="77"/>
        <v>서울특별시</v>
      </c>
      <c r="F1617" t="str">
        <f t="shared" si="78"/>
        <v xml:space="preserve">관악구 </v>
      </c>
      <c r="G1617" t="str">
        <f t="shared" si="79"/>
        <v>신림동</v>
      </c>
    </row>
    <row r="1618" spans="1:9" x14ac:dyDescent="0.4">
      <c r="A1618">
        <v>3200000</v>
      </c>
      <c r="B1618" t="s">
        <v>8791</v>
      </c>
      <c r="C1618" s="1">
        <v>36685</v>
      </c>
      <c r="D1618" t="s">
        <v>8792</v>
      </c>
      <c r="E1618" t="str">
        <f t="shared" si="77"/>
        <v>서울특별시</v>
      </c>
      <c r="F1618" t="str">
        <f t="shared" si="78"/>
        <v xml:space="preserve">관악구 </v>
      </c>
      <c r="G1618" t="str">
        <f t="shared" si="79"/>
        <v>신림동</v>
      </c>
    </row>
    <row r="1619" spans="1:9" x14ac:dyDescent="0.4">
      <c r="A1619">
        <v>3200000</v>
      </c>
      <c r="B1619" t="s">
        <v>8555</v>
      </c>
      <c r="C1619" s="1">
        <v>36889</v>
      </c>
      <c r="D1619" t="s">
        <v>8556</v>
      </c>
      <c r="E1619" t="str">
        <f t="shared" si="77"/>
        <v>서울특별시</v>
      </c>
      <c r="F1619" t="str">
        <f t="shared" si="78"/>
        <v xml:space="preserve">관악구 </v>
      </c>
      <c r="G1619" t="str">
        <f t="shared" si="79"/>
        <v>신림동</v>
      </c>
      <c r="H1619" t="s">
        <v>8557</v>
      </c>
    </row>
    <row r="1620" spans="1:9" x14ac:dyDescent="0.4">
      <c r="A1620">
        <v>3200000</v>
      </c>
      <c r="B1620" t="s">
        <v>8515</v>
      </c>
      <c r="C1620" s="1">
        <v>36551</v>
      </c>
      <c r="D1620" t="s">
        <v>8516</v>
      </c>
      <c r="E1620" t="str">
        <f t="shared" si="77"/>
        <v>서울특별시</v>
      </c>
      <c r="F1620" t="str">
        <f t="shared" si="78"/>
        <v xml:space="preserve">관악구 </v>
      </c>
      <c r="G1620" t="str">
        <f t="shared" si="79"/>
        <v>신림동</v>
      </c>
      <c r="H1620" t="s">
        <v>8517</v>
      </c>
    </row>
    <row r="1621" spans="1:9" x14ac:dyDescent="0.4">
      <c r="A1621">
        <v>3200000</v>
      </c>
      <c r="B1621" t="s">
        <v>8398</v>
      </c>
      <c r="C1621" s="1">
        <v>40029</v>
      </c>
      <c r="D1621" t="s">
        <v>8399</v>
      </c>
      <c r="E1621" t="str">
        <f t="shared" si="77"/>
        <v>서울특별시</v>
      </c>
      <c r="F1621" t="str">
        <f t="shared" si="78"/>
        <v xml:space="preserve">관악구 </v>
      </c>
      <c r="G1621" t="str">
        <f t="shared" si="79"/>
        <v>신림동</v>
      </c>
      <c r="H1621" t="s">
        <v>8400</v>
      </c>
      <c r="I1621">
        <v>8772</v>
      </c>
    </row>
    <row r="1622" spans="1:9" x14ac:dyDescent="0.4">
      <c r="A1622">
        <v>3200000</v>
      </c>
      <c r="B1622" t="s">
        <v>8648</v>
      </c>
      <c r="C1622" s="1">
        <v>37067</v>
      </c>
      <c r="D1622" t="s">
        <v>8399</v>
      </c>
      <c r="E1622" t="str">
        <f t="shared" si="77"/>
        <v>서울특별시</v>
      </c>
      <c r="F1622" t="str">
        <f t="shared" si="78"/>
        <v xml:space="preserve">관악구 </v>
      </c>
      <c r="G1622" t="str">
        <f t="shared" si="79"/>
        <v>신림동</v>
      </c>
    </row>
    <row r="1623" spans="1:9" x14ac:dyDescent="0.4">
      <c r="A1623">
        <v>3200000</v>
      </c>
      <c r="B1623" t="s">
        <v>8410</v>
      </c>
      <c r="C1623" s="1">
        <v>37229</v>
      </c>
      <c r="D1623" t="s">
        <v>8411</v>
      </c>
      <c r="E1623" t="str">
        <f t="shared" si="77"/>
        <v>서울특별시</v>
      </c>
      <c r="F1623" t="str">
        <f t="shared" si="78"/>
        <v xml:space="preserve">관악구 </v>
      </c>
      <c r="G1623" t="str">
        <f t="shared" si="79"/>
        <v>신림동</v>
      </c>
      <c r="H1623" t="s">
        <v>8412</v>
      </c>
      <c r="I1623">
        <v>8776</v>
      </c>
    </row>
    <row r="1624" spans="1:9" x14ac:dyDescent="0.4">
      <c r="A1624">
        <v>3200000</v>
      </c>
      <c r="B1624" t="s">
        <v>8160</v>
      </c>
      <c r="C1624" s="1">
        <v>40169</v>
      </c>
      <c r="D1624" t="s">
        <v>8161</v>
      </c>
      <c r="E1624" t="str">
        <f t="shared" si="77"/>
        <v>서울특별시</v>
      </c>
      <c r="F1624" t="str">
        <f t="shared" si="78"/>
        <v xml:space="preserve">관악구 </v>
      </c>
      <c r="G1624" t="str">
        <f t="shared" si="79"/>
        <v>신림동</v>
      </c>
      <c r="H1624" t="s">
        <v>8162</v>
      </c>
      <c r="I1624">
        <v>8776</v>
      </c>
    </row>
    <row r="1625" spans="1:9" x14ac:dyDescent="0.4">
      <c r="A1625">
        <v>3200000</v>
      </c>
      <c r="B1625" t="s">
        <v>8322</v>
      </c>
      <c r="C1625" s="1">
        <v>41745</v>
      </c>
      <c r="D1625" t="s">
        <v>8323</v>
      </c>
      <c r="E1625" t="str">
        <f t="shared" si="77"/>
        <v>서울특별시</v>
      </c>
      <c r="F1625" t="str">
        <f t="shared" si="78"/>
        <v xml:space="preserve">관악구 </v>
      </c>
      <c r="G1625" t="str">
        <f t="shared" si="79"/>
        <v>신림동</v>
      </c>
      <c r="H1625" t="s">
        <v>8324</v>
      </c>
      <c r="I1625">
        <v>8776</v>
      </c>
    </row>
    <row r="1626" spans="1:9" x14ac:dyDescent="0.4">
      <c r="A1626">
        <v>3200000</v>
      </c>
      <c r="B1626" t="s">
        <v>8617</v>
      </c>
      <c r="C1626" s="1">
        <v>31282</v>
      </c>
      <c r="D1626" t="s">
        <v>8618</v>
      </c>
      <c r="E1626" t="str">
        <f t="shared" si="77"/>
        <v>서울특별시</v>
      </c>
      <c r="F1626" t="str">
        <f t="shared" si="78"/>
        <v xml:space="preserve">관악구 </v>
      </c>
      <c r="G1626" t="str">
        <f t="shared" si="79"/>
        <v>신림동</v>
      </c>
    </row>
    <row r="1627" spans="1:9" x14ac:dyDescent="0.4">
      <c r="A1627">
        <v>3200000</v>
      </c>
      <c r="B1627" t="s">
        <v>8527</v>
      </c>
      <c r="C1627" s="1">
        <v>40848</v>
      </c>
      <c r="D1627" t="s">
        <v>8528</v>
      </c>
      <c r="E1627" t="str">
        <f t="shared" si="77"/>
        <v>서울특별시</v>
      </c>
      <c r="F1627" t="str">
        <f t="shared" si="78"/>
        <v xml:space="preserve">관악구 </v>
      </c>
      <c r="G1627" t="str">
        <f t="shared" si="79"/>
        <v>신림동</v>
      </c>
      <c r="H1627" t="s">
        <v>8529</v>
      </c>
      <c r="I1627">
        <v>8776</v>
      </c>
    </row>
    <row r="1628" spans="1:9" x14ac:dyDescent="0.4">
      <c r="A1628">
        <v>3200000</v>
      </c>
      <c r="B1628" t="s">
        <v>8530</v>
      </c>
      <c r="C1628" s="1">
        <v>40848</v>
      </c>
      <c r="D1628" t="s">
        <v>8528</v>
      </c>
      <c r="E1628" t="str">
        <f t="shared" si="77"/>
        <v>서울특별시</v>
      </c>
      <c r="F1628" t="str">
        <f t="shared" si="78"/>
        <v xml:space="preserve">관악구 </v>
      </c>
      <c r="G1628" t="str">
        <f t="shared" si="79"/>
        <v>신림동</v>
      </c>
      <c r="H1628" t="s">
        <v>8529</v>
      </c>
      <c r="I1628">
        <v>8776</v>
      </c>
    </row>
    <row r="1629" spans="1:9" x14ac:dyDescent="0.4">
      <c r="A1629">
        <v>3200000</v>
      </c>
      <c r="B1629" t="s">
        <v>153</v>
      </c>
      <c r="C1629" s="1">
        <v>45924</v>
      </c>
      <c r="D1629" t="s">
        <v>154</v>
      </c>
      <c r="E1629" t="str">
        <f t="shared" si="77"/>
        <v>서울특별시</v>
      </c>
      <c r="F1629" t="str">
        <f t="shared" si="78"/>
        <v xml:space="preserve">관악구 </v>
      </c>
      <c r="G1629" t="str">
        <f t="shared" si="79"/>
        <v>신림동</v>
      </c>
      <c r="H1629" t="s">
        <v>155</v>
      </c>
      <c r="I1629">
        <v>8776</v>
      </c>
    </row>
    <row r="1630" spans="1:9" x14ac:dyDescent="0.4">
      <c r="A1630">
        <v>3200000</v>
      </c>
      <c r="B1630" t="s">
        <v>8419</v>
      </c>
      <c r="C1630" s="1">
        <v>42874</v>
      </c>
      <c r="D1630" t="s">
        <v>8420</v>
      </c>
      <c r="E1630" t="str">
        <f t="shared" si="77"/>
        <v>서울특별시</v>
      </c>
      <c r="F1630" t="str">
        <f t="shared" si="78"/>
        <v xml:space="preserve">관악구 </v>
      </c>
      <c r="G1630" t="str">
        <f t="shared" si="79"/>
        <v>신림동</v>
      </c>
      <c r="H1630" t="s">
        <v>8421</v>
      </c>
      <c r="I1630">
        <v>8776</v>
      </c>
    </row>
    <row r="1631" spans="1:9" x14ac:dyDescent="0.4">
      <c r="A1631">
        <v>3200000</v>
      </c>
      <c r="B1631" t="s">
        <v>8496</v>
      </c>
      <c r="C1631" s="1">
        <v>37761</v>
      </c>
      <c r="D1631" t="s">
        <v>8497</v>
      </c>
      <c r="E1631" t="str">
        <f t="shared" si="77"/>
        <v>서울특별시</v>
      </c>
      <c r="F1631" t="str">
        <f t="shared" si="78"/>
        <v xml:space="preserve">관악구 </v>
      </c>
      <c r="G1631" t="str">
        <f t="shared" si="79"/>
        <v>신림동</v>
      </c>
    </row>
    <row r="1632" spans="1:9" x14ac:dyDescent="0.4">
      <c r="A1632">
        <v>3200000</v>
      </c>
      <c r="B1632" t="s">
        <v>8503</v>
      </c>
      <c r="C1632" s="1">
        <v>37952</v>
      </c>
      <c r="D1632" t="s">
        <v>8504</v>
      </c>
      <c r="E1632" t="str">
        <f t="shared" si="77"/>
        <v>서울특별시</v>
      </c>
      <c r="F1632" t="str">
        <f t="shared" si="78"/>
        <v xml:space="preserve">관악구 </v>
      </c>
      <c r="G1632" t="str">
        <f t="shared" si="79"/>
        <v>신림동</v>
      </c>
    </row>
    <row r="1633" spans="1:9" x14ac:dyDescent="0.4">
      <c r="A1633">
        <v>3200000</v>
      </c>
      <c r="B1633" t="s">
        <v>8494</v>
      </c>
      <c r="C1633" s="1">
        <v>37747</v>
      </c>
      <c r="D1633" t="s">
        <v>8495</v>
      </c>
      <c r="E1633" t="str">
        <f t="shared" si="77"/>
        <v>서울특별시</v>
      </c>
      <c r="F1633" t="str">
        <f t="shared" si="78"/>
        <v xml:space="preserve">관악구 </v>
      </c>
      <c r="G1633" t="str">
        <f t="shared" si="79"/>
        <v>신림동</v>
      </c>
    </row>
    <row r="1634" spans="1:9" x14ac:dyDescent="0.4">
      <c r="A1634">
        <v>3200000</v>
      </c>
      <c r="B1634" t="s">
        <v>8079</v>
      </c>
      <c r="C1634" s="1">
        <v>44595</v>
      </c>
      <c r="D1634" t="s">
        <v>8080</v>
      </c>
      <c r="E1634" t="str">
        <f t="shared" si="77"/>
        <v>서울특별시</v>
      </c>
      <c r="F1634" t="str">
        <f t="shared" si="78"/>
        <v xml:space="preserve">관악구 </v>
      </c>
      <c r="G1634" t="str">
        <f t="shared" si="79"/>
        <v>신림동</v>
      </c>
      <c r="H1634" t="s">
        <v>8081</v>
      </c>
      <c r="I1634">
        <v>8776</v>
      </c>
    </row>
    <row r="1635" spans="1:9" x14ac:dyDescent="0.4">
      <c r="A1635">
        <v>3200000</v>
      </c>
      <c r="B1635" t="s">
        <v>8197</v>
      </c>
      <c r="C1635" s="1">
        <v>44211</v>
      </c>
      <c r="D1635" t="s">
        <v>8080</v>
      </c>
      <c r="E1635" t="str">
        <f t="shared" si="77"/>
        <v>서울특별시</v>
      </c>
      <c r="F1635" t="str">
        <f t="shared" si="78"/>
        <v xml:space="preserve">관악구 </v>
      </c>
      <c r="G1635" t="str">
        <f t="shared" si="79"/>
        <v>신림동</v>
      </c>
      <c r="H1635" t="s">
        <v>8198</v>
      </c>
      <c r="I1635">
        <v>8776</v>
      </c>
    </row>
    <row r="1636" spans="1:9" x14ac:dyDescent="0.4">
      <c r="A1636">
        <v>3200000</v>
      </c>
      <c r="B1636" t="s">
        <v>8413</v>
      </c>
      <c r="C1636" s="1">
        <v>37246</v>
      </c>
      <c r="D1636" t="s">
        <v>8414</v>
      </c>
      <c r="E1636" t="str">
        <f t="shared" si="77"/>
        <v>서울특별시</v>
      </c>
      <c r="F1636" t="str">
        <f t="shared" si="78"/>
        <v xml:space="preserve">관악구 </v>
      </c>
      <c r="G1636" t="str">
        <f t="shared" si="79"/>
        <v>신림동</v>
      </c>
      <c r="H1636" t="s">
        <v>8415</v>
      </c>
      <c r="I1636">
        <v>8776</v>
      </c>
    </row>
    <row r="1637" spans="1:9" x14ac:dyDescent="0.4">
      <c r="A1637">
        <v>3200000</v>
      </c>
      <c r="B1637" t="s">
        <v>8422</v>
      </c>
      <c r="C1637" s="1">
        <v>42948</v>
      </c>
      <c r="D1637" t="s">
        <v>8423</v>
      </c>
      <c r="E1637" t="str">
        <f t="shared" si="77"/>
        <v>서울특별시</v>
      </c>
      <c r="F1637" t="str">
        <f t="shared" si="78"/>
        <v xml:space="preserve">관악구 </v>
      </c>
      <c r="G1637" t="str">
        <f t="shared" si="79"/>
        <v>신림동</v>
      </c>
      <c r="H1637" t="s">
        <v>8424</v>
      </c>
      <c r="I1637">
        <v>8776</v>
      </c>
    </row>
    <row r="1638" spans="1:9" x14ac:dyDescent="0.4">
      <c r="A1638">
        <v>3200000</v>
      </c>
      <c r="B1638" t="s">
        <v>8163</v>
      </c>
      <c r="C1638" s="1">
        <v>40773</v>
      </c>
      <c r="D1638" t="s">
        <v>8164</v>
      </c>
      <c r="E1638" t="str">
        <f t="shared" si="77"/>
        <v>서울특별시</v>
      </c>
      <c r="F1638" t="str">
        <f t="shared" si="78"/>
        <v xml:space="preserve">관악구 </v>
      </c>
      <c r="G1638" t="str">
        <f t="shared" si="79"/>
        <v>신림동</v>
      </c>
      <c r="H1638" t="s">
        <v>8165</v>
      </c>
      <c r="I1638">
        <v>8776</v>
      </c>
    </row>
    <row r="1639" spans="1:9" x14ac:dyDescent="0.4">
      <c r="A1639">
        <v>3200000</v>
      </c>
      <c r="B1639" t="s">
        <v>8172</v>
      </c>
      <c r="C1639" s="1">
        <v>36587</v>
      </c>
      <c r="D1639" t="s">
        <v>8173</v>
      </c>
      <c r="E1639" t="str">
        <f t="shared" si="77"/>
        <v>서울특별시</v>
      </c>
      <c r="F1639" t="str">
        <f t="shared" si="78"/>
        <v xml:space="preserve">관악구 </v>
      </c>
      <c r="G1639" t="str">
        <f t="shared" si="79"/>
        <v>신림동</v>
      </c>
      <c r="H1639" t="s">
        <v>8174</v>
      </c>
      <c r="I1639">
        <v>8776</v>
      </c>
    </row>
    <row r="1640" spans="1:9" x14ac:dyDescent="0.4">
      <c r="A1640">
        <v>3200000</v>
      </c>
      <c r="B1640" t="s">
        <v>7925</v>
      </c>
      <c r="C1640" s="1">
        <v>41514</v>
      </c>
      <c r="D1640" t="s">
        <v>7926</v>
      </c>
      <c r="E1640" t="str">
        <f t="shared" si="77"/>
        <v>서울특별시</v>
      </c>
      <c r="F1640" t="str">
        <f t="shared" si="78"/>
        <v xml:space="preserve">관악구 </v>
      </c>
      <c r="G1640" t="str">
        <f t="shared" si="79"/>
        <v>신림동</v>
      </c>
      <c r="H1640" t="s">
        <v>7927</v>
      </c>
      <c r="I1640">
        <v>8776</v>
      </c>
    </row>
    <row r="1641" spans="1:9" x14ac:dyDescent="0.4">
      <c r="A1641">
        <v>3200000</v>
      </c>
      <c r="B1641" t="s">
        <v>8032</v>
      </c>
      <c r="C1641" s="1">
        <v>41514</v>
      </c>
      <c r="D1641" t="s">
        <v>7926</v>
      </c>
      <c r="E1641" t="str">
        <f t="shared" si="77"/>
        <v>서울특별시</v>
      </c>
      <c r="F1641" t="str">
        <f t="shared" si="78"/>
        <v xml:space="preserve">관악구 </v>
      </c>
      <c r="G1641" t="str">
        <f t="shared" si="79"/>
        <v>신림동</v>
      </c>
      <c r="H1641" t="s">
        <v>8033</v>
      </c>
      <c r="I1641">
        <v>8776</v>
      </c>
    </row>
    <row r="1642" spans="1:9" x14ac:dyDescent="0.4">
      <c r="A1642">
        <v>3200000</v>
      </c>
      <c r="B1642" t="s">
        <v>8152</v>
      </c>
      <c r="C1642" s="1">
        <v>40527</v>
      </c>
      <c r="D1642" t="s">
        <v>8153</v>
      </c>
      <c r="E1642" t="str">
        <f t="shared" si="77"/>
        <v>서울특별시</v>
      </c>
      <c r="F1642" t="str">
        <f t="shared" si="78"/>
        <v xml:space="preserve">관악구 </v>
      </c>
      <c r="G1642" t="str">
        <f t="shared" si="79"/>
        <v>신림동</v>
      </c>
      <c r="H1642" t="s">
        <v>8154</v>
      </c>
      <c r="I1642">
        <v>8776</v>
      </c>
    </row>
    <row r="1643" spans="1:9" x14ac:dyDescent="0.4">
      <c r="A1643">
        <v>3200000</v>
      </c>
      <c r="B1643" t="s">
        <v>7892</v>
      </c>
      <c r="C1643" s="1">
        <v>41656</v>
      </c>
      <c r="D1643" t="s">
        <v>7893</v>
      </c>
      <c r="E1643" t="str">
        <f t="shared" si="77"/>
        <v>서울특별시</v>
      </c>
      <c r="F1643" t="str">
        <f t="shared" si="78"/>
        <v xml:space="preserve">관악구 </v>
      </c>
      <c r="G1643" t="str">
        <f t="shared" si="79"/>
        <v>신림동</v>
      </c>
      <c r="H1643" t="s">
        <v>7894</v>
      </c>
      <c r="I1643">
        <v>8776</v>
      </c>
    </row>
    <row r="1644" spans="1:9" x14ac:dyDescent="0.4">
      <c r="A1644">
        <v>3200000</v>
      </c>
      <c r="B1644" t="s">
        <v>8335</v>
      </c>
      <c r="C1644" s="1">
        <v>42431</v>
      </c>
      <c r="D1644" t="s">
        <v>8336</v>
      </c>
      <c r="E1644" t="str">
        <f t="shared" si="77"/>
        <v>서울특별시</v>
      </c>
      <c r="F1644" t="str">
        <f t="shared" si="78"/>
        <v xml:space="preserve">관악구 </v>
      </c>
      <c r="G1644" t="str">
        <f t="shared" si="79"/>
        <v>신림동</v>
      </c>
      <c r="H1644" t="s">
        <v>8337</v>
      </c>
      <c r="I1644">
        <v>8776</v>
      </c>
    </row>
    <row r="1645" spans="1:9" x14ac:dyDescent="0.4">
      <c r="A1645">
        <v>3200000</v>
      </c>
      <c r="B1645" t="s">
        <v>8074</v>
      </c>
      <c r="C1645" s="1">
        <v>45100</v>
      </c>
      <c r="D1645" t="s">
        <v>8075</v>
      </c>
      <c r="E1645" t="str">
        <f t="shared" si="77"/>
        <v>서울특별시</v>
      </c>
      <c r="F1645" t="str">
        <f t="shared" si="78"/>
        <v xml:space="preserve">관악구 </v>
      </c>
      <c r="G1645" t="str">
        <f t="shared" si="79"/>
        <v>신림동</v>
      </c>
      <c r="H1645" t="s">
        <v>8076</v>
      </c>
      <c r="I1645">
        <v>8776</v>
      </c>
    </row>
    <row r="1646" spans="1:9" x14ac:dyDescent="0.4">
      <c r="A1646">
        <v>3200000</v>
      </c>
      <c r="B1646" t="s">
        <v>8462</v>
      </c>
      <c r="C1646" s="1">
        <v>36409</v>
      </c>
      <c r="D1646" t="s">
        <v>8463</v>
      </c>
      <c r="E1646" t="str">
        <f t="shared" si="77"/>
        <v>서울특별시</v>
      </c>
      <c r="F1646" t="str">
        <f t="shared" si="78"/>
        <v xml:space="preserve">관악구 </v>
      </c>
      <c r="G1646" t="str">
        <f t="shared" si="79"/>
        <v>신림동</v>
      </c>
      <c r="H1646" t="s">
        <v>8464</v>
      </c>
      <c r="I1646">
        <v>8776</v>
      </c>
    </row>
    <row r="1647" spans="1:9" x14ac:dyDescent="0.4">
      <c r="A1647">
        <v>3200000</v>
      </c>
      <c r="B1647" t="s">
        <v>8614</v>
      </c>
      <c r="C1647" s="1">
        <v>31250</v>
      </c>
      <c r="D1647" t="s">
        <v>8463</v>
      </c>
      <c r="E1647" t="str">
        <f t="shared" si="77"/>
        <v>서울특별시</v>
      </c>
      <c r="F1647" t="str">
        <f t="shared" si="78"/>
        <v xml:space="preserve">관악구 </v>
      </c>
      <c r="G1647" t="str">
        <f t="shared" si="79"/>
        <v>신림동</v>
      </c>
    </row>
    <row r="1648" spans="1:9" x14ac:dyDescent="0.4">
      <c r="A1648">
        <v>3200000</v>
      </c>
      <c r="B1648" t="s">
        <v>8701</v>
      </c>
      <c r="C1648" s="1">
        <v>32576</v>
      </c>
      <c r="D1648" t="s">
        <v>8463</v>
      </c>
      <c r="E1648" t="str">
        <f t="shared" si="77"/>
        <v>서울특별시</v>
      </c>
      <c r="F1648" t="str">
        <f t="shared" si="78"/>
        <v xml:space="preserve">관악구 </v>
      </c>
      <c r="G1648" t="str">
        <f t="shared" si="79"/>
        <v>신림동</v>
      </c>
    </row>
    <row r="1649" spans="1:9" x14ac:dyDescent="0.4">
      <c r="A1649">
        <v>3200000</v>
      </c>
      <c r="B1649" t="s">
        <v>8825</v>
      </c>
      <c r="C1649" s="1">
        <v>30468</v>
      </c>
      <c r="D1649" t="s">
        <v>8826</v>
      </c>
      <c r="E1649" t="str">
        <f t="shared" si="77"/>
        <v>서울특별시</v>
      </c>
      <c r="F1649" t="str">
        <f t="shared" si="78"/>
        <v xml:space="preserve">관악구 </v>
      </c>
      <c r="G1649" t="str">
        <f t="shared" si="79"/>
        <v>신림동</v>
      </c>
      <c r="H1649" t="s">
        <v>8827</v>
      </c>
      <c r="I1649">
        <v>8776</v>
      </c>
    </row>
    <row r="1650" spans="1:9" x14ac:dyDescent="0.4">
      <c r="A1650">
        <v>3200000</v>
      </c>
      <c r="B1650" t="s">
        <v>8360</v>
      </c>
      <c r="C1650" s="1">
        <v>45212</v>
      </c>
      <c r="D1650" t="s">
        <v>8361</v>
      </c>
      <c r="E1650" t="str">
        <f t="shared" si="77"/>
        <v>서울특별시</v>
      </c>
      <c r="F1650" t="str">
        <f t="shared" si="78"/>
        <v xml:space="preserve">관악구 </v>
      </c>
      <c r="G1650" t="str">
        <f t="shared" si="79"/>
        <v>신림동</v>
      </c>
      <c r="H1650" t="s">
        <v>8362</v>
      </c>
      <c r="I1650">
        <v>8776</v>
      </c>
    </row>
    <row r="1651" spans="1:9" x14ac:dyDescent="0.4">
      <c r="A1651">
        <v>3200000</v>
      </c>
      <c r="B1651" t="s">
        <v>8704</v>
      </c>
      <c r="C1651" s="1">
        <v>41247</v>
      </c>
      <c r="D1651" t="s">
        <v>8705</v>
      </c>
      <c r="E1651" t="str">
        <f t="shared" si="77"/>
        <v>서울특별시</v>
      </c>
      <c r="F1651" t="str">
        <f t="shared" si="78"/>
        <v xml:space="preserve">관악구 </v>
      </c>
      <c r="G1651" t="str">
        <f t="shared" si="79"/>
        <v>신림동</v>
      </c>
      <c r="H1651" t="s">
        <v>8706</v>
      </c>
      <c r="I1651">
        <v>8776</v>
      </c>
    </row>
    <row r="1652" spans="1:9" x14ac:dyDescent="0.4">
      <c r="A1652">
        <v>3200000</v>
      </c>
      <c r="B1652" t="s">
        <v>8274</v>
      </c>
      <c r="C1652" s="1">
        <v>36747</v>
      </c>
      <c r="D1652" t="s">
        <v>8275</v>
      </c>
      <c r="E1652" t="str">
        <f t="shared" si="77"/>
        <v>서울특별시</v>
      </c>
      <c r="F1652" t="str">
        <f t="shared" si="78"/>
        <v xml:space="preserve">관악구 </v>
      </c>
      <c r="G1652" t="str">
        <f t="shared" si="79"/>
        <v>신림동</v>
      </c>
    </row>
    <row r="1653" spans="1:9" x14ac:dyDescent="0.4">
      <c r="A1653">
        <v>3200000</v>
      </c>
      <c r="B1653" t="s">
        <v>8481</v>
      </c>
      <c r="C1653" s="1">
        <v>36530</v>
      </c>
      <c r="D1653" t="s">
        <v>8275</v>
      </c>
      <c r="E1653" t="str">
        <f t="shared" si="77"/>
        <v>서울특별시</v>
      </c>
      <c r="F1653" t="str">
        <f t="shared" si="78"/>
        <v xml:space="preserve">관악구 </v>
      </c>
      <c r="G1653" t="str">
        <f t="shared" si="79"/>
        <v>신림동</v>
      </c>
    </row>
    <row r="1654" spans="1:9" x14ac:dyDescent="0.4">
      <c r="A1654">
        <v>3200000</v>
      </c>
      <c r="B1654" t="s">
        <v>8514</v>
      </c>
      <c r="C1654" s="1">
        <v>36551</v>
      </c>
      <c r="D1654" t="s">
        <v>8275</v>
      </c>
      <c r="E1654" t="str">
        <f t="shared" si="77"/>
        <v>서울특별시</v>
      </c>
      <c r="F1654" t="str">
        <f t="shared" si="78"/>
        <v xml:space="preserve">관악구 </v>
      </c>
      <c r="G1654" t="str">
        <f t="shared" si="79"/>
        <v>신림동</v>
      </c>
    </row>
    <row r="1655" spans="1:9" x14ac:dyDescent="0.4">
      <c r="A1655">
        <v>3200000</v>
      </c>
      <c r="B1655" t="s">
        <v>8519</v>
      </c>
      <c r="C1655" s="1">
        <v>36559</v>
      </c>
      <c r="D1655" t="s">
        <v>8520</v>
      </c>
      <c r="E1655" t="str">
        <f t="shared" si="77"/>
        <v>서울특별시</v>
      </c>
      <c r="F1655" t="str">
        <f t="shared" si="78"/>
        <v xml:space="preserve">관악구 </v>
      </c>
      <c r="G1655" t="str">
        <f t="shared" si="79"/>
        <v>신림동</v>
      </c>
    </row>
    <row r="1656" spans="1:9" x14ac:dyDescent="0.4">
      <c r="A1656">
        <v>3200000</v>
      </c>
      <c r="B1656" t="s">
        <v>8568</v>
      </c>
      <c r="C1656" s="1">
        <v>36985</v>
      </c>
      <c r="D1656" t="s">
        <v>8520</v>
      </c>
      <c r="E1656" t="str">
        <f t="shared" si="77"/>
        <v>서울특별시</v>
      </c>
      <c r="F1656" t="str">
        <f t="shared" si="78"/>
        <v xml:space="preserve">관악구 </v>
      </c>
      <c r="G1656" t="str">
        <f t="shared" si="79"/>
        <v>신림동</v>
      </c>
    </row>
    <row r="1657" spans="1:9" x14ac:dyDescent="0.4">
      <c r="A1657">
        <v>3200000</v>
      </c>
      <c r="B1657" t="s">
        <v>8801</v>
      </c>
      <c r="C1657" s="1">
        <v>36993</v>
      </c>
      <c r="D1657" t="s">
        <v>8520</v>
      </c>
      <c r="E1657" t="str">
        <f t="shared" si="77"/>
        <v>서울특별시</v>
      </c>
      <c r="F1657" t="str">
        <f t="shared" si="78"/>
        <v xml:space="preserve">관악구 </v>
      </c>
      <c r="G1657" t="str">
        <f t="shared" si="79"/>
        <v>신림동</v>
      </c>
      <c r="H1657" t="s">
        <v>8802</v>
      </c>
      <c r="I1657">
        <v>8776</v>
      </c>
    </row>
    <row r="1658" spans="1:9" x14ac:dyDescent="0.4">
      <c r="A1658">
        <v>3200000</v>
      </c>
      <c r="B1658" t="s">
        <v>8524</v>
      </c>
      <c r="C1658" s="1">
        <v>40821</v>
      </c>
      <c r="D1658" t="s">
        <v>8525</v>
      </c>
      <c r="E1658" t="str">
        <f t="shared" si="77"/>
        <v>서울특별시</v>
      </c>
      <c r="F1658" t="str">
        <f t="shared" si="78"/>
        <v xml:space="preserve">관악구 </v>
      </c>
      <c r="G1658" t="str">
        <f t="shared" si="79"/>
        <v>신림동</v>
      </c>
      <c r="H1658" t="s">
        <v>8526</v>
      </c>
      <c r="I1658">
        <v>8776</v>
      </c>
    </row>
    <row r="1659" spans="1:9" x14ac:dyDescent="0.4">
      <c r="A1659">
        <v>3200000</v>
      </c>
      <c r="B1659" t="s">
        <v>8280</v>
      </c>
      <c r="C1659" s="1">
        <v>36808</v>
      </c>
      <c r="D1659" t="s">
        <v>8281</v>
      </c>
      <c r="E1659" t="str">
        <f t="shared" si="77"/>
        <v>서울특별시</v>
      </c>
      <c r="F1659" t="str">
        <f t="shared" si="78"/>
        <v xml:space="preserve">관악구 </v>
      </c>
      <c r="G1659" t="str">
        <f t="shared" si="79"/>
        <v>신림동</v>
      </c>
    </row>
    <row r="1660" spans="1:9" x14ac:dyDescent="0.4">
      <c r="A1660">
        <v>3200000</v>
      </c>
      <c r="B1660" t="s">
        <v>8762</v>
      </c>
      <c r="C1660" s="1">
        <v>36809</v>
      </c>
      <c r="D1660" t="s">
        <v>8281</v>
      </c>
      <c r="E1660" t="str">
        <f t="shared" si="77"/>
        <v>서울특별시</v>
      </c>
      <c r="F1660" t="str">
        <f t="shared" si="78"/>
        <v xml:space="preserve">관악구 </v>
      </c>
      <c r="G1660" t="str">
        <f t="shared" si="79"/>
        <v>신림동</v>
      </c>
    </row>
    <row r="1661" spans="1:9" x14ac:dyDescent="0.4">
      <c r="A1661">
        <v>3200000</v>
      </c>
      <c r="B1661" t="s">
        <v>8831</v>
      </c>
      <c r="C1661" s="1">
        <v>30623</v>
      </c>
      <c r="D1661" t="s">
        <v>8281</v>
      </c>
      <c r="E1661" t="str">
        <f t="shared" si="77"/>
        <v>서울특별시</v>
      </c>
      <c r="F1661" t="str">
        <f t="shared" si="78"/>
        <v xml:space="preserve">관악구 </v>
      </c>
      <c r="G1661" t="str">
        <f t="shared" si="79"/>
        <v>신림동</v>
      </c>
    </row>
    <row r="1662" spans="1:9" x14ac:dyDescent="0.4">
      <c r="A1662">
        <v>3200000</v>
      </c>
      <c r="B1662" t="s">
        <v>8548</v>
      </c>
      <c r="C1662" s="1">
        <v>37027</v>
      </c>
      <c r="D1662" t="s">
        <v>8549</v>
      </c>
      <c r="E1662" t="str">
        <f t="shared" si="77"/>
        <v>서울특별시</v>
      </c>
      <c r="F1662" t="str">
        <f t="shared" si="78"/>
        <v xml:space="preserve">관악구 </v>
      </c>
      <c r="G1662" t="str">
        <f t="shared" si="79"/>
        <v>신림동</v>
      </c>
    </row>
    <row r="1663" spans="1:9" x14ac:dyDescent="0.4">
      <c r="A1663">
        <v>3200000</v>
      </c>
      <c r="B1663" t="s">
        <v>8498</v>
      </c>
      <c r="C1663" s="1">
        <v>37796</v>
      </c>
      <c r="D1663" t="s">
        <v>8499</v>
      </c>
      <c r="E1663" t="str">
        <f t="shared" si="77"/>
        <v>서울특별시</v>
      </c>
      <c r="F1663" t="str">
        <f t="shared" si="78"/>
        <v xml:space="preserve">관악구 </v>
      </c>
      <c r="G1663" t="str">
        <f t="shared" si="79"/>
        <v>신림동</v>
      </c>
    </row>
    <row r="1664" spans="1:9" x14ac:dyDescent="0.4">
      <c r="A1664">
        <v>3200000</v>
      </c>
      <c r="B1664" t="s">
        <v>8314</v>
      </c>
      <c r="C1664" s="1">
        <v>36529</v>
      </c>
      <c r="D1664" t="s">
        <v>8315</v>
      </c>
      <c r="E1664" t="str">
        <f t="shared" si="77"/>
        <v>서울특별시</v>
      </c>
      <c r="F1664" t="str">
        <f t="shared" si="78"/>
        <v xml:space="preserve">관악구 </v>
      </c>
      <c r="G1664" t="str">
        <f t="shared" si="79"/>
        <v>신림동</v>
      </c>
    </row>
    <row r="1665" spans="1:9" x14ac:dyDescent="0.4">
      <c r="A1665">
        <v>3200000</v>
      </c>
      <c r="B1665" t="s">
        <v>8523</v>
      </c>
      <c r="C1665" s="1">
        <v>36575</v>
      </c>
      <c r="D1665" t="s">
        <v>8315</v>
      </c>
      <c r="E1665" t="str">
        <f t="shared" si="77"/>
        <v>서울특별시</v>
      </c>
      <c r="F1665" t="str">
        <f t="shared" si="78"/>
        <v xml:space="preserve">관악구 </v>
      </c>
      <c r="G1665" t="str">
        <f t="shared" si="79"/>
        <v>신림동</v>
      </c>
    </row>
    <row r="1666" spans="1:9" x14ac:dyDescent="0.4">
      <c r="A1666">
        <v>3200000</v>
      </c>
      <c r="B1666" t="s">
        <v>8271</v>
      </c>
      <c r="C1666" s="1">
        <v>36738</v>
      </c>
      <c r="D1666" t="s">
        <v>8272</v>
      </c>
      <c r="E1666" t="str">
        <f t="shared" si="77"/>
        <v>서울특별시</v>
      </c>
      <c r="F1666" t="str">
        <f t="shared" si="78"/>
        <v xml:space="preserve">관악구 </v>
      </c>
      <c r="G1666" t="str">
        <f t="shared" si="79"/>
        <v>신림동</v>
      </c>
      <c r="H1666" t="s">
        <v>8273</v>
      </c>
      <c r="I1666">
        <v>8776</v>
      </c>
    </row>
    <row r="1667" spans="1:9" x14ac:dyDescent="0.4">
      <c r="A1667">
        <v>3200000</v>
      </c>
      <c r="B1667" t="s">
        <v>8775</v>
      </c>
      <c r="C1667" s="1">
        <v>36595</v>
      </c>
      <c r="D1667" t="s">
        <v>8776</v>
      </c>
      <c r="E1667" t="str">
        <f t="shared" ref="E1667:E1730" si="80">LEFT(D1667,5)</f>
        <v>서울특별시</v>
      </c>
      <c r="F1667" t="str">
        <f t="shared" ref="F1667:F1730" si="81">MID(D1667,7,4)</f>
        <v xml:space="preserve">관악구 </v>
      </c>
      <c r="G1667" t="str">
        <f t="shared" ref="G1667:G1730" si="82">MID(SUBSTITUTE(D1667," ",""),9,3)</f>
        <v>신림동</v>
      </c>
    </row>
    <row r="1668" spans="1:9" x14ac:dyDescent="0.4">
      <c r="A1668">
        <v>3200000</v>
      </c>
      <c r="B1668" t="s">
        <v>8166</v>
      </c>
      <c r="C1668" s="1">
        <v>37105</v>
      </c>
      <c r="D1668" t="s">
        <v>8167</v>
      </c>
      <c r="E1668" t="str">
        <f t="shared" si="80"/>
        <v>서울특별시</v>
      </c>
      <c r="F1668" t="str">
        <f t="shared" si="81"/>
        <v xml:space="preserve">관악구 </v>
      </c>
      <c r="G1668" t="str">
        <f t="shared" si="82"/>
        <v>신림동</v>
      </c>
      <c r="H1668" t="s">
        <v>8168</v>
      </c>
      <c r="I1668">
        <v>8776</v>
      </c>
    </row>
    <row r="1669" spans="1:9" x14ac:dyDescent="0.4">
      <c r="A1669">
        <v>3200000</v>
      </c>
      <c r="B1669" t="s">
        <v>8489</v>
      </c>
      <c r="C1669" s="1">
        <v>37685</v>
      </c>
      <c r="D1669" t="s">
        <v>8490</v>
      </c>
      <c r="E1669" t="str">
        <f t="shared" si="80"/>
        <v>서울특별시</v>
      </c>
      <c r="F1669" t="str">
        <f t="shared" si="81"/>
        <v xml:space="preserve">관악구 </v>
      </c>
      <c r="G1669" t="str">
        <f t="shared" si="82"/>
        <v>신림동</v>
      </c>
      <c r="H1669" t="s">
        <v>8491</v>
      </c>
    </row>
    <row r="1670" spans="1:9" x14ac:dyDescent="0.4">
      <c r="A1670">
        <v>3200000</v>
      </c>
      <c r="B1670" t="s">
        <v>8003</v>
      </c>
      <c r="C1670" s="1">
        <v>39090</v>
      </c>
      <c r="D1670" t="s">
        <v>8004</v>
      </c>
      <c r="E1670" t="str">
        <f t="shared" si="80"/>
        <v>서울특별시</v>
      </c>
      <c r="F1670" t="str">
        <f t="shared" si="81"/>
        <v xml:space="preserve">관악구 </v>
      </c>
      <c r="G1670" t="str">
        <f t="shared" si="82"/>
        <v>신림동</v>
      </c>
      <c r="H1670" t="s">
        <v>8005</v>
      </c>
      <c r="I1670">
        <v>8776</v>
      </c>
    </row>
    <row r="1671" spans="1:9" x14ac:dyDescent="0.4">
      <c r="A1671">
        <v>3200000</v>
      </c>
      <c r="B1671" t="s">
        <v>8697</v>
      </c>
      <c r="C1671" s="1">
        <v>32008</v>
      </c>
      <c r="D1671" t="s">
        <v>8698</v>
      </c>
      <c r="E1671" t="str">
        <f t="shared" si="80"/>
        <v>서울특별시</v>
      </c>
      <c r="F1671" t="str">
        <f t="shared" si="81"/>
        <v xml:space="preserve">관악구 </v>
      </c>
      <c r="G1671" t="str">
        <f t="shared" si="82"/>
        <v>신림동</v>
      </c>
    </row>
    <row r="1672" spans="1:9" x14ac:dyDescent="0.4">
      <c r="A1672">
        <v>3200000</v>
      </c>
      <c r="B1672" t="s">
        <v>8262</v>
      </c>
      <c r="C1672" s="1">
        <v>40835</v>
      </c>
      <c r="D1672" t="s">
        <v>8263</v>
      </c>
      <c r="E1672" t="str">
        <f t="shared" si="80"/>
        <v>서울특별시</v>
      </c>
      <c r="F1672" t="str">
        <f t="shared" si="81"/>
        <v xml:space="preserve">관악구 </v>
      </c>
      <c r="G1672" t="str">
        <f t="shared" si="82"/>
        <v>신림동</v>
      </c>
      <c r="H1672" t="s">
        <v>8264</v>
      </c>
      <c r="I1672">
        <v>8776</v>
      </c>
    </row>
    <row r="1673" spans="1:9" x14ac:dyDescent="0.4">
      <c r="A1673">
        <v>3200000</v>
      </c>
      <c r="B1673" t="s">
        <v>8590</v>
      </c>
      <c r="C1673" s="1">
        <v>38608</v>
      </c>
      <c r="D1673" t="s">
        <v>8591</v>
      </c>
      <c r="E1673" t="str">
        <f t="shared" si="80"/>
        <v>서울특별시</v>
      </c>
      <c r="F1673" t="str">
        <f t="shared" si="81"/>
        <v xml:space="preserve">관악구 </v>
      </c>
      <c r="G1673" t="str">
        <f t="shared" si="82"/>
        <v>신림동</v>
      </c>
      <c r="H1673" t="s">
        <v>8592</v>
      </c>
      <c r="I1673">
        <v>8776</v>
      </c>
    </row>
    <row r="1674" spans="1:9" x14ac:dyDescent="0.4">
      <c r="A1674">
        <v>3200000</v>
      </c>
      <c r="B1674" t="s">
        <v>8345</v>
      </c>
      <c r="C1674" s="1">
        <v>31549</v>
      </c>
      <c r="D1674" t="s">
        <v>8346</v>
      </c>
      <c r="E1674" t="str">
        <f t="shared" si="80"/>
        <v>서울특별시</v>
      </c>
      <c r="F1674" t="str">
        <f t="shared" si="81"/>
        <v xml:space="preserve">관악구 </v>
      </c>
      <c r="G1674" t="str">
        <f t="shared" si="82"/>
        <v>신림동</v>
      </c>
    </row>
    <row r="1675" spans="1:9" x14ac:dyDescent="0.4">
      <c r="A1675">
        <v>3200000</v>
      </c>
      <c r="B1675" t="s">
        <v>8354</v>
      </c>
      <c r="C1675" s="1">
        <v>30818</v>
      </c>
      <c r="D1675" t="s">
        <v>8346</v>
      </c>
      <c r="E1675" t="str">
        <f t="shared" si="80"/>
        <v>서울특별시</v>
      </c>
      <c r="F1675" t="str">
        <f t="shared" si="81"/>
        <v xml:space="preserve">관악구 </v>
      </c>
      <c r="G1675" t="str">
        <f t="shared" si="82"/>
        <v>신림동</v>
      </c>
    </row>
    <row r="1676" spans="1:9" x14ac:dyDescent="0.4">
      <c r="A1676">
        <v>3200000</v>
      </c>
      <c r="B1676" t="s">
        <v>8672</v>
      </c>
      <c r="C1676" s="1">
        <v>28151</v>
      </c>
      <c r="D1676" t="s">
        <v>8346</v>
      </c>
      <c r="E1676" t="str">
        <f t="shared" si="80"/>
        <v>서울특별시</v>
      </c>
      <c r="F1676" t="str">
        <f t="shared" si="81"/>
        <v xml:space="preserve">관악구 </v>
      </c>
      <c r="G1676" t="str">
        <f t="shared" si="82"/>
        <v>신림동</v>
      </c>
    </row>
    <row r="1677" spans="1:9" x14ac:dyDescent="0.4">
      <c r="A1677">
        <v>3200000</v>
      </c>
      <c r="B1677" t="s">
        <v>8824</v>
      </c>
      <c r="C1677" s="1">
        <v>30325</v>
      </c>
      <c r="D1677" t="s">
        <v>8346</v>
      </c>
      <c r="E1677" t="str">
        <f t="shared" si="80"/>
        <v>서울특별시</v>
      </c>
      <c r="F1677" t="str">
        <f t="shared" si="81"/>
        <v xml:space="preserve">관악구 </v>
      </c>
      <c r="G1677" t="str">
        <f t="shared" si="82"/>
        <v>신림동</v>
      </c>
    </row>
    <row r="1678" spans="1:9" x14ac:dyDescent="0.4">
      <c r="A1678">
        <v>3200000</v>
      </c>
      <c r="B1678" t="s">
        <v>8265</v>
      </c>
      <c r="C1678" s="1">
        <v>41061</v>
      </c>
      <c r="D1678" t="s">
        <v>8266</v>
      </c>
      <c r="E1678" t="str">
        <f t="shared" si="80"/>
        <v>서울특별시</v>
      </c>
      <c r="F1678" t="str">
        <f t="shared" si="81"/>
        <v xml:space="preserve">관악구 </v>
      </c>
      <c r="G1678" t="str">
        <f t="shared" si="82"/>
        <v>신림동</v>
      </c>
      <c r="H1678" t="s">
        <v>8267</v>
      </c>
      <c r="I1678">
        <v>8776</v>
      </c>
    </row>
    <row r="1679" spans="1:9" x14ac:dyDescent="0.4">
      <c r="A1679">
        <v>3200000</v>
      </c>
      <c r="B1679" t="s">
        <v>8110</v>
      </c>
      <c r="C1679" s="1">
        <v>45041</v>
      </c>
      <c r="D1679" t="s">
        <v>8111</v>
      </c>
      <c r="E1679" t="str">
        <f t="shared" si="80"/>
        <v>서울특별시</v>
      </c>
      <c r="F1679" t="str">
        <f t="shared" si="81"/>
        <v xml:space="preserve">관악구 </v>
      </c>
      <c r="G1679" t="str">
        <f t="shared" si="82"/>
        <v>신림동</v>
      </c>
      <c r="H1679" t="s">
        <v>8112</v>
      </c>
      <c r="I1679">
        <v>8776</v>
      </c>
    </row>
    <row r="1680" spans="1:9" x14ac:dyDescent="0.4">
      <c r="A1680">
        <v>3200000</v>
      </c>
      <c r="B1680" t="s">
        <v>8325</v>
      </c>
      <c r="C1680" s="1">
        <v>41773</v>
      </c>
      <c r="D1680" t="s">
        <v>8326</v>
      </c>
      <c r="E1680" t="str">
        <f t="shared" si="80"/>
        <v>서울특별시</v>
      </c>
      <c r="F1680" t="str">
        <f t="shared" si="81"/>
        <v xml:space="preserve">관악구 </v>
      </c>
      <c r="G1680" t="str">
        <f t="shared" si="82"/>
        <v>신림동</v>
      </c>
      <c r="H1680" t="s">
        <v>8327</v>
      </c>
      <c r="I1680">
        <v>8776</v>
      </c>
    </row>
    <row r="1681" spans="1:9" x14ac:dyDescent="0.4">
      <c r="A1681">
        <v>3200000</v>
      </c>
      <c r="B1681" t="s">
        <v>8328</v>
      </c>
      <c r="C1681" s="1">
        <v>41773</v>
      </c>
      <c r="D1681" t="s">
        <v>8326</v>
      </c>
      <c r="E1681" t="str">
        <f t="shared" si="80"/>
        <v>서울특별시</v>
      </c>
      <c r="F1681" t="str">
        <f t="shared" si="81"/>
        <v xml:space="preserve">관악구 </v>
      </c>
      <c r="G1681" t="str">
        <f t="shared" si="82"/>
        <v>신림동</v>
      </c>
      <c r="H1681" t="s">
        <v>8329</v>
      </c>
      <c r="I1681">
        <v>8776</v>
      </c>
    </row>
    <row r="1682" spans="1:9" x14ac:dyDescent="0.4">
      <c r="A1682">
        <v>3200000</v>
      </c>
      <c r="B1682" t="s">
        <v>8199</v>
      </c>
      <c r="C1682" s="1">
        <v>44733</v>
      </c>
      <c r="D1682" t="s">
        <v>8200</v>
      </c>
      <c r="E1682" t="str">
        <f t="shared" si="80"/>
        <v>서울특별시</v>
      </c>
      <c r="F1682" t="str">
        <f t="shared" si="81"/>
        <v xml:space="preserve">관악구 </v>
      </c>
      <c r="G1682" t="str">
        <f t="shared" si="82"/>
        <v>신림동</v>
      </c>
      <c r="H1682" t="s">
        <v>8201</v>
      </c>
      <c r="I1682">
        <v>8776</v>
      </c>
    </row>
    <row r="1683" spans="1:9" x14ac:dyDescent="0.4">
      <c r="A1683">
        <v>3200000</v>
      </c>
      <c r="B1683" t="s">
        <v>8359</v>
      </c>
      <c r="C1683" s="1">
        <v>44733</v>
      </c>
      <c r="D1683" t="s">
        <v>8200</v>
      </c>
      <c r="E1683" t="str">
        <f t="shared" si="80"/>
        <v>서울특별시</v>
      </c>
      <c r="F1683" t="str">
        <f t="shared" si="81"/>
        <v xml:space="preserve">관악구 </v>
      </c>
      <c r="G1683" t="str">
        <f t="shared" si="82"/>
        <v>신림동</v>
      </c>
      <c r="H1683" t="s">
        <v>8201</v>
      </c>
      <c r="I1683">
        <v>8776</v>
      </c>
    </row>
    <row r="1684" spans="1:9" x14ac:dyDescent="0.4">
      <c r="A1684">
        <v>3200000</v>
      </c>
      <c r="B1684" t="s">
        <v>8443</v>
      </c>
      <c r="C1684" s="1">
        <v>32756</v>
      </c>
      <c r="D1684" t="s">
        <v>8444</v>
      </c>
      <c r="E1684" t="str">
        <f t="shared" si="80"/>
        <v>서울특별시</v>
      </c>
      <c r="F1684" t="str">
        <f t="shared" si="81"/>
        <v xml:space="preserve">관악구 </v>
      </c>
      <c r="G1684" t="str">
        <f t="shared" si="82"/>
        <v>신림동</v>
      </c>
    </row>
    <row r="1685" spans="1:9" x14ac:dyDescent="0.4">
      <c r="A1685">
        <v>3200000</v>
      </c>
      <c r="B1685" t="s">
        <v>8588</v>
      </c>
      <c r="C1685" s="1">
        <v>38533</v>
      </c>
      <c r="D1685" t="s">
        <v>8589</v>
      </c>
      <c r="E1685" t="str">
        <f t="shared" si="80"/>
        <v>서울특별시</v>
      </c>
      <c r="F1685" t="str">
        <f t="shared" si="81"/>
        <v xml:space="preserve">관악구 </v>
      </c>
      <c r="G1685" t="str">
        <f t="shared" si="82"/>
        <v>신림동</v>
      </c>
    </row>
    <row r="1686" spans="1:9" x14ac:dyDescent="0.4">
      <c r="A1686">
        <v>3200000</v>
      </c>
      <c r="B1686" t="s">
        <v>8043</v>
      </c>
      <c r="C1686" s="1">
        <v>42143</v>
      </c>
      <c r="D1686" t="s">
        <v>8044</v>
      </c>
      <c r="E1686" t="str">
        <f t="shared" si="80"/>
        <v>서울특별시</v>
      </c>
      <c r="F1686" t="str">
        <f t="shared" si="81"/>
        <v xml:space="preserve">관악구 </v>
      </c>
      <c r="G1686" t="str">
        <f t="shared" si="82"/>
        <v>신림동</v>
      </c>
      <c r="H1686" t="s">
        <v>8045</v>
      </c>
      <c r="I1686">
        <v>8776</v>
      </c>
    </row>
    <row r="1687" spans="1:9" x14ac:dyDescent="0.4">
      <c r="A1687">
        <v>3200000</v>
      </c>
      <c r="B1687" t="s">
        <v>8057</v>
      </c>
      <c r="C1687" s="1">
        <v>43718</v>
      </c>
      <c r="D1687" t="s">
        <v>8044</v>
      </c>
      <c r="E1687" t="str">
        <f t="shared" si="80"/>
        <v>서울특별시</v>
      </c>
      <c r="F1687" t="str">
        <f t="shared" si="81"/>
        <v xml:space="preserve">관악구 </v>
      </c>
      <c r="G1687" t="str">
        <f t="shared" si="82"/>
        <v>신림동</v>
      </c>
      <c r="H1687" t="s">
        <v>8058</v>
      </c>
      <c r="I1687">
        <v>8776</v>
      </c>
    </row>
    <row r="1688" spans="1:9" x14ac:dyDescent="0.4">
      <c r="A1688">
        <v>3200000</v>
      </c>
      <c r="B1688" t="s">
        <v>201</v>
      </c>
      <c r="C1688" s="1">
        <v>31863</v>
      </c>
      <c r="D1688" t="s">
        <v>202</v>
      </c>
      <c r="E1688" t="str">
        <f t="shared" si="80"/>
        <v>서울특별시</v>
      </c>
      <c r="F1688" t="str">
        <f t="shared" si="81"/>
        <v xml:space="preserve">관악구 </v>
      </c>
      <c r="G1688" t="str">
        <f t="shared" si="82"/>
        <v>신림동</v>
      </c>
      <c r="H1688" t="s">
        <v>203</v>
      </c>
      <c r="I1688">
        <v>8776</v>
      </c>
    </row>
    <row r="1689" spans="1:9" x14ac:dyDescent="0.4">
      <c r="A1689">
        <v>3200000</v>
      </c>
      <c r="B1689" t="s">
        <v>8439</v>
      </c>
      <c r="C1689" s="1">
        <v>40053</v>
      </c>
      <c r="D1689" t="s">
        <v>202</v>
      </c>
      <c r="E1689" t="str">
        <f t="shared" si="80"/>
        <v>서울특별시</v>
      </c>
      <c r="F1689" t="str">
        <f t="shared" si="81"/>
        <v xml:space="preserve">관악구 </v>
      </c>
      <c r="G1689" t="str">
        <f t="shared" si="82"/>
        <v>신림동</v>
      </c>
      <c r="H1689" t="s">
        <v>8440</v>
      </c>
      <c r="I1689">
        <v>8776</v>
      </c>
    </row>
    <row r="1690" spans="1:9" x14ac:dyDescent="0.4">
      <c r="A1690">
        <v>3200000</v>
      </c>
      <c r="B1690" t="s">
        <v>8040</v>
      </c>
      <c r="C1690" s="1">
        <v>41263</v>
      </c>
      <c r="D1690" t="s">
        <v>8041</v>
      </c>
      <c r="E1690" t="str">
        <f t="shared" si="80"/>
        <v>서울특별시</v>
      </c>
      <c r="F1690" t="str">
        <f t="shared" si="81"/>
        <v xml:space="preserve">관악구 </v>
      </c>
      <c r="G1690" t="str">
        <f t="shared" si="82"/>
        <v>신림동</v>
      </c>
      <c r="H1690" t="s">
        <v>8042</v>
      </c>
      <c r="I1690">
        <v>8776</v>
      </c>
    </row>
    <row r="1691" spans="1:9" x14ac:dyDescent="0.4">
      <c r="A1691">
        <v>3200000</v>
      </c>
      <c r="B1691" t="s">
        <v>8392</v>
      </c>
      <c r="C1691" s="1">
        <v>39863</v>
      </c>
      <c r="D1691" t="s">
        <v>8393</v>
      </c>
      <c r="E1691" t="str">
        <f t="shared" si="80"/>
        <v>서울특별시</v>
      </c>
      <c r="F1691" t="str">
        <f t="shared" si="81"/>
        <v xml:space="preserve">관악구 </v>
      </c>
      <c r="G1691" t="str">
        <f t="shared" si="82"/>
        <v>신림동</v>
      </c>
      <c r="H1691" t="s">
        <v>8394</v>
      </c>
      <c r="I1691">
        <v>8776</v>
      </c>
    </row>
    <row r="1692" spans="1:9" x14ac:dyDescent="0.4">
      <c r="A1692">
        <v>3200000</v>
      </c>
      <c r="B1692" t="s">
        <v>8431</v>
      </c>
      <c r="C1692" s="1">
        <v>40071</v>
      </c>
      <c r="D1692" t="s">
        <v>8432</v>
      </c>
      <c r="E1692" t="str">
        <f t="shared" si="80"/>
        <v>서울특별시</v>
      </c>
      <c r="F1692" t="str">
        <f t="shared" si="81"/>
        <v xml:space="preserve">관악구 </v>
      </c>
      <c r="G1692" t="str">
        <f t="shared" si="82"/>
        <v>신림동</v>
      </c>
      <c r="H1692" t="s">
        <v>8433</v>
      </c>
      <c r="I1692">
        <v>8776</v>
      </c>
    </row>
    <row r="1693" spans="1:9" x14ac:dyDescent="0.4">
      <c r="A1693">
        <v>3200000</v>
      </c>
      <c r="B1693" t="s">
        <v>7910</v>
      </c>
      <c r="C1693" s="1">
        <v>42564</v>
      </c>
      <c r="D1693" t="s">
        <v>7911</v>
      </c>
      <c r="E1693" t="str">
        <f t="shared" si="80"/>
        <v>서울특별시</v>
      </c>
      <c r="F1693" t="str">
        <f t="shared" si="81"/>
        <v xml:space="preserve">관악구 </v>
      </c>
      <c r="G1693" t="str">
        <f t="shared" si="82"/>
        <v>신림동</v>
      </c>
      <c r="H1693" t="s">
        <v>7912</v>
      </c>
      <c r="I1693">
        <v>8776</v>
      </c>
    </row>
    <row r="1694" spans="1:9" x14ac:dyDescent="0.4">
      <c r="A1694">
        <v>3200000</v>
      </c>
      <c r="B1694" t="s">
        <v>8123</v>
      </c>
      <c r="C1694" s="1">
        <v>40220</v>
      </c>
      <c r="D1694" t="s">
        <v>8124</v>
      </c>
      <c r="E1694" t="str">
        <f t="shared" si="80"/>
        <v>서울특별시</v>
      </c>
      <c r="F1694" t="str">
        <f t="shared" si="81"/>
        <v xml:space="preserve">관악구 </v>
      </c>
      <c r="G1694" t="str">
        <f t="shared" si="82"/>
        <v>신림동</v>
      </c>
      <c r="H1694" t="s">
        <v>8125</v>
      </c>
      <c r="I1694">
        <v>8776</v>
      </c>
    </row>
    <row r="1695" spans="1:9" x14ac:dyDescent="0.4">
      <c r="A1695">
        <v>3200000</v>
      </c>
      <c r="B1695" t="s">
        <v>8357</v>
      </c>
      <c r="C1695" s="1">
        <v>30855</v>
      </c>
      <c r="D1695" t="s">
        <v>8358</v>
      </c>
      <c r="E1695" t="str">
        <f t="shared" si="80"/>
        <v>서울특별시</v>
      </c>
      <c r="F1695" t="str">
        <f t="shared" si="81"/>
        <v xml:space="preserve">관악구 </v>
      </c>
      <c r="G1695" t="str">
        <f t="shared" si="82"/>
        <v>신림동</v>
      </c>
    </row>
    <row r="1696" spans="1:9" x14ac:dyDescent="0.4">
      <c r="A1696">
        <v>3200000</v>
      </c>
      <c r="B1696" t="s">
        <v>8428</v>
      </c>
      <c r="C1696" s="1">
        <v>43018</v>
      </c>
      <c r="D1696" t="s">
        <v>8429</v>
      </c>
      <c r="E1696" t="str">
        <f t="shared" si="80"/>
        <v>서울특별시</v>
      </c>
      <c r="F1696" t="str">
        <f t="shared" si="81"/>
        <v xml:space="preserve">관악구 </v>
      </c>
      <c r="G1696" t="str">
        <f t="shared" si="82"/>
        <v>신림동</v>
      </c>
      <c r="H1696" t="s">
        <v>8430</v>
      </c>
      <c r="I1696">
        <v>8776</v>
      </c>
    </row>
    <row r="1697" spans="1:9" x14ac:dyDescent="0.4">
      <c r="A1697">
        <v>3200000</v>
      </c>
      <c r="B1697" t="s">
        <v>8533</v>
      </c>
      <c r="C1697" s="1">
        <v>40893</v>
      </c>
      <c r="D1697" t="s">
        <v>8534</v>
      </c>
      <c r="E1697" t="str">
        <f t="shared" si="80"/>
        <v>서울특별시</v>
      </c>
      <c r="F1697" t="str">
        <f t="shared" si="81"/>
        <v xml:space="preserve">관악구 </v>
      </c>
      <c r="G1697" t="str">
        <f t="shared" si="82"/>
        <v>신림동</v>
      </c>
      <c r="H1697" t="s">
        <v>8535</v>
      </c>
    </row>
    <row r="1698" spans="1:9" x14ac:dyDescent="0.4">
      <c r="A1698">
        <v>3200000</v>
      </c>
      <c r="B1698" t="s">
        <v>8606</v>
      </c>
      <c r="C1698" s="1">
        <v>31035</v>
      </c>
      <c r="D1698" t="s">
        <v>8607</v>
      </c>
      <c r="E1698" t="str">
        <f t="shared" si="80"/>
        <v>서울특별시</v>
      </c>
      <c r="F1698" t="str">
        <f t="shared" si="81"/>
        <v xml:space="preserve">관악구 </v>
      </c>
      <c r="G1698" t="str">
        <f t="shared" si="82"/>
        <v>신림동</v>
      </c>
    </row>
    <row r="1699" spans="1:9" x14ac:dyDescent="0.4">
      <c r="A1699">
        <v>3200000</v>
      </c>
      <c r="B1699" t="s">
        <v>7988</v>
      </c>
      <c r="C1699" s="1">
        <v>29243</v>
      </c>
      <c r="D1699" t="s">
        <v>7989</v>
      </c>
      <c r="E1699" t="str">
        <f t="shared" si="80"/>
        <v>서울특별시</v>
      </c>
      <c r="F1699" t="str">
        <f t="shared" si="81"/>
        <v xml:space="preserve">관악구 </v>
      </c>
      <c r="G1699" t="str">
        <f t="shared" si="82"/>
        <v>신림동</v>
      </c>
      <c r="H1699" t="s">
        <v>7990</v>
      </c>
      <c r="I1699">
        <v>8777</v>
      </c>
    </row>
    <row r="1700" spans="1:9" x14ac:dyDescent="0.4">
      <c r="A1700">
        <v>3200000</v>
      </c>
      <c r="B1700" t="s">
        <v>45</v>
      </c>
      <c r="C1700" s="1">
        <v>42618</v>
      </c>
      <c r="D1700" t="s">
        <v>46</v>
      </c>
      <c r="E1700" t="str">
        <f t="shared" si="80"/>
        <v>서울특별시</v>
      </c>
      <c r="F1700" t="str">
        <f t="shared" si="81"/>
        <v xml:space="preserve">관악구 </v>
      </c>
      <c r="G1700" t="str">
        <f t="shared" si="82"/>
        <v>신림동</v>
      </c>
      <c r="H1700" t="s">
        <v>47</v>
      </c>
      <c r="I1700">
        <v>8777</v>
      </c>
    </row>
    <row r="1701" spans="1:9" x14ac:dyDescent="0.4">
      <c r="A1701">
        <v>3200000</v>
      </c>
      <c r="B1701" t="s">
        <v>8646</v>
      </c>
      <c r="C1701" s="1">
        <v>37062</v>
      </c>
      <c r="D1701" t="s">
        <v>8647</v>
      </c>
      <c r="E1701" t="str">
        <f t="shared" si="80"/>
        <v>서울특별시</v>
      </c>
      <c r="F1701" t="str">
        <f t="shared" si="81"/>
        <v xml:space="preserve">관악구 </v>
      </c>
      <c r="G1701" t="str">
        <f t="shared" si="82"/>
        <v>신림동</v>
      </c>
    </row>
    <row r="1702" spans="1:9" x14ac:dyDescent="0.4">
      <c r="A1702">
        <v>3200000</v>
      </c>
      <c r="B1702" t="s">
        <v>8470</v>
      </c>
      <c r="C1702" s="1">
        <v>36476</v>
      </c>
      <c r="D1702" t="s">
        <v>8471</v>
      </c>
      <c r="E1702" t="str">
        <f t="shared" si="80"/>
        <v>서울특별시</v>
      </c>
      <c r="F1702" t="str">
        <f t="shared" si="81"/>
        <v xml:space="preserve">관악구 </v>
      </c>
      <c r="G1702" t="str">
        <f t="shared" si="82"/>
        <v>신림동</v>
      </c>
    </row>
    <row r="1703" spans="1:9" x14ac:dyDescent="0.4">
      <c r="A1703">
        <v>3200000</v>
      </c>
      <c r="B1703" t="s">
        <v>8445</v>
      </c>
      <c r="C1703" s="1">
        <v>32806</v>
      </c>
      <c r="D1703" t="s">
        <v>8446</v>
      </c>
      <c r="E1703" t="str">
        <f t="shared" si="80"/>
        <v>서울특별시</v>
      </c>
      <c r="F1703" t="str">
        <f t="shared" si="81"/>
        <v xml:space="preserve">관악구 </v>
      </c>
      <c r="G1703" t="str">
        <f t="shared" si="82"/>
        <v>신림동</v>
      </c>
    </row>
    <row r="1704" spans="1:9" x14ac:dyDescent="0.4">
      <c r="A1704">
        <v>3200000</v>
      </c>
      <c r="B1704" t="s">
        <v>8550</v>
      </c>
      <c r="C1704" s="1">
        <v>37032</v>
      </c>
      <c r="D1704" t="s">
        <v>8551</v>
      </c>
      <c r="E1704" t="str">
        <f t="shared" si="80"/>
        <v>서울특별시</v>
      </c>
      <c r="F1704" t="str">
        <f t="shared" si="81"/>
        <v xml:space="preserve">관악구 </v>
      </c>
      <c r="G1704" t="str">
        <f t="shared" si="82"/>
        <v>신림동</v>
      </c>
    </row>
    <row r="1705" spans="1:9" x14ac:dyDescent="0.4">
      <c r="A1705">
        <v>3200000</v>
      </c>
      <c r="B1705" t="s">
        <v>8601</v>
      </c>
      <c r="C1705" s="1">
        <v>30946</v>
      </c>
      <c r="D1705" t="s">
        <v>8602</v>
      </c>
      <c r="E1705" t="str">
        <f t="shared" si="80"/>
        <v>서울특별시</v>
      </c>
      <c r="F1705" t="str">
        <f t="shared" si="81"/>
        <v xml:space="preserve">관악구 </v>
      </c>
      <c r="G1705" t="str">
        <f t="shared" si="82"/>
        <v>신림동</v>
      </c>
    </row>
    <row r="1706" spans="1:9" x14ac:dyDescent="0.4">
      <c r="A1706">
        <v>3200000</v>
      </c>
      <c r="B1706" t="s">
        <v>8301</v>
      </c>
      <c r="C1706" s="1">
        <v>41156</v>
      </c>
      <c r="D1706" t="s">
        <v>8302</v>
      </c>
      <c r="E1706" t="str">
        <f t="shared" si="80"/>
        <v>서울특별시</v>
      </c>
      <c r="F1706" t="str">
        <f t="shared" si="81"/>
        <v xml:space="preserve">관악구 </v>
      </c>
      <c r="G1706" t="str">
        <f t="shared" si="82"/>
        <v>신림동</v>
      </c>
      <c r="H1706" t="s">
        <v>8303</v>
      </c>
      <c r="I1706">
        <v>8700</v>
      </c>
    </row>
    <row r="1707" spans="1:9" x14ac:dyDescent="0.4">
      <c r="A1707">
        <v>3200000</v>
      </c>
      <c r="B1707" t="s">
        <v>8289</v>
      </c>
      <c r="C1707" s="1">
        <v>36859</v>
      </c>
      <c r="D1707" t="s">
        <v>8290</v>
      </c>
      <c r="E1707" t="str">
        <f t="shared" si="80"/>
        <v>서울특별시</v>
      </c>
      <c r="F1707" t="str">
        <f t="shared" si="81"/>
        <v xml:space="preserve">관악구 </v>
      </c>
      <c r="G1707" t="str">
        <f t="shared" si="82"/>
        <v>신림동</v>
      </c>
    </row>
    <row r="1708" spans="1:9" x14ac:dyDescent="0.4">
      <c r="A1708">
        <v>3200000</v>
      </c>
      <c r="B1708" t="s">
        <v>8467</v>
      </c>
      <c r="C1708" s="1">
        <v>36444</v>
      </c>
      <c r="D1708" t="s">
        <v>8290</v>
      </c>
      <c r="E1708" t="str">
        <f t="shared" si="80"/>
        <v>서울특별시</v>
      </c>
      <c r="F1708" t="str">
        <f t="shared" si="81"/>
        <v xml:space="preserve">관악구 </v>
      </c>
      <c r="G1708" t="str">
        <f t="shared" si="82"/>
        <v>신림동</v>
      </c>
    </row>
    <row r="1709" spans="1:9" x14ac:dyDescent="0.4">
      <c r="A1709">
        <v>3200000</v>
      </c>
      <c r="B1709" t="s">
        <v>8683</v>
      </c>
      <c r="C1709" s="1">
        <v>28998</v>
      </c>
      <c r="D1709" t="s">
        <v>8684</v>
      </c>
      <c r="E1709" t="str">
        <f t="shared" si="80"/>
        <v>서울특별시</v>
      </c>
      <c r="F1709" t="str">
        <f t="shared" si="81"/>
        <v xml:space="preserve">관악구 </v>
      </c>
      <c r="G1709" t="str">
        <f t="shared" si="82"/>
        <v>신림동</v>
      </c>
    </row>
    <row r="1710" spans="1:9" x14ac:dyDescent="0.4">
      <c r="A1710">
        <v>3200000</v>
      </c>
      <c r="B1710" t="s">
        <v>8733</v>
      </c>
      <c r="C1710" s="1">
        <v>37162</v>
      </c>
      <c r="D1710" t="s">
        <v>8734</v>
      </c>
      <c r="E1710" t="str">
        <f t="shared" si="80"/>
        <v>서울특별시</v>
      </c>
      <c r="F1710" t="str">
        <f t="shared" si="81"/>
        <v xml:space="preserve">관악구 </v>
      </c>
      <c r="G1710" t="str">
        <f t="shared" si="82"/>
        <v>신림동</v>
      </c>
    </row>
    <row r="1711" spans="1:9" x14ac:dyDescent="0.4">
      <c r="A1711">
        <v>3200000</v>
      </c>
      <c r="B1711" t="s">
        <v>8721</v>
      </c>
      <c r="C1711" s="1">
        <v>39611</v>
      </c>
      <c r="D1711" t="s">
        <v>8722</v>
      </c>
      <c r="E1711" t="str">
        <f t="shared" si="80"/>
        <v>서울특별시</v>
      </c>
      <c r="F1711" t="str">
        <f t="shared" si="81"/>
        <v xml:space="preserve">관악구 </v>
      </c>
      <c r="G1711" t="str">
        <f t="shared" si="82"/>
        <v>신림동</v>
      </c>
      <c r="H1711" t="s">
        <v>8303</v>
      </c>
      <c r="I1711">
        <v>8700</v>
      </c>
    </row>
    <row r="1712" spans="1:9" x14ac:dyDescent="0.4">
      <c r="A1712">
        <v>3200000</v>
      </c>
      <c r="B1712" t="s">
        <v>8006</v>
      </c>
      <c r="C1712" s="1">
        <v>41479</v>
      </c>
      <c r="D1712" t="s">
        <v>8007</v>
      </c>
      <c r="E1712" t="str">
        <f t="shared" si="80"/>
        <v>서울특별시</v>
      </c>
      <c r="F1712" t="str">
        <f t="shared" si="81"/>
        <v xml:space="preserve">관악구 </v>
      </c>
      <c r="G1712" t="str">
        <f t="shared" si="82"/>
        <v>신림동</v>
      </c>
      <c r="H1712" t="s">
        <v>8008</v>
      </c>
      <c r="I1712">
        <v>8769</v>
      </c>
    </row>
    <row r="1713" spans="1:9" x14ac:dyDescent="0.4">
      <c r="A1713">
        <v>3200000</v>
      </c>
      <c r="B1713" t="s">
        <v>8181</v>
      </c>
      <c r="C1713" s="1">
        <v>36655</v>
      </c>
      <c r="D1713" t="s">
        <v>8007</v>
      </c>
      <c r="E1713" t="str">
        <f t="shared" si="80"/>
        <v>서울특별시</v>
      </c>
      <c r="F1713" t="str">
        <f t="shared" si="81"/>
        <v xml:space="preserve">관악구 </v>
      </c>
      <c r="G1713" t="str">
        <f t="shared" si="82"/>
        <v>신림동</v>
      </c>
      <c r="H1713" t="s">
        <v>8008</v>
      </c>
      <c r="I1713">
        <v>8769</v>
      </c>
    </row>
    <row r="1714" spans="1:9" x14ac:dyDescent="0.4">
      <c r="A1714">
        <v>3200000</v>
      </c>
      <c r="B1714" t="s">
        <v>8342</v>
      </c>
      <c r="C1714" s="1">
        <v>28854</v>
      </c>
      <c r="D1714" t="s">
        <v>8343</v>
      </c>
      <c r="E1714" t="str">
        <f t="shared" si="80"/>
        <v>서울특별시</v>
      </c>
      <c r="F1714" t="str">
        <f t="shared" si="81"/>
        <v xml:space="preserve">관악구 </v>
      </c>
      <c r="G1714" t="str">
        <f t="shared" si="82"/>
        <v>신림동</v>
      </c>
      <c r="H1714" t="s">
        <v>8344</v>
      </c>
      <c r="I1714">
        <v>8769</v>
      </c>
    </row>
    <row r="1715" spans="1:9" x14ac:dyDescent="0.4">
      <c r="A1715">
        <v>3200000</v>
      </c>
      <c r="B1715" t="s">
        <v>8387</v>
      </c>
      <c r="C1715" s="1">
        <v>30865</v>
      </c>
      <c r="D1715" t="s">
        <v>8388</v>
      </c>
      <c r="E1715" t="str">
        <f t="shared" si="80"/>
        <v>서울특별시</v>
      </c>
      <c r="F1715" t="str">
        <f t="shared" si="81"/>
        <v xml:space="preserve">관악구 </v>
      </c>
      <c r="G1715" t="str">
        <f t="shared" si="82"/>
        <v>신림동</v>
      </c>
    </row>
    <row r="1716" spans="1:9" x14ac:dyDescent="0.4">
      <c r="A1716">
        <v>3200000</v>
      </c>
      <c r="B1716" t="s">
        <v>8745</v>
      </c>
      <c r="C1716" s="1">
        <v>40630</v>
      </c>
      <c r="D1716" t="s">
        <v>8746</v>
      </c>
      <c r="E1716" t="str">
        <f t="shared" si="80"/>
        <v>서울특별시</v>
      </c>
      <c r="F1716" t="str">
        <f t="shared" si="81"/>
        <v xml:space="preserve">관악구 </v>
      </c>
      <c r="G1716" t="str">
        <f t="shared" si="82"/>
        <v>신림동</v>
      </c>
      <c r="H1716" t="s">
        <v>8747</v>
      </c>
      <c r="I1716">
        <v>8769</v>
      </c>
    </row>
    <row r="1717" spans="1:9" x14ac:dyDescent="0.4">
      <c r="A1717">
        <v>3200000</v>
      </c>
      <c r="B1717" t="s">
        <v>8766</v>
      </c>
      <c r="C1717" s="1">
        <v>30865</v>
      </c>
      <c r="D1717" t="s">
        <v>8767</v>
      </c>
      <c r="E1717" t="str">
        <f t="shared" si="80"/>
        <v>서울특별시</v>
      </c>
      <c r="F1717" t="str">
        <f t="shared" si="81"/>
        <v xml:space="preserve">관악구 </v>
      </c>
      <c r="G1717" t="str">
        <f t="shared" si="82"/>
        <v>신림동</v>
      </c>
      <c r="H1717" t="s">
        <v>8768</v>
      </c>
      <c r="I1717">
        <v>8769</v>
      </c>
    </row>
    <row r="1718" spans="1:9" x14ac:dyDescent="0.4">
      <c r="A1718">
        <v>3200000</v>
      </c>
      <c r="B1718" t="s">
        <v>8536</v>
      </c>
      <c r="C1718" s="1">
        <v>41030</v>
      </c>
      <c r="D1718" t="s">
        <v>8537</v>
      </c>
      <c r="E1718" t="str">
        <f t="shared" si="80"/>
        <v>서울특별시</v>
      </c>
      <c r="F1718" t="str">
        <f t="shared" si="81"/>
        <v xml:space="preserve">관악구 </v>
      </c>
      <c r="G1718" t="str">
        <f t="shared" si="82"/>
        <v>신림동</v>
      </c>
      <c r="H1718" t="s">
        <v>8538</v>
      </c>
      <c r="I1718">
        <v>8768</v>
      </c>
    </row>
    <row r="1719" spans="1:9" x14ac:dyDescent="0.4">
      <c r="A1719">
        <v>3200000</v>
      </c>
      <c r="B1719" t="s">
        <v>8539</v>
      </c>
      <c r="C1719" s="1">
        <v>41030</v>
      </c>
      <c r="D1719" t="s">
        <v>8537</v>
      </c>
      <c r="E1719" t="str">
        <f t="shared" si="80"/>
        <v>서울특별시</v>
      </c>
      <c r="F1719" t="str">
        <f t="shared" si="81"/>
        <v xml:space="preserve">관악구 </v>
      </c>
      <c r="G1719" t="str">
        <f t="shared" si="82"/>
        <v>신림동</v>
      </c>
      <c r="H1719" t="s">
        <v>8538</v>
      </c>
      <c r="I1719">
        <v>8768</v>
      </c>
    </row>
    <row r="1720" spans="1:9" x14ac:dyDescent="0.4">
      <c r="A1720">
        <v>3200000</v>
      </c>
      <c r="B1720" t="s">
        <v>8665</v>
      </c>
      <c r="C1720" s="1">
        <v>37103</v>
      </c>
      <c r="D1720" t="s">
        <v>8537</v>
      </c>
      <c r="E1720" t="str">
        <f t="shared" si="80"/>
        <v>서울특별시</v>
      </c>
      <c r="F1720" t="str">
        <f t="shared" si="81"/>
        <v xml:space="preserve">관악구 </v>
      </c>
      <c r="G1720" t="str">
        <f t="shared" si="82"/>
        <v>신림동</v>
      </c>
    </row>
    <row r="1721" spans="1:9" x14ac:dyDescent="0.4">
      <c r="A1721">
        <v>3200000</v>
      </c>
      <c r="B1721" t="s">
        <v>8717</v>
      </c>
      <c r="C1721" s="1">
        <v>39498</v>
      </c>
      <c r="D1721" t="s">
        <v>8537</v>
      </c>
      <c r="E1721" t="str">
        <f t="shared" si="80"/>
        <v>서울특별시</v>
      </c>
      <c r="F1721" t="str">
        <f t="shared" si="81"/>
        <v xml:space="preserve">관악구 </v>
      </c>
      <c r="G1721" t="str">
        <f t="shared" si="82"/>
        <v>신림동</v>
      </c>
      <c r="H1721" t="s">
        <v>8718</v>
      </c>
      <c r="I1721">
        <v>8768</v>
      </c>
    </row>
    <row r="1722" spans="1:9" x14ac:dyDescent="0.4">
      <c r="A1722">
        <v>3200000</v>
      </c>
      <c r="B1722" t="s">
        <v>8780</v>
      </c>
      <c r="C1722" s="1">
        <v>36612</v>
      </c>
      <c r="D1722" t="s">
        <v>8537</v>
      </c>
      <c r="E1722" t="str">
        <f t="shared" si="80"/>
        <v>서울특별시</v>
      </c>
      <c r="F1722" t="str">
        <f t="shared" si="81"/>
        <v xml:space="preserve">관악구 </v>
      </c>
      <c r="G1722" t="str">
        <f t="shared" si="82"/>
        <v>신림동</v>
      </c>
    </row>
    <row r="1723" spans="1:9" x14ac:dyDescent="0.4">
      <c r="A1723">
        <v>3200000</v>
      </c>
      <c r="B1723" t="s">
        <v>8091</v>
      </c>
      <c r="C1723" s="1">
        <v>45425</v>
      </c>
      <c r="D1723" t="s">
        <v>8092</v>
      </c>
      <c r="E1723" t="str">
        <f t="shared" si="80"/>
        <v>서울특별시</v>
      </c>
      <c r="F1723" t="str">
        <f t="shared" si="81"/>
        <v xml:space="preserve">관악구 </v>
      </c>
      <c r="G1723" t="str">
        <f t="shared" si="82"/>
        <v>신림동</v>
      </c>
      <c r="H1723" t="s">
        <v>8093</v>
      </c>
      <c r="I1723">
        <v>8768</v>
      </c>
    </row>
    <row r="1724" spans="1:9" x14ac:dyDescent="0.4">
      <c r="A1724">
        <v>3200000</v>
      </c>
      <c r="B1724" t="s">
        <v>8094</v>
      </c>
      <c r="C1724" s="1">
        <v>45425</v>
      </c>
      <c r="D1724" t="s">
        <v>8092</v>
      </c>
      <c r="E1724" t="str">
        <f t="shared" si="80"/>
        <v>서울특별시</v>
      </c>
      <c r="F1724" t="str">
        <f t="shared" si="81"/>
        <v xml:space="preserve">관악구 </v>
      </c>
      <c r="G1724" t="str">
        <f t="shared" si="82"/>
        <v>신림동</v>
      </c>
      <c r="H1724" t="s">
        <v>8095</v>
      </c>
      <c r="I1724">
        <v>8768</v>
      </c>
    </row>
    <row r="1725" spans="1:9" x14ac:dyDescent="0.4">
      <c r="A1725">
        <v>3200000</v>
      </c>
      <c r="B1725" t="s">
        <v>8096</v>
      </c>
      <c r="C1725" s="1">
        <v>45425</v>
      </c>
      <c r="D1725" t="s">
        <v>8092</v>
      </c>
      <c r="E1725" t="str">
        <f t="shared" si="80"/>
        <v>서울특별시</v>
      </c>
      <c r="F1725" t="str">
        <f t="shared" si="81"/>
        <v xml:space="preserve">관악구 </v>
      </c>
      <c r="G1725" t="str">
        <f t="shared" si="82"/>
        <v>신림동</v>
      </c>
      <c r="H1725" t="s">
        <v>8097</v>
      </c>
      <c r="I1725">
        <v>8768</v>
      </c>
    </row>
    <row r="1726" spans="1:9" x14ac:dyDescent="0.4">
      <c r="A1726">
        <v>3200000</v>
      </c>
      <c r="B1726" t="s">
        <v>8661</v>
      </c>
      <c r="C1726" s="1">
        <v>37098</v>
      </c>
      <c r="D1726" t="s">
        <v>8092</v>
      </c>
      <c r="E1726" t="str">
        <f t="shared" si="80"/>
        <v>서울특별시</v>
      </c>
      <c r="F1726" t="str">
        <f t="shared" si="81"/>
        <v xml:space="preserve">관악구 </v>
      </c>
      <c r="G1726" t="str">
        <f t="shared" si="82"/>
        <v>신림동</v>
      </c>
      <c r="H1726" t="s">
        <v>8662</v>
      </c>
      <c r="I1726">
        <v>8768</v>
      </c>
    </row>
    <row r="1727" spans="1:9" x14ac:dyDescent="0.4">
      <c r="A1727">
        <v>3200000</v>
      </c>
      <c r="B1727" t="s">
        <v>8563</v>
      </c>
      <c r="C1727" s="1">
        <v>36934</v>
      </c>
      <c r="D1727" t="s">
        <v>8564</v>
      </c>
      <c r="E1727" t="str">
        <f t="shared" si="80"/>
        <v>서울특별시</v>
      </c>
      <c r="F1727" t="str">
        <f t="shared" si="81"/>
        <v xml:space="preserve">관악구 </v>
      </c>
      <c r="G1727" t="str">
        <f t="shared" si="82"/>
        <v>신림동</v>
      </c>
    </row>
    <row r="1728" spans="1:9" x14ac:dyDescent="0.4">
      <c r="A1728">
        <v>3200000</v>
      </c>
      <c r="B1728" t="s">
        <v>8316</v>
      </c>
      <c r="C1728" s="1">
        <v>41660</v>
      </c>
      <c r="D1728" t="s">
        <v>8317</v>
      </c>
      <c r="E1728" t="str">
        <f t="shared" si="80"/>
        <v>서울특별시</v>
      </c>
      <c r="F1728" t="str">
        <f t="shared" si="81"/>
        <v xml:space="preserve">관악구 </v>
      </c>
      <c r="G1728" t="str">
        <f t="shared" si="82"/>
        <v>신림동</v>
      </c>
      <c r="H1728" t="s">
        <v>8318</v>
      </c>
      <c r="I1728">
        <v>8768</v>
      </c>
    </row>
    <row r="1729" spans="1:9" x14ac:dyDescent="0.4">
      <c r="A1729">
        <v>3200000</v>
      </c>
      <c r="B1729" t="s">
        <v>8029</v>
      </c>
      <c r="C1729" s="1">
        <v>38954</v>
      </c>
      <c r="D1729" t="s">
        <v>8030</v>
      </c>
      <c r="E1729" t="str">
        <f t="shared" si="80"/>
        <v>서울특별시</v>
      </c>
      <c r="F1729" t="str">
        <f t="shared" si="81"/>
        <v xml:space="preserve">관악구 </v>
      </c>
      <c r="G1729" t="str">
        <f t="shared" si="82"/>
        <v>신림동</v>
      </c>
      <c r="H1729" t="s">
        <v>8031</v>
      </c>
      <c r="I1729">
        <v>8769</v>
      </c>
    </row>
    <row r="1730" spans="1:9" x14ac:dyDescent="0.4">
      <c r="A1730">
        <v>3200000</v>
      </c>
      <c r="B1730" t="s">
        <v>8788</v>
      </c>
      <c r="C1730" s="1">
        <v>36673</v>
      </c>
      <c r="D1730" t="s">
        <v>8789</v>
      </c>
      <c r="E1730" t="str">
        <f t="shared" si="80"/>
        <v>서울특별시</v>
      </c>
      <c r="F1730" t="str">
        <f t="shared" si="81"/>
        <v xml:space="preserve">관악구 </v>
      </c>
      <c r="G1730" t="str">
        <f t="shared" si="82"/>
        <v>신림동</v>
      </c>
    </row>
    <row r="1731" spans="1:9" x14ac:dyDescent="0.4">
      <c r="A1731">
        <v>3200000</v>
      </c>
      <c r="B1731" t="s">
        <v>8576</v>
      </c>
      <c r="C1731" s="1">
        <v>36720</v>
      </c>
      <c r="D1731" t="s">
        <v>8577</v>
      </c>
      <c r="E1731" t="str">
        <f t="shared" ref="E1731:E1794" si="83">LEFT(D1731,5)</f>
        <v>서울특별시</v>
      </c>
      <c r="F1731" t="str">
        <f t="shared" ref="F1731:F1794" si="84">MID(D1731,7,4)</f>
        <v xml:space="preserve">관악구 </v>
      </c>
      <c r="G1731" t="str">
        <f t="shared" ref="G1731:G1794" si="85">MID(SUBSTITUTE(D1731," ",""),9,3)</f>
        <v>신림동</v>
      </c>
      <c r="H1731" t="s">
        <v>8578</v>
      </c>
      <c r="I1731">
        <v>8769</v>
      </c>
    </row>
    <row r="1732" spans="1:9" x14ac:dyDescent="0.4">
      <c r="A1732">
        <v>3200000</v>
      </c>
      <c r="B1732" t="s">
        <v>7991</v>
      </c>
      <c r="C1732" s="1">
        <v>29382</v>
      </c>
      <c r="D1732" t="s">
        <v>7992</v>
      </c>
      <c r="E1732" t="str">
        <f t="shared" si="83"/>
        <v>서울특별시</v>
      </c>
      <c r="F1732" t="str">
        <f t="shared" si="84"/>
        <v xml:space="preserve">관악구 </v>
      </c>
      <c r="G1732" t="str">
        <f t="shared" si="85"/>
        <v>신림동</v>
      </c>
      <c r="H1732" t="s">
        <v>7993</v>
      </c>
      <c r="I1732">
        <v>8768</v>
      </c>
    </row>
    <row r="1733" spans="1:9" x14ac:dyDescent="0.4">
      <c r="A1733">
        <v>3200000</v>
      </c>
      <c r="B1733" t="s">
        <v>8069</v>
      </c>
      <c r="C1733" s="1">
        <v>36634</v>
      </c>
      <c r="D1733" t="s">
        <v>8070</v>
      </c>
      <c r="E1733" t="str">
        <f t="shared" si="83"/>
        <v>서울특별시</v>
      </c>
      <c r="F1733" t="str">
        <f t="shared" si="84"/>
        <v xml:space="preserve">관악구 </v>
      </c>
      <c r="G1733" t="str">
        <f t="shared" si="85"/>
        <v>신림동</v>
      </c>
    </row>
    <row r="1734" spans="1:9" x14ac:dyDescent="0.4">
      <c r="A1734">
        <v>3200000</v>
      </c>
      <c r="B1734" t="s">
        <v>8178</v>
      </c>
      <c r="C1734" s="1">
        <v>36634</v>
      </c>
      <c r="D1734" t="s">
        <v>8179</v>
      </c>
      <c r="E1734" t="str">
        <f t="shared" si="83"/>
        <v>서울특별시</v>
      </c>
      <c r="F1734" t="str">
        <f t="shared" si="84"/>
        <v xml:space="preserve">관악구 </v>
      </c>
      <c r="G1734" t="str">
        <f t="shared" si="85"/>
        <v>신림동</v>
      </c>
      <c r="H1734" t="s">
        <v>8180</v>
      </c>
      <c r="I1734">
        <v>8765</v>
      </c>
    </row>
    <row r="1735" spans="1:9" x14ac:dyDescent="0.4">
      <c r="A1735">
        <v>3200000</v>
      </c>
      <c r="B1735" t="s">
        <v>7913</v>
      </c>
      <c r="C1735" s="1">
        <v>28719</v>
      </c>
      <c r="D1735" t="s">
        <v>7914</v>
      </c>
      <c r="E1735" t="str">
        <f t="shared" si="83"/>
        <v>서울특별시</v>
      </c>
      <c r="F1735" t="str">
        <f t="shared" si="84"/>
        <v xml:space="preserve">관악구 </v>
      </c>
      <c r="G1735" t="str">
        <f t="shared" si="85"/>
        <v>신림동</v>
      </c>
      <c r="H1735" t="s">
        <v>7915</v>
      </c>
      <c r="I1735">
        <v>8765</v>
      </c>
    </row>
    <row r="1736" spans="1:9" x14ac:dyDescent="0.4">
      <c r="A1736">
        <v>3200000</v>
      </c>
      <c r="B1736" t="s">
        <v>8407</v>
      </c>
      <c r="C1736" s="1">
        <v>37187</v>
      </c>
      <c r="D1736" t="s">
        <v>8408</v>
      </c>
      <c r="E1736" t="str">
        <f t="shared" si="83"/>
        <v>서울특별시</v>
      </c>
      <c r="F1736" t="str">
        <f t="shared" si="84"/>
        <v xml:space="preserve">관악구 </v>
      </c>
      <c r="G1736" t="str">
        <f t="shared" si="85"/>
        <v>신림동</v>
      </c>
      <c r="H1736" t="s">
        <v>8409</v>
      </c>
      <c r="I1736">
        <v>8761</v>
      </c>
    </row>
    <row r="1737" spans="1:9" x14ac:dyDescent="0.4">
      <c r="A1737">
        <v>3200000</v>
      </c>
      <c r="B1737" t="s">
        <v>8250</v>
      </c>
      <c r="C1737" s="1">
        <v>36577</v>
      </c>
      <c r="D1737" t="s">
        <v>8251</v>
      </c>
      <c r="E1737" t="str">
        <f t="shared" si="83"/>
        <v>서울특별시</v>
      </c>
      <c r="F1737" t="str">
        <f t="shared" si="84"/>
        <v xml:space="preserve">관악구 </v>
      </c>
      <c r="G1737" t="str">
        <f t="shared" si="85"/>
        <v>신림동</v>
      </c>
      <c r="H1737" t="s">
        <v>8252</v>
      </c>
      <c r="I1737">
        <v>8761</v>
      </c>
    </row>
    <row r="1738" spans="1:9" x14ac:dyDescent="0.4">
      <c r="A1738">
        <v>3200000</v>
      </c>
      <c r="B1738" t="s">
        <v>8338</v>
      </c>
      <c r="C1738" s="1">
        <v>28773</v>
      </c>
      <c r="D1738" t="s">
        <v>8339</v>
      </c>
      <c r="E1738" t="str">
        <f t="shared" si="83"/>
        <v>서울특별시</v>
      </c>
      <c r="F1738" t="str">
        <f t="shared" si="84"/>
        <v xml:space="preserve">관악구 </v>
      </c>
      <c r="G1738" t="str">
        <f t="shared" si="85"/>
        <v>신림동</v>
      </c>
    </row>
    <row r="1739" spans="1:9" x14ac:dyDescent="0.4">
      <c r="A1739">
        <v>3200000</v>
      </c>
      <c r="B1739" t="s">
        <v>8223</v>
      </c>
      <c r="C1739" s="1">
        <v>36501</v>
      </c>
      <c r="D1739" t="s">
        <v>8224</v>
      </c>
      <c r="E1739" t="str">
        <f t="shared" si="83"/>
        <v>서울특별시</v>
      </c>
      <c r="F1739" t="str">
        <f t="shared" si="84"/>
        <v xml:space="preserve">관악구 </v>
      </c>
      <c r="G1739" t="str">
        <f t="shared" si="85"/>
        <v>신림동</v>
      </c>
      <c r="H1739" t="s">
        <v>8225</v>
      </c>
      <c r="I1739">
        <v>8761</v>
      </c>
    </row>
    <row r="1740" spans="1:9" x14ac:dyDescent="0.4">
      <c r="A1740">
        <v>3200000</v>
      </c>
      <c r="B1740" t="s">
        <v>8155</v>
      </c>
      <c r="C1740" s="1">
        <v>40528</v>
      </c>
      <c r="D1740" t="s">
        <v>8156</v>
      </c>
      <c r="E1740" t="str">
        <f t="shared" si="83"/>
        <v>서울특별시</v>
      </c>
      <c r="F1740" t="str">
        <f t="shared" si="84"/>
        <v xml:space="preserve">관악구 </v>
      </c>
      <c r="G1740" t="str">
        <f t="shared" si="85"/>
        <v>신림동</v>
      </c>
      <c r="H1740" t="s">
        <v>8157</v>
      </c>
      <c r="I1740">
        <v>8761</v>
      </c>
    </row>
    <row r="1741" spans="1:9" x14ac:dyDescent="0.4">
      <c r="A1741">
        <v>3200000</v>
      </c>
      <c r="B1741" t="s">
        <v>8663</v>
      </c>
      <c r="C1741" s="1">
        <v>37099</v>
      </c>
      <c r="D1741" t="s">
        <v>8664</v>
      </c>
      <c r="E1741" t="str">
        <f t="shared" si="83"/>
        <v>서울특별시</v>
      </c>
      <c r="F1741" t="str">
        <f t="shared" si="84"/>
        <v xml:space="preserve">관악구 </v>
      </c>
      <c r="G1741" t="str">
        <f t="shared" si="85"/>
        <v>신림동</v>
      </c>
    </row>
    <row r="1742" spans="1:9" x14ac:dyDescent="0.4">
      <c r="A1742">
        <v>3200000</v>
      </c>
      <c r="B1742" t="s">
        <v>8185</v>
      </c>
      <c r="C1742" s="1">
        <v>36693</v>
      </c>
      <c r="D1742" t="s">
        <v>8186</v>
      </c>
      <c r="E1742" t="str">
        <f t="shared" si="83"/>
        <v>서울특별시</v>
      </c>
      <c r="F1742" t="str">
        <f t="shared" si="84"/>
        <v xml:space="preserve">관악구 </v>
      </c>
      <c r="G1742" t="str">
        <f t="shared" si="85"/>
        <v>신림동</v>
      </c>
      <c r="H1742" t="s">
        <v>8187</v>
      </c>
      <c r="I1742">
        <v>8761</v>
      </c>
    </row>
    <row r="1743" spans="1:9" x14ac:dyDescent="0.4">
      <c r="A1743">
        <v>3200000</v>
      </c>
      <c r="B1743" t="s">
        <v>8229</v>
      </c>
      <c r="C1743" s="1">
        <v>36503</v>
      </c>
      <c r="D1743" t="s">
        <v>8230</v>
      </c>
      <c r="E1743" t="str">
        <f t="shared" si="83"/>
        <v>서울특별시</v>
      </c>
      <c r="F1743" t="str">
        <f t="shared" si="84"/>
        <v xml:space="preserve">관악구 </v>
      </c>
      <c r="G1743" t="str">
        <f t="shared" si="85"/>
        <v>신림동</v>
      </c>
      <c r="H1743" t="s">
        <v>8231</v>
      </c>
      <c r="I1743">
        <v>8761</v>
      </c>
    </row>
    <row r="1744" spans="1:9" x14ac:dyDescent="0.4">
      <c r="A1744">
        <v>3200000</v>
      </c>
      <c r="B1744" t="s">
        <v>8518</v>
      </c>
      <c r="C1744" s="1">
        <v>36558</v>
      </c>
      <c r="D1744" t="s">
        <v>8230</v>
      </c>
      <c r="E1744" t="str">
        <f t="shared" si="83"/>
        <v>서울특별시</v>
      </c>
      <c r="F1744" t="str">
        <f t="shared" si="84"/>
        <v xml:space="preserve">관악구 </v>
      </c>
      <c r="G1744" t="str">
        <f t="shared" si="85"/>
        <v>신림동</v>
      </c>
    </row>
    <row r="1745" spans="1:9" x14ac:dyDescent="0.4">
      <c r="A1745">
        <v>3200000</v>
      </c>
      <c r="B1745" t="s">
        <v>8453</v>
      </c>
      <c r="C1745" s="1">
        <v>36237</v>
      </c>
      <c r="D1745" t="s">
        <v>8454</v>
      </c>
      <c r="E1745" t="str">
        <f t="shared" si="83"/>
        <v>서울특별시</v>
      </c>
      <c r="F1745" t="str">
        <f t="shared" si="84"/>
        <v xml:space="preserve">관악구 </v>
      </c>
      <c r="G1745" t="str">
        <f t="shared" si="85"/>
        <v>신림동</v>
      </c>
    </row>
    <row r="1746" spans="1:9" x14ac:dyDescent="0.4">
      <c r="A1746">
        <v>3200000</v>
      </c>
      <c r="B1746" t="s">
        <v>8752</v>
      </c>
      <c r="C1746" s="1">
        <v>37599</v>
      </c>
      <c r="D1746" t="s">
        <v>8454</v>
      </c>
      <c r="E1746" t="str">
        <f t="shared" si="83"/>
        <v>서울특별시</v>
      </c>
      <c r="F1746" t="str">
        <f t="shared" si="84"/>
        <v xml:space="preserve">관악구 </v>
      </c>
      <c r="G1746" t="str">
        <f t="shared" si="85"/>
        <v>신림동</v>
      </c>
    </row>
    <row r="1747" spans="1:9" x14ac:dyDescent="0.4">
      <c r="A1747">
        <v>3200000</v>
      </c>
      <c r="B1747" t="s">
        <v>8710</v>
      </c>
      <c r="C1747" s="1">
        <v>39133</v>
      </c>
      <c r="D1747" t="s">
        <v>8711</v>
      </c>
      <c r="E1747" t="str">
        <f t="shared" si="83"/>
        <v>서울특별시</v>
      </c>
      <c r="F1747" t="str">
        <f t="shared" si="84"/>
        <v xml:space="preserve">관악구 </v>
      </c>
      <c r="G1747" t="str">
        <f t="shared" si="85"/>
        <v>신림동</v>
      </c>
      <c r="H1747" t="s">
        <v>8712</v>
      </c>
      <c r="I1747">
        <v>8761</v>
      </c>
    </row>
    <row r="1748" spans="1:9" x14ac:dyDescent="0.4">
      <c r="A1748">
        <v>3200000</v>
      </c>
      <c r="B1748" t="s">
        <v>7841</v>
      </c>
      <c r="C1748" s="1">
        <v>36810</v>
      </c>
      <c r="D1748" t="s">
        <v>7842</v>
      </c>
      <c r="E1748" t="str">
        <f t="shared" si="83"/>
        <v>서울특별시</v>
      </c>
      <c r="F1748" t="str">
        <f t="shared" si="84"/>
        <v xml:space="preserve">관악구 </v>
      </c>
      <c r="G1748" t="str">
        <f t="shared" si="85"/>
        <v>신림동</v>
      </c>
      <c r="H1748" t="s">
        <v>7843</v>
      </c>
      <c r="I1748">
        <v>8761</v>
      </c>
    </row>
    <row r="1749" spans="1:9" x14ac:dyDescent="0.4">
      <c r="A1749">
        <v>3200000</v>
      </c>
      <c r="B1749" t="s">
        <v>8793</v>
      </c>
      <c r="C1749" s="1">
        <v>36689</v>
      </c>
      <c r="D1749" t="s">
        <v>8794</v>
      </c>
      <c r="E1749" t="str">
        <f t="shared" si="83"/>
        <v>서울특별시</v>
      </c>
      <c r="F1749" t="str">
        <f t="shared" si="84"/>
        <v xml:space="preserve">관악구 </v>
      </c>
      <c r="G1749" t="str">
        <f t="shared" si="85"/>
        <v>신림동</v>
      </c>
    </row>
    <row r="1750" spans="1:9" x14ac:dyDescent="0.4">
      <c r="A1750">
        <v>3200000</v>
      </c>
      <c r="B1750" t="s">
        <v>8416</v>
      </c>
      <c r="C1750" s="1">
        <v>37249</v>
      </c>
      <c r="D1750" t="s">
        <v>8417</v>
      </c>
      <c r="E1750" t="str">
        <f t="shared" si="83"/>
        <v>서울특별시</v>
      </c>
      <c r="F1750" t="str">
        <f t="shared" si="84"/>
        <v xml:space="preserve">관악구 </v>
      </c>
      <c r="G1750" t="str">
        <f t="shared" si="85"/>
        <v>신림동</v>
      </c>
      <c r="H1750" t="s">
        <v>8418</v>
      </c>
      <c r="I1750">
        <v>8767</v>
      </c>
    </row>
    <row r="1751" spans="1:9" x14ac:dyDescent="0.4">
      <c r="A1751">
        <v>3200000</v>
      </c>
      <c r="B1751" t="s">
        <v>7880</v>
      </c>
      <c r="C1751" s="1">
        <v>36956</v>
      </c>
      <c r="D1751" t="s">
        <v>7881</v>
      </c>
      <c r="E1751" t="str">
        <f t="shared" si="83"/>
        <v>서울특별시</v>
      </c>
      <c r="F1751" t="str">
        <f t="shared" si="84"/>
        <v xml:space="preserve">관악구 </v>
      </c>
      <c r="G1751" t="str">
        <f t="shared" si="85"/>
        <v>신림동</v>
      </c>
      <c r="H1751" t="s">
        <v>7882</v>
      </c>
      <c r="I1751">
        <v>8767</v>
      </c>
    </row>
    <row r="1752" spans="1:9" x14ac:dyDescent="0.4">
      <c r="A1752">
        <v>3200000</v>
      </c>
      <c r="B1752" t="s">
        <v>8101</v>
      </c>
      <c r="C1752" s="1">
        <v>37043</v>
      </c>
      <c r="D1752" t="s">
        <v>8102</v>
      </c>
      <c r="E1752" t="str">
        <f t="shared" si="83"/>
        <v>서울특별시</v>
      </c>
      <c r="F1752" t="str">
        <f t="shared" si="84"/>
        <v xml:space="preserve">관악구 </v>
      </c>
      <c r="G1752" t="str">
        <f t="shared" si="85"/>
        <v>신림동</v>
      </c>
      <c r="H1752" t="s">
        <v>8103</v>
      </c>
      <c r="I1752">
        <v>8767</v>
      </c>
    </row>
    <row r="1753" spans="1:9" x14ac:dyDescent="0.4">
      <c r="A1753">
        <v>3200000</v>
      </c>
      <c r="B1753" t="s">
        <v>8479</v>
      </c>
      <c r="C1753" s="1">
        <v>36504</v>
      </c>
      <c r="D1753" t="s">
        <v>8480</v>
      </c>
      <c r="E1753" t="str">
        <f t="shared" si="83"/>
        <v>서울특별시</v>
      </c>
      <c r="F1753" t="str">
        <f t="shared" si="84"/>
        <v xml:space="preserve">관악구 </v>
      </c>
      <c r="G1753" t="str">
        <f t="shared" si="85"/>
        <v>신림동</v>
      </c>
    </row>
    <row r="1754" spans="1:9" x14ac:dyDescent="0.4">
      <c r="A1754">
        <v>3200000</v>
      </c>
      <c r="B1754" t="s">
        <v>8719</v>
      </c>
      <c r="C1754" s="1">
        <v>39539</v>
      </c>
      <c r="D1754" t="s">
        <v>8720</v>
      </c>
      <c r="E1754" t="str">
        <f t="shared" si="83"/>
        <v>서울특별시</v>
      </c>
      <c r="F1754" t="str">
        <f t="shared" si="84"/>
        <v xml:space="preserve">관악구 </v>
      </c>
      <c r="G1754" t="str">
        <f t="shared" si="85"/>
        <v>신림동</v>
      </c>
    </row>
    <row r="1755" spans="1:9" x14ac:dyDescent="0.4">
      <c r="A1755">
        <v>3200000</v>
      </c>
      <c r="B1755" t="s">
        <v>8247</v>
      </c>
      <c r="C1755" s="1">
        <v>40794</v>
      </c>
      <c r="D1755" t="s">
        <v>8248</v>
      </c>
      <c r="E1755" t="str">
        <f t="shared" si="83"/>
        <v>서울특별시</v>
      </c>
      <c r="F1755" t="str">
        <f t="shared" si="84"/>
        <v xml:space="preserve">관악구 </v>
      </c>
      <c r="G1755" t="str">
        <f t="shared" si="85"/>
        <v>신림동</v>
      </c>
      <c r="H1755" t="s">
        <v>8249</v>
      </c>
      <c r="I1755">
        <v>8767</v>
      </c>
    </row>
    <row r="1756" spans="1:9" x14ac:dyDescent="0.4">
      <c r="A1756">
        <v>3200000</v>
      </c>
      <c r="B1756" t="s">
        <v>8052</v>
      </c>
      <c r="C1756" s="1">
        <v>45175</v>
      </c>
      <c r="D1756" t="s">
        <v>8053</v>
      </c>
      <c r="E1756" t="str">
        <f t="shared" si="83"/>
        <v>서울특별시</v>
      </c>
      <c r="F1756" t="str">
        <f t="shared" si="84"/>
        <v xml:space="preserve">관악구 </v>
      </c>
      <c r="G1756" t="str">
        <f t="shared" si="85"/>
        <v>신림동</v>
      </c>
      <c r="H1756" t="s">
        <v>7885</v>
      </c>
      <c r="I1756">
        <v>8767</v>
      </c>
    </row>
    <row r="1757" spans="1:9" x14ac:dyDescent="0.4">
      <c r="A1757">
        <v>3200000</v>
      </c>
      <c r="B1757" t="s">
        <v>7883</v>
      </c>
      <c r="C1757" s="1">
        <v>36524</v>
      </c>
      <c r="D1757" t="s">
        <v>7884</v>
      </c>
      <c r="E1757" t="str">
        <f t="shared" si="83"/>
        <v>서울특별시</v>
      </c>
      <c r="F1757" t="str">
        <f t="shared" si="84"/>
        <v xml:space="preserve">관악구 </v>
      </c>
      <c r="G1757" t="str">
        <f t="shared" si="85"/>
        <v>신림동</v>
      </c>
      <c r="H1757" t="s">
        <v>7885</v>
      </c>
      <c r="I1757">
        <v>8767</v>
      </c>
    </row>
    <row r="1758" spans="1:9" x14ac:dyDescent="0.4">
      <c r="A1758">
        <v>3200000</v>
      </c>
      <c r="B1758" t="s">
        <v>8256</v>
      </c>
      <c r="C1758" s="1">
        <v>36482</v>
      </c>
      <c r="D1758" t="s">
        <v>8257</v>
      </c>
      <c r="E1758" t="str">
        <f t="shared" si="83"/>
        <v>서울특별시</v>
      </c>
      <c r="F1758" t="str">
        <f t="shared" si="84"/>
        <v xml:space="preserve">관악구 </v>
      </c>
      <c r="G1758" t="str">
        <f t="shared" si="85"/>
        <v>신림동</v>
      </c>
      <c r="H1758" t="s">
        <v>8258</v>
      </c>
      <c r="I1758">
        <v>8767</v>
      </c>
    </row>
    <row r="1759" spans="1:9" x14ac:dyDescent="0.4">
      <c r="A1759">
        <v>3200000</v>
      </c>
      <c r="B1759" t="s">
        <v>8253</v>
      </c>
      <c r="C1759" s="1">
        <v>36556</v>
      </c>
      <c r="D1759" t="s">
        <v>8254</v>
      </c>
      <c r="E1759" t="str">
        <f t="shared" si="83"/>
        <v>서울특별시</v>
      </c>
      <c r="F1759" t="str">
        <f t="shared" si="84"/>
        <v xml:space="preserve">관악구 </v>
      </c>
      <c r="G1759" t="str">
        <f t="shared" si="85"/>
        <v>신림동</v>
      </c>
      <c r="H1759" t="s">
        <v>8255</v>
      </c>
      <c r="I1759">
        <v>8767</v>
      </c>
    </row>
    <row r="1760" spans="1:9" x14ac:dyDescent="0.4">
      <c r="A1760">
        <v>3200000</v>
      </c>
      <c r="B1760" t="s">
        <v>8340</v>
      </c>
      <c r="C1760" s="1">
        <v>28840</v>
      </c>
      <c r="D1760" t="s">
        <v>8341</v>
      </c>
      <c r="E1760" t="str">
        <f t="shared" si="83"/>
        <v>서울특별시</v>
      </c>
      <c r="F1760" t="str">
        <f t="shared" si="84"/>
        <v xml:space="preserve">관악구 </v>
      </c>
      <c r="G1760" t="str">
        <f t="shared" si="85"/>
        <v>신림동</v>
      </c>
    </row>
    <row r="1761" spans="1:9" x14ac:dyDescent="0.4">
      <c r="A1761">
        <v>3040000</v>
      </c>
      <c r="B1761" t="s">
        <v>3208</v>
      </c>
      <c r="C1761" s="1">
        <v>29481</v>
      </c>
      <c r="D1761" t="s">
        <v>3209</v>
      </c>
      <c r="E1761" t="str">
        <f t="shared" si="83"/>
        <v>서울특별시</v>
      </c>
      <c r="F1761" t="str">
        <f t="shared" si="84"/>
        <v xml:space="preserve">광진구 </v>
      </c>
      <c r="G1761" t="str">
        <f t="shared" si="85"/>
        <v>광장동</v>
      </c>
      <c r="H1761" t="s">
        <v>3210</v>
      </c>
      <c r="I1761">
        <v>4969</v>
      </c>
    </row>
    <row r="1762" spans="1:9" x14ac:dyDescent="0.4">
      <c r="A1762">
        <v>3040000</v>
      </c>
      <c r="B1762" t="s">
        <v>3183</v>
      </c>
      <c r="C1762" s="1">
        <v>28683</v>
      </c>
      <c r="D1762" t="s">
        <v>3184</v>
      </c>
      <c r="E1762" t="str">
        <f t="shared" si="83"/>
        <v>서울특별시</v>
      </c>
      <c r="F1762" t="str">
        <f t="shared" si="84"/>
        <v xml:space="preserve">광진구 </v>
      </c>
      <c r="G1762" t="str">
        <f t="shared" si="85"/>
        <v>광장동</v>
      </c>
    </row>
    <row r="1763" spans="1:9" x14ac:dyDescent="0.4">
      <c r="A1763">
        <v>3040000</v>
      </c>
      <c r="B1763" t="s">
        <v>3261</v>
      </c>
      <c r="C1763" s="1">
        <v>28689</v>
      </c>
      <c r="D1763" t="s">
        <v>3262</v>
      </c>
      <c r="E1763" t="str">
        <f t="shared" si="83"/>
        <v>서울특별시</v>
      </c>
      <c r="F1763" t="str">
        <f t="shared" si="84"/>
        <v xml:space="preserve">광진구 </v>
      </c>
      <c r="G1763" t="str">
        <f t="shared" si="85"/>
        <v>광장동</v>
      </c>
    </row>
    <row r="1764" spans="1:9" x14ac:dyDescent="0.4">
      <c r="A1764">
        <v>3040000</v>
      </c>
      <c r="B1764" t="s">
        <v>3249</v>
      </c>
      <c r="C1764" s="1">
        <v>28065</v>
      </c>
      <c r="D1764" t="s">
        <v>3250</v>
      </c>
      <c r="E1764" t="str">
        <f t="shared" si="83"/>
        <v>서울특별시</v>
      </c>
      <c r="F1764" t="str">
        <f t="shared" si="84"/>
        <v xml:space="preserve">광진구 </v>
      </c>
      <c r="G1764" t="str">
        <f t="shared" si="85"/>
        <v>구의동</v>
      </c>
      <c r="H1764" t="s">
        <v>3251</v>
      </c>
      <c r="I1764">
        <v>5033</v>
      </c>
    </row>
    <row r="1765" spans="1:9" x14ac:dyDescent="0.4">
      <c r="A1765">
        <v>3040000</v>
      </c>
      <c r="B1765" t="s">
        <v>3237</v>
      </c>
      <c r="C1765" s="1">
        <v>29357</v>
      </c>
      <c r="D1765" t="s">
        <v>3238</v>
      </c>
      <c r="E1765" t="str">
        <f t="shared" si="83"/>
        <v>서울특별시</v>
      </c>
      <c r="F1765" t="str">
        <f t="shared" si="84"/>
        <v xml:space="preserve">광진구 </v>
      </c>
      <c r="G1765" t="str">
        <f t="shared" si="85"/>
        <v>구의동</v>
      </c>
      <c r="H1765" t="s">
        <v>3239</v>
      </c>
      <c r="I1765">
        <v>5043</v>
      </c>
    </row>
    <row r="1766" spans="1:9" x14ac:dyDescent="0.4">
      <c r="A1766">
        <v>3040000</v>
      </c>
      <c r="B1766" t="s">
        <v>3200</v>
      </c>
      <c r="C1766" s="1">
        <v>29120</v>
      </c>
      <c r="D1766" t="s">
        <v>3201</v>
      </c>
      <c r="E1766" t="str">
        <f t="shared" si="83"/>
        <v>서울특별시</v>
      </c>
      <c r="F1766" t="str">
        <f t="shared" si="84"/>
        <v xml:space="preserve">광진구 </v>
      </c>
      <c r="G1766" t="str">
        <f t="shared" si="85"/>
        <v>구의동</v>
      </c>
      <c r="H1766" t="s">
        <v>3202</v>
      </c>
      <c r="I1766">
        <v>5024</v>
      </c>
    </row>
    <row r="1767" spans="1:9" x14ac:dyDescent="0.4">
      <c r="A1767">
        <v>3040000</v>
      </c>
      <c r="B1767" t="s">
        <v>3213</v>
      </c>
      <c r="C1767" s="1">
        <v>33354</v>
      </c>
      <c r="D1767" t="s">
        <v>3214</v>
      </c>
      <c r="E1767" t="str">
        <f t="shared" si="83"/>
        <v>서울특별시</v>
      </c>
      <c r="F1767" t="str">
        <f t="shared" si="84"/>
        <v xml:space="preserve">광진구 </v>
      </c>
      <c r="G1767" t="str">
        <f t="shared" si="85"/>
        <v>구의동</v>
      </c>
      <c r="H1767" t="s">
        <v>3215</v>
      </c>
      <c r="I1767">
        <v>5116</v>
      </c>
    </row>
    <row r="1768" spans="1:9" x14ac:dyDescent="0.4">
      <c r="A1768">
        <v>3040000</v>
      </c>
      <c r="B1768" t="s">
        <v>3216</v>
      </c>
      <c r="C1768" s="1">
        <v>33357</v>
      </c>
      <c r="D1768" t="s">
        <v>3217</v>
      </c>
      <c r="E1768" t="str">
        <f t="shared" si="83"/>
        <v>서울특별시</v>
      </c>
      <c r="F1768" t="str">
        <f t="shared" si="84"/>
        <v xml:space="preserve">광진구 </v>
      </c>
      <c r="G1768" t="str">
        <f t="shared" si="85"/>
        <v>구의동</v>
      </c>
    </row>
    <row r="1769" spans="1:9" x14ac:dyDescent="0.4">
      <c r="A1769">
        <v>3040000</v>
      </c>
      <c r="B1769" t="s">
        <v>3240</v>
      </c>
      <c r="C1769" s="1">
        <v>29414</v>
      </c>
      <c r="D1769" t="s">
        <v>3241</v>
      </c>
      <c r="E1769" t="str">
        <f t="shared" si="83"/>
        <v>서울특별시</v>
      </c>
      <c r="F1769" t="str">
        <f t="shared" si="84"/>
        <v xml:space="preserve">광진구 </v>
      </c>
      <c r="G1769" t="str">
        <f t="shared" si="85"/>
        <v>구의동</v>
      </c>
      <c r="H1769" t="s">
        <v>3242</v>
      </c>
      <c r="I1769">
        <v>4977</v>
      </c>
    </row>
    <row r="1770" spans="1:9" x14ac:dyDescent="0.4">
      <c r="A1770">
        <v>3040000</v>
      </c>
      <c r="B1770" t="s">
        <v>3255</v>
      </c>
      <c r="C1770" s="1">
        <v>28207</v>
      </c>
      <c r="D1770" t="s">
        <v>3256</v>
      </c>
      <c r="E1770" t="str">
        <f t="shared" si="83"/>
        <v>서울특별시</v>
      </c>
      <c r="F1770" t="str">
        <f t="shared" si="84"/>
        <v xml:space="preserve">광진구 </v>
      </c>
      <c r="G1770" t="str">
        <f t="shared" si="85"/>
        <v>군자동</v>
      </c>
      <c r="H1770" t="s">
        <v>3257</v>
      </c>
      <c r="I1770">
        <v>5003</v>
      </c>
    </row>
    <row r="1771" spans="1:9" x14ac:dyDescent="0.4">
      <c r="A1771">
        <v>3040000</v>
      </c>
      <c r="B1771" t="s">
        <v>3243</v>
      </c>
      <c r="C1771" s="1">
        <v>29888</v>
      </c>
      <c r="D1771" t="s">
        <v>3244</v>
      </c>
      <c r="E1771" t="str">
        <f t="shared" si="83"/>
        <v>서울특별시</v>
      </c>
      <c r="F1771" t="str">
        <f t="shared" si="84"/>
        <v xml:space="preserve">광진구 </v>
      </c>
      <c r="G1771" t="str">
        <f t="shared" si="85"/>
        <v>군자동</v>
      </c>
      <c r="H1771" t="s">
        <v>3245</v>
      </c>
      <c r="I1771">
        <v>5003</v>
      </c>
    </row>
    <row r="1772" spans="1:9" x14ac:dyDescent="0.4">
      <c r="A1772">
        <v>3040000</v>
      </c>
      <c r="B1772" t="s">
        <v>3203</v>
      </c>
      <c r="C1772" s="1">
        <v>29319</v>
      </c>
      <c r="D1772" t="s">
        <v>3204</v>
      </c>
      <c r="E1772" t="str">
        <f t="shared" si="83"/>
        <v>서울특별시</v>
      </c>
      <c r="F1772" t="str">
        <f t="shared" si="84"/>
        <v xml:space="preserve">광진구 </v>
      </c>
      <c r="G1772" t="str">
        <f t="shared" si="85"/>
        <v>군자동</v>
      </c>
      <c r="H1772" t="s">
        <v>3205</v>
      </c>
      <c r="I1772">
        <v>5003</v>
      </c>
    </row>
    <row r="1773" spans="1:9" x14ac:dyDescent="0.4">
      <c r="A1773">
        <v>3040000</v>
      </c>
      <c r="B1773" t="s">
        <v>3185</v>
      </c>
      <c r="C1773" s="1">
        <v>27813</v>
      </c>
      <c r="D1773" t="s">
        <v>3186</v>
      </c>
      <c r="E1773" t="str">
        <f t="shared" si="83"/>
        <v>서울특별시</v>
      </c>
      <c r="F1773" t="str">
        <f t="shared" si="84"/>
        <v xml:space="preserve">광진구 </v>
      </c>
      <c r="G1773" t="str">
        <f t="shared" si="85"/>
        <v>군자동</v>
      </c>
      <c r="H1773" t="s">
        <v>3187</v>
      </c>
      <c r="I1773">
        <v>5003</v>
      </c>
    </row>
    <row r="1774" spans="1:9" x14ac:dyDescent="0.4">
      <c r="A1774">
        <v>3040000</v>
      </c>
      <c r="B1774" t="s">
        <v>3252</v>
      </c>
      <c r="C1774" s="1">
        <v>28132</v>
      </c>
      <c r="D1774" t="s">
        <v>3253</v>
      </c>
      <c r="E1774" t="str">
        <f t="shared" si="83"/>
        <v>서울특별시</v>
      </c>
      <c r="F1774" t="str">
        <f t="shared" si="84"/>
        <v xml:space="preserve">광진구 </v>
      </c>
      <c r="G1774" t="str">
        <f t="shared" si="85"/>
        <v>군자동</v>
      </c>
      <c r="H1774" t="s">
        <v>3254</v>
      </c>
      <c r="I1774">
        <v>5003</v>
      </c>
    </row>
    <row r="1775" spans="1:9" x14ac:dyDescent="0.4">
      <c r="A1775">
        <v>3040000</v>
      </c>
      <c r="B1775" t="s">
        <v>3224</v>
      </c>
      <c r="C1775" s="1">
        <v>27409</v>
      </c>
      <c r="D1775" t="s">
        <v>3225</v>
      </c>
      <c r="E1775" t="str">
        <f t="shared" si="83"/>
        <v>서울특별시</v>
      </c>
      <c r="F1775" t="str">
        <f t="shared" si="84"/>
        <v xml:space="preserve">광진구 </v>
      </c>
      <c r="G1775" t="str">
        <f t="shared" si="85"/>
        <v>능동9</v>
      </c>
    </row>
    <row r="1776" spans="1:9" x14ac:dyDescent="0.4">
      <c r="A1776">
        <v>3040000</v>
      </c>
      <c r="B1776" t="s">
        <v>3188</v>
      </c>
      <c r="C1776" s="1">
        <v>28705</v>
      </c>
      <c r="D1776" t="s">
        <v>3189</v>
      </c>
      <c r="E1776" t="str">
        <f t="shared" si="83"/>
        <v>서울특별시</v>
      </c>
      <c r="F1776" t="str">
        <f t="shared" si="84"/>
        <v xml:space="preserve">광진구 </v>
      </c>
      <c r="G1776" t="str">
        <f t="shared" si="85"/>
        <v>자양동</v>
      </c>
      <c r="H1776" t="s">
        <v>3190</v>
      </c>
      <c r="I1776">
        <v>5051</v>
      </c>
    </row>
    <row r="1777" spans="1:9" x14ac:dyDescent="0.4">
      <c r="A1777">
        <v>3040000</v>
      </c>
      <c r="B1777" t="s">
        <v>3221</v>
      </c>
      <c r="C1777" s="1">
        <v>27338</v>
      </c>
      <c r="D1777" t="s">
        <v>3222</v>
      </c>
      <c r="E1777" t="str">
        <f t="shared" si="83"/>
        <v>서울특별시</v>
      </c>
      <c r="F1777" t="str">
        <f t="shared" si="84"/>
        <v xml:space="preserve">광진구 </v>
      </c>
      <c r="G1777" t="str">
        <f t="shared" si="85"/>
        <v>중곡동</v>
      </c>
      <c r="H1777" t="s">
        <v>3223</v>
      </c>
      <c r="I1777">
        <v>4929</v>
      </c>
    </row>
    <row r="1778" spans="1:9" x14ac:dyDescent="0.4">
      <c r="A1778">
        <v>3040000</v>
      </c>
      <c r="B1778" t="s">
        <v>3211</v>
      </c>
      <c r="C1778" s="1">
        <v>29865</v>
      </c>
      <c r="D1778" t="s">
        <v>3212</v>
      </c>
      <c r="E1778" t="str">
        <f t="shared" si="83"/>
        <v>서울특별시</v>
      </c>
      <c r="F1778" t="str">
        <f t="shared" si="84"/>
        <v xml:space="preserve">광진구 </v>
      </c>
      <c r="G1778" t="str">
        <f t="shared" si="85"/>
        <v>화양동</v>
      </c>
    </row>
    <row r="1779" spans="1:9" x14ac:dyDescent="0.4">
      <c r="A1779">
        <v>3040000</v>
      </c>
      <c r="B1779" t="s">
        <v>3226</v>
      </c>
      <c r="C1779" s="1">
        <v>27677</v>
      </c>
      <c r="D1779" t="s">
        <v>3227</v>
      </c>
      <c r="E1779" t="str">
        <f t="shared" si="83"/>
        <v>서울특별시</v>
      </c>
      <c r="F1779" t="str">
        <f t="shared" si="84"/>
        <v xml:space="preserve">광진구 </v>
      </c>
      <c r="G1779" t="str">
        <f t="shared" si="85"/>
        <v>화양동</v>
      </c>
    </row>
    <row r="1780" spans="1:9" x14ac:dyDescent="0.4">
      <c r="A1780">
        <v>3040000</v>
      </c>
      <c r="B1780" t="s">
        <v>3218</v>
      </c>
      <c r="C1780" s="1">
        <v>26515</v>
      </c>
      <c r="D1780" t="s">
        <v>3219</v>
      </c>
      <c r="E1780" t="str">
        <f t="shared" si="83"/>
        <v>서울특별시</v>
      </c>
      <c r="F1780" t="str">
        <f t="shared" si="84"/>
        <v xml:space="preserve">광진구 </v>
      </c>
      <c r="G1780" t="str">
        <f t="shared" si="85"/>
        <v>화양동</v>
      </c>
      <c r="H1780" t="s">
        <v>3220</v>
      </c>
    </row>
    <row r="1781" spans="1:9" x14ac:dyDescent="0.4">
      <c r="A1781">
        <v>3040000</v>
      </c>
      <c r="B1781" t="s">
        <v>3231</v>
      </c>
      <c r="C1781" s="1">
        <v>27724</v>
      </c>
      <c r="D1781" t="s">
        <v>3232</v>
      </c>
      <c r="E1781" t="str">
        <f t="shared" si="83"/>
        <v>서울특별시</v>
      </c>
      <c r="F1781" t="str">
        <f t="shared" si="84"/>
        <v xml:space="preserve">광진구 </v>
      </c>
      <c r="G1781" t="str">
        <f t="shared" si="85"/>
        <v>화양동</v>
      </c>
      <c r="H1781" t="s">
        <v>3233</v>
      </c>
      <c r="I1781">
        <v>5007</v>
      </c>
    </row>
    <row r="1782" spans="1:9" x14ac:dyDescent="0.4">
      <c r="A1782">
        <v>3040000</v>
      </c>
      <c r="B1782" t="s">
        <v>3206</v>
      </c>
      <c r="C1782" s="1">
        <v>29418</v>
      </c>
      <c r="D1782" t="s">
        <v>3207</v>
      </c>
      <c r="E1782" t="str">
        <f t="shared" si="83"/>
        <v>서울특별시</v>
      </c>
      <c r="F1782" t="str">
        <f t="shared" si="84"/>
        <v xml:space="preserve">광진구 </v>
      </c>
      <c r="G1782" t="str">
        <f t="shared" si="85"/>
        <v>화양동</v>
      </c>
    </row>
    <row r="1783" spans="1:9" x14ac:dyDescent="0.4">
      <c r="A1783">
        <v>3040000</v>
      </c>
      <c r="B1783" t="s">
        <v>3228</v>
      </c>
      <c r="C1783" s="1">
        <v>27724</v>
      </c>
      <c r="D1783" t="s">
        <v>3229</v>
      </c>
      <c r="E1783" t="str">
        <f t="shared" si="83"/>
        <v>서울특별시</v>
      </c>
      <c r="F1783" t="str">
        <f t="shared" si="84"/>
        <v xml:space="preserve">광진구 </v>
      </c>
      <c r="G1783" t="str">
        <f t="shared" si="85"/>
        <v>화양동</v>
      </c>
      <c r="H1783" t="s">
        <v>3230</v>
      </c>
      <c r="I1783">
        <v>5007</v>
      </c>
    </row>
    <row r="1784" spans="1:9" x14ac:dyDescent="0.4">
      <c r="A1784">
        <v>3040000</v>
      </c>
      <c r="B1784" t="s">
        <v>3258</v>
      </c>
      <c r="C1784" s="1">
        <v>27321</v>
      </c>
      <c r="D1784" t="s">
        <v>3259</v>
      </c>
      <c r="E1784" t="str">
        <f t="shared" si="83"/>
        <v>서울특별시</v>
      </c>
      <c r="F1784" t="str">
        <f t="shared" si="84"/>
        <v xml:space="preserve">광진구 </v>
      </c>
      <c r="G1784" t="str">
        <f t="shared" si="85"/>
        <v>화양동</v>
      </c>
      <c r="H1784" t="s">
        <v>3260</v>
      </c>
      <c r="I1784">
        <v>5007</v>
      </c>
    </row>
    <row r="1785" spans="1:9" x14ac:dyDescent="0.4">
      <c r="A1785">
        <v>3040000</v>
      </c>
      <c r="B1785" t="s">
        <v>3234</v>
      </c>
      <c r="C1785" s="1">
        <v>28963</v>
      </c>
      <c r="D1785" t="s">
        <v>3235</v>
      </c>
      <c r="E1785" t="str">
        <f t="shared" si="83"/>
        <v>서울특별시</v>
      </c>
      <c r="F1785" t="str">
        <f t="shared" si="84"/>
        <v xml:space="preserve">광진구 </v>
      </c>
      <c r="G1785" t="str">
        <f t="shared" si="85"/>
        <v>화양동</v>
      </c>
      <c r="H1785" t="s">
        <v>3236</v>
      </c>
      <c r="I1785">
        <v>5007</v>
      </c>
    </row>
    <row r="1786" spans="1:9" x14ac:dyDescent="0.4">
      <c r="A1786">
        <v>3040000</v>
      </c>
      <c r="B1786" t="s">
        <v>3246</v>
      </c>
      <c r="C1786" s="1">
        <v>28923</v>
      </c>
      <c r="D1786" t="s">
        <v>3247</v>
      </c>
      <c r="E1786" t="str">
        <f t="shared" si="83"/>
        <v>서울특별시</v>
      </c>
      <c r="F1786" t="str">
        <f t="shared" si="84"/>
        <v xml:space="preserve">광진구 </v>
      </c>
      <c r="G1786" t="str">
        <f t="shared" si="85"/>
        <v>화양동</v>
      </c>
      <c r="H1786" t="s">
        <v>3248</v>
      </c>
      <c r="I1786">
        <v>5013</v>
      </c>
    </row>
    <row r="1787" spans="1:9" x14ac:dyDescent="0.4">
      <c r="A1787">
        <v>3160000</v>
      </c>
      <c r="B1787" t="s">
        <v>6193</v>
      </c>
      <c r="C1787" s="1">
        <v>29413</v>
      </c>
      <c r="D1787" t="s">
        <v>6194</v>
      </c>
      <c r="E1787" t="str">
        <f t="shared" si="83"/>
        <v>서울특별시</v>
      </c>
      <c r="F1787" t="str">
        <f t="shared" si="84"/>
        <v xml:space="preserve">구로구 </v>
      </c>
      <c r="G1787" t="str">
        <f t="shared" si="85"/>
        <v>개봉동</v>
      </c>
      <c r="H1787" t="s">
        <v>6195</v>
      </c>
      <c r="I1787">
        <v>8233</v>
      </c>
    </row>
    <row r="1788" spans="1:9" x14ac:dyDescent="0.4">
      <c r="A1788">
        <v>3160000</v>
      </c>
      <c r="B1788" t="s">
        <v>6127</v>
      </c>
      <c r="C1788" s="1">
        <v>28945</v>
      </c>
      <c r="D1788" t="s">
        <v>6128</v>
      </c>
      <c r="E1788" t="str">
        <f t="shared" si="83"/>
        <v>서울특별시</v>
      </c>
      <c r="F1788" t="str">
        <f t="shared" si="84"/>
        <v xml:space="preserve">구로구 </v>
      </c>
      <c r="G1788" t="str">
        <f t="shared" si="85"/>
        <v>개봉동</v>
      </c>
      <c r="H1788" t="s">
        <v>6129</v>
      </c>
      <c r="I1788">
        <v>8328</v>
      </c>
    </row>
    <row r="1789" spans="1:9" x14ac:dyDescent="0.4">
      <c r="A1789">
        <v>3160000</v>
      </c>
      <c r="B1789" t="s">
        <v>6199</v>
      </c>
      <c r="C1789" s="1">
        <v>29459</v>
      </c>
      <c r="D1789" t="s">
        <v>6200</v>
      </c>
      <c r="E1789" t="str">
        <f t="shared" si="83"/>
        <v>서울특별시</v>
      </c>
      <c r="F1789" t="str">
        <f t="shared" si="84"/>
        <v xml:space="preserve">구로구 </v>
      </c>
      <c r="G1789" t="str">
        <f t="shared" si="85"/>
        <v>개봉동</v>
      </c>
      <c r="H1789" t="s">
        <v>6201</v>
      </c>
      <c r="I1789">
        <v>8328</v>
      </c>
    </row>
    <row r="1790" spans="1:9" x14ac:dyDescent="0.4">
      <c r="A1790">
        <v>3160000</v>
      </c>
      <c r="B1790" t="s">
        <v>6185</v>
      </c>
      <c r="C1790" s="1">
        <v>28794</v>
      </c>
      <c r="D1790" t="s">
        <v>6186</v>
      </c>
      <c r="E1790" t="str">
        <f t="shared" si="83"/>
        <v>서울특별시</v>
      </c>
      <c r="F1790" t="str">
        <f t="shared" si="84"/>
        <v xml:space="preserve">구로구 </v>
      </c>
      <c r="G1790" t="str">
        <f t="shared" si="85"/>
        <v>개봉동</v>
      </c>
    </row>
    <row r="1791" spans="1:9" x14ac:dyDescent="0.4">
      <c r="A1791">
        <v>3160000</v>
      </c>
      <c r="B1791" t="s">
        <v>6182</v>
      </c>
      <c r="C1791" s="1">
        <v>28359</v>
      </c>
      <c r="D1791" t="s">
        <v>6183</v>
      </c>
      <c r="E1791" t="str">
        <f t="shared" si="83"/>
        <v>서울특별시</v>
      </c>
      <c r="F1791" t="str">
        <f t="shared" si="84"/>
        <v xml:space="preserve">구로구 </v>
      </c>
      <c r="G1791" t="str">
        <f t="shared" si="85"/>
        <v>개봉동</v>
      </c>
      <c r="H1791" t="s">
        <v>6184</v>
      </c>
      <c r="I1791">
        <v>8274</v>
      </c>
    </row>
    <row r="1792" spans="1:9" x14ac:dyDescent="0.4">
      <c r="A1792">
        <v>3160000</v>
      </c>
      <c r="B1792" t="s">
        <v>6124</v>
      </c>
      <c r="C1792" s="1">
        <v>28926</v>
      </c>
      <c r="D1792" t="s">
        <v>6125</v>
      </c>
      <c r="E1792" t="str">
        <f t="shared" si="83"/>
        <v>서울특별시</v>
      </c>
      <c r="F1792" t="str">
        <f t="shared" si="84"/>
        <v xml:space="preserve">구로구 </v>
      </c>
      <c r="G1792" t="str">
        <f t="shared" si="85"/>
        <v>개봉동</v>
      </c>
      <c r="H1792" t="s">
        <v>6126</v>
      </c>
      <c r="I1792">
        <v>8332</v>
      </c>
    </row>
    <row r="1793" spans="1:9" x14ac:dyDescent="0.4">
      <c r="A1793">
        <v>3160000</v>
      </c>
      <c r="B1793" t="s">
        <v>6158</v>
      </c>
      <c r="C1793" s="1">
        <v>28938</v>
      </c>
      <c r="D1793" t="s">
        <v>6159</v>
      </c>
      <c r="E1793" t="str">
        <f t="shared" si="83"/>
        <v>서울특별시</v>
      </c>
      <c r="F1793" t="str">
        <f t="shared" si="84"/>
        <v xml:space="preserve">구로구 </v>
      </c>
      <c r="G1793" t="str">
        <f t="shared" si="85"/>
        <v>개봉동</v>
      </c>
      <c r="H1793" t="s">
        <v>6160</v>
      </c>
      <c r="I1793">
        <v>8334</v>
      </c>
    </row>
    <row r="1794" spans="1:9" x14ac:dyDescent="0.4">
      <c r="A1794">
        <v>3160000</v>
      </c>
      <c r="B1794" t="s">
        <v>6118</v>
      </c>
      <c r="C1794" s="1">
        <v>36474</v>
      </c>
      <c r="D1794" t="s">
        <v>6119</v>
      </c>
      <c r="E1794" t="str">
        <f t="shared" si="83"/>
        <v>서울특별시</v>
      </c>
      <c r="F1794" t="str">
        <f t="shared" si="84"/>
        <v xml:space="preserve">구로구 </v>
      </c>
      <c r="G1794" t="str">
        <f t="shared" si="85"/>
        <v>개봉동</v>
      </c>
      <c r="H1794" t="s">
        <v>6120</v>
      </c>
      <c r="I1794">
        <v>8334</v>
      </c>
    </row>
    <row r="1795" spans="1:9" x14ac:dyDescent="0.4">
      <c r="A1795">
        <v>3160000</v>
      </c>
      <c r="B1795" t="s">
        <v>6196</v>
      </c>
      <c r="C1795" s="1">
        <v>29456</v>
      </c>
      <c r="D1795" t="s">
        <v>6197</v>
      </c>
      <c r="E1795" t="str">
        <f t="shared" ref="E1795:E1858" si="86">LEFT(D1795,5)</f>
        <v>서울특별시</v>
      </c>
      <c r="F1795" t="str">
        <f t="shared" ref="F1795:F1858" si="87">MID(D1795,7,4)</f>
        <v xml:space="preserve">구로구 </v>
      </c>
      <c r="G1795" t="str">
        <f t="shared" ref="G1795:G1858" si="88">MID(SUBSTITUTE(D1795," ",""),9,3)</f>
        <v>개봉동</v>
      </c>
      <c r="H1795" t="s">
        <v>6198</v>
      </c>
      <c r="I1795">
        <v>8332</v>
      </c>
    </row>
    <row r="1796" spans="1:9" x14ac:dyDescent="0.4">
      <c r="A1796">
        <v>3160000</v>
      </c>
      <c r="B1796" t="s">
        <v>6187</v>
      </c>
      <c r="C1796" s="1">
        <v>29060</v>
      </c>
      <c r="D1796" t="s">
        <v>6188</v>
      </c>
      <c r="E1796" t="str">
        <f t="shared" si="86"/>
        <v>서울특별시</v>
      </c>
      <c r="F1796" t="str">
        <f t="shared" si="87"/>
        <v xml:space="preserve">구로구 </v>
      </c>
      <c r="G1796" t="str">
        <f t="shared" si="88"/>
        <v>개봉동</v>
      </c>
    </row>
    <row r="1797" spans="1:9" x14ac:dyDescent="0.4">
      <c r="A1797">
        <v>3160000</v>
      </c>
      <c r="B1797" t="s">
        <v>6223</v>
      </c>
      <c r="C1797" s="1">
        <v>37992</v>
      </c>
      <c r="D1797" t="s">
        <v>6224</v>
      </c>
      <c r="E1797" t="str">
        <f t="shared" si="86"/>
        <v>서울특별시</v>
      </c>
      <c r="F1797" t="str">
        <f t="shared" si="87"/>
        <v xml:space="preserve">구로구 </v>
      </c>
      <c r="G1797" t="str">
        <f t="shared" si="88"/>
        <v>개봉동</v>
      </c>
      <c r="H1797" t="s">
        <v>6225</v>
      </c>
      <c r="I1797">
        <v>8267</v>
      </c>
    </row>
    <row r="1798" spans="1:9" x14ac:dyDescent="0.4">
      <c r="A1798">
        <v>3160000</v>
      </c>
      <c r="B1798" t="s">
        <v>6283</v>
      </c>
      <c r="C1798" s="1">
        <v>35305</v>
      </c>
      <c r="D1798" t="s">
        <v>6284</v>
      </c>
      <c r="E1798" t="str">
        <f t="shared" si="86"/>
        <v>서울특별시</v>
      </c>
      <c r="F1798" t="str">
        <f t="shared" si="87"/>
        <v xml:space="preserve">구로구 </v>
      </c>
      <c r="G1798" t="str">
        <f t="shared" si="88"/>
        <v>고척동</v>
      </c>
      <c r="H1798" t="s">
        <v>6285</v>
      </c>
      <c r="I1798">
        <v>8238</v>
      </c>
    </row>
    <row r="1799" spans="1:9" x14ac:dyDescent="0.4">
      <c r="A1799">
        <v>3160000</v>
      </c>
      <c r="B1799" t="s">
        <v>6191</v>
      </c>
      <c r="C1799" s="1">
        <v>29280</v>
      </c>
      <c r="D1799" t="s">
        <v>6192</v>
      </c>
      <c r="E1799" t="str">
        <f t="shared" si="86"/>
        <v>서울특별시</v>
      </c>
      <c r="F1799" t="str">
        <f t="shared" si="87"/>
        <v xml:space="preserve">구로구 </v>
      </c>
      <c r="G1799" t="str">
        <f t="shared" si="88"/>
        <v>고척동</v>
      </c>
    </row>
    <row r="1800" spans="1:9" x14ac:dyDescent="0.4">
      <c r="A1800">
        <v>3160000</v>
      </c>
      <c r="B1800" t="s">
        <v>6204</v>
      </c>
      <c r="C1800" s="1">
        <v>29537</v>
      </c>
      <c r="D1800" t="s">
        <v>6205</v>
      </c>
      <c r="E1800" t="str">
        <f t="shared" si="86"/>
        <v>서울특별시</v>
      </c>
      <c r="F1800" t="str">
        <f t="shared" si="87"/>
        <v xml:space="preserve">구로구 </v>
      </c>
      <c r="G1800" t="str">
        <f t="shared" si="88"/>
        <v>고척동</v>
      </c>
      <c r="H1800" t="s">
        <v>6206</v>
      </c>
      <c r="I1800">
        <v>8222</v>
      </c>
    </row>
    <row r="1801" spans="1:9" x14ac:dyDescent="0.4">
      <c r="A1801">
        <v>3160000</v>
      </c>
      <c r="B1801" t="s">
        <v>6154</v>
      </c>
      <c r="C1801" s="1">
        <v>36328</v>
      </c>
      <c r="D1801" t="s">
        <v>6155</v>
      </c>
      <c r="E1801" t="str">
        <f t="shared" si="86"/>
        <v>서울특별시</v>
      </c>
      <c r="F1801" t="str">
        <f t="shared" si="87"/>
        <v xml:space="preserve">구로구 </v>
      </c>
      <c r="G1801" t="str">
        <f t="shared" si="88"/>
        <v>구로동</v>
      </c>
    </row>
    <row r="1802" spans="1:9" x14ac:dyDescent="0.4">
      <c r="A1802">
        <v>3160000</v>
      </c>
      <c r="B1802" t="s">
        <v>6209</v>
      </c>
      <c r="C1802" s="1">
        <v>36879</v>
      </c>
      <c r="D1802" t="s">
        <v>6210</v>
      </c>
      <c r="E1802" t="str">
        <f t="shared" si="86"/>
        <v>서울특별시</v>
      </c>
      <c r="F1802" t="str">
        <f t="shared" si="87"/>
        <v xml:space="preserve">구로구 </v>
      </c>
      <c r="G1802" t="str">
        <f t="shared" si="88"/>
        <v>구로동</v>
      </c>
    </row>
    <row r="1803" spans="1:9" x14ac:dyDescent="0.4">
      <c r="A1803">
        <v>3160000</v>
      </c>
      <c r="B1803" t="s">
        <v>6189</v>
      </c>
      <c r="C1803" s="1">
        <v>29280</v>
      </c>
      <c r="D1803" t="s">
        <v>6190</v>
      </c>
      <c r="E1803" t="str">
        <f t="shared" si="86"/>
        <v>서울특별시</v>
      </c>
      <c r="F1803" t="str">
        <f t="shared" si="87"/>
        <v xml:space="preserve">구로구 </v>
      </c>
      <c r="G1803" t="str">
        <f t="shared" si="88"/>
        <v>구로동</v>
      </c>
    </row>
    <row r="1804" spans="1:9" x14ac:dyDescent="0.4">
      <c r="A1804">
        <v>3160000</v>
      </c>
      <c r="B1804" t="s">
        <v>6179</v>
      </c>
      <c r="C1804" s="1">
        <v>28237</v>
      </c>
      <c r="D1804" t="s">
        <v>6180</v>
      </c>
      <c r="E1804" t="str">
        <f t="shared" si="86"/>
        <v>서울특별시</v>
      </c>
      <c r="F1804" t="str">
        <f t="shared" si="87"/>
        <v xml:space="preserve">구로구 </v>
      </c>
      <c r="G1804" t="str">
        <f t="shared" si="88"/>
        <v>구로동</v>
      </c>
      <c r="H1804" t="s">
        <v>6181</v>
      </c>
    </row>
    <row r="1805" spans="1:9" x14ac:dyDescent="0.4">
      <c r="A1805">
        <v>3160000</v>
      </c>
      <c r="B1805" t="s">
        <v>6149</v>
      </c>
      <c r="C1805" s="1">
        <v>32846</v>
      </c>
      <c r="D1805" t="s">
        <v>6150</v>
      </c>
      <c r="E1805" t="str">
        <f t="shared" si="86"/>
        <v>서울특별시</v>
      </c>
      <c r="F1805" t="str">
        <f t="shared" si="87"/>
        <v xml:space="preserve">구로구 </v>
      </c>
      <c r="G1805" t="str">
        <f t="shared" si="88"/>
        <v>오류동</v>
      </c>
    </row>
    <row r="1806" spans="1:9" x14ac:dyDescent="0.4">
      <c r="A1806">
        <v>3160000</v>
      </c>
      <c r="B1806" t="s">
        <v>6153</v>
      </c>
      <c r="C1806" s="1">
        <v>36260</v>
      </c>
      <c r="D1806" t="s">
        <v>6150</v>
      </c>
      <c r="E1806" t="str">
        <f t="shared" si="86"/>
        <v>서울특별시</v>
      </c>
      <c r="F1806" t="str">
        <f t="shared" si="87"/>
        <v xml:space="preserve">구로구 </v>
      </c>
      <c r="G1806" t="str">
        <f t="shared" si="88"/>
        <v>오류동</v>
      </c>
    </row>
    <row r="1807" spans="1:9" x14ac:dyDescent="0.4">
      <c r="A1807">
        <v>3160000</v>
      </c>
      <c r="B1807" t="s">
        <v>6166</v>
      </c>
      <c r="C1807" s="1">
        <v>36511</v>
      </c>
      <c r="D1807" t="s">
        <v>6150</v>
      </c>
      <c r="E1807" t="str">
        <f t="shared" si="86"/>
        <v>서울특별시</v>
      </c>
      <c r="F1807" t="str">
        <f t="shared" si="87"/>
        <v xml:space="preserve">구로구 </v>
      </c>
      <c r="G1807" t="str">
        <f t="shared" si="88"/>
        <v>오류동</v>
      </c>
    </row>
    <row r="1808" spans="1:9" x14ac:dyDescent="0.4">
      <c r="A1808">
        <v>3160000</v>
      </c>
      <c r="B1808" t="s">
        <v>6151</v>
      </c>
      <c r="C1808" s="1">
        <v>35315</v>
      </c>
      <c r="D1808" t="s">
        <v>6152</v>
      </c>
      <c r="E1808" t="str">
        <f t="shared" si="86"/>
        <v>서울특별시</v>
      </c>
      <c r="F1808" t="str">
        <f t="shared" si="87"/>
        <v xml:space="preserve">구로구 </v>
      </c>
      <c r="G1808" t="str">
        <f t="shared" si="88"/>
        <v>오류동</v>
      </c>
    </row>
    <row r="1809" spans="1:9" x14ac:dyDescent="0.4">
      <c r="A1809">
        <v>3160000</v>
      </c>
      <c r="B1809" t="s">
        <v>6219</v>
      </c>
      <c r="C1809" s="1">
        <v>37217</v>
      </c>
      <c r="D1809" t="s">
        <v>6220</v>
      </c>
      <c r="E1809" t="str">
        <f t="shared" si="86"/>
        <v>서울특별시</v>
      </c>
      <c r="F1809" t="str">
        <f t="shared" si="87"/>
        <v xml:space="preserve">구로구 </v>
      </c>
      <c r="G1809" t="str">
        <f t="shared" si="88"/>
        <v>오류동</v>
      </c>
    </row>
    <row r="1810" spans="1:9" x14ac:dyDescent="0.4">
      <c r="A1810">
        <v>3160000</v>
      </c>
      <c r="B1810" t="s">
        <v>6145</v>
      </c>
      <c r="C1810" s="1">
        <v>32525</v>
      </c>
      <c r="D1810" t="s">
        <v>6146</v>
      </c>
      <c r="E1810" t="str">
        <f t="shared" si="86"/>
        <v>서울특별시</v>
      </c>
      <c r="F1810" t="str">
        <f t="shared" si="87"/>
        <v xml:space="preserve">구로구 </v>
      </c>
      <c r="G1810" t="str">
        <f t="shared" si="88"/>
        <v>오류동</v>
      </c>
      <c r="H1810" t="s">
        <v>6147</v>
      </c>
    </row>
    <row r="1811" spans="1:9" x14ac:dyDescent="0.4">
      <c r="A1811">
        <v>3160000</v>
      </c>
      <c r="B1811" t="s">
        <v>6167</v>
      </c>
      <c r="C1811" s="1">
        <v>36570</v>
      </c>
      <c r="D1811" t="s">
        <v>6168</v>
      </c>
      <c r="E1811" t="str">
        <f t="shared" si="86"/>
        <v>서울특별시</v>
      </c>
      <c r="F1811" t="str">
        <f t="shared" si="87"/>
        <v xml:space="preserve">구로구 </v>
      </c>
      <c r="G1811" t="str">
        <f t="shared" si="88"/>
        <v>오류동</v>
      </c>
      <c r="H1811" t="s">
        <v>6169</v>
      </c>
      <c r="I1811">
        <v>8271</v>
      </c>
    </row>
    <row r="1812" spans="1:9" x14ac:dyDescent="0.4">
      <c r="A1812">
        <v>3160000</v>
      </c>
      <c r="B1812" t="s">
        <v>6109</v>
      </c>
      <c r="C1812" s="1">
        <v>41862</v>
      </c>
      <c r="D1812" t="s">
        <v>6110</v>
      </c>
      <c r="E1812" t="str">
        <f t="shared" si="86"/>
        <v>서울특별시</v>
      </c>
      <c r="F1812" t="str">
        <f t="shared" si="87"/>
        <v xml:space="preserve">구로구 </v>
      </c>
      <c r="G1812" t="str">
        <f t="shared" si="88"/>
        <v>오류동</v>
      </c>
      <c r="H1812" t="s">
        <v>6111</v>
      </c>
      <c r="I1812">
        <v>8271</v>
      </c>
    </row>
    <row r="1813" spans="1:9" x14ac:dyDescent="0.4">
      <c r="A1813">
        <v>3160000</v>
      </c>
      <c r="B1813" t="s">
        <v>6115</v>
      </c>
      <c r="C1813" s="1">
        <v>43159</v>
      </c>
      <c r="D1813" t="s">
        <v>6116</v>
      </c>
      <c r="E1813" t="str">
        <f t="shared" si="86"/>
        <v>서울특별시</v>
      </c>
      <c r="F1813" t="str">
        <f t="shared" si="87"/>
        <v xml:space="preserve">구로구 </v>
      </c>
      <c r="G1813" t="str">
        <f t="shared" si="88"/>
        <v>오류동</v>
      </c>
      <c r="H1813" t="s">
        <v>6117</v>
      </c>
      <c r="I1813">
        <v>8271</v>
      </c>
    </row>
    <row r="1814" spans="1:9" x14ac:dyDescent="0.4">
      <c r="A1814">
        <v>3160000</v>
      </c>
      <c r="B1814" t="s">
        <v>3371</v>
      </c>
      <c r="C1814" s="1">
        <v>36913</v>
      </c>
      <c r="D1814" t="s">
        <v>3372</v>
      </c>
      <c r="E1814" t="str">
        <f t="shared" si="86"/>
        <v>서울특별시</v>
      </c>
      <c r="F1814" t="str">
        <f t="shared" si="87"/>
        <v xml:space="preserve">구로구 </v>
      </c>
      <c r="G1814" t="str">
        <f t="shared" si="88"/>
        <v>오류동</v>
      </c>
      <c r="H1814" t="s">
        <v>3373</v>
      </c>
      <c r="I1814">
        <v>8271</v>
      </c>
    </row>
    <row r="1815" spans="1:9" x14ac:dyDescent="0.4">
      <c r="A1815">
        <v>3160000</v>
      </c>
      <c r="B1815" t="s">
        <v>6265</v>
      </c>
      <c r="C1815" s="1">
        <v>40913</v>
      </c>
      <c r="D1815" t="s">
        <v>6266</v>
      </c>
      <c r="E1815" t="str">
        <f t="shared" si="86"/>
        <v>서울특별시</v>
      </c>
      <c r="F1815" t="str">
        <f t="shared" si="87"/>
        <v xml:space="preserve">구로구 </v>
      </c>
      <c r="G1815" t="str">
        <f t="shared" si="88"/>
        <v>오류동</v>
      </c>
      <c r="H1815" t="s">
        <v>6267</v>
      </c>
      <c r="I1815">
        <v>8271</v>
      </c>
    </row>
    <row r="1816" spans="1:9" x14ac:dyDescent="0.4">
      <c r="A1816">
        <v>3160000</v>
      </c>
      <c r="B1816" t="s">
        <v>6227</v>
      </c>
      <c r="C1816" s="1">
        <v>40855</v>
      </c>
      <c r="D1816" t="s">
        <v>6228</v>
      </c>
      <c r="E1816" t="str">
        <f t="shared" si="86"/>
        <v>서울특별시</v>
      </c>
      <c r="F1816" t="str">
        <f t="shared" si="87"/>
        <v xml:space="preserve">구로구 </v>
      </c>
      <c r="G1816" t="str">
        <f t="shared" si="88"/>
        <v>오류동</v>
      </c>
      <c r="H1816" t="s">
        <v>6229</v>
      </c>
      <c r="I1816">
        <v>8271</v>
      </c>
    </row>
    <row r="1817" spans="1:9" x14ac:dyDescent="0.4">
      <c r="A1817">
        <v>3160000</v>
      </c>
      <c r="B1817" t="s">
        <v>6236</v>
      </c>
      <c r="C1817" s="1">
        <v>31195</v>
      </c>
      <c r="D1817" t="s">
        <v>6228</v>
      </c>
      <c r="E1817" t="str">
        <f t="shared" si="86"/>
        <v>서울특별시</v>
      </c>
      <c r="F1817" t="str">
        <f t="shared" si="87"/>
        <v xml:space="preserve">구로구 </v>
      </c>
      <c r="G1817" t="str">
        <f t="shared" si="88"/>
        <v>오류동</v>
      </c>
      <c r="H1817" t="s">
        <v>6237</v>
      </c>
      <c r="I1817">
        <v>8271</v>
      </c>
    </row>
    <row r="1818" spans="1:9" x14ac:dyDescent="0.4">
      <c r="A1818">
        <v>3160000</v>
      </c>
      <c r="B1818" t="s">
        <v>6207</v>
      </c>
      <c r="C1818" s="1">
        <v>30397</v>
      </c>
      <c r="D1818" t="s">
        <v>6208</v>
      </c>
      <c r="E1818" t="str">
        <f t="shared" si="86"/>
        <v>서울특별시</v>
      </c>
      <c r="F1818" t="str">
        <f t="shared" si="87"/>
        <v xml:space="preserve">구로구 </v>
      </c>
      <c r="G1818" t="str">
        <f t="shared" si="88"/>
        <v>오류동</v>
      </c>
    </row>
    <row r="1819" spans="1:9" x14ac:dyDescent="0.4">
      <c r="A1819">
        <v>3160000</v>
      </c>
      <c r="B1819" t="s">
        <v>6242</v>
      </c>
      <c r="C1819" s="1">
        <v>38491</v>
      </c>
      <c r="D1819" t="s">
        <v>6243</v>
      </c>
      <c r="E1819" t="str">
        <f t="shared" si="86"/>
        <v>서울특별시</v>
      </c>
      <c r="F1819" t="str">
        <f t="shared" si="87"/>
        <v xml:space="preserve">구로구 </v>
      </c>
      <c r="G1819" t="str">
        <f t="shared" si="88"/>
        <v>오류동</v>
      </c>
      <c r="H1819" t="s">
        <v>6244</v>
      </c>
      <c r="I1819">
        <v>8268</v>
      </c>
    </row>
    <row r="1820" spans="1:9" x14ac:dyDescent="0.4">
      <c r="A1820">
        <v>3160000</v>
      </c>
      <c r="B1820" t="s">
        <v>6256</v>
      </c>
      <c r="C1820" s="1">
        <v>38344</v>
      </c>
      <c r="D1820" t="s">
        <v>6257</v>
      </c>
      <c r="E1820" t="str">
        <f t="shared" si="86"/>
        <v>서울특별시</v>
      </c>
      <c r="F1820" t="str">
        <f t="shared" si="87"/>
        <v xml:space="preserve">구로구 </v>
      </c>
      <c r="G1820" t="str">
        <f t="shared" si="88"/>
        <v>오류동</v>
      </c>
      <c r="H1820" t="s">
        <v>6258</v>
      </c>
      <c r="I1820">
        <v>8268</v>
      </c>
    </row>
    <row r="1821" spans="1:9" x14ac:dyDescent="0.4">
      <c r="A1821">
        <v>3160000</v>
      </c>
      <c r="B1821" t="s">
        <v>6248</v>
      </c>
      <c r="C1821" s="1">
        <v>37172</v>
      </c>
      <c r="D1821" t="s">
        <v>6249</v>
      </c>
      <c r="E1821" t="str">
        <f t="shared" si="86"/>
        <v>서울특별시</v>
      </c>
      <c r="F1821" t="str">
        <f t="shared" si="87"/>
        <v xml:space="preserve">구로구 </v>
      </c>
      <c r="G1821" t="str">
        <f t="shared" si="88"/>
        <v>오류동</v>
      </c>
      <c r="H1821" t="s">
        <v>6174</v>
      </c>
      <c r="I1821">
        <v>8271</v>
      </c>
    </row>
    <row r="1822" spans="1:9" x14ac:dyDescent="0.4">
      <c r="A1822">
        <v>3160000</v>
      </c>
      <c r="B1822" t="s">
        <v>6172</v>
      </c>
      <c r="C1822" s="1">
        <v>36587</v>
      </c>
      <c r="D1822" t="s">
        <v>6173</v>
      </c>
      <c r="E1822" t="str">
        <f t="shared" si="86"/>
        <v>서울특별시</v>
      </c>
      <c r="F1822" t="str">
        <f t="shared" si="87"/>
        <v xml:space="preserve">구로구 </v>
      </c>
      <c r="G1822" t="str">
        <f t="shared" si="88"/>
        <v>오류동</v>
      </c>
      <c r="H1822" t="s">
        <v>6174</v>
      </c>
      <c r="I1822">
        <v>8271</v>
      </c>
    </row>
    <row r="1823" spans="1:9" x14ac:dyDescent="0.4">
      <c r="A1823">
        <v>3160000</v>
      </c>
      <c r="B1823" t="s">
        <v>6143</v>
      </c>
      <c r="C1823" s="1">
        <v>32088</v>
      </c>
      <c r="D1823" t="s">
        <v>6144</v>
      </c>
      <c r="E1823" t="str">
        <f t="shared" si="86"/>
        <v>서울특별시</v>
      </c>
      <c r="F1823" t="str">
        <f t="shared" si="87"/>
        <v xml:space="preserve">구로구 </v>
      </c>
      <c r="G1823" t="str">
        <f t="shared" si="88"/>
        <v>오류동</v>
      </c>
    </row>
    <row r="1824" spans="1:9" x14ac:dyDescent="0.4">
      <c r="A1824">
        <v>3160000</v>
      </c>
      <c r="B1824" t="s">
        <v>6148</v>
      </c>
      <c r="C1824" s="1">
        <v>32736</v>
      </c>
      <c r="D1824" t="s">
        <v>6144</v>
      </c>
      <c r="E1824" t="str">
        <f t="shared" si="86"/>
        <v>서울특별시</v>
      </c>
      <c r="F1824" t="str">
        <f t="shared" si="87"/>
        <v xml:space="preserve">구로구 </v>
      </c>
      <c r="G1824" t="str">
        <f t="shared" si="88"/>
        <v>오류동</v>
      </c>
    </row>
    <row r="1825" spans="1:9" x14ac:dyDescent="0.4">
      <c r="A1825">
        <v>3160000</v>
      </c>
      <c r="B1825" t="s">
        <v>6230</v>
      </c>
      <c r="C1825" s="1">
        <v>30896</v>
      </c>
      <c r="D1825" t="s">
        <v>6231</v>
      </c>
      <c r="E1825" t="str">
        <f t="shared" si="86"/>
        <v>서울특별시</v>
      </c>
      <c r="F1825" t="str">
        <f t="shared" si="87"/>
        <v xml:space="preserve">구로구 </v>
      </c>
      <c r="G1825" t="str">
        <f t="shared" si="88"/>
        <v>오류동</v>
      </c>
    </row>
    <row r="1826" spans="1:9" x14ac:dyDescent="0.4">
      <c r="A1826">
        <v>3160000</v>
      </c>
      <c r="B1826" t="s">
        <v>6238</v>
      </c>
      <c r="C1826" s="1">
        <v>31579</v>
      </c>
      <c r="D1826" t="s">
        <v>6231</v>
      </c>
      <c r="E1826" t="str">
        <f t="shared" si="86"/>
        <v>서울특별시</v>
      </c>
      <c r="F1826" t="str">
        <f t="shared" si="87"/>
        <v xml:space="preserve">구로구 </v>
      </c>
      <c r="G1826" t="str">
        <f t="shared" si="88"/>
        <v>오류동</v>
      </c>
    </row>
    <row r="1827" spans="1:9" x14ac:dyDescent="0.4">
      <c r="A1827">
        <v>3160000</v>
      </c>
      <c r="B1827" t="s">
        <v>6139</v>
      </c>
      <c r="C1827" s="1">
        <v>31960</v>
      </c>
      <c r="D1827" t="s">
        <v>6140</v>
      </c>
      <c r="E1827" t="str">
        <f t="shared" si="86"/>
        <v>서울특별시</v>
      </c>
      <c r="F1827" t="str">
        <f t="shared" si="87"/>
        <v xml:space="preserve">구로구 </v>
      </c>
      <c r="G1827" t="str">
        <f t="shared" si="88"/>
        <v>오류동</v>
      </c>
    </row>
    <row r="1828" spans="1:9" x14ac:dyDescent="0.4">
      <c r="A1828">
        <v>3160000</v>
      </c>
      <c r="B1828" t="s">
        <v>6141</v>
      </c>
      <c r="C1828" s="1">
        <v>31960</v>
      </c>
      <c r="D1828" t="s">
        <v>6142</v>
      </c>
      <c r="E1828" t="str">
        <f t="shared" si="86"/>
        <v>서울특별시</v>
      </c>
      <c r="F1828" t="str">
        <f t="shared" si="87"/>
        <v xml:space="preserve">구로구 </v>
      </c>
      <c r="G1828" t="str">
        <f t="shared" si="88"/>
        <v>오류동</v>
      </c>
    </row>
    <row r="1829" spans="1:9" x14ac:dyDescent="0.4">
      <c r="A1829">
        <v>3160000</v>
      </c>
      <c r="B1829" t="s">
        <v>6319</v>
      </c>
      <c r="C1829" s="1">
        <v>41557</v>
      </c>
      <c r="D1829" t="s">
        <v>6320</v>
      </c>
      <c r="E1829" t="str">
        <f t="shared" si="86"/>
        <v>서울특별시</v>
      </c>
      <c r="F1829" t="str">
        <f t="shared" si="87"/>
        <v xml:space="preserve">구로구 </v>
      </c>
      <c r="G1829" t="str">
        <f t="shared" si="88"/>
        <v>오류동</v>
      </c>
      <c r="H1829" t="s">
        <v>6321</v>
      </c>
      <c r="I1829">
        <v>8271</v>
      </c>
    </row>
    <row r="1830" spans="1:9" x14ac:dyDescent="0.4">
      <c r="A1830">
        <v>3160000</v>
      </c>
      <c r="B1830" t="s">
        <v>6232</v>
      </c>
      <c r="C1830" s="1">
        <v>30966</v>
      </c>
      <c r="D1830" t="s">
        <v>6233</v>
      </c>
      <c r="E1830" t="str">
        <f t="shared" si="86"/>
        <v>서울특별시</v>
      </c>
      <c r="F1830" t="str">
        <f t="shared" si="87"/>
        <v xml:space="preserve">구로구 </v>
      </c>
      <c r="G1830" t="str">
        <f t="shared" si="88"/>
        <v>오류동</v>
      </c>
    </row>
    <row r="1831" spans="1:9" x14ac:dyDescent="0.4">
      <c r="A1831">
        <v>3160000</v>
      </c>
      <c r="B1831" t="s">
        <v>6239</v>
      </c>
      <c r="C1831" s="1">
        <v>41557</v>
      </c>
      <c r="D1831" t="s">
        <v>6240</v>
      </c>
      <c r="E1831" t="str">
        <f t="shared" si="86"/>
        <v>서울특별시</v>
      </c>
      <c r="F1831" t="str">
        <f t="shared" si="87"/>
        <v xml:space="preserve">구로구 </v>
      </c>
      <c r="G1831" t="str">
        <f t="shared" si="88"/>
        <v>오류동</v>
      </c>
      <c r="H1831" t="s">
        <v>6241</v>
      </c>
      <c r="I1831">
        <v>8271</v>
      </c>
    </row>
    <row r="1832" spans="1:9" x14ac:dyDescent="0.4">
      <c r="A1832">
        <v>3160000</v>
      </c>
      <c r="B1832" t="s">
        <v>6292</v>
      </c>
      <c r="C1832" s="1">
        <v>41822</v>
      </c>
      <c r="D1832" t="s">
        <v>6293</v>
      </c>
      <c r="E1832" t="str">
        <f t="shared" si="86"/>
        <v>서울특별시</v>
      </c>
      <c r="F1832" t="str">
        <f t="shared" si="87"/>
        <v xml:space="preserve">구로구 </v>
      </c>
      <c r="G1832" t="str">
        <f t="shared" si="88"/>
        <v>오류동</v>
      </c>
      <c r="H1832" t="s">
        <v>6294</v>
      </c>
      <c r="I1832">
        <v>8271</v>
      </c>
    </row>
    <row r="1833" spans="1:9" x14ac:dyDescent="0.4">
      <c r="A1833">
        <v>3160000</v>
      </c>
      <c r="B1833" t="s">
        <v>6175</v>
      </c>
      <c r="C1833" s="1">
        <v>36617</v>
      </c>
      <c r="D1833" t="s">
        <v>6176</v>
      </c>
      <c r="E1833" t="str">
        <f t="shared" si="86"/>
        <v>서울특별시</v>
      </c>
      <c r="F1833" t="str">
        <f t="shared" si="87"/>
        <v xml:space="preserve">구로구 </v>
      </c>
      <c r="G1833" t="str">
        <f t="shared" si="88"/>
        <v>오류동</v>
      </c>
    </row>
    <row r="1834" spans="1:9" x14ac:dyDescent="0.4">
      <c r="A1834">
        <v>3160000</v>
      </c>
      <c r="B1834" t="s">
        <v>6280</v>
      </c>
      <c r="C1834" s="1">
        <v>31547</v>
      </c>
      <c r="D1834" t="s">
        <v>6281</v>
      </c>
      <c r="E1834" t="str">
        <f t="shared" si="86"/>
        <v>서울특별시</v>
      </c>
      <c r="F1834" t="str">
        <f t="shared" si="87"/>
        <v xml:space="preserve">구로구 </v>
      </c>
      <c r="G1834" t="str">
        <f t="shared" si="88"/>
        <v>오류동</v>
      </c>
      <c r="H1834" t="s">
        <v>6282</v>
      </c>
      <c r="I1834">
        <v>8271</v>
      </c>
    </row>
    <row r="1835" spans="1:9" x14ac:dyDescent="0.4">
      <c r="A1835">
        <v>3160000</v>
      </c>
      <c r="B1835" t="s">
        <v>6136</v>
      </c>
      <c r="C1835" s="1">
        <v>41374</v>
      </c>
      <c r="D1835" t="s">
        <v>6137</v>
      </c>
      <c r="E1835" t="str">
        <f t="shared" si="86"/>
        <v>서울특별시</v>
      </c>
      <c r="F1835" t="str">
        <f t="shared" si="87"/>
        <v xml:space="preserve">구로구 </v>
      </c>
      <c r="G1835" t="str">
        <f t="shared" si="88"/>
        <v>오류동</v>
      </c>
      <c r="H1835" t="s">
        <v>6138</v>
      </c>
      <c r="I1835">
        <v>8271</v>
      </c>
    </row>
    <row r="1836" spans="1:9" x14ac:dyDescent="0.4">
      <c r="A1836">
        <v>3160000</v>
      </c>
      <c r="B1836" t="s">
        <v>6262</v>
      </c>
      <c r="C1836" s="1">
        <v>40666</v>
      </c>
      <c r="D1836" t="s">
        <v>6263</v>
      </c>
      <c r="E1836" t="str">
        <f t="shared" si="86"/>
        <v>서울특별시</v>
      </c>
      <c r="F1836" t="str">
        <f t="shared" si="87"/>
        <v xml:space="preserve">구로구 </v>
      </c>
      <c r="G1836" t="str">
        <f t="shared" si="88"/>
        <v>오류동</v>
      </c>
      <c r="H1836" t="s">
        <v>6264</v>
      </c>
      <c r="I1836">
        <v>8271</v>
      </c>
    </row>
    <row r="1837" spans="1:9" x14ac:dyDescent="0.4">
      <c r="A1837">
        <v>3160000</v>
      </c>
      <c r="B1837" t="s">
        <v>6289</v>
      </c>
      <c r="C1837" s="1">
        <v>41663</v>
      </c>
      <c r="D1837" t="s">
        <v>6290</v>
      </c>
      <c r="E1837" t="str">
        <f t="shared" si="86"/>
        <v>서울특별시</v>
      </c>
      <c r="F1837" t="str">
        <f t="shared" si="87"/>
        <v xml:space="preserve">구로구 </v>
      </c>
      <c r="G1837" t="str">
        <f t="shared" si="88"/>
        <v>오류동</v>
      </c>
      <c r="H1837" t="s">
        <v>6291</v>
      </c>
      <c r="I1837">
        <v>8271</v>
      </c>
    </row>
    <row r="1838" spans="1:9" x14ac:dyDescent="0.4">
      <c r="A1838">
        <v>3160000</v>
      </c>
      <c r="B1838" t="s">
        <v>6211</v>
      </c>
      <c r="C1838" s="1">
        <v>41236</v>
      </c>
      <c r="D1838" t="s">
        <v>6212</v>
      </c>
      <c r="E1838" t="str">
        <f t="shared" si="86"/>
        <v>서울특별시</v>
      </c>
      <c r="F1838" t="str">
        <f t="shared" si="87"/>
        <v xml:space="preserve">구로구 </v>
      </c>
      <c r="G1838" t="str">
        <f t="shared" si="88"/>
        <v>오류동</v>
      </c>
      <c r="H1838" t="s">
        <v>6213</v>
      </c>
      <c r="I1838">
        <v>8271</v>
      </c>
    </row>
    <row r="1839" spans="1:9" x14ac:dyDescent="0.4">
      <c r="A1839">
        <v>3160000</v>
      </c>
      <c r="B1839" t="s">
        <v>6221</v>
      </c>
      <c r="C1839" s="1">
        <v>37368</v>
      </c>
      <c r="D1839" t="s">
        <v>6222</v>
      </c>
      <c r="E1839" t="str">
        <f t="shared" si="86"/>
        <v>서울특별시</v>
      </c>
      <c r="F1839" t="str">
        <f t="shared" si="87"/>
        <v xml:space="preserve">구로구 </v>
      </c>
      <c r="G1839" t="str">
        <f t="shared" si="88"/>
        <v>오류동</v>
      </c>
    </row>
    <row r="1840" spans="1:9" x14ac:dyDescent="0.4">
      <c r="A1840">
        <v>3160000</v>
      </c>
      <c r="B1840" t="s">
        <v>6271</v>
      </c>
      <c r="C1840" s="1">
        <v>40735</v>
      </c>
      <c r="D1840" t="s">
        <v>6272</v>
      </c>
      <c r="E1840" t="str">
        <f t="shared" si="86"/>
        <v>서울특별시</v>
      </c>
      <c r="F1840" t="str">
        <f t="shared" si="87"/>
        <v xml:space="preserve">구로구 </v>
      </c>
      <c r="G1840" t="str">
        <f t="shared" si="88"/>
        <v>오류동</v>
      </c>
      <c r="H1840" t="s">
        <v>6273</v>
      </c>
      <c r="I1840">
        <v>8271</v>
      </c>
    </row>
    <row r="1841" spans="1:9" x14ac:dyDescent="0.4">
      <c r="A1841">
        <v>3160000</v>
      </c>
      <c r="B1841" t="s">
        <v>6268</v>
      </c>
      <c r="C1841" s="1">
        <v>45181</v>
      </c>
      <c r="D1841" t="s">
        <v>6269</v>
      </c>
      <c r="E1841" t="str">
        <f t="shared" si="86"/>
        <v>서울특별시</v>
      </c>
      <c r="F1841" t="str">
        <f t="shared" si="87"/>
        <v xml:space="preserve">구로구 </v>
      </c>
      <c r="G1841" t="str">
        <f t="shared" si="88"/>
        <v>오류동</v>
      </c>
      <c r="H1841" t="s">
        <v>6270</v>
      </c>
      <c r="I1841">
        <v>8271</v>
      </c>
    </row>
    <row r="1842" spans="1:9" x14ac:dyDescent="0.4">
      <c r="A1842">
        <v>3160000</v>
      </c>
      <c r="B1842" t="s">
        <v>6133</v>
      </c>
      <c r="C1842" s="1">
        <v>41052</v>
      </c>
      <c r="D1842" t="s">
        <v>6134</v>
      </c>
      <c r="E1842" t="str">
        <f t="shared" si="86"/>
        <v>서울특별시</v>
      </c>
      <c r="F1842" t="str">
        <f t="shared" si="87"/>
        <v xml:space="preserve">구로구 </v>
      </c>
      <c r="G1842" t="str">
        <f t="shared" si="88"/>
        <v>오류동</v>
      </c>
      <c r="H1842" t="s">
        <v>6135</v>
      </c>
      <c r="I1842">
        <v>8271</v>
      </c>
    </row>
    <row r="1843" spans="1:9" x14ac:dyDescent="0.4">
      <c r="A1843">
        <v>3160000</v>
      </c>
      <c r="B1843" t="s">
        <v>6259</v>
      </c>
      <c r="C1843" s="1">
        <v>39552</v>
      </c>
      <c r="D1843" t="s">
        <v>6260</v>
      </c>
      <c r="E1843" t="str">
        <f t="shared" si="86"/>
        <v>서울특별시</v>
      </c>
      <c r="F1843" t="str">
        <f t="shared" si="87"/>
        <v xml:space="preserve">구로구 </v>
      </c>
      <c r="G1843" t="str">
        <f t="shared" si="88"/>
        <v>오류동</v>
      </c>
      <c r="H1843" t="s">
        <v>6261</v>
      </c>
      <c r="I1843">
        <v>8271</v>
      </c>
    </row>
    <row r="1844" spans="1:9" x14ac:dyDescent="0.4">
      <c r="A1844">
        <v>3160000</v>
      </c>
      <c r="B1844" t="s">
        <v>6274</v>
      </c>
      <c r="C1844" s="1">
        <v>43588</v>
      </c>
      <c r="D1844" t="s">
        <v>6275</v>
      </c>
      <c r="E1844" t="str">
        <f t="shared" si="86"/>
        <v>서울특별시</v>
      </c>
      <c r="F1844" t="str">
        <f t="shared" si="87"/>
        <v xml:space="preserve">구로구 </v>
      </c>
      <c r="G1844" t="str">
        <f t="shared" si="88"/>
        <v>오류동</v>
      </c>
      <c r="H1844" t="s">
        <v>6276</v>
      </c>
      <c r="I1844">
        <v>8271</v>
      </c>
    </row>
    <row r="1845" spans="1:9" x14ac:dyDescent="0.4">
      <c r="A1845">
        <v>3160000</v>
      </c>
      <c r="B1845" t="s">
        <v>6106</v>
      </c>
      <c r="C1845" s="1">
        <v>41848</v>
      </c>
      <c r="D1845" t="s">
        <v>6107</v>
      </c>
      <c r="E1845" t="str">
        <f t="shared" si="86"/>
        <v>서울특별시</v>
      </c>
      <c r="F1845" t="str">
        <f t="shared" si="87"/>
        <v xml:space="preserve">구로구 </v>
      </c>
      <c r="G1845" t="str">
        <f t="shared" si="88"/>
        <v>오류동</v>
      </c>
      <c r="H1845" t="s">
        <v>6108</v>
      </c>
      <c r="I1845">
        <v>8271</v>
      </c>
    </row>
    <row r="1846" spans="1:9" x14ac:dyDescent="0.4">
      <c r="A1846">
        <v>3160000</v>
      </c>
      <c r="B1846" t="s">
        <v>6156</v>
      </c>
      <c r="C1846" s="1">
        <v>36418</v>
      </c>
      <c r="D1846" t="s">
        <v>6157</v>
      </c>
      <c r="E1846" t="str">
        <f t="shared" si="86"/>
        <v>서울특별시</v>
      </c>
      <c r="F1846" t="str">
        <f t="shared" si="87"/>
        <v xml:space="preserve">구로구 </v>
      </c>
      <c r="G1846" t="str">
        <f t="shared" si="88"/>
        <v>오류동</v>
      </c>
    </row>
    <row r="1847" spans="1:9" x14ac:dyDescent="0.4">
      <c r="A1847">
        <v>3160000</v>
      </c>
      <c r="B1847" t="s">
        <v>6226</v>
      </c>
      <c r="C1847" s="1">
        <v>39022</v>
      </c>
      <c r="D1847" t="s">
        <v>6157</v>
      </c>
      <c r="E1847" t="str">
        <f t="shared" si="86"/>
        <v>서울특별시</v>
      </c>
      <c r="F1847" t="str">
        <f t="shared" si="87"/>
        <v xml:space="preserve">구로구 </v>
      </c>
      <c r="G1847" t="str">
        <f t="shared" si="88"/>
        <v>오류동</v>
      </c>
    </row>
    <row r="1848" spans="1:9" x14ac:dyDescent="0.4">
      <c r="A1848">
        <v>3160000</v>
      </c>
      <c r="B1848" t="s">
        <v>6112</v>
      </c>
      <c r="C1848" s="1">
        <v>43140</v>
      </c>
      <c r="D1848" t="s">
        <v>6113</v>
      </c>
      <c r="E1848" t="str">
        <f t="shared" si="86"/>
        <v>서울특별시</v>
      </c>
      <c r="F1848" t="str">
        <f t="shared" si="87"/>
        <v xml:space="preserve">구로구 </v>
      </c>
      <c r="G1848" t="str">
        <f t="shared" si="88"/>
        <v>오류동</v>
      </c>
      <c r="H1848" t="s">
        <v>6114</v>
      </c>
      <c r="I1848">
        <v>8271</v>
      </c>
    </row>
    <row r="1849" spans="1:9" x14ac:dyDescent="0.4">
      <c r="A1849">
        <v>3160000</v>
      </c>
      <c r="B1849" t="s">
        <v>6245</v>
      </c>
      <c r="C1849" s="1">
        <v>37120</v>
      </c>
      <c r="D1849" t="s">
        <v>6246</v>
      </c>
      <c r="E1849" t="str">
        <f t="shared" si="86"/>
        <v>서울특별시</v>
      </c>
      <c r="F1849" t="str">
        <f t="shared" si="87"/>
        <v xml:space="preserve">구로구 </v>
      </c>
      <c r="G1849" t="str">
        <f t="shared" si="88"/>
        <v>오류동</v>
      </c>
      <c r="H1849" t="s">
        <v>6247</v>
      </c>
      <c r="I1849">
        <v>8254</v>
      </c>
    </row>
    <row r="1850" spans="1:9" x14ac:dyDescent="0.4">
      <c r="A1850">
        <v>3160000</v>
      </c>
      <c r="B1850" t="s">
        <v>6130</v>
      </c>
      <c r="C1850" s="1">
        <v>36860</v>
      </c>
      <c r="D1850" t="s">
        <v>6131</v>
      </c>
      <c r="E1850" t="str">
        <f t="shared" si="86"/>
        <v>서울특별시</v>
      </c>
      <c r="F1850" t="str">
        <f t="shared" si="87"/>
        <v xml:space="preserve">구로구 </v>
      </c>
      <c r="G1850" t="str">
        <f t="shared" si="88"/>
        <v>오류동</v>
      </c>
      <c r="H1850" t="s">
        <v>6132</v>
      </c>
      <c r="I1850">
        <v>8254</v>
      </c>
    </row>
    <row r="1851" spans="1:9" x14ac:dyDescent="0.4">
      <c r="A1851">
        <v>3160000</v>
      </c>
      <c r="B1851" t="s">
        <v>6177</v>
      </c>
      <c r="C1851" s="1">
        <v>36859</v>
      </c>
      <c r="D1851" t="s">
        <v>6178</v>
      </c>
      <c r="E1851" t="str">
        <f t="shared" si="86"/>
        <v>서울특별시</v>
      </c>
      <c r="F1851" t="str">
        <f t="shared" si="87"/>
        <v xml:space="preserve">구로구 </v>
      </c>
      <c r="G1851" t="str">
        <f t="shared" si="88"/>
        <v>오류동</v>
      </c>
    </row>
    <row r="1852" spans="1:9" x14ac:dyDescent="0.4">
      <c r="A1852">
        <v>3160000</v>
      </c>
      <c r="B1852" t="s">
        <v>6161</v>
      </c>
      <c r="C1852" s="1">
        <v>36483</v>
      </c>
      <c r="D1852" t="s">
        <v>6162</v>
      </c>
      <c r="E1852" t="str">
        <f t="shared" si="86"/>
        <v>서울특별시</v>
      </c>
      <c r="F1852" t="str">
        <f t="shared" si="87"/>
        <v xml:space="preserve">구로구 </v>
      </c>
      <c r="G1852" t="str">
        <f t="shared" si="88"/>
        <v>오류동</v>
      </c>
    </row>
    <row r="1853" spans="1:9" x14ac:dyDescent="0.4">
      <c r="A1853">
        <v>3160000</v>
      </c>
      <c r="B1853" t="s">
        <v>6234</v>
      </c>
      <c r="C1853" s="1">
        <v>36532</v>
      </c>
      <c r="D1853" t="s">
        <v>6235</v>
      </c>
      <c r="E1853" t="str">
        <f t="shared" si="86"/>
        <v>서울특별시</v>
      </c>
      <c r="F1853" t="str">
        <f t="shared" si="87"/>
        <v xml:space="preserve">구로구 </v>
      </c>
      <c r="G1853" t="str">
        <f t="shared" si="88"/>
        <v>오류동</v>
      </c>
    </row>
    <row r="1854" spans="1:9" x14ac:dyDescent="0.4">
      <c r="A1854">
        <v>3160000</v>
      </c>
      <c r="B1854" t="s">
        <v>6250</v>
      </c>
      <c r="C1854" s="1">
        <v>37172</v>
      </c>
      <c r="D1854" t="s">
        <v>6251</v>
      </c>
      <c r="E1854" t="str">
        <f t="shared" si="86"/>
        <v>서울특별시</v>
      </c>
      <c r="F1854" t="str">
        <f t="shared" si="87"/>
        <v xml:space="preserve">구로구 </v>
      </c>
      <c r="G1854" t="str">
        <f t="shared" si="88"/>
        <v>오류동</v>
      </c>
      <c r="H1854" t="s">
        <v>6252</v>
      </c>
      <c r="I1854">
        <v>8271</v>
      </c>
    </row>
    <row r="1855" spans="1:9" x14ac:dyDescent="0.4">
      <c r="A1855">
        <v>3160000</v>
      </c>
      <c r="B1855" t="s">
        <v>6214</v>
      </c>
      <c r="C1855" s="1">
        <v>37070</v>
      </c>
      <c r="D1855" t="s">
        <v>6215</v>
      </c>
      <c r="E1855" t="str">
        <f t="shared" si="86"/>
        <v>서울특별시</v>
      </c>
      <c r="F1855" t="str">
        <f t="shared" si="87"/>
        <v xml:space="preserve">구로구 </v>
      </c>
      <c r="G1855" t="str">
        <f t="shared" si="88"/>
        <v>오류동</v>
      </c>
      <c r="H1855" t="s">
        <v>6216</v>
      </c>
      <c r="I1855">
        <v>8271</v>
      </c>
    </row>
    <row r="1856" spans="1:9" x14ac:dyDescent="0.4">
      <c r="A1856">
        <v>3160000</v>
      </c>
      <c r="B1856" t="s">
        <v>6253</v>
      </c>
      <c r="C1856" s="1">
        <v>37495</v>
      </c>
      <c r="D1856" t="s">
        <v>6254</v>
      </c>
      <c r="E1856" t="str">
        <f t="shared" si="86"/>
        <v>서울특별시</v>
      </c>
      <c r="F1856" t="str">
        <f t="shared" si="87"/>
        <v xml:space="preserve">구로구 </v>
      </c>
      <c r="G1856" t="str">
        <f t="shared" si="88"/>
        <v>오류동</v>
      </c>
      <c r="H1856" t="s">
        <v>6255</v>
      </c>
      <c r="I1856">
        <v>8271</v>
      </c>
    </row>
    <row r="1857" spans="1:9" x14ac:dyDescent="0.4">
      <c r="A1857">
        <v>3160000</v>
      </c>
      <c r="B1857" t="s">
        <v>6202</v>
      </c>
      <c r="C1857" s="1">
        <v>36860</v>
      </c>
      <c r="D1857" t="s">
        <v>6203</v>
      </c>
      <c r="E1857" t="str">
        <f t="shared" si="86"/>
        <v>서울특별시</v>
      </c>
      <c r="F1857" t="str">
        <f t="shared" si="87"/>
        <v xml:space="preserve">구로구 </v>
      </c>
      <c r="G1857" t="str">
        <f t="shared" si="88"/>
        <v>오류동</v>
      </c>
    </row>
    <row r="1858" spans="1:9" x14ac:dyDescent="0.4">
      <c r="A1858">
        <v>3160000</v>
      </c>
      <c r="B1858" t="s">
        <v>6163</v>
      </c>
      <c r="C1858" s="1">
        <v>36496</v>
      </c>
      <c r="D1858" t="s">
        <v>6164</v>
      </c>
      <c r="E1858" t="str">
        <f t="shared" si="86"/>
        <v>서울특별시</v>
      </c>
      <c r="F1858" t="str">
        <f t="shared" si="87"/>
        <v xml:space="preserve">구로구 </v>
      </c>
      <c r="G1858" t="str">
        <f t="shared" si="88"/>
        <v>오류동</v>
      </c>
      <c r="H1858" t="s">
        <v>6165</v>
      </c>
      <c r="I1858">
        <v>8254</v>
      </c>
    </row>
    <row r="1859" spans="1:9" x14ac:dyDescent="0.4">
      <c r="A1859">
        <v>3160000</v>
      </c>
      <c r="B1859" t="s">
        <v>6170</v>
      </c>
      <c r="C1859" s="1">
        <v>36570</v>
      </c>
      <c r="D1859" t="s">
        <v>6171</v>
      </c>
      <c r="E1859" t="str">
        <f t="shared" ref="E1859:E1922" si="89">LEFT(D1859,5)</f>
        <v>서울특별시</v>
      </c>
      <c r="F1859" t="str">
        <f t="shared" ref="F1859:F1922" si="90">MID(D1859,7,4)</f>
        <v xml:space="preserve">구로구 </v>
      </c>
      <c r="G1859" t="str">
        <f t="shared" ref="G1859:G1922" si="91">MID(SUBSTITUTE(D1859," ",""),9,3)</f>
        <v>오류동</v>
      </c>
    </row>
    <row r="1860" spans="1:9" x14ac:dyDescent="0.4">
      <c r="A1860">
        <v>3160000</v>
      </c>
      <c r="B1860" t="s">
        <v>6121</v>
      </c>
      <c r="C1860" s="1">
        <v>36507</v>
      </c>
      <c r="D1860" t="s">
        <v>6122</v>
      </c>
      <c r="E1860" t="str">
        <f t="shared" si="89"/>
        <v>서울특별시</v>
      </c>
      <c r="F1860" t="str">
        <f t="shared" si="90"/>
        <v xml:space="preserve">구로구 </v>
      </c>
      <c r="G1860" t="str">
        <f t="shared" si="91"/>
        <v>오류동</v>
      </c>
      <c r="H1860" t="s">
        <v>6123</v>
      </c>
      <c r="I1860">
        <v>8269</v>
      </c>
    </row>
    <row r="1861" spans="1:9" x14ac:dyDescent="0.4">
      <c r="A1861">
        <v>3160000</v>
      </c>
      <c r="B1861" t="s">
        <v>6217</v>
      </c>
      <c r="C1861" s="1">
        <v>37120</v>
      </c>
      <c r="D1861" t="s">
        <v>6218</v>
      </c>
      <c r="E1861" t="str">
        <f t="shared" si="89"/>
        <v>서울특별시</v>
      </c>
      <c r="F1861" t="str">
        <f t="shared" si="90"/>
        <v xml:space="preserve">구로구 </v>
      </c>
      <c r="G1861" t="str">
        <f t="shared" si="91"/>
        <v>오류동</v>
      </c>
    </row>
    <row r="1862" spans="1:9" x14ac:dyDescent="0.4">
      <c r="A1862">
        <v>3160000</v>
      </c>
      <c r="B1862" t="s">
        <v>1970</v>
      </c>
      <c r="C1862" s="1">
        <v>36903</v>
      </c>
      <c r="D1862" t="s">
        <v>1971</v>
      </c>
      <c r="E1862" t="str">
        <f t="shared" si="89"/>
        <v>서울특별시</v>
      </c>
      <c r="F1862" t="str">
        <f t="shared" si="90"/>
        <v xml:space="preserve">구로구 </v>
      </c>
      <c r="G1862" t="str">
        <f t="shared" si="91"/>
        <v>오류동</v>
      </c>
      <c r="H1862" t="s">
        <v>1972</v>
      </c>
    </row>
    <row r="1863" spans="1:9" x14ac:dyDescent="0.4">
      <c r="A1863">
        <v>3170000</v>
      </c>
      <c r="B1863" t="s">
        <v>6421</v>
      </c>
      <c r="C1863" s="1">
        <v>36851</v>
      </c>
      <c r="D1863" t="s">
        <v>6422</v>
      </c>
      <c r="E1863" t="str">
        <f t="shared" si="89"/>
        <v>서울특별시</v>
      </c>
      <c r="F1863" t="str">
        <f t="shared" si="90"/>
        <v xml:space="preserve">금천구 </v>
      </c>
      <c r="G1863" t="str">
        <f t="shared" si="91"/>
        <v>가산동</v>
      </c>
      <c r="H1863" t="s">
        <v>6423</v>
      </c>
      <c r="I1863">
        <v>8512</v>
      </c>
    </row>
    <row r="1864" spans="1:9" x14ac:dyDescent="0.4">
      <c r="A1864">
        <v>3170000</v>
      </c>
      <c r="B1864" t="s">
        <v>6325</v>
      </c>
      <c r="C1864" s="1">
        <v>37195</v>
      </c>
      <c r="D1864" t="s">
        <v>6326</v>
      </c>
      <c r="E1864" t="str">
        <f t="shared" si="89"/>
        <v>서울특별시</v>
      </c>
      <c r="F1864" t="str">
        <f t="shared" si="90"/>
        <v xml:space="preserve">금천구 </v>
      </c>
      <c r="G1864" t="str">
        <f t="shared" si="91"/>
        <v>가산동</v>
      </c>
      <c r="H1864" t="s">
        <v>6327</v>
      </c>
      <c r="I1864">
        <v>8515</v>
      </c>
    </row>
    <row r="1865" spans="1:9" x14ac:dyDescent="0.4">
      <c r="A1865">
        <v>3170000</v>
      </c>
      <c r="B1865" t="s">
        <v>6313</v>
      </c>
      <c r="C1865" s="1">
        <v>36787</v>
      </c>
      <c r="D1865" t="s">
        <v>6314</v>
      </c>
      <c r="E1865" t="str">
        <f t="shared" si="89"/>
        <v>서울특별시</v>
      </c>
      <c r="F1865" t="str">
        <f t="shared" si="90"/>
        <v xml:space="preserve">금천구 </v>
      </c>
      <c r="G1865" t="str">
        <f t="shared" si="91"/>
        <v>가산동</v>
      </c>
      <c r="H1865" t="s">
        <v>6315</v>
      </c>
      <c r="I1865">
        <v>8515</v>
      </c>
    </row>
    <row r="1866" spans="1:9" x14ac:dyDescent="0.4">
      <c r="A1866">
        <v>3170000</v>
      </c>
      <c r="B1866" t="s">
        <v>6431</v>
      </c>
      <c r="C1866" s="1">
        <v>36699</v>
      </c>
      <c r="D1866" t="s">
        <v>6432</v>
      </c>
      <c r="E1866" t="str">
        <f t="shared" si="89"/>
        <v>서울특별시</v>
      </c>
      <c r="F1866" t="str">
        <f t="shared" si="90"/>
        <v xml:space="preserve">금천구 </v>
      </c>
      <c r="G1866" t="str">
        <f t="shared" si="91"/>
        <v>가산동</v>
      </c>
    </row>
    <row r="1867" spans="1:9" x14ac:dyDescent="0.4">
      <c r="A1867">
        <v>3170000</v>
      </c>
      <c r="B1867" t="s">
        <v>6358</v>
      </c>
      <c r="C1867" s="1">
        <v>37442</v>
      </c>
      <c r="D1867" t="s">
        <v>6359</v>
      </c>
      <c r="E1867" t="str">
        <f t="shared" si="89"/>
        <v>서울특별시</v>
      </c>
      <c r="F1867" t="str">
        <f t="shared" si="90"/>
        <v xml:space="preserve">금천구 </v>
      </c>
      <c r="G1867" t="str">
        <f t="shared" si="91"/>
        <v>가산동</v>
      </c>
      <c r="H1867" t="s">
        <v>6360</v>
      </c>
      <c r="I1867">
        <v>8515</v>
      </c>
    </row>
    <row r="1868" spans="1:9" x14ac:dyDescent="0.4">
      <c r="A1868">
        <v>3170000</v>
      </c>
      <c r="B1868" t="s">
        <v>6277</v>
      </c>
      <c r="C1868" s="1">
        <v>36567</v>
      </c>
      <c r="D1868" t="s">
        <v>6278</v>
      </c>
      <c r="E1868" t="str">
        <f t="shared" si="89"/>
        <v>서울특별시</v>
      </c>
      <c r="F1868" t="str">
        <f t="shared" si="90"/>
        <v xml:space="preserve">금천구 </v>
      </c>
      <c r="G1868" t="str">
        <f t="shared" si="91"/>
        <v>가산동</v>
      </c>
      <c r="H1868" t="s">
        <v>6279</v>
      </c>
      <c r="I1868">
        <v>8515</v>
      </c>
    </row>
    <row r="1869" spans="1:9" x14ac:dyDescent="0.4">
      <c r="A1869">
        <v>3170000</v>
      </c>
      <c r="B1869" t="s">
        <v>6447</v>
      </c>
      <c r="C1869" s="1">
        <v>36879</v>
      </c>
      <c r="D1869" t="s">
        <v>6448</v>
      </c>
      <c r="E1869" t="str">
        <f t="shared" si="89"/>
        <v>서울특별시</v>
      </c>
      <c r="F1869" t="str">
        <f t="shared" si="90"/>
        <v xml:space="preserve">금천구 </v>
      </c>
      <c r="G1869" t="str">
        <f t="shared" si="91"/>
        <v>가산동</v>
      </c>
    </row>
    <row r="1870" spans="1:9" x14ac:dyDescent="0.4">
      <c r="A1870">
        <v>3170000</v>
      </c>
      <c r="B1870" t="s">
        <v>6499</v>
      </c>
      <c r="C1870" s="1">
        <v>42206</v>
      </c>
      <c r="D1870" t="s">
        <v>6500</v>
      </c>
      <c r="E1870" t="str">
        <f t="shared" si="89"/>
        <v>서울특별시</v>
      </c>
      <c r="F1870" t="str">
        <f t="shared" si="90"/>
        <v xml:space="preserve">금천구 </v>
      </c>
      <c r="G1870" t="str">
        <f t="shared" si="91"/>
        <v>가산동</v>
      </c>
      <c r="H1870" t="s">
        <v>6501</v>
      </c>
      <c r="I1870">
        <v>8515</v>
      </c>
    </row>
    <row r="1871" spans="1:9" x14ac:dyDescent="0.4">
      <c r="A1871">
        <v>3170000</v>
      </c>
      <c r="B1871" t="s">
        <v>6514</v>
      </c>
      <c r="C1871" s="1">
        <v>42636</v>
      </c>
      <c r="D1871" t="s">
        <v>6515</v>
      </c>
      <c r="E1871" t="str">
        <f t="shared" si="89"/>
        <v>서울특별시</v>
      </c>
      <c r="F1871" t="str">
        <f t="shared" si="90"/>
        <v xml:space="preserve">금천구 </v>
      </c>
      <c r="G1871" t="str">
        <f t="shared" si="91"/>
        <v>가산동</v>
      </c>
      <c r="H1871" t="s">
        <v>6516</v>
      </c>
      <c r="I1871">
        <v>8515</v>
      </c>
    </row>
    <row r="1872" spans="1:9" x14ac:dyDescent="0.4">
      <c r="A1872">
        <v>3170000</v>
      </c>
      <c r="B1872" t="s">
        <v>6533</v>
      </c>
      <c r="C1872" s="1">
        <v>39098</v>
      </c>
      <c r="D1872" t="s">
        <v>6534</v>
      </c>
      <c r="E1872" t="str">
        <f t="shared" si="89"/>
        <v>서울특별시</v>
      </c>
      <c r="F1872" t="str">
        <f t="shared" si="90"/>
        <v xml:space="preserve">금천구 </v>
      </c>
      <c r="G1872" t="str">
        <f t="shared" si="91"/>
        <v>가산동</v>
      </c>
      <c r="H1872" t="s">
        <v>6535</v>
      </c>
      <c r="I1872">
        <v>8515</v>
      </c>
    </row>
    <row r="1873" spans="1:9" x14ac:dyDescent="0.4">
      <c r="A1873">
        <v>3170000</v>
      </c>
      <c r="B1873" t="s">
        <v>6536</v>
      </c>
      <c r="C1873" s="1">
        <v>39098</v>
      </c>
      <c r="D1873" t="s">
        <v>6537</v>
      </c>
      <c r="E1873" t="str">
        <f t="shared" si="89"/>
        <v>서울특별시</v>
      </c>
      <c r="F1873" t="str">
        <f t="shared" si="90"/>
        <v xml:space="preserve">금천구 </v>
      </c>
      <c r="G1873" t="str">
        <f t="shared" si="91"/>
        <v>가산동</v>
      </c>
      <c r="H1873" t="s">
        <v>6538</v>
      </c>
      <c r="I1873">
        <v>8515</v>
      </c>
    </row>
    <row r="1874" spans="1:9" x14ac:dyDescent="0.4">
      <c r="A1874">
        <v>3170000</v>
      </c>
      <c r="B1874" t="s">
        <v>6508</v>
      </c>
      <c r="C1874" s="1">
        <v>40288</v>
      </c>
      <c r="D1874" t="s">
        <v>6509</v>
      </c>
      <c r="E1874" t="str">
        <f t="shared" si="89"/>
        <v>서울특별시</v>
      </c>
      <c r="F1874" t="str">
        <f t="shared" si="90"/>
        <v xml:space="preserve">금천구 </v>
      </c>
      <c r="G1874" t="str">
        <f t="shared" si="91"/>
        <v>가산동</v>
      </c>
      <c r="H1874" t="s">
        <v>6510</v>
      </c>
      <c r="I1874">
        <v>8515</v>
      </c>
    </row>
    <row r="1875" spans="1:9" x14ac:dyDescent="0.4">
      <c r="A1875">
        <v>3170000</v>
      </c>
      <c r="B1875" t="s">
        <v>6370</v>
      </c>
      <c r="C1875" s="1">
        <v>38559</v>
      </c>
      <c r="D1875" t="s">
        <v>6371</v>
      </c>
      <c r="E1875" t="str">
        <f t="shared" si="89"/>
        <v>서울특별시</v>
      </c>
      <c r="F1875" t="str">
        <f t="shared" si="90"/>
        <v xml:space="preserve">금천구 </v>
      </c>
      <c r="G1875" t="str">
        <f t="shared" si="91"/>
        <v>가산동</v>
      </c>
      <c r="H1875" t="s">
        <v>6372</v>
      </c>
      <c r="I1875">
        <v>8515</v>
      </c>
    </row>
    <row r="1876" spans="1:9" x14ac:dyDescent="0.4">
      <c r="A1876">
        <v>3170000</v>
      </c>
      <c r="B1876" t="s">
        <v>6346</v>
      </c>
      <c r="C1876" s="1">
        <v>40295</v>
      </c>
      <c r="D1876" t="s">
        <v>6347</v>
      </c>
      <c r="E1876" t="str">
        <f t="shared" si="89"/>
        <v>서울특별시</v>
      </c>
      <c r="F1876" t="str">
        <f t="shared" si="90"/>
        <v xml:space="preserve">금천구 </v>
      </c>
      <c r="G1876" t="str">
        <f t="shared" si="91"/>
        <v>가산동</v>
      </c>
      <c r="H1876" t="s">
        <v>6348</v>
      </c>
      <c r="I1876">
        <v>8515</v>
      </c>
    </row>
    <row r="1877" spans="1:9" x14ac:dyDescent="0.4">
      <c r="A1877">
        <v>3170000</v>
      </c>
      <c r="B1877" t="s">
        <v>6511</v>
      </c>
      <c r="C1877" s="1">
        <v>40295</v>
      </c>
      <c r="D1877" t="s">
        <v>6512</v>
      </c>
      <c r="E1877" t="str">
        <f t="shared" si="89"/>
        <v>서울특별시</v>
      </c>
      <c r="F1877" t="str">
        <f t="shared" si="90"/>
        <v xml:space="preserve">금천구 </v>
      </c>
      <c r="G1877" t="str">
        <f t="shared" si="91"/>
        <v>가산동</v>
      </c>
      <c r="H1877" t="s">
        <v>6513</v>
      </c>
      <c r="I1877">
        <v>8515</v>
      </c>
    </row>
    <row r="1878" spans="1:9" x14ac:dyDescent="0.4">
      <c r="A1878">
        <v>3170000</v>
      </c>
      <c r="B1878" t="s">
        <v>6435</v>
      </c>
      <c r="C1878" s="1">
        <v>36718</v>
      </c>
      <c r="D1878" t="s">
        <v>6436</v>
      </c>
      <c r="E1878" t="str">
        <f t="shared" si="89"/>
        <v>서울특별시</v>
      </c>
      <c r="F1878" t="str">
        <f t="shared" si="90"/>
        <v xml:space="preserve">금천구 </v>
      </c>
      <c r="G1878" t="str">
        <f t="shared" si="91"/>
        <v>가산동</v>
      </c>
    </row>
    <row r="1879" spans="1:9" x14ac:dyDescent="0.4">
      <c r="A1879">
        <v>3170000</v>
      </c>
      <c r="B1879" t="s">
        <v>6304</v>
      </c>
      <c r="C1879" s="1">
        <v>36699</v>
      </c>
      <c r="D1879" t="s">
        <v>6305</v>
      </c>
      <c r="E1879" t="str">
        <f t="shared" si="89"/>
        <v>서울특별시</v>
      </c>
      <c r="F1879" t="str">
        <f t="shared" si="90"/>
        <v xml:space="preserve">금천구 </v>
      </c>
      <c r="G1879" t="str">
        <f t="shared" si="91"/>
        <v>가산동</v>
      </c>
      <c r="H1879" t="s">
        <v>6306</v>
      </c>
      <c r="I1879">
        <v>8515</v>
      </c>
    </row>
    <row r="1880" spans="1:9" x14ac:dyDescent="0.4">
      <c r="A1880">
        <v>3170000</v>
      </c>
      <c r="B1880" t="s">
        <v>6461</v>
      </c>
      <c r="C1880" s="1">
        <v>36311</v>
      </c>
      <c r="D1880" t="s">
        <v>6462</v>
      </c>
      <c r="E1880" t="str">
        <f t="shared" si="89"/>
        <v>서울특별시</v>
      </c>
      <c r="F1880" t="str">
        <f t="shared" si="90"/>
        <v xml:space="preserve">금천구 </v>
      </c>
      <c r="G1880" t="str">
        <f t="shared" si="91"/>
        <v>가산동</v>
      </c>
    </row>
    <row r="1881" spans="1:9" x14ac:dyDescent="0.4">
      <c r="A1881">
        <v>3170000</v>
      </c>
      <c r="B1881" t="s">
        <v>6492</v>
      </c>
      <c r="C1881" s="1">
        <v>37237</v>
      </c>
      <c r="D1881" t="s">
        <v>6493</v>
      </c>
      <c r="E1881" t="str">
        <f t="shared" si="89"/>
        <v>서울특별시</v>
      </c>
      <c r="F1881" t="str">
        <f t="shared" si="90"/>
        <v xml:space="preserve">금천구 </v>
      </c>
      <c r="G1881" t="str">
        <f t="shared" si="91"/>
        <v>가산동</v>
      </c>
      <c r="H1881" t="s">
        <v>6494</v>
      </c>
      <c r="I1881">
        <v>8515</v>
      </c>
    </row>
    <row r="1882" spans="1:9" x14ac:dyDescent="0.4">
      <c r="A1882">
        <v>3170000</v>
      </c>
      <c r="B1882" t="s">
        <v>6481</v>
      </c>
      <c r="C1882" s="1">
        <v>36479</v>
      </c>
      <c r="D1882" t="s">
        <v>6482</v>
      </c>
      <c r="E1882" t="str">
        <f t="shared" si="89"/>
        <v>서울특별시</v>
      </c>
      <c r="F1882" t="str">
        <f t="shared" si="90"/>
        <v xml:space="preserve">금천구 </v>
      </c>
      <c r="G1882" t="str">
        <f t="shared" si="91"/>
        <v>가산동</v>
      </c>
    </row>
    <row r="1883" spans="1:9" x14ac:dyDescent="0.4">
      <c r="A1883">
        <v>3170000</v>
      </c>
      <c r="B1883" t="s">
        <v>6373</v>
      </c>
      <c r="C1883" s="1">
        <v>39066</v>
      </c>
      <c r="D1883" t="s">
        <v>6374</v>
      </c>
      <c r="E1883" t="str">
        <f t="shared" si="89"/>
        <v>서울특별시</v>
      </c>
      <c r="F1883" t="str">
        <f t="shared" si="90"/>
        <v xml:space="preserve">금천구 </v>
      </c>
      <c r="G1883" t="str">
        <f t="shared" si="91"/>
        <v>가산동</v>
      </c>
      <c r="H1883" t="s">
        <v>6375</v>
      </c>
      <c r="I1883">
        <v>8527</v>
      </c>
    </row>
    <row r="1884" spans="1:9" x14ac:dyDescent="0.4">
      <c r="A1884">
        <v>3170000</v>
      </c>
      <c r="B1884" t="s">
        <v>6349</v>
      </c>
      <c r="C1884" s="1">
        <v>41005</v>
      </c>
      <c r="D1884" t="s">
        <v>6350</v>
      </c>
      <c r="E1884" t="str">
        <f t="shared" si="89"/>
        <v>서울특별시</v>
      </c>
      <c r="F1884" t="str">
        <f t="shared" si="90"/>
        <v xml:space="preserve">금천구 </v>
      </c>
      <c r="G1884" t="str">
        <f t="shared" si="91"/>
        <v>가산동</v>
      </c>
      <c r="H1884" t="s">
        <v>6351</v>
      </c>
      <c r="I1884">
        <v>8527</v>
      </c>
    </row>
    <row r="1885" spans="1:9" x14ac:dyDescent="0.4">
      <c r="A1885">
        <v>3170000</v>
      </c>
      <c r="B1885" t="s">
        <v>6439</v>
      </c>
      <c r="C1885" s="1">
        <v>36770</v>
      </c>
      <c r="D1885" t="s">
        <v>6440</v>
      </c>
      <c r="E1885" t="str">
        <f t="shared" si="89"/>
        <v>서울특별시</v>
      </c>
      <c r="F1885" t="str">
        <f t="shared" si="90"/>
        <v xml:space="preserve">금천구 </v>
      </c>
      <c r="G1885" t="str">
        <f t="shared" si="91"/>
        <v>가산동</v>
      </c>
    </row>
    <row r="1886" spans="1:9" x14ac:dyDescent="0.4">
      <c r="A1886">
        <v>3170000</v>
      </c>
      <c r="B1886" t="s">
        <v>6441</v>
      </c>
      <c r="C1886" s="1">
        <v>36787</v>
      </c>
      <c r="D1886" t="s">
        <v>6440</v>
      </c>
      <c r="E1886" t="str">
        <f t="shared" si="89"/>
        <v>서울특별시</v>
      </c>
      <c r="F1886" t="str">
        <f t="shared" si="90"/>
        <v xml:space="preserve">금천구 </v>
      </c>
      <c r="G1886" t="str">
        <f t="shared" si="91"/>
        <v>가산동</v>
      </c>
    </row>
    <row r="1887" spans="1:9" x14ac:dyDescent="0.4">
      <c r="A1887">
        <v>3170000</v>
      </c>
      <c r="B1887" t="s">
        <v>6429</v>
      </c>
      <c r="C1887" s="1">
        <v>36636</v>
      </c>
      <c r="D1887" t="s">
        <v>6430</v>
      </c>
      <c r="E1887" t="str">
        <f t="shared" si="89"/>
        <v>서울특별시</v>
      </c>
      <c r="F1887" t="str">
        <f t="shared" si="90"/>
        <v xml:space="preserve">금천구 </v>
      </c>
      <c r="G1887" t="str">
        <f t="shared" si="91"/>
        <v>가산동</v>
      </c>
    </row>
    <row r="1888" spans="1:9" x14ac:dyDescent="0.4">
      <c r="A1888">
        <v>3170000</v>
      </c>
      <c r="B1888" t="s">
        <v>6449</v>
      </c>
      <c r="C1888" s="1">
        <v>36995</v>
      </c>
      <c r="D1888" t="s">
        <v>6450</v>
      </c>
      <c r="E1888" t="str">
        <f t="shared" si="89"/>
        <v>서울특별시</v>
      </c>
      <c r="F1888" t="str">
        <f t="shared" si="90"/>
        <v xml:space="preserve">금천구 </v>
      </c>
      <c r="G1888" t="str">
        <f t="shared" si="91"/>
        <v>가산동</v>
      </c>
    </row>
    <row r="1889" spans="1:9" x14ac:dyDescent="0.4">
      <c r="A1889">
        <v>3170000</v>
      </c>
      <c r="B1889" t="s">
        <v>6298</v>
      </c>
      <c r="C1889" s="1">
        <v>36682</v>
      </c>
      <c r="D1889" t="s">
        <v>6299</v>
      </c>
      <c r="E1889" t="str">
        <f t="shared" si="89"/>
        <v>서울특별시</v>
      </c>
      <c r="F1889" t="str">
        <f t="shared" si="90"/>
        <v xml:space="preserve">금천구 </v>
      </c>
      <c r="G1889" t="str">
        <f t="shared" si="91"/>
        <v>가산동</v>
      </c>
      <c r="H1889" t="s">
        <v>6300</v>
      </c>
      <c r="I1889">
        <v>8527</v>
      </c>
    </row>
    <row r="1890" spans="1:9" x14ac:dyDescent="0.4">
      <c r="A1890">
        <v>3170000</v>
      </c>
      <c r="B1890" t="s">
        <v>6340</v>
      </c>
      <c r="C1890" s="1">
        <v>36498</v>
      </c>
      <c r="D1890" t="s">
        <v>6341</v>
      </c>
      <c r="E1890" t="str">
        <f t="shared" si="89"/>
        <v>서울특별시</v>
      </c>
      <c r="F1890" t="str">
        <f t="shared" si="90"/>
        <v xml:space="preserve">금천구 </v>
      </c>
      <c r="G1890" t="str">
        <f t="shared" si="91"/>
        <v>가산동</v>
      </c>
      <c r="H1890" t="s">
        <v>6342</v>
      </c>
      <c r="I1890">
        <v>8527</v>
      </c>
    </row>
    <row r="1891" spans="1:9" x14ac:dyDescent="0.4">
      <c r="A1891">
        <v>3170000</v>
      </c>
      <c r="B1891" t="s">
        <v>6301</v>
      </c>
      <c r="C1891" s="1">
        <v>36699</v>
      </c>
      <c r="D1891" t="s">
        <v>6302</v>
      </c>
      <c r="E1891" t="str">
        <f t="shared" si="89"/>
        <v>서울특별시</v>
      </c>
      <c r="F1891" t="str">
        <f t="shared" si="90"/>
        <v xml:space="preserve">금천구 </v>
      </c>
      <c r="G1891" t="str">
        <f t="shared" si="91"/>
        <v>가산동</v>
      </c>
      <c r="H1891" t="s">
        <v>6303</v>
      </c>
      <c r="I1891">
        <v>8527</v>
      </c>
    </row>
    <row r="1892" spans="1:9" x14ac:dyDescent="0.4">
      <c r="A1892">
        <v>3170000</v>
      </c>
      <c r="B1892" t="s">
        <v>6502</v>
      </c>
      <c r="C1892" s="1">
        <v>42284</v>
      </c>
      <c r="D1892" t="s">
        <v>6503</v>
      </c>
      <c r="E1892" t="str">
        <f t="shared" si="89"/>
        <v>서울특별시</v>
      </c>
      <c r="F1892" t="str">
        <f t="shared" si="90"/>
        <v xml:space="preserve">금천구 </v>
      </c>
      <c r="G1892" t="str">
        <f t="shared" si="91"/>
        <v>가산동</v>
      </c>
      <c r="H1892" t="s">
        <v>6504</v>
      </c>
      <c r="I1892">
        <v>8527</v>
      </c>
    </row>
    <row r="1893" spans="1:9" x14ac:dyDescent="0.4">
      <c r="A1893">
        <v>3170000</v>
      </c>
      <c r="B1893" t="s">
        <v>6479</v>
      </c>
      <c r="C1893" s="1">
        <v>36336</v>
      </c>
      <c r="D1893" t="s">
        <v>6480</v>
      </c>
      <c r="E1893" t="str">
        <f t="shared" si="89"/>
        <v>서울특별시</v>
      </c>
      <c r="F1893" t="str">
        <f t="shared" si="90"/>
        <v xml:space="preserve">금천구 </v>
      </c>
      <c r="G1893" t="str">
        <f t="shared" si="91"/>
        <v>가산동</v>
      </c>
    </row>
    <row r="1894" spans="1:9" x14ac:dyDescent="0.4">
      <c r="A1894">
        <v>3170000</v>
      </c>
      <c r="B1894" t="s">
        <v>6530</v>
      </c>
      <c r="C1894" s="1">
        <v>38306</v>
      </c>
      <c r="D1894" t="s">
        <v>6531</v>
      </c>
      <c r="E1894" t="str">
        <f t="shared" si="89"/>
        <v>서울특별시</v>
      </c>
      <c r="F1894" t="str">
        <f t="shared" si="90"/>
        <v xml:space="preserve">금천구 </v>
      </c>
      <c r="G1894" t="str">
        <f t="shared" si="91"/>
        <v>가산동</v>
      </c>
      <c r="H1894" t="s">
        <v>6532</v>
      </c>
      <c r="I1894">
        <v>8527</v>
      </c>
    </row>
    <row r="1895" spans="1:9" x14ac:dyDescent="0.4">
      <c r="A1895">
        <v>3170000</v>
      </c>
      <c r="B1895" t="s">
        <v>6444</v>
      </c>
      <c r="C1895" s="1">
        <v>36819</v>
      </c>
      <c r="D1895" t="s">
        <v>6445</v>
      </c>
      <c r="E1895" t="str">
        <f t="shared" si="89"/>
        <v>서울특별시</v>
      </c>
      <c r="F1895" t="str">
        <f t="shared" si="90"/>
        <v xml:space="preserve">금천구 </v>
      </c>
      <c r="G1895" t="str">
        <f t="shared" si="91"/>
        <v>가산동</v>
      </c>
      <c r="H1895" t="s">
        <v>6446</v>
      </c>
      <c r="I1895">
        <v>8527</v>
      </c>
    </row>
    <row r="1896" spans="1:9" x14ac:dyDescent="0.4">
      <c r="A1896">
        <v>3170000</v>
      </c>
      <c r="B1896" t="s">
        <v>6483</v>
      </c>
      <c r="C1896" s="1">
        <v>36504</v>
      </c>
      <c r="D1896" t="s">
        <v>6484</v>
      </c>
      <c r="E1896" t="str">
        <f t="shared" si="89"/>
        <v>서울특별시</v>
      </c>
      <c r="F1896" t="str">
        <f t="shared" si="90"/>
        <v xml:space="preserve">금천구 </v>
      </c>
      <c r="G1896" t="str">
        <f t="shared" si="91"/>
        <v>독산동</v>
      </c>
      <c r="H1896" t="s">
        <v>6485</v>
      </c>
      <c r="I1896">
        <v>8603</v>
      </c>
    </row>
    <row r="1897" spans="1:9" x14ac:dyDescent="0.4">
      <c r="A1897">
        <v>3170000</v>
      </c>
      <c r="B1897" t="s">
        <v>6394</v>
      </c>
      <c r="C1897" s="1">
        <v>29434</v>
      </c>
      <c r="D1897" t="s">
        <v>6395</v>
      </c>
      <c r="E1897" t="str">
        <f t="shared" si="89"/>
        <v>서울특별시</v>
      </c>
      <c r="F1897" t="str">
        <f t="shared" si="90"/>
        <v xml:space="preserve">금천구 </v>
      </c>
      <c r="G1897" t="str">
        <f t="shared" si="91"/>
        <v>독산동</v>
      </c>
      <c r="H1897" t="s">
        <v>6396</v>
      </c>
      <c r="I1897">
        <v>8579</v>
      </c>
    </row>
    <row r="1898" spans="1:9" x14ac:dyDescent="0.4">
      <c r="A1898">
        <v>3170000</v>
      </c>
      <c r="B1898" t="s">
        <v>6539</v>
      </c>
      <c r="C1898" s="1">
        <v>28818</v>
      </c>
      <c r="D1898" t="s">
        <v>6540</v>
      </c>
      <c r="E1898" t="str">
        <f t="shared" si="89"/>
        <v>서울특별시</v>
      </c>
      <c r="F1898" t="str">
        <f t="shared" si="90"/>
        <v xml:space="preserve">금천구 </v>
      </c>
      <c r="G1898" t="str">
        <f t="shared" si="91"/>
        <v>독산동</v>
      </c>
      <c r="H1898" t="s">
        <v>6541</v>
      </c>
      <c r="I1898">
        <v>8558</v>
      </c>
    </row>
    <row r="1899" spans="1:9" x14ac:dyDescent="0.4">
      <c r="A1899">
        <v>3170000</v>
      </c>
      <c r="B1899" t="s">
        <v>6546</v>
      </c>
      <c r="C1899" s="1">
        <v>29447</v>
      </c>
      <c r="D1899" t="s">
        <v>6547</v>
      </c>
      <c r="E1899" t="str">
        <f t="shared" si="89"/>
        <v>서울특별시</v>
      </c>
      <c r="F1899" t="str">
        <f t="shared" si="90"/>
        <v xml:space="preserve">금천구 </v>
      </c>
      <c r="G1899" t="str">
        <f t="shared" si="91"/>
        <v>독산동</v>
      </c>
      <c r="H1899" t="s">
        <v>6548</v>
      </c>
      <c r="I1899">
        <v>8580</v>
      </c>
    </row>
    <row r="1900" spans="1:9" x14ac:dyDescent="0.4">
      <c r="A1900">
        <v>3170000</v>
      </c>
      <c r="B1900" t="s">
        <v>6490</v>
      </c>
      <c r="C1900" s="1">
        <v>37138</v>
      </c>
      <c r="D1900" t="s">
        <v>6491</v>
      </c>
      <c r="E1900" t="str">
        <f t="shared" si="89"/>
        <v>서울특별시</v>
      </c>
      <c r="F1900" t="str">
        <f t="shared" si="90"/>
        <v xml:space="preserve">금천구 </v>
      </c>
      <c r="G1900" t="str">
        <f t="shared" si="91"/>
        <v>독산동</v>
      </c>
    </row>
    <row r="1901" spans="1:9" x14ac:dyDescent="0.4">
      <c r="A1901">
        <v>3170000</v>
      </c>
      <c r="B1901" t="s">
        <v>6307</v>
      </c>
      <c r="C1901" s="1">
        <v>36703</v>
      </c>
      <c r="D1901" t="s">
        <v>6308</v>
      </c>
      <c r="E1901" t="str">
        <f t="shared" si="89"/>
        <v>서울특별시</v>
      </c>
      <c r="F1901" t="str">
        <f t="shared" si="90"/>
        <v xml:space="preserve">금천구 </v>
      </c>
      <c r="G1901" t="str">
        <f t="shared" si="91"/>
        <v>독산동</v>
      </c>
      <c r="H1901" t="s">
        <v>6309</v>
      </c>
      <c r="I1901">
        <v>8616</v>
      </c>
    </row>
    <row r="1902" spans="1:9" x14ac:dyDescent="0.4">
      <c r="A1902">
        <v>3170000</v>
      </c>
      <c r="B1902" t="s">
        <v>6418</v>
      </c>
      <c r="C1902" s="1">
        <v>28784</v>
      </c>
      <c r="D1902" t="s">
        <v>6419</v>
      </c>
      <c r="E1902" t="str">
        <f t="shared" si="89"/>
        <v>서울특별시</v>
      </c>
      <c r="F1902" t="str">
        <f t="shared" si="90"/>
        <v xml:space="preserve">금천구 </v>
      </c>
      <c r="G1902" t="str">
        <f t="shared" si="91"/>
        <v>독산동</v>
      </c>
      <c r="H1902" t="s">
        <v>6420</v>
      </c>
      <c r="I1902">
        <v>8617</v>
      </c>
    </row>
    <row r="1903" spans="1:9" x14ac:dyDescent="0.4">
      <c r="A1903">
        <v>3170000</v>
      </c>
      <c r="B1903" t="s">
        <v>6286</v>
      </c>
      <c r="C1903" s="1">
        <v>33462</v>
      </c>
      <c r="D1903" t="s">
        <v>6287</v>
      </c>
      <c r="E1903" t="str">
        <f t="shared" si="89"/>
        <v>서울특별시</v>
      </c>
      <c r="F1903" t="str">
        <f t="shared" si="90"/>
        <v xml:space="preserve">금천구 </v>
      </c>
      <c r="G1903" t="str">
        <f t="shared" si="91"/>
        <v>독산동</v>
      </c>
      <c r="H1903" t="s">
        <v>6288</v>
      </c>
      <c r="I1903">
        <v>8545</v>
      </c>
    </row>
    <row r="1904" spans="1:9" x14ac:dyDescent="0.4">
      <c r="A1904">
        <v>3170000</v>
      </c>
      <c r="B1904" t="s">
        <v>6379</v>
      </c>
      <c r="C1904" s="1">
        <v>28791</v>
      </c>
      <c r="D1904" t="s">
        <v>6380</v>
      </c>
      <c r="E1904" t="str">
        <f t="shared" si="89"/>
        <v>서울특별시</v>
      </c>
      <c r="F1904" t="str">
        <f t="shared" si="90"/>
        <v xml:space="preserve">금천구 </v>
      </c>
      <c r="G1904" t="str">
        <f t="shared" si="91"/>
        <v>독산동</v>
      </c>
      <c r="H1904" t="s">
        <v>6381</v>
      </c>
      <c r="I1904">
        <v>8585</v>
      </c>
    </row>
    <row r="1905" spans="1:9" x14ac:dyDescent="0.4">
      <c r="A1905">
        <v>3170000</v>
      </c>
      <c r="B1905" t="s">
        <v>6406</v>
      </c>
      <c r="C1905" s="1">
        <v>29483</v>
      </c>
      <c r="D1905" t="s">
        <v>6407</v>
      </c>
      <c r="E1905" t="str">
        <f t="shared" si="89"/>
        <v>서울특별시</v>
      </c>
      <c r="F1905" t="str">
        <f t="shared" si="90"/>
        <v xml:space="preserve">금천구 </v>
      </c>
      <c r="G1905" t="str">
        <f t="shared" si="91"/>
        <v>독산동</v>
      </c>
      <c r="H1905" t="s">
        <v>6408</v>
      </c>
      <c r="I1905">
        <v>8548</v>
      </c>
    </row>
    <row r="1906" spans="1:9" x14ac:dyDescent="0.4">
      <c r="A1906">
        <v>3170000</v>
      </c>
      <c r="B1906" t="s">
        <v>6415</v>
      </c>
      <c r="C1906" s="1">
        <v>28756</v>
      </c>
      <c r="D1906" t="s">
        <v>6416</v>
      </c>
      <c r="E1906" t="str">
        <f t="shared" si="89"/>
        <v>서울특별시</v>
      </c>
      <c r="F1906" t="str">
        <f t="shared" si="90"/>
        <v xml:space="preserve">금천구 </v>
      </c>
      <c r="G1906" t="str">
        <f t="shared" si="91"/>
        <v>독산동</v>
      </c>
      <c r="H1906" t="s">
        <v>6417</v>
      </c>
      <c r="I1906">
        <v>8547</v>
      </c>
    </row>
    <row r="1907" spans="1:9" x14ac:dyDescent="0.4">
      <c r="A1907">
        <v>3170000</v>
      </c>
      <c r="B1907" t="s">
        <v>6412</v>
      </c>
      <c r="C1907" s="1">
        <v>28524</v>
      </c>
      <c r="D1907" t="s">
        <v>6413</v>
      </c>
      <c r="E1907" t="str">
        <f t="shared" si="89"/>
        <v>서울특별시</v>
      </c>
      <c r="F1907" t="str">
        <f t="shared" si="90"/>
        <v xml:space="preserve">금천구 </v>
      </c>
      <c r="G1907" t="str">
        <f t="shared" si="91"/>
        <v>독산동</v>
      </c>
      <c r="H1907" t="s">
        <v>6414</v>
      </c>
      <c r="I1907">
        <v>8537</v>
      </c>
    </row>
    <row r="1908" spans="1:9" x14ac:dyDescent="0.4">
      <c r="A1908">
        <v>3170000</v>
      </c>
      <c r="B1908" t="s">
        <v>6382</v>
      </c>
      <c r="C1908" s="1">
        <v>28822</v>
      </c>
      <c r="D1908" t="s">
        <v>6383</v>
      </c>
      <c r="E1908" t="str">
        <f t="shared" si="89"/>
        <v>서울특별시</v>
      </c>
      <c r="F1908" t="str">
        <f t="shared" si="90"/>
        <v xml:space="preserve">금천구 </v>
      </c>
      <c r="G1908" t="str">
        <f t="shared" si="91"/>
        <v>독산동</v>
      </c>
      <c r="H1908" t="s">
        <v>6384</v>
      </c>
      <c r="I1908">
        <v>8537</v>
      </c>
    </row>
    <row r="1909" spans="1:9" x14ac:dyDescent="0.4">
      <c r="A1909">
        <v>3170000</v>
      </c>
      <c r="B1909" t="s">
        <v>6551</v>
      </c>
      <c r="C1909" s="1">
        <v>28755</v>
      </c>
      <c r="D1909" t="s">
        <v>6552</v>
      </c>
      <c r="E1909" t="str">
        <f t="shared" si="89"/>
        <v>서울특별시</v>
      </c>
      <c r="F1909" t="str">
        <f t="shared" si="90"/>
        <v xml:space="preserve">금천구 </v>
      </c>
      <c r="G1909" t="str">
        <f t="shared" si="91"/>
        <v>독산동</v>
      </c>
    </row>
    <row r="1910" spans="1:9" x14ac:dyDescent="0.4">
      <c r="A1910">
        <v>3170000</v>
      </c>
      <c r="B1910" t="s">
        <v>6361</v>
      </c>
      <c r="C1910" s="1">
        <v>37748</v>
      </c>
      <c r="D1910" t="s">
        <v>6362</v>
      </c>
      <c r="E1910" t="str">
        <f t="shared" si="89"/>
        <v>서울특별시</v>
      </c>
      <c r="F1910" t="str">
        <f t="shared" si="90"/>
        <v xml:space="preserve">금천구 </v>
      </c>
      <c r="G1910" t="str">
        <f t="shared" si="91"/>
        <v>시흥동</v>
      </c>
      <c r="H1910" t="s">
        <v>6363</v>
      </c>
      <c r="I1910">
        <v>8615</v>
      </c>
    </row>
    <row r="1911" spans="1:9" x14ac:dyDescent="0.4">
      <c r="A1911">
        <v>3170000</v>
      </c>
      <c r="B1911" t="s">
        <v>6397</v>
      </c>
      <c r="C1911" s="1">
        <v>29439</v>
      </c>
      <c r="D1911" t="s">
        <v>6398</v>
      </c>
      <c r="E1911" t="str">
        <f t="shared" si="89"/>
        <v>서울특별시</v>
      </c>
      <c r="F1911" t="str">
        <f t="shared" si="90"/>
        <v xml:space="preserve">금천구 </v>
      </c>
      <c r="G1911" t="str">
        <f t="shared" si="91"/>
        <v>시흥동</v>
      </c>
      <c r="H1911" t="s">
        <v>6399</v>
      </c>
      <c r="I1911">
        <v>8615</v>
      </c>
    </row>
    <row r="1912" spans="1:9" x14ac:dyDescent="0.4">
      <c r="A1912">
        <v>3170000</v>
      </c>
      <c r="B1912" t="s">
        <v>6391</v>
      </c>
      <c r="C1912" s="1">
        <v>29255</v>
      </c>
      <c r="D1912" t="s">
        <v>6392</v>
      </c>
      <c r="E1912" t="str">
        <f t="shared" si="89"/>
        <v>서울특별시</v>
      </c>
      <c r="F1912" t="str">
        <f t="shared" si="90"/>
        <v xml:space="preserve">금천구 </v>
      </c>
      <c r="G1912" t="str">
        <f t="shared" si="91"/>
        <v>시흥동</v>
      </c>
      <c r="H1912" t="s">
        <v>6393</v>
      </c>
      <c r="I1912">
        <v>8615</v>
      </c>
    </row>
    <row r="1913" spans="1:9" x14ac:dyDescent="0.4">
      <c r="A1913">
        <v>3170000</v>
      </c>
      <c r="B1913" t="s">
        <v>6310</v>
      </c>
      <c r="C1913" s="1">
        <v>36705</v>
      </c>
      <c r="D1913" t="s">
        <v>6311</v>
      </c>
      <c r="E1913" t="str">
        <f t="shared" si="89"/>
        <v>서울특별시</v>
      </c>
      <c r="F1913" t="str">
        <f t="shared" si="90"/>
        <v xml:space="preserve">금천구 </v>
      </c>
      <c r="G1913" t="str">
        <f t="shared" si="91"/>
        <v>시흥동</v>
      </c>
      <c r="H1913" t="s">
        <v>6312</v>
      </c>
      <c r="I1913">
        <v>8626</v>
      </c>
    </row>
    <row r="1914" spans="1:9" x14ac:dyDescent="0.4">
      <c r="A1914">
        <v>3170000</v>
      </c>
      <c r="B1914" t="s">
        <v>6477</v>
      </c>
      <c r="C1914" s="1">
        <v>36336</v>
      </c>
      <c r="D1914" t="s">
        <v>6478</v>
      </c>
      <c r="E1914" t="str">
        <f t="shared" si="89"/>
        <v>서울특별시</v>
      </c>
      <c r="F1914" t="str">
        <f t="shared" si="90"/>
        <v xml:space="preserve">금천구 </v>
      </c>
      <c r="G1914" t="str">
        <f t="shared" si="91"/>
        <v>시흥동</v>
      </c>
    </row>
    <row r="1915" spans="1:9" x14ac:dyDescent="0.4">
      <c r="A1915">
        <v>3170000</v>
      </c>
      <c r="B1915" t="s">
        <v>6471</v>
      </c>
      <c r="C1915" s="1">
        <v>31958</v>
      </c>
      <c r="D1915" t="s">
        <v>6472</v>
      </c>
      <c r="E1915" t="str">
        <f t="shared" si="89"/>
        <v>서울특별시</v>
      </c>
      <c r="F1915" t="str">
        <f t="shared" si="90"/>
        <v xml:space="preserve">금천구 </v>
      </c>
      <c r="G1915" t="str">
        <f t="shared" si="91"/>
        <v>시흥동</v>
      </c>
    </row>
    <row r="1916" spans="1:9" x14ac:dyDescent="0.4">
      <c r="A1916">
        <v>3170000</v>
      </c>
      <c r="B1916" t="s">
        <v>6550</v>
      </c>
      <c r="C1916" s="1">
        <v>30397</v>
      </c>
      <c r="D1916" t="s">
        <v>6472</v>
      </c>
      <c r="E1916" t="str">
        <f t="shared" si="89"/>
        <v>서울특별시</v>
      </c>
      <c r="F1916" t="str">
        <f t="shared" si="90"/>
        <v xml:space="preserve">금천구 </v>
      </c>
      <c r="G1916" t="str">
        <f t="shared" si="91"/>
        <v>시흥동</v>
      </c>
    </row>
    <row r="1917" spans="1:9" x14ac:dyDescent="0.4">
      <c r="A1917">
        <v>3170000</v>
      </c>
      <c r="B1917" t="s">
        <v>6488</v>
      </c>
      <c r="C1917" s="1">
        <v>37078</v>
      </c>
      <c r="D1917" t="s">
        <v>6489</v>
      </c>
      <c r="E1917" t="str">
        <f t="shared" si="89"/>
        <v>서울특별시</v>
      </c>
      <c r="F1917" t="str">
        <f t="shared" si="90"/>
        <v xml:space="preserve">금천구 </v>
      </c>
      <c r="G1917" t="str">
        <f t="shared" si="91"/>
        <v>시흥동</v>
      </c>
    </row>
    <row r="1918" spans="1:9" x14ac:dyDescent="0.4">
      <c r="A1918">
        <v>3170000</v>
      </c>
      <c r="B1918" t="s">
        <v>6473</v>
      </c>
      <c r="C1918" s="1">
        <v>31958</v>
      </c>
      <c r="D1918" t="s">
        <v>6474</v>
      </c>
      <c r="E1918" t="str">
        <f t="shared" si="89"/>
        <v>서울특별시</v>
      </c>
      <c r="F1918" t="str">
        <f t="shared" si="90"/>
        <v xml:space="preserve">금천구 </v>
      </c>
      <c r="G1918" t="str">
        <f t="shared" si="91"/>
        <v>시흥동</v>
      </c>
    </row>
    <row r="1919" spans="1:9" x14ac:dyDescent="0.4">
      <c r="A1919">
        <v>3170000</v>
      </c>
      <c r="B1919" t="s">
        <v>6544</v>
      </c>
      <c r="C1919" s="1">
        <v>29365</v>
      </c>
      <c r="D1919" t="s">
        <v>6545</v>
      </c>
      <c r="E1919" t="str">
        <f t="shared" si="89"/>
        <v>서울특별시</v>
      </c>
      <c r="F1919" t="str">
        <f t="shared" si="90"/>
        <v xml:space="preserve">금천구 </v>
      </c>
      <c r="G1919" t="str">
        <f t="shared" si="91"/>
        <v>시흥동</v>
      </c>
    </row>
    <row r="1920" spans="1:9" x14ac:dyDescent="0.4">
      <c r="A1920">
        <v>3170000</v>
      </c>
      <c r="B1920" t="s">
        <v>6549</v>
      </c>
      <c r="C1920" s="1">
        <v>29552</v>
      </c>
      <c r="D1920" t="s">
        <v>6545</v>
      </c>
      <c r="E1920" t="str">
        <f t="shared" si="89"/>
        <v>서울특별시</v>
      </c>
      <c r="F1920" t="str">
        <f t="shared" si="90"/>
        <v xml:space="preserve">금천구 </v>
      </c>
      <c r="G1920" t="str">
        <f t="shared" si="91"/>
        <v>시흥동</v>
      </c>
    </row>
    <row r="1921" spans="1:9" x14ac:dyDescent="0.4">
      <c r="A1921">
        <v>3170000</v>
      </c>
      <c r="B1921" t="s">
        <v>6456</v>
      </c>
      <c r="C1921" s="1">
        <v>36272</v>
      </c>
      <c r="D1921" t="s">
        <v>6457</v>
      </c>
      <c r="E1921" t="str">
        <f t="shared" si="89"/>
        <v>서울특별시</v>
      </c>
      <c r="F1921" t="str">
        <f t="shared" si="90"/>
        <v xml:space="preserve">금천구 </v>
      </c>
      <c r="G1921" t="str">
        <f t="shared" si="91"/>
        <v>시흥동</v>
      </c>
    </row>
    <row r="1922" spans="1:9" x14ac:dyDescent="0.4">
      <c r="A1922">
        <v>3170000</v>
      </c>
      <c r="B1922" t="s">
        <v>6553</v>
      </c>
      <c r="C1922" s="1">
        <v>39687</v>
      </c>
      <c r="D1922" t="s">
        <v>6554</v>
      </c>
      <c r="E1922" t="str">
        <f t="shared" si="89"/>
        <v>서울특별시</v>
      </c>
      <c r="F1922" t="str">
        <f t="shared" si="90"/>
        <v xml:space="preserve">금천구 </v>
      </c>
      <c r="G1922" t="str">
        <f t="shared" si="91"/>
        <v>시흥동</v>
      </c>
    </row>
    <row r="1923" spans="1:9" x14ac:dyDescent="0.4">
      <c r="A1923">
        <v>3170000</v>
      </c>
      <c r="B1923" t="s">
        <v>6505</v>
      </c>
      <c r="C1923" s="1">
        <v>39941</v>
      </c>
      <c r="D1923" t="s">
        <v>6506</v>
      </c>
      <c r="E1923" t="str">
        <f t="shared" ref="E1923:E1986" si="92">LEFT(D1923,5)</f>
        <v>서울특별시</v>
      </c>
      <c r="F1923" t="str">
        <f t="shared" ref="F1923:F1986" si="93">MID(D1923,7,4)</f>
        <v xml:space="preserve">금천구 </v>
      </c>
      <c r="G1923" t="str">
        <f t="shared" ref="G1923:G1986" si="94">MID(SUBSTITUTE(D1923," ",""),9,3)</f>
        <v>시흥동</v>
      </c>
      <c r="H1923" t="s">
        <v>6507</v>
      </c>
      <c r="I1923">
        <v>8628</v>
      </c>
    </row>
    <row r="1924" spans="1:9" x14ac:dyDescent="0.4">
      <c r="A1924">
        <v>3170000</v>
      </c>
      <c r="B1924" t="s">
        <v>6426</v>
      </c>
      <c r="C1924" s="1">
        <v>36607</v>
      </c>
      <c r="D1924" t="s">
        <v>6427</v>
      </c>
      <c r="E1924" t="str">
        <f t="shared" si="92"/>
        <v>서울특별시</v>
      </c>
      <c r="F1924" t="str">
        <f t="shared" si="93"/>
        <v xml:space="preserve">금천구 </v>
      </c>
      <c r="G1924" t="str">
        <f t="shared" si="94"/>
        <v>시흥동</v>
      </c>
      <c r="H1924" t="s">
        <v>6428</v>
      </c>
    </row>
    <row r="1925" spans="1:9" x14ac:dyDescent="0.4">
      <c r="A1925">
        <v>3170000</v>
      </c>
      <c r="B1925" t="s">
        <v>6376</v>
      </c>
      <c r="C1925" s="1">
        <v>39524</v>
      </c>
      <c r="D1925" t="s">
        <v>6377</v>
      </c>
      <c r="E1925" t="str">
        <f t="shared" si="92"/>
        <v>서울특별시</v>
      </c>
      <c r="F1925" t="str">
        <f t="shared" si="93"/>
        <v xml:space="preserve">금천구 </v>
      </c>
      <c r="G1925" t="str">
        <f t="shared" si="94"/>
        <v>시흥동</v>
      </c>
      <c r="H1925" t="s">
        <v>6378</v>
      </c>
      <c r="I1925">
        <v>8628</v>
      </c>
    </row>
    <row r="1926" spans="1:9" x14ac:dyDescent="0.4">
      <c r="A1926">
        <v>3170000</v>
      </c>
      <c r="B1926" t="s">
        <v>6465</v>
      </c>
      <c r="C1926" s="1">
        <v>31350</v>
      </c>
      <c r="D1926" t="s">
        <v>6466</v>
      </c>
      <c r="E1926" t="str">
        <f t="shared" si="92"/>
        <v>서울특별시</v>
      </c>
      <c r="F1926" t="str">
        <f t="shared" si="93"/>
        <v xml:space="preserve">금천구 </v>
      </c>
      <c r="G1926" t="str">
        <f t="shared" si="94"/>
        <v>시흥동</v>
      </c>
    </row>
    <row r="1927" spans="1:9" x14ac:dyDescent="0.4">
      <c r="A1927">
        <v>3170000</v>
      </c>
      <c r="B1927" t="s">
        <v>6352</v>
      </c>
      <c r="C1927" s="1">
        <v>42865</v>
      </c>
      <c r="D1927" t="s">
        <v>6353</v>
      </c>
      <c r="E1927" t="str">
        <f t="shared" si="92"/>
        <v>서울특별시</v>
      </c>
      <c r="F1927" t="str">
        <f t="shared" si="93"/>
        <v xml:space="preserve">금천구 </v>
      </c>
      <c r="G1927" t="str">
        <f t="shared" si="94"/>
        <v>시흥동</v>
      </c>
      <c r="H1927" t="s">
        <v>6354</v>
      </c>
      <c r="I1927">
        <v>8628</v>
      </c>
    </row>
    <row r="1928" spans="1:9" x14ac:dyDescent="0.4">
      <c r="A1928">
        <v>3170000</v>
      </c>
      <c r="B1928" t="s">
        <v>6454</v>
      </c>
      <c r="C1928" s="1">
        <v>33137</v>
      </c>
      <c r="D1928" t="s">
        <v>6455</v>
      </c>
      <c r="E1928" t="str">
        <f t="shared" si="92"/>
        <v>서울특별시</v>
      </c>
      <c r="F1928" t="str">
        <f t="shared" si="93"/>
        <v xml:space="preserve">금천구 </v>
      </c>
      <c r="G1928" t="str">
        <f t="shared" si="94"/>
        <v>시흥동</v>
      </c>
    </row>
    <row r="1929" spans="1:9" x14ac:dyDescent="0.4">
      <c r="A1929">
        <v>3170000</v>
      </c>
      <c r="B1929" t="s">
        <v>6437</v>
      </c>
      <c r="C1929" s="1">
        <v>36720</v>
      </c>
      <c r="D1929" t="s">
        <v>6438</v>
      </c>
      <c r="E1929" t="str">
        <f t="shared" si="92"/>
        <v>서울특별시</v>
      </c>
      <c r="F1929" t="str">
        <f t="shared" si="93"/>
        <v xml:space="preserve">금천구 </v>
      </c>
      <c r="G1929" t="str">
        <f t="shared" si="94"/>
        <v>시흥동</v>
      </c>
    </row>
    <row r="1930" spans="1:9" x14ac:dyDescent="0.4">
      <c r="A1930">
        <v>3170000</v>
      </c>
      <c r="B1930" t="s">
        <v>6555</v>
      </c>
      <c r="C1930" s="1">
        <v>33158</v>
      </c>
      <c r="D1930" t="s">
        <v>6556</v>
      </c>
      <c r="E1930" t="str">
        <f t="shared" si="92"/>
        <v>서울특별시</v>
      </c>
      <c r="F1930" t="str">
        <f t="shared" si="93"/>
        <v xml:space="preserve">금천구 </v>
      </c>
      <c r="G1930" t="str">
        <f t="shared" si="94"/>
        <v>시흥동</v>
      </c>
    </row>
    <row r="1931" spans="1:9" x14ac:dyDescent="0.4">
      <c r="A1931">
        <v>3170000</v>
      </c>
      <c r="B1931" t="s">
        <v>6528</v>
      </c>
      <c r="C1931" s="1">
        <v>37861</v>
      </c>
      <c r="D1931" t="s">
        <v>6529</v>
      </c>
      <c r="E1931" t="str">
        <f t="shared" si="92"/>
        <v>서울특별시</v>
      </c>
      <c r="F1931" t="str">
        <f t="shared" si="93"/>
        <v xml:space="preserve">금천구 </v>
      </c>
      <c r="G1931" t="str">
        <f t="shared" si="94"/>
        <v>시흥동</v>
      </c>
    </row>
    <row r="1932" spans="1:9" x14ac:dyDescent="0.4">
      <c r="A1932">
        <v>3170000</v>
      </c>
      <c r="B1932" t="s">
        <v>6385</v>
      </c>
      <c r="C1932" s="1">
        <v>28985</v>
      </c>
      <c r="D1932" t="s">
        <v>6386</v>
      </c>
      <c r="E1932" t="str">
        <f t="shared" si="92"/>
        <v>서울특별시</v>
      </c>
      <c r="F1932" t="str">
        <f t="shared" si="93"/>
        <v xml:space="preserve">금천구 </v>
      </c>
      <c r="G1932" t="str">
        <f t="shared" si="94"/>
        <v>시흥동</v>
      </c>
      <c r="H1932" t="s">
        <v>6387</v>
      </c>
      <c r="I1932">
        <v>8628</v>
      </c>
    </row>
    <row r="1933" spans="1:9" x14ac:dyDescent="0.4">
      <c r="A1933">
        <v>3170000</v>
      </c>
      <c r="B1933" t="s">
        <v>6475</v>
      </c>
      <c r="C1933" s="1">
        <v>36333</v>
      </c>
      <c r="D1933" t="s">
        <v>6476</v>
      </c>
      <c r="E1933" t="str">
        <f t="shared" si="92"/>
        <v>서울특별시</v>
      </c>
      <c r="F1933" t="str">
        <f t="shared" si="93"/>
        <v xml:space="preserve">금천구 </v>
      </c>
      <c r="G1933" t="str">
        <f t="shared" si="94"/>
        <v>시흥동</v>
      </c>
    </row>
    <row r="1934" spans="1:9" x14ac:dyDescent="0.4">
      <c r="A1934">
        <v>3170000</v>
      </c>
      <c r="B1934" t="s">
        <v>6331</v>
      </c>
      <c r="C1934" s="1">
        <v>36323</v>
      </c>
      <c r="D1934" t="s">
        <v>6332</v>
      </c>
      <c r="E1934" t="str">
        <f t="shared" si="92"/>
        <v>서울특별시</v>
      </c>
      <c r="F1934" t="str">
        <f t="shared" si="93"/>
        <v xml:space="preserve">금천구 </v>
      </c>
      <c r="G1934" t="str">
        <f t="shared" si="94"/>
        <v>시흥동</v>
      </c>
      <c r="H1934" t="s">
        <v>6333</v>
      </c>
      <c r="I1934">
        <v>8628</v>
      </c>
    </row>
    <row r="1935" spans="1:9" x14ac:dyDescent="0.4">
      <c r="A1935">
        <v>3170000</v>
      </c>
      <c r="B1935" t="s">
        <v>6469</v>
      </c>
      <c r="C1935" s="1">
        <v>31468</v>
      </c>
      <c r="D1935" t="s">
        <v>6470</v>
      </c>
      <c r="E1935" t="str">
        <f t="shared" si="92"/>
        <v>서울특별시</v>
      </c>
      <c r="F1935" t="str">
        <f t="shared" si="93"/>
        <v xml:space="preserve">금천구 </v>
      </c>
      <c r="G1935" t="str">
        <f t="shared" si="94"/>
        <v>시흥동</v>
      </c>
    </row>
    <row r="1936" spans="1:9" x14ac:dyDescent="0.4">
      <c r="A1936">
        <v>3170000</v>
      </c>
      <c r="B1936" t="s">
        <v>6364</v>
      </c>
      <c r="C1936" s="1">
        <v>37799</v>
      </c>
      <c r="D1936" t="s">
        <v>6365</v>
      </c>
      <c r="E1936" t="str">
        <f t="shared" si="92"/>
        <v>서울특별시</v>
      </c>
      <c r="F1936" t="str">
        <f t="shared" si="93"/>
        <v xml:space="preserve">금천구 </v>
      </c>
      <c r="G1936" t="str">
        <f t="shared" si="94"/>
        <v>시흥동</v>
      </c>
      <c r="H1936" t="s">
        <v>6366</v>
      </c>
      <c r="I1936">
        <v>8628</v>
      </c>
    </row>
    <row r="1937" spans="1:9" x14ac:dyDescent="0.4">
      <c r="A1937">
        <v>3170000</v>
      </c>
      <c r="B1937" t="s">
        <v>6486</v>
      </c>
      <c r="C1937" s="1">
        <v>36511</v>
      </c>
      <c r="D1937" t="s">
        <v>6487</v>
      </c>
      <c r="E1937" t="str">
        <f t="shared" si="92"/>
        <v>서울특별시</v>
      </c>
      <c r="F1937" t="str">
        <f t="shared" si="93"/>
        <v xml:space="preserve">금천구 </v>
      </c>
      <c r="G1937" t="str">
        <f t="shared" si="94"/>
        <v>시흥동</v>
      </c>
    </row>
    <row r="1938" spans="1:9" x14ac:dyDescent="0.4">
      <c r="A1938">
        <v>3170000</v>
      </c>
      <c r="B1938" t="s">
        <v>6337</v>
      </c>
      <c r="C1938" s="1">
        <v>36397</v>
      </c>
      <c r="D1938" t="s">
        <v>6338</v>
      </c>
      <c r="E1938" t="str">
        <f t="shared" si="92"/>
        <v>서울특별시</v>
      </c>
      <c r="F1938" t="str">
        <f t="shared" si="93"/>
        <v xml:space="preserve">금천구 </v>
      </c>
      <c r="G1938" t="str">
        <f t="shared" si="94"/>
        <v>시흥동</v>
      </c>
      <c r="H1938" t="s">
        <v>6339</v>
      </c>
      <c r="I1938">
        <v>8628</v>
      </c>
    </row>
    <row r="1939" spans="1:9" x14ac:dyDescent="0.4">
      <c r="A1939">
        <v>3170000</v>
      </c>
      <c r="B1939" t="s">
        <v>6328</v>
      </c>
      <c r="C1939" s="1">
        <v>31544</v>
      </c>
      <c r="D1939" t="s">
        <v>6329</v>
      </c>
      <c r="E1939" t="str">
        <f t="shared" si="92"/>
        <v>서울특별시</v>
      </c>
      <c r="F1939" t="str">
        <f t="shared" si="93"/>
        <v xml:space="preserve">금천구 </v>
      </c>
      <c r="G1939" t="str">
        <f t="shared" si="94"/>
        <v>시흥동</v>
      </c>
      <c r="H1939" t="s">
        <v>6330</v>
      </c>
      <c r="I1939">
        <v>8628</v>
      </c>
    </row>
    <row r="1940" spans="1:9" x14ac:dyDescent="0.4">
      <c r="A1940">
        <v>3170000</v>
      </c>
      <c r="B1940" t="s">
        <v>6517</v>
      </c>
      <c r="C1940" s="1">
        <v>37644</v>
      </c>
      <c r="D1940" t="s">
        <v>6518</v>
      </c>
      <c r="E1940" t="str">
        <f t="shared" si="92"/>
        <v>서울특별시</v>
      </c>
      <c r="F1940" t="str">
        <f t="shared" si="93"/>
        <v xml:space="preserve">금천구 </v>
      </c>
      <c r="G1940" t="str">
        <f t="shared" si="94"/>
        <v>시흥동</v>
      </c>
      <c r="H1940" t="s">
        <v>6519</v>
      </c>
      <c r="I1940">
        <v>8628</v>
      </c>
    </row>
    <row r="1941" spans="1:9" x14ac:dyDescent="0.4">
      <c r="A1941">
        <v>3170000</v>
      </c>
      <c r="B1941" t="s">
        <v>6343</v>
      </c>
      <c r="C1941" s="1">
        <v>40253</v>
      </c>
      <c r="D1941" t="s">
        <v>6344</v>
      </c>
      <c r="E1941" t="str">
        <f t="shared" si="92"/>
        <v>서울특별시</v>
      </c>
      <c r="F1941" t="str">
        <f t="shared" si="93"/>
        <v xml:space="preserve">금천구 </v>
      </c>
      <c r="G1941" t="str">
        <f t="shared" si="94"/>
        <v>시흥동</v>
      </c>
      <c r="H1941" t="s">
        <v>6345</v>
      </c>
      <c r="I1941">
        <v>8628</v>
      </c>
    </row>
    <row r="1942" spans="1:9" x14ac:dyDescent="0.4">
      <c r="A1942">
        <v>3170000</v>
      </c>
      <c r="B1942" t="s">
        <v>6367</v>
      </c>
      <c r="C1942" s="1">
        <v>37839</v>
      </c>
      <c r="D1942" t="s">
        <v>6368</v>
      </c>
      <c r="E1942" t="str">
        <f t="shared" si="92"/>
        <v>서울특별시</v>
      </c>
      <c r="F1942" t="str">
        <f t="shared" si="93"/>
        <v xml:space="preserve">금천구 </v>
      </c>
      <c r="G1942" t="str">
        <f t="shared" si="94"/>
        <v>시흥동</v>
      </c>
      <c r="H1942" t="s">
        <v>6369</v>
      </c>
      <c r="I1942">
        <v>8628</v>
      </c>
    </row>
    <row r="1943" spans="1:9" x14ac:dyDescent="0.4">
      <c r="A1943">
        <v>3170000</v>
      </c>
      <c r="B1943" t="s">
        <v>6334</v>
      </c>
      <c r="C1943" s="1">
        <v>36392</v>
      </c>
      <c r="D1943" t="s">
        <v>6335</v>
      </c>
      <c r="E1943" t="str">
        <f t="shared" si="92"/>
        <v>서울특별시</v>
      </c>
      <c r="F1943" t="str">
        <f t="shared" si="93"/>
        <v xml:space="preserve">금천구 </v>
      </c>
      <c r="G1943" t="str">
        <f t="shared" si="94"/>
        <v>시흥동</v>
      </c>
      <c r="H1943" t="s">
        <v>6336</v>
      </c>
      <c r="I1943">
        <v>8628</v>
      </c>
    </row>
    <row r="1944" spans="1:9" x14ac:dyDescent="0.4">
      <c r="A1944">
        <v>3170000</v>
      </c>
      <c r="B1944" t="s">
        <v>6403</v>
      </c>
      <c r="C1944" s="1">
        <v>29473</v>
      </c>
      <c r="D1944" t="s">
        <v>6404</v>
      </c>
      <c r="E1944" t="str">
        <f t="shared" si="92"/>
        <v>서울특별시</v>
      </c>
      <c r="F1944" t="str">
        <f t="shared" si="93"/>
        <v xml:space="preserve">금천구 </v>
      </c>
      <c r="G1944" t="str">
        <f t="shared" si="94"/>
        <v>시흥동</v>
      </c>
      <c r="H1944" t="s">
        <v>6405</v>
      </c>
    </row>
    <row r="1945" spans="1:9" x14ac:dyDescent="0.4">
      <c r="A1945">
        <v>3170000</v>
      </c>
      <c r="B1945" t="s">
        <v>6388</v>
      </c>
      <c r="C1945" s="1">
        <v>29227</v>
      </c>
      <c r="D1945" t="s">
        <v>6389</v>
      </c>
      <c r="E1945" t="str">
        <f t="shared" si="92"/>
        <v>서울특별시</v>
      </c>
      <c r="F1945" t="str">
        <f t="shared" si="93"/>
        <v xml:space="preserve">금천구 </v>
      </c>
      <c r="G1945" t="str">
        <f t="shared" si="94"/>
        <v>시흥동</v>
      </c>
      <c r="H1945" t="s">
        <v>6390</v>
      </c>
      <c r="I1945">
        <v>8652</v>
      </c>
    </row>
    <row r="1946" spans="1:9" x14ac:dyDescent="0.4">
      <c r="A1946">
        <v>3170000</v>
      </c>
      <c r="B1946" t="s">
        <v>6542</v>
      </c>
      <c r="C1946" s="1">
        <v>29315</v>
      </c>
      <c r="D1946" t="s">
        <v>6543</v>
      </c>
      <c r="E1946" t="str">
        <f t="shared" si="92"/>
        <v>서울특별시</v>
      </c>
      <c r="F1946" t="str">
        <f t="shared" si="93"/>
        <v xml:space="preserve">금천구 </v>
      </c>
      <c r="G1946" t="str">
        <f t="shared" si="94"/>
        <v>시흥동</v>
      </c>
    </row>
    <row r="1947" spans="1:9" x14ac:dyDescent="0.4">
      <c r="A1947">
        <v>3170000</v>
      </c>
      <c r="B1947" t="s">
        <v>6400</v>
      </c>
      <c r="C1947" s="1">
        <v>29447</v>
      </c>
      <c r="D1947" t="s">
        <v>6401</v>
      </c>
      <c r="E1947" t="str">
        <f t="shared" si="92"/>
        <v>서울특별시</v>
      </c>
      <c r="F1947" t="str">
        <f t="shared" si="93"/>
        <v xml:space="preserve">금천구 </v>
      </c>
      <c r="G1947" t="str">
        <f t="shared" si="94"/>
        <v>시흥동</v>
      </c>
      <c r="H1947" t="s">
        <v>6402</v>
      </c>
      <c r="I1947">
        <v>8638</v>
      </c>
    </row>
    <row r="1948" spans="1:9" x14ac:dyDescent="0.4">
      <c r="A1948">
        <v>3170000</v>
      </c>
      <c r="B1948" t="s">
        <v>6451</v>
      </c>
      <c r="C1948" s="1">
        <v>36584</v>
      </c>
      <c r="D1948" t="s">
        <v>6452</v>
      </c>
      <c r="E1948" t="str">
        <f t="shared" si="92"/>
        <v>서울특별시</v>
      </c>
      <c r="F1948" t="str">
        <f t="shared" si="93"/>
        <v xml:space="preserve">금천구 </v>
      </c>
      <c r="G1948" t="str">
        <f t="shared" si="94"/>
        <v>시흥동</v>
      </c>
      <c r="H1948" t="s">
        <v>6453</v>
      </c>
      <c r="I1948">
        <v>8632</v>
      </c>
    </row>
    <row r="1949" spans="1:9" x14ac:dyDescent="0.4">
      <c r="A1949">
        <v>3170000</v>
      </c>
      <c r="B1949" t="s">
        <v>6467</v>
      </c>
      <c r="C1949" s="1">
        <v>31426</v>
      </c>
      <c r="D1949" t="s">
        <v>6468</v>
      </c>
      <c r="E1949" t="str">
        <f t="shared" si="92"/>
        <v>서울특별시</v>
      </c>
      <c r="F1949" t="str">
        <f t="shared" si="93"/>
        <v xml:space="preserve">금천구 </v>
      </c>
      <c r="G1949" t="str">
        <f t="shared" si="94"/>
        <v>시흥동</v>
      </c>
    </row>
    <row r="1950" spans="1:9" x14ac:dyDescent="0.4">
      <c r="A1950">
        <v>3170000</v>
      </c>
      <c r="B1950" t="s">
        <v>6433</v>
      </c>
      <c r="C1950" s="1">
        <v>36712</v>
      </c>
      <c r="D1950" t="s">
        <v>6434</v>
      </c>
      <c r="E1950" t="str">
        <f t="shared" si="92"/>
        <v>서울특별시</v>
      </c>
      <c r="F1950" t="str">
        <f t="shared" si="93"/>
        <v xml:space="preserve">금천구 </v>
      </c>
      <c r="G1950" t="str">
        <f t="shared" si="94"/>
        <v>시흥동</v>
      </c>
    </row>
    <row r="1951" spans="1:9" x14ac:dyDescent="0.4">
      <c r="A1951">
        <v>3170000</v>
      </c>
      <c r="B1951" t="s">
        <v>6463</v>
      </c>
      <c r="C1951" s="1">
        <v>30820</v>
      </c>
      <c r="D1951" t="s">
        <v>6464</v>
      </c>
      <c r="E1951" t="str">
        <f t="shared" si="92"/>
        <v>서울특별시</v>
      </c>
      <c r="F1951" t="str">
        <f t="shared" si="93"/>
        <v xml:space="preserve">금천구 </v>
      </c>
      <c r="G1951" t="str">
        <f t="shared" si="94"/>
        <v>시흥동</v>
      </c>
    </row>
    <row r="1952" spans="1:9" x14ac:dyDescent="0.4">
      <c r="A1952">
        <v>3170000</v>
      </c>
      <c r="B1952" t="s">
        <v>6458</v>
      </c>
      <c r="C1952" s="1">
        <v>36307</v>
      </c>
      <c r="D1952" t="s">
        <v>6459</v>
      </c>
      <c r="E1952" t="str">
        <f t="shared" si="92"/>
        <v>서울특별시</v>
      </c>
      <c r="F1952" t="str">
        <f t="shared" si="93"/>
        <v xml:space="preserve">금천구 </v>
      </c>
      <c r="G1952" t="str">
        <f t="shared" si="94"/>
        <v>시흥동</v>
      </c>
      <c r="H1952" t="s">
        <v>6460</v>
      </c>
      <c r="I1952">
        <v>8632</v>
      </c>
    </row>
    <row r="1953" spans="1:9" x14ac:dyDescent="0.4">
      <c r="A1953">
        <v>3170000</v>
      </c>
      <c r="B1953" t="s">
        <v>6525</v>
      </c>
      <c r="C1953" s="1">
        <v>37784</v>
      </c>
      <c r="D1953" t="s">
        <v>6526</v>
      </c>
      <c r="E1953" t="str">
        <f t="shared" si="92"/>
        <v>서울특별시</v>
      </c>
      <c r="F1953" t="str">
        <f t="shared" si="93"/>
        <v xml:space="preserve">금천구 </v>
      </c>
      <c r="G1953" t="str">
        <f t="shared" si="94"/>
        <v>시흥동</v>
      </c>
      <c r="H1953" t="s">
        <v>6527</v>
      </c>
      <c r="I1953">
        <v>8632</v>
      </c>
    </row>
    <row r="1954" spans="1:9" x14ac:dyDescent="0.4">
      <c r="A1954">
        <v>3170000</v>
      </c>
      <c r="B1954" t="s">
        <v>6495</v>
      </c>
      <c r="C1954" s="1">
        <v>41604</v>
      </c>
      <c r="D1954" t="s">
        <v>6496</v>
      </c>
      <c r="E1954" t="str">
        <f t="shared" si="92"/>
        <v>서울특별시</v>
      </c>
      <c r="F1954" t="str">
        <f t="shared" si="93"/>
        <v xml:space="preserve">금천구 </v>
      </c>
      <c r="G1954" t="str">
        <f t="shared" si="94"/>
        <v>시흥동</v>
      </c>
      <c r="H1954" t="s">
        <v>6497</v>
      </c>
      <c r="I1954">
        <v>8632</v>
      </c>
    </row>
    <row r="1955" spans="1:9" x14ac:dyDescent="0.4">
      <c r="A1955">
        <v>3170000</v>
      </c>
      <c r="B1955" t="s">
        <v>6498</v>
      </c>
      <c r="C1955" s="1">
        <v>42103</v>
      </c>
      <c r="D1955" t="s">
        <v>6496</v>
      </c>
      <c r="E1955" t="str">
        <f t="shared" si="92"/>
        <v>서울특별시</v>
      </c>
      <c r="F1955" t="str">
        <f t="shared" si="93"/>
        <v xml:space="preserve">금천구 </v>
      </c>
      <c r="G1955" t="str">
        <f t="shared" si="94"/>
        <v>시흥동</v>
      </c>
      <c r="H1955" t="s">
        <v>6497</v>
      </c>
      <c r="I1955">
        <v>8632</v>
      </c>
    </row>
    <row r="1956" spans="1:9" x14ac:dyDescent="0.4">
      <c r="A1956">
        <v>3170000</v>
      </c>
      <c r="B1956" t="s">
        <v>6520</v>
      </c>
      <c r="C1956" s="1">
        <v>37760</v>
      </c>
      <c r="D1956" t="s">
        <v>6521</v>
      </c>
      <c r="E1956" t="str">
        <f t="shared" si="92"/>
        <v>서울특별시</v>
      </c>
      <c r="F1956" t="str">
        <f t="shared" si="93"/>
        <v xml:space="preserve">금천구 </v>
      </c>
      <c r="G1956" t="str">
        <f t="shared" si="94"/>
        <v>시흥동</v>
      </c>
      <c r="H1956" t="s">
        <v>6522</v>
      </c>
    </row>
    <row r="1957" spans="1:9" x14ac:dyDescent="0.4">
      <c r="A1957">
        <v>3170000</v>
      </c>
      <c r="B1957" t="s">
        <v>6295</v>
      </c>
      <c r="C1957" s="1">
        <v>45399</v>
      </c>
      <c r="D1957" t="s">
        <v>6296</v>
      </c>
      <c r="E1957" t="str">
        <f t="shared" si="92"/>
        <v>서울특별시</v>
      </c>
      <c r="F1957" t="str">
        <f t="shared" si="93"/>
        <v xml:space="preserve">금천구 </v>
      </c>
      <c r="G1957" t="str">
        <f t="shared" si="94"/>
        <v>시흥동</v>
      </c>
      <c r="H1957" t="s">
        <v>6297</v>
      </c>
      <c r="I1957">
        <v>8632</v>
      </c>
    </row>
    <row r="1958" spans="1:9" x14ac:dyDescent="0.4">
      <c r="A1958">
        <v>3170000</v>
      </c>
      <c r="B1958" t="s">
        <v>6409</v>
      </c>
      <c r="C1958" s="1">
        <v>26976</v>
      </c>
      <c r="D1958" t="s">
        <v>6410</v>
      </c>
      <c r="E1958" t="str">
        <f t="shared" si="92"/>
        <v>서울특별시</v>
      </c>
      <c r="F1958" t="str">
        <f t="shared" si="93"/>
        <v xml:space="preserve">금천구 </v>
      </c>
      <c r="G1958" t="str">
        <f t="shared" si="94"/>
        <v>시흥동</v>
      </c>
      <c r="H1958" t="s">
        <v>6411</v>
      </c>
      <c r="I1958">
        <v>8632</v>
      </c>
    </row>
    <row r="1959" spans="1:9" x14ac:dyDescent="0.4">
      <c r="A1959">
        <v>3170000</v>
      </c>
      <c r="B1959" t="s">
        <v>6424</v>
      </c>
      <c r="C1959" s="1">
        <v>36531</v>
      </c>
      <c r="D1959" t="s">
        <v>6425</v>
      </c>
      <c r="E1959" t="str">
        <f t="shared" si="92"/>
        <v>서울특별시</v>
      </c>
      <c r="F1959" t="str">
        <f t="shared" si="93"/>
        <v xml:space="preserve">금천구 </v>
      </c>
      <c r="G1959" t="str">
        <f t="shared" si="94"/>
        <v>시흥동</v>
      </c>
    </row>
    <row r="1960" spans="1:9" x14ac:dyDescent="0.4">
      <c r="A1960">
        <v>3170000</v>
      </c>
      <c r="B1960" t="s">
        <v>6523</v>
      </c>
      <c r="C1960" s="1">
        <v>37784</v>
      </c>
      <c r="D1960" t="s">
        <v>6524</v>
      </c>
      <c r="E1960" t="str">
        <f t="shared" si="92"/>
        <v>서울특별시</v>
      </c>
      <c r="F1960" t="str">
        <f t="shared" si="93"/>
        <v xml:space="preserve">금천구 </v>
      </c>
      <c r="G1960" t="str">
        <f t="shared" si="94"/>
        <v>시흥동</v>
      </c>
    </row>
    <row r="1961" spans="1:9" x14ac:dyDescent="0.4">
      <c r="A1961">
        <v>3170000</v>
      </c>
      <c r="B1961" t="s">
        <v>6442</v>
      </c>
      <c r="C1961" s="1">
        <v>36803</v>
      </c>
      <c r="D1961" t="s">
        <v>6443</v>
      </c>
      <c r="E1961" t="str">
        <f t="shared" si="92"/>
        <v>서울특별시</v>
      </c>
      <c r="F1961" t="str">
        <f t="shared" si="93"/>
        <v xml:space="preserve">금천구 </v>
      </c>
      <c r="G1961" t="str">
        <f t="shared" si="94"/>
        <v>시흥동</v>
      </c>
    </row>
    <row r="1962" spans="1:9" x14ac:dyDescent="0.4">
      <c r="A1962">
        <v>3170000</v>
      </c>
      <c r="B1962" t="s">
        <v>6316</v>
      </c>
      <c r="C1962" s="1">
        <v>36878</v>
      </c>
      <c r="D1962" t="s">
        <v>6317</v>
      </c>
      <c r="E1962" t="str">
        <f t="shared" si="92"/>
        <v>서울특별시</v>
      </c>
      <c r="F1962" t="str">
        <f t="shared" si="93"/>
        <v xml:space="preserve">금천구 </v>
      </c>
      <c r="G1962" t="str">
        <f t="shared" si="94"/>
        <v>시흥동</v>
      </c>
      <c r="H1962" t="s">
        <v>6318</v>
      </c>
      <c r="I1962">
        <v>8614</v>
      </c>
    </row>
    <row r="1963" spans="1:9" x14ac:dyDescent="0.4">
      <c r="A1963">
        <v>3170000</v>
      </c>
      <c r="B1963" t="s">
        <v>6355</v>
      </c>
      <c r="C1963" s="1">
        <v>37379</v>
      </c>
      <c r="D1963" t="s">
        <v>6356</v>
      </c>
      <c r="E1963" t="str">
        <f t="shared" si="92"/>
        <v>서울특별시</v>
      </c>
      <c r="F1963" t="str">
        <f t="shared" si="93"/>
        <v xml:space="preserve">금천구 </v>
      </c>
      <c r="G1963" t="str">
        <f t="shared" si="94"/>
        <v>시흥동</v>
      </c>
      <c r="H1963" t="s">
        <v>6357</v>
      </c>
      <c r="I1963">
        <v>8614</v>
      </c>
    </row>
    <row r="1964" spans="1:9" x14ac:dyDescent="0.4">
      <c r="A1964">
        <v>3170000</v>
      </c>
      <c r="B1964" t="s">
        <v>6322</v>
      </c>
      <c r="C1964" s="1">
        <v>36301</v>
      </c>
      <c r="D1964" t="s">
        <v>6323</v>
      </c>
      <c r="E1964" t="str">
        <f t="shared" si="92"/>
        <v>서울특별시</v>
      </c>
      <c r="F1964" t="str">
        <f t="shared" si="93"/>
        <v xml:space="preserve">금천구 </v>
      </c>
      <c r="G1964" t="str">
        <f t="shared" si="94"/>
        <v>시흥동</v>
      </c>
      <c r="H1964" t="s">
        <v>6324</v>
      </c>
      <c r="I1964">
        <v>8614</v>
      </c>
    </row>
    <row r="1965" spans="1:9" x14ac:dyDescent="0.4">
      <c r="A1965">
        <v>3100000</v>
      </c>
      <c r="B1965" t="s">
        <v>4444</v>
      </c>
      <c r="C1965" s="1">
        <v>37525</v>
      </c>
      <c r="D1965" t="s">
        <v>4445</v>
      </c>
      <c r="E1965" t="str">
        <f t="shared" si="92"/>
        <v>서울특별시</v>
      </c>
      <c r="F1965" t="str">
        <f t="shared" si="93"/>
        <v xml:space="preserve">노원구 </v>
      </c>
      <c r="G1965" t="str">
        <f t="shared" si="94"/>
        <v>상계동</v>
      </c>
      <c r="H1965" t="s">
        <v>4446</v>
      </c>
      <c r="I1965">
        <v>1689</v>
      </c>
    </row>
    <row r="1966" spans="1:9" x14ac:dyDescent="0.4">
      <c r="A1966">
        <v>3100000</v>
      </c>
      <c r="B1966" t="s">
        <v>4494</v>
      </c>
      <c r="C1966" s="1">
        <v>37924</v>
      </c>
      <c r="D1966" t="s">
        <v>4495</v>
      </c>
      <c r="E1966" t="str">
        <f t="shared" si="92"/>
        <v>서울특별시</v>
      </c>
      <c r="F1966" t="str">
        <f t="shared" si="93"/>
        <v xml:space="preserve">노원구 </v>
      </c>
      <c r="G1966" t="str">
        <f t="shared" si="94"/>
        <v>상계동</v>
      </c>
      <c r="H1966" t="s">
        <v>4496</v>
      </c>
      <c r="I1966">
        <v>1689</v>
      </c>
    </row>
    <row r="1967" spans="1:9" x14ac:dyDescent="0.4">
      <c r="A1967">
        <v>3100000</v>
      </c>
      <c r="B1967" t="s">
        <v>4470</v>
      </c>
      <c r="C1967" s="1">
        <v>36503</v>
      </c>
      <c r="D1967" t="s">
        <v>4471</v>
      </c>
      <c r="E1967" t="str">
        <f t="shared" si="92"/>
        <v>서울특별시</v>
      </c>
      <c r="F1967" t="str">
        <f t="shared" si="93"/>
        <v xml:space="preserve">노원구 </v>
      </c>
      <c r="G1967" t="str">
        <f t="shared" si="94"/>
        <v>상계동</v>
      </c>
      <c r="H1967" t="s">
        <v>4472</v>
      </c>
      <c r="I1967">
        <v>1689</v>
      </c>
    </row>
    <row r="1968" spans="1:9" x14ac:dyDescent="0.4">
      <c r="A1968">
        <v>3100000</v>
      </c>
      <c r="B1968" t="s">
        <v>4418</v>
      </c>
      <c r="C1968" s="1">
        <v>36327</v>
      </c>
      <c r="D1968" t="s">
        <v>4419</v>
      </c>
      <c r="E1968" t="str">
        <f t="shared" si="92"/>
        <v>서울특별시</v>
      </c>
      <c r="F1968" t="str">
        <f t="shared" si="93"/>
        <v xml:space="preserve">노원구 </v>
      </c>
      <c r="G1968" t="str">
        <f t="shared" si="94"/>
        <v>상계동</v>
      </c>
      <c r="H1968" t="s">
        <v>4420</v>
      </c>
      <c r="I1968">
        <v>1689</v>
      </c>
    </row>
    <row r="1969" spans="1:9" x14ac:dyDescent="0.4">
      <c r="A1969">
        <v>3100000</v>
      </c>
      <c r="B1969" t="s">
        <v>4479</v>
      </c>
      <c r="C1969" s="1">
        <v>36642</v>
      </c>
      <c r="D1969" t="s">
        <v>4480</v>
      </c>
      <c r="E1969" t="str">
        <f t="shared" si="92"/>
        <v>서울특별시</v>
      </c>
      <c r="F1969" t="str">
        <f t="shared" si="93"/>
        <v xml:space="preserve">노원구 </v>
      </c>
      <c r="G1969" t="str">
        <f t="shared" si="94"/>
        <v>상계동</v>
      </c>
      <c r="H1969" t="s">
        <v>4481</v>
      </c>
      <c r="I1969">
        <v>1689</v>
      </c>
    </row>
    <row r="1970" spans="1:9" x14ac:dyDescent="0.4">
      <c r="A1970">
        <v>3100000</v>
      </c>
      <c r="B1970" t="s">
        <v>4476</v>
      </c>
      <c r="C1970" s="1">
        <v>36589</v>
      </c>
      <c r="D1970" t="s">
        <v>4477</v>
      </c>
      <c r="E1970" t="str">
        <f t="shared" si="92"/>
        <v>서울특별시</v>
      </c>
      <c r="F1970" t="str">
        <f t="shared" si="93"/>
        <v xml:space="preserve">노원구 </v>
      </c>
      <c r="G1970" t="str">
        <f t="shared" si="94"/>
        <v>상계동</v>
      </c>
      <c r="H1970" t="s">
        <v>4478</v>
      </c>
      <c r="I1970">
        <v>1689</v>
      </c>
    </row>
    <row r="1971" spans="1:9" x14ac:dyDescent="0.4">
      <c r="A1971">
        <v>3100000</v>
      </c>
      <c r="B1971" t="s">
        <v>4488</v>
      </c>
      <c r="C1971" s="1">
        <v>37481</v>
      </c>
      <c r="D1971" t="s">
        <v>4489</v>
      </c>
      <c r="E1971" t="str">
        <f t="shared" si="92"/>
        <v>서울특별시</v>
      </c>
      <c r="F1971" t="str">
        <f t="shared" si="93"/>
        <v xml:space="preserve">노원구 </v>
      </c>
      <c r="G1971" t="str">
        <f t="shared" si="94"/>
        <v>상계동</v>
      </c>
      <c r="H1971" t="s">
        <v>4490</v>
      </c>
      <c r="I1971">
        <v>1689</v>
      </c>
    </row>
    <row r="1972" spans="1:9" x14ac:dyDescent="0.4">
      <c r="A1972">
        <v>3100000</v>
      </c>
      <c r="B1972" t="s">
        <v>4497</v>
      </c>
      <c r="C1972" s="1">
        <v>38532</v>
      </c>
      <c r="D1972" t="s">
        <v>4498</v>
      </c>
      <c r="E1972" t="str">
        <f t="shared" si="92"/>
        <v>서울특별시</v>
      </c>
      <c r="F1972" t="str">
        <f t="shared" si="93"/>
        <v xml:space="preserve">노원구 </v>
      </c>
      <c r="G1972" t="str">
        <f t="shared" si="94"/>
        <v>상계동</v>
      </c>
      <c r="H1972" t="s">
        <v>4499</v>
      </c>
      <c r="I1972">
        <v>1689</v>
      </c>
    </row>
    <row r="1973" spans="1:9" x14ac:dyDescent="0.4">
      <c r="A1973">
        <v>3100000</v>
      </c>
      <c r="B1973" t="s">
        <v>4509</v>
      </c>
      <c r="C1973" s="1">
        <v>41094</v>
      </c>
      <c r="D1973" t="s">
        <v>4498</v>
      </c>
      <c r="E1973" t="str">
        <f t="shared" si="92"/>
        <v>서울특별시</v>
      </c>
      <c r="F1973" t="str">
        <f t="shared" si="93"/>
        <v xml:space="preserve">노원구 </v>
      </c>
      <c r="G1973" t="str">
        <f t="shared" si="94"/>
        <v>상계동</v>
      </c>
      <c r="H1973" t="s">
        <v>4510</v>
      </c>
      <c r="I1973">
        <v>1689</v>
      </c>
    </row>
    <row r="1974" spans="1:9" x14ac:dyDescent="0.4">
      <c r="A1974">
        <v>3100000</v>
      </c>
      <c r="B1974" t="s">
        <v>4430</v>
      </c>
      <c r="C1974" s="1">
        <v>36532</v>
      </c>
      <c r="D1974" t="s">
        <v>4431</v>
      </c>
      <c r="E1974" t="str">
        <f t="shared" si="92"/>
        <v>서울특별시</v>
      </c>
      <c r="F1974" t="str">
        <f t="shared" si="93"/>
        <v xml:space="preserve">노원구 </v>
      </c>
      <c r="G1974" t="str">
        <f t="shared" si="94"/>
        <v>상계동</v>
      </c>
    </row>
    <row r="1975" spans="1:9" x14ac:dyDescent="0.4">
      <c r="A1975">
        <v>3100000</v>
      </c>
      <c r="B1975" t="s">
        <v>4491</v>
      </c>
      <c r="C1975" s="1">
        <v>37900</v>
      </c>
      <c r="D1975" t="s">
        <v>4492</v>
      </c>
      <c r="E1975" t="str">
        <f t="shared" si="92"/>
        <v>서울특별시</v>
      </c>
      <c r="F1975" t="str">
        <f t="shared" si="93"/>
        <v xml:space="preserve">노원구 </v>
      </c>
      <c r="G1975" t="str">
        <f t="shared" si="94"/>
        <v>상계동</v>
      </c>
      <c r="H1975" t="s">
        <v>4493</v>
      </c>
      <c r="I1975">
        <v>1689</v>
      </c>
    </row>
    <row r="1976" spans="1:9" x14ac:dyDescent="0.4">
      <c r="A1976">
        <v>3100000</v>
      </c>
      <c r="B1976" t="s">
        <v>4426</v>
      </c>
      <c r="C1976" s="1">
        <v>36461</v>
      </c>
      <c r="D1976" t="s">
        <v>4427</v>
      </c>
      <c r="E1976" t="str">
        <f t="shared" si="92"/>
        <v>서울특별시</v>
      </c>
      <c r="F1976" t="str">
        <f t="shared" si="93"/>
        <v xml:space="preserve">노원구 </v>
      </c>
      <c r="G1976" t="str">
        <f t="shared" si="94"/>
        <v>상계동</v>
      </c>
    </row>
    <row r="1977" spans="1:9" x14ac:dyDescent="0.4">
      <c r="A1977">
        <v>3100000</v>
      </c>
      <c r="B1977" t="s">
        <v>4482</v>
      </c>
      <c r="C1977" s="1">
        <v>36748</v>
      </c>
      <c r="D1977" t="s">
        <v>4483</v>
      </c>
      <c r="E1977" t="str">
        <f t="shared" si="92"/>
        <v>서울특별시</v>
      </c>
      <c r="F1977" t="str">
        <f t="shared" si="93"/>
        <v xml:space="preserve">노원구 </v>
      </c>
      <c r="G1977" t="str">
        <f t="shared" si="94"/>
        <v>상계동</v>
      </c>
      <c r="H1977" t="s">
        <v>4484</v>
      </c>
      <c r="I1977">
        <v>1689</v>
      </c>
    </row>
    <row r="1978" spans="1:9" x14ac:dyDescent="0.4">
      <c r="A1978">
        <v>3100000</v>
      </c>
      <c r="B1978" t="s">
        <v>4421</v>
      </c>
      <c r="C1978" s="1">
        <v>36365</v>
      </c>
      <c r="D1978" t="s">
        <v>4422</v>
      </c>
      <c r="E1978" t="str">
        <f t="shared" si="92"/>
        <v>서울특별시</v>
      </c>
      <c r="F1978" t="str">
        <f t="shared" si="93"/>
        <v xml:space="preserve">노원구 </v>
      </c>
      <c r="G1978" t="str">
        <f t="shared" si="94"/>
        <v>상계동</v>
      </c>
    </row>
    <row r="1979" spans="1:9" x14ac:dyDescent="0.4">
      <c r="A1979">
        <v>3100000</v>
      </c>
      <c r="B1979" t="s">
        <v>4456</v>
      </c>
      <c r="C1979" s="1">
        <v>39769</v>
      </c>
      <c r="D1979" t="s">
        <v>4457</v>
      </c>
      <c r="E1979" t="str">
        <f t="shared" si="92"/>
        <v>서울특별시</v>
      </c>
      <c r="F1979" t="str">
        <f t="shared" si="93"/>
        <v xml:space="preserve">노원구 </v>
      </c>
      <c r="G1979" t="str">
        <f t="shared" si="94"/>
        <v>상계동</v>
      </c>
      <c r="H1979" t="s">
        <v>4458</v>
      </c>
      <c r="I1979">
        <v>1689</v>
      </c>
    </row>
    <row r="1980" spans="1:9" x14ac:dyDescent="0.4">
      <c r="A1980">
        <v>3100000</v>
      </c>
      <c r="B1980" t="s">
        <v>4473</v>
      </c>
      <c r="C1980" s="1">
        <v>36523</v>
      </c>
      <c r="D1980" t="s">
        <v>4474</v>
      </c>
      <c r="E1980" t="str">
        <f t="shared" si="92"/>
        <v>서울특별시</v>
      </c>
      <c r="F1980" t="str">
        <f t="shared" si="93"/>
        <v xml:space="preserve">노원구 </v>
      </c>
      <c r="G1980" t="str">
        <f t="shared" si="94"/>
        <v>상계동</v>
      </c>
      <c r="H1980" t="s">
        <v>4475</v>
      </c>
      <c r="I1980">
        <v>1689</v>
      </c>
    </row>
    <row r="1981" spans="1:9" x14ac:dyDescent="0.4">
      <c r="A1981">
        <v>3100000</v>
      </c>
      <c r="B1981" t="s">
        <v>4514</v>
      </c>
      <c r="C1981" s="1">
        <v>37340</v>
      </c>
      <c r="D1981" t="s">
        <v>4515</v>
      </c>
      <c r="E1981" t="str">
        <f t="shared" si="92"/>
        <v>서울특별시</v>
      </c>
      <c r="F1981" t="str">
        <f t="shared" si="93"/>
        <v xml:space="preserve">노원구 </v>
      </c>
      <c r="G1981" t="str">
        <f t="shared" si="94"/>
        <v>상계동</v>
      </c>
      <c r="H1981" t="s">
        <v>4516</v>
      </c>
      <c r="I1981">
        <v>1689</v>
      </c>
    </row>
    <row r="1982" spans="1:9" x14ac:dyDescent="0.4">
      <c r="A1982">
        <v>3100000</v>
      </c>
      <c r="B1982" t="s">
        <v>4450</v>
      </c>
      <c r="C1982" s="1">
        <v>39359</v>
      </c>
      <c r="D1982" t="s">
        <v>4451</v>
      </c>
      <c r="E1982" t="str">
        <f t="shared" si="92"/>
        <v>서울특별시</v>
      </c>
      <c r="F1982" t="str">
        <f t="shared" si="93"/>
        <v xml:space="preserve">노원구 </v>
      </c>
      <c r="G1982" t="str">
        <f t="shared" si="94"/>
        <v>상계동</v>
      </c>
      <c r="H1982" t="s">
        <v>4452</v>
      </c>
      <c r="I1982">
        <v>1689</v>
      </c>
    </row>
    <row r="1983" spans="1:9" x14ac:dyDescent="0.4">
      <c r="A1983">
        <v>3100000</v>
      </c>
      <c r="B1983" t="s">
        <v>4393</v>
      </c>
      <c r="C1983" s="1">
        <v>33854</v>
      </c>
      <c r="D1983" t="s">
        <v>4394</v>
      </c>
      <c r="E1983" t="str">
        <f t="shared" si="92"/>
        <v>서울특별시</v>
      </c>
      <c r="F1983" t="str">
        <f t="shared" si="93"/>
        <v xml:space="preserve">노원구 </v>
      </c>
      <c r="G1983" t="str">
        <f t="shared" si="94"/>
        <v>상계동</v>
      </c>
    </row>
    <row r="1984" spans="1:9" x14ac:dyDescent="0.4">
      <c r="A1984">
        <v>3100000</v>
      </c>
      <c r="B1984" t="s">
        <v>4467</v>
      </c>
      <c r="C1984" s="1">
        <v>36453</v>
      </c>
      <c r="D1984" t="s">
        <v>4468</v>
      </c>
      <c r="E1984" t="str">
        <f t="shared" si="92"/>
        <v>서울특별시</v>
      </c>
      <c r="F1984" t="str">
        <f t="shared" si="93"/>
        <v xml:space="preserve">노원구 </v>
      </c>
      <c r="G1984" t="str">
        <f t="shared" si="94"/>
        <v>상계동</v>
      </c>
      <c r="H1984" t="s">
        <v>4469</v>
      </c>
      <c r="I1984">
        <v>1689</v>
      </c>
    </row>
    <row r="1985" spans="1:9" x14ac:dyDescent="0.4">
      <c r="A1985">
        <v>3100000</v>
      </c>
      <c r="B1985" t="s">
        <v>4395</v>
      </c>
      <c r="C1985" s="1">
        <v>43420</v>
      </c>
      <c r="D1985" t="s">
        <v>4396</v>
      </c>
      <c r="E1985" t="str">
        <f t="shared" si="92"/>
        <v>서울특별시</v>
      </c>
      <c r="F1985" t="str">
        <f t="shared" si="93"/>
        <v xml:space="preserve">노원구 </v>
      </c>
      <c r="G1985" t="str">
        <f t="shared" si="94"/>
        <v>상계동</v>
      </c>
      <c r="H1985" t="s">
        <v>4397</v>
      </c>
      <c r="I1985">
        <v>1689</v>
      </c>
    </row>
    <row r="1986" spans="1:9" x14ac:dyDescent="0.4">
      <c r="A1986">
        <v>3100000</v>
      </c>
      <c r="B1986" t="s">
        <v>4503</v>
      </c>
      <c r="C1986" s="1">
        <v>38658</v>
      </c>
      <c r="D1986" t="s">
        <v>4504</v>
      </c>
      <c r="E1986" t="str">
        <f t="shared" si="92"/>
        <v>서울특별시</v>
      </c>
      <c r="F1986" t="str">
        <f t="shared" si="93"/>
        <v xml:space="preserve">노원구 </v>
      </c>
      <c r="G1986" t="str">
        <f t="shared" si="94"/>
        <v>상계동</v>
      </c>
      <c r="H1986" t="s">
        <v>4505</v>
      </c>
      <c r="I1986">
        <v>1689</v>
      </c>
    </row>
    <row r="1987" spans="1:9" x14ac:dyDescent="0.4">
      <c r="A1987">
        <v>3100000</v>
      </c>
      <c r="B1987" t="s">
        <v>4447</v>
      </c>
      <c r="C1987" s="1">
        <v>37950</v>
      </c>
      <c r="D1987" t="s">
        <v>4448</v>
      </c>
      <c r="E1987" t="str">
        <f t="shared" ref="E1987:E2050" si="95">LEFT(D1987,5)</f>
        <v>서울특별시</v>
      </c>
      <c r="F1987" t="str">
        <f t="shared" ref="F1987:F2050" si="96">MID(D1987,7,4)</f>
        <v xml:space="preserve">노원구 </v>
      </c>
      <c r="G1987" t="str">
        <f t="shared" ref="G1987:G2009" si="97">MID(SUBSTITUTE(D1987," ",""),9,3)</f>
        <v>상계동</v>
      </c>
    </row>
    <row r="1988" spans="1:9" x14ac:dyDescent="0.4">
      <c r="A1988">
        <v>3100000</v>
      </c>
      <c r="B1988" t="s">
        <v>4449</v>
      </c>
      <c r="C1988" s="1">
        <v>38160</v>
      </c>
      <c r="D1988" t="s">
        <v>4448</v>
      </c>
      <c r="E1988" t="str">
        <f t="shared" si="95"/>
        <v>서울특별시</v>
      </c>
      <c r="F1988" t="str">
        <f t="shared" si="96"/>
        <v xml:space="preserve">노원구 </v>
      </c>
      <c r="G1988" t="str">
        <f t="shared" si="97"/>
        <v>상계동</v>
      </c>
    </row>
    <row r="1989" spans="1:9" x14ac:dyDescent="0.4">
      <c r="A1989">
        <v>3100000</v>
      </c>
      <c r="B1989" t="s">
        <v>4439</v>
      </c>
      <c r="C1989" s="1">
        <v>37047</v>
      </c>
      <c r="D1989" t="s">
        <v>4440</v>
      </c>
      <c r="E1989" t="str">
        <f t="shared" si="95"/>
        <v>서울특별시</v>
      </c>
      <c r="F1989" t="str">
        <f t="shared" si="96"/>
        <v xml:space="preserve">노원구 </v>
      </c>
      <c r="G1989" t="str">
        <f t="shared" si="97"/>
        <v>상계동</v>
      </c>
    </row>
    <row r="1990" spans="1:9" x14ac:dyDescent="0.4">
      <c r="A1990">
        <v>3100000</v>
      </c>
      <c r="B1990" t="s">
        <v>4453</v>
      </c>
      <c r="C1990" s="1">
        <v>39555</v>
      </c>
      <c r="D1990" t="s">
        <v>4454</v>
      </c>
      <c r="E1990" t="str">
        <f t="shared" si="95"/>
        <v>서울특별시</v>
      </c>
      <c r="F1990" t="str">
        <f t="shared" si="96"/>
        <v xml:space="preserve">노원구 </v>
      </c>
      <c r="G1990" t="str">
        <f t="shared" si="97"/>
        <v>상계동</v>
      </c>
      <c r="H1990" t="s">
        <v>4455</v>
      </c>
      <c r="I1990">
        <v>1689</v>
      </c>
    </row>
    <row r="1991" spans="1:9" x14ac:dyDescent="0.4">
      <c r="A1991">
        <v>3100000</v>
      </c>
      <c r="B1991" t="s">
        <v>4436</v>
      </c>
      <c r="C1991" s="1">
        <v>36978</v>
      </c>
      <c r="D1991" t="s">
        <v>4437</v>
      </c>
      <c r="E1991" t="str">
        <f t="shared" si="95"/>
        <v>서울특별시</v>
      </c>
      <c r="F1991" t="str">
        <f t="shared" si="96"/>
        <v xml:space="preserve">노원구 </v>
      </c>
      <c r="G1991" t="str">
        <f t="shared" si="97"/>
        <v>상계동</v>
      </c>
      <c r="H1991" t="s">
        <v>4438</v>
      </c>
      <c r="I1991">
        <v>1689</v>
      </c>
    </row>
    <row r="1992" spans="1:9" x14ac:dyDescent="0.4">
      <c r="A1992">
        <v>3100000</v>
      </c>
      <c r="B1992" t="s">
        <v>4412</v>
      </c>
      <c r="C1992" s="1">
        <v>33145</v>
      </c>
      <c r="D1992" t="s">
        <v>4413</v>
      </c>
      <c r="E1992" t="str">
        <f t="shared" si="95"/>
        <v>서울특별시</v>
      </c>
      <c r="F1992" t="str">
        <f t="shared" si="96"/>
        <v xml:space="preserve">노원구 </v>
      </c>
      <c r="G1992" t="str">
        <f t="shared" si="97"/>
        <v>상계동</v>
      </c>
      <c r="H1992" t="s">
        <v>4414</v>
      </c>
      <c r="I1992">
        <v>1689</v>
      </c>
    </row>
    <row r="1993" spans="1:9" x14ac:dyDescent="0.4">
      <c r="A1993">
        <v>3100000</v>
      </c>
      <c r="B1993" t="s">
        <v>4415</v>
      </c>
      <c r="C1993" s="1">
        <v>33250</v>
      </c>
      <c r="D1993" t="s">
        <v>4416</v>
      </c>
      <c r="E1993" t="str">
        <f t="shared" si="95"/>
        <v>서울특별시</v>
      </c>
      <c r="F1993" t="str">
        <f t="shared" si="96"/>
        <v xml:space="preserve">노원구 </v>
      </c>
      <c r="G1993" t="str">
        <f t="shared" si="97"/>
        <v>상계동</v>
      </c>
      <c r="H1993" t="s">
        <v>4417</v>
      </c>
      <c r="I1993">
        <v>1689</v>
      </c>
    </row>
    <row r="1994" spans="1:9" x14ac:dyDescent="0.4">
      <c r="A1994">
        <v>3100000</v>
      </c>
      <c r="B1994" t="s">
        <v>4500</v>
      </c>
      <c r="C1994" s="1">
        <v>37933</v>
      </c>
      <c r="D1994" t="s">
        <v>4501</v>
      </c>
      <c r="E1994" t="str">
        <f t="shared" si="95"/>
        <v>서울특별시</v>
      </c>
      <c r="F1994" t="str">
        <f t="shared" si="96"/>
        <v xml:space="preserve">노원구 </v>
      </c>
      <c r="G1994" t="str">
        <f t="shared" si="97"/>
        <v>상계동</v>
      </c>
      <c r="H1994" t="s">
        <v>4502</v>
      </c>
      <c r="I1994">
        <v>1751</v>
      </c>
    </row>
    <row r="1995" spans="1:9" x14ac:dyDescent="0.4">
      <c r="A1995">
        <v>3100000</v>
      </c>
      <c r="B1995" t="s">
        <v>4506</v>
      </c>
      <c r="C1995" s="1">
        <v>39962</v>
      </c>
      <c r="D1995" t="s">
        <v>4507</v>
      </c>
      <c r="E1995" t="str">
        <f t="shared" si="95"/>
        <v>서울특별시</v>
      </c>
      <c r="F1995" t="str">
        <f t="shared" si="96"/>
        <v xml:space="preserve">노원구 </v>
      </c>
      <c r="G1995" t="str">
        <f t="shared" si="97"/>
        <v>상계동</v>
      </c>
      <c r="H1995" t="s">
        <v>4508</v>
      </c>
      <c r="I1995">
        <v>1751</v>
      </c>
    </row>
    <row r="1996" spans="1:9" x14ac:dyDescent="0.4">
      <c r="A1996">
        <v>3100000</v>
      </c>
      <c r="B1996" t="s">
        <v>4434</v>
      </c>
      <c r="C1996" s="1">
        <v>36826</v>
      </c>
      <c r="D1996" t="s">
        <v>4435</v>
      </c>
      <c r="E1996" t="str">
        <f t="shared" si="95"/>
        <v>서울특별시</v>
      </c>
      <c r="F1996" t="str">
        <f t="shared" si="96"/>
        <v xml:space="preserve">노원구 </v>
      </c>
      <c r="G1996" t="str">
        <f t="shared" si="97"/>
        <v>상계동</v>
      </c>
    </row>
    <row r="1997" spans="1:9" x14ac:dyDescent="0.4">
      <c r="A1997">
        <v>3100000</v>
      </c>
      <c r="B1997" t="s">
        <v>4517</v>
      </c>
      <c r="C1997" s="1">
        <v>36252</v>
      </c>
      <c r="D1997" t="s">
        <v>4518</v>
      </c>
      <c r="E1997" t="str">
        <f t="shared" si="95"/>
        <v>서울특별시</v>
      </c>
      <c r="F1997" t="str">
        <f t="shared" si="96"/>
        <v xml:space="preserve">노원구 </v>
      </c>
      <c r="G1997" t="str">
        <f t="shared" si="97"/>
        <v>상계동</v>
      </c>
    </row>
    <row r="1998" spans="1:9" x14ac:dyDescent="0.4">
      <c r="A1998">
        <v>3100000</v>
      </c>
      <c r="B1998" t="s">
        <v>4485</v>
      </c>
      <c r="C1998" s="1">
        <v>37092</v>
      </c>
      <c r="D1998" t="s">
        <v>4486</v>
      </c>
      <c r="E1998" t="str">
        <f t="shared" si="95"/>
        <v>서울특별시</v>
      </c>
      <c r="F1998" t="str">
        <f t="shared" si="96"/>
        <v xml:space="preserve">노원구 </v>
      </c>
      <c r="G1998" t="str">
        <f t="shared" si="97"/>
        <v>상계동</v>
      </c>
      <c r="H1998" t="s">
        <v>4487</v>
      </c>
      <c r="I1998">
        <v>1751</v>
      </c>
    </row>
    <row r="1999" spans="1:9" x14ac:dyDescent="0.4">
      <c r="A1999">
        <v>3100000</v>
      </c>
      <c r="B1999" t="s">
        <v>4441</v>
      </c>
      <c r="C1999" s="1">
        <v>37341</v>
      </c>
      <c r="D1999" t="s">
        <v>4442</v>
      </c>
      <c r="E1999" t="str">
        <f t="shared" si="95"/>
        <v>서울특별시</v>
      </c>
      <c r="F1999" t="str">
        <f t="shared" si="96"/>
        <v xml:space="preserve">노원구 </v>
      </c>
      <c r="G1999" t="str">
        <f t="shared" si="97"/>
        <v>상계동</v>
      </c>
      <c r="H1999" t="s">
        <v>4443</v>
      </c>
      <c r="I1999">
        <v>1751</v>
      </c>
    </row>
    <row r="2000" spans="1:9" x14ac:dyDescent="0.4">
      <c r="A2000">
        <v>3100000</v>
      </c>
      <c r="B2000" t="s">
        <v>4464</v>
      </c>
      <c r="C2000" s="1">
        <v>36256</v>
      </c>
      <c r="D2000" t="s">
        <v>4465</v>
      </c>
      <c r="E2000" t="str">
        <f t="shared" si="95"/>
        <v>서울특별시</v>
      </c>
      <c r="F2000" t="str">
        <f t="shared" si="96"/>
        <v xml:space="preserve">노원구 </v>
      </c>
      <c r="G2000" t="str">
        <f t="shared" si="97"/>
        <v>상계동</v>
      </c>
      <c r="H2000" t="s">
        <v>4466</v>
      </c>
      <c r="I2000">
        <v>1751</v>
      </c>
    </row>
    <row r="2001" spans="1:9" x14ac:dyDescent="0.4">
      <c r="A2001">
        <v>3100000</v>
      </c>
      <c r="B2001" t="s">
        <v>4423</v>
      </c>
      <c r="C2001" s="1">
        <v>36454</v>
      </c>
      <c r="D2001" t="s">
        <v>4424</v>
      </c>
      <c r="E2001" t="str">
        <f t="shared" si="95"/>
        <v>서울특별시</v>
      </c>
      <c r="F2001" t="str">
        <f t="shared" si="96"/>
        <v xml:space="preserve">노원구 </v>
      </c>
      <c r="G2001" t="str">
        <f t="shared" si="97"/>
        <v>상계동</v>
      </c>
      <c r="H2001" t="s">
        <v>4425</v>
      </c>
      <c r="I2001">
        <v>1751</v>
      </c>
    </row>
    <row r="2002" spans="1:9" x14ac:dyDescent="0.4">
      <c r="A2002">
        <v>3100000</v>
      </c>
      <c r="B2002" t="s">
        <v>102</v>
      </c>
      <c r="C2002" s="1">
        <v>36266</v>
      </c>
      <c r="D2002" t="s">
        <v>103</v>
      </c>
      <c r="E2002" t="str">
        <f t="shared" si="95"/>
        <v>서울특별시</v>
      </c>
      <c r="F2002" t="str">
        <f t="shared" si="96"/>
        <v xml:space="preserve">노원구 </v>
      </c>
      <c r="G2002" t="str">
        <f t="shared" si="97"/>
        <v>상계동</v>
      </c>
      <c r="H2002" t="s">
        <v>104</v>
      </c>
      <c r="I2002">
        <v>1751</v>
      </c>
    </row>
    <row r="2003" spans="1:9" x14ac:dyDescent="0.4">
      <c r="A2003">
        <v>3100000</v>
      </c>
      <c r="B2003" t="s">
        <v>4428</v>
      </c>
      <c r="C2003" s="1">
        <v>36475</v>
      </c>
      <c r="D2003" t="s">
        <v>4429</v>
      </c>
      <c r="E2003" t="str">
        <f t="shared" si="95"/>
        <v>서울특별시</v>
      </c>
      <c r="F2003" t="str">
        <f t="shared" si="96"/>
        <v xml:space="preserve">노원구 </v>
      </c>
      <c r="G2003" t="str">
        <f t="shared" si="97"/>
        <v>상계동</v>
      </c>
    </row>
    <row r="2004" spans="1:9" x14ac:dyDescent="0.4">
      <c r="A2004">
        <v>3100000</v>
      </c>
      <c r="B2004" t="s">
        <v>4511</v>
      </c>
      <c r="C2004" s="1">
        <v>37210</v>
      </c>
      <c r="D2004" t="s">
        <v>4512</v>
      </c>
      <c r="E2004" t="str">
        <f t="shared" si="95"/>
        <v>서울특별시</v>
      </c>
      <c r="F2004" t="str">
        <f t="shared" si="96"/>
        <v xml:space="preserve">노원구 </v>
      </c>
      <c r="G2004" t="str">
        <f t="shared" si="97"/>
        <v>상계동</v>
      </c>
      <c r="H2004" t="s">
        <v>4513</v>
      </c>
      <c r="I2004">
        <v>1762</v>
      </c>
    </row>
    <row r="2005" spans="1:9" x14ac:dyDescent="0.4">
      <c r="A2005">
        <v>3100000</v>
      </c>
      <c r="B2005" t="s">
        <v>4459</v>
      </c>
      <c r="C2005" s="1">
        <v>37233</v>
      </c>
      <c r="D2005" t="s">
        <v>4460</v>
      </c>
      <c r="E2005" t="str">
        <f t="shared" si="95"/>
        <v>서울특별시</v>
      </c>
      <c r="F2005" t="str">
        <f t="shared" si="96"/>
        <v xml:space="preserve">노원구 </v>
      </c>
      <c r="G2005" t="str">
        <f t="shared" si="97"/>
        <v>상계동</v>
      </c>
    </row>
    <row r="2006" spans="1:9" x14ac:dyDescent="0.4">
      <c r="A2006">
        <v>3100000</v>
      </c>
      <c r="B2006" t="s">
        <v>4432</v>
      </c>
      <c r="C2006" s="1">
        <v>36623</v>
      </c>
      <c r="D2006" t="s">
        <v>4433</v>
      </c>
      <c r="E2006" t="str">
        <f t="shared" si="95"/>
        <v>서울특별시</v>
      </c>
      <c r="F2006" t="str">
        <f t="shared" si="96"/>
        <v xml:space="preserve">노원구 </v>
      </c>
      <c r="G2006" t="str">
        <f t="shared" si="97"/>
        <v>상계동</v>
      </c>
    </row>
    <row r="2007" spans="1:9" x14ac:dyDescent="0.4">
      <c r="A2007">
        <v>3100000</v>
      </c>
      <c r="B2007" t="s">
        <v>4398</v>
      </c>
      <c r="C2007" s="1">
        <v>32955</v>
      </c>
      <c r="D2007" t="s">
        <v>4399</v>
      </c>
      <c r="E2007" t="str">
        <f t="shared" si="95"/>
        <v>서울특별시</v>
      </c>
      <c r="F2007" t="str">
        <f t="shared" si="96"/>
        <v xml:space="preserve">노원구 </v>
      </c>
      <c r="G2007" t="str">
        <f t="shared" si="97"/>
        <v>상계동</v>
      </c>
    </row>
    <row r="2008" spans="1:9" x14ac:dyDescent="0.4">
      <c r="A2008">
        <v>3100000</v>
      </c>
      <c r="B2008" t="s">
        <v>4461</v>
      </c>
      <c r="C2008" s="1">
        <v>32864</v>
      </c>
      <c r="D2008" t="s">
        <v>4462</v>
      </c>
      <c r="E2008" t="str">
        <f t="shared" si="95"/>
        <v>서울특별시</v>
      </c>
      <c r="F2008" t="str">
        <f t="shared" si="96"/>
        <v xml:space="preserve">노원구 </v>
      </c>
      <c r="G2008" t="str">
        <f t="shared" si="97"/>
        <v>상계동</v>
      </c>
      <c r="H2008" t="s">
        <v>4463</v>
      </c>
      <c r="I2008">
        <v>1762</v>
      </c>
    </row>
    <row r="2009" spans="1:9" x14ac:dyDescent="0.4">
      <c r="A2009">
        <v>3090000</v>
      </c>
      <c r="B2009" t="s">
        <v>4322</v>
      </c>
      <c r="C2009" s="1">
        <v>36713</v>
      </c>
      <c r="D2009" t="s">
        <v>4323</v>
      </c>
      <c r="E2009" t="str">
        <f t="shared" si="95"/>
        <v>서울특별시</v>
      </c>
      <c r="F2009" t="str">
        <f t="shared" si="96"/>
        <v xml:space="preserve">도봉구 </v>
      </c>
      <c r="G2009" t="str">
        <f t="shared" si="97"/>
        <v>쌍문동</v>
      </c>
      <c r="H2009" t="s">
        <v>4324</v>
      </c>
      <c r="I2009">
        <v>1442</v>
      </c>
    </row>
    <row r="2010" spans="1:9" x14ac:dyDescent="0.4">
      <c r="A2010">
        <v>3090000</v>
      </c>
      <c r="B2010" t="s">
        <v>4403</v>
      </c>
      <c r="C2010" s="1">
        <v>37571</v>
      </c>
      <c r="D2010" t="s">
        <v>4404</v>
      </c>
      <c r="E2010" t="str">
        <f t="shared" si="95"/>
        <v>서울특별시</v>
      </c>
      <c r="F2010" t="str">
        <f t="shared" si="96"/>
        <v xml:space="preserve">도봉구 </v>
      </c>
      <c r="G2010" t="str">
        <f>MID(SUBSTITUTE(D2010," ",""),9,2)</f>
        <v>창동</v>
      </c>
      <c r="H2010" t="s">
        <v>4405</v>
      </c>
      <c r="I2010">
        <v>1414</v>
      </c>
    </row>
    <row r="2011" spans="1:9" x14ac:dyDescent="0.4">
      <c r="A2011">
        <v>3090000</v>
      </c>
      <c r="B2011" t="s">
        <v>4335</v>
      </c>
      <c r="C2011" s="1">
        <v>36248</v>
      </c>
      <c r="D2011" t="s">
        <v>4336</v>
      </c>
      <c r="E2011" t="str">
        <f t="shared" si="95"/>
        <v>서울특별시</v>
      </c>
      <c r="F2011" t="str">
        <f t="shared" si="96"/>
        <v xml:space="preserve">도봉구 </v>
      </c>
      <c r="G2011" t="str">
        <f t="shared" ref="G2011:G2041" si="98">MID(SUBSTITUTE(D2011," ",""),9,2)</f>
        <v>창동</v>
      </c>
      <c r="H2011" t="s">
        <v>4337</v>
      </c>
      <c r="I2011">
        <v>1414</v>
      </c>
    </row>
    <row r="2012" spans="1:9" x14ac:dyDescent="0.4">
      <c r="A2012">
        <v>3090000</v>
      </c>
      <c r="B2012" t="s">
        <v>4351</v>
      </c>
      <c r="C2012" s="1">
        <v>41095</v>
      </c>
      <c r="D2012" t="s">
        <v>4336</v>
      </c>
      <c r="E2012" t="str">
        <f t="shared" si="95"/>
        <v>서울특별시</v>
      </c>
      <c r="F2012" t="str">
        <f t="shared" si="96"/>
        <v xml:space="preserve">도봉구 </v>
      </c>
      <c r="G2012" t="str">
        <f t="shared" si="98"/>
        <v>창동</v>
      </c>
      <c r="H2012" t="s">
        <v>4352</v>
      </c>
      <c r="I2012">
        <v>1414</v>
      </c>
    </row>
    <row r="2013" spans="1:9" x14ac:dyDescent="0.4">
      <c r="A2013">
        <v>3090000</v>
      </c>
      <c r="B2013" t="s">
        <v>4361</v>
      </c>
      <c r="C2013" s="1">
        <v>42944</v>
      </c>
      <c r="D2013" t="s">
        <v>4362</v>
      </c>
      <c r="E2013" t="str">
        <f t="shared" si="95"/>
        <v>서울특별시</v>
      </c>
      <c r="F2013" t="str">
        <f t="shared" si="96"/>
        <v xml:space="preserve">도봉구 </v>
      </c>
      <c r="G2013" t="str">
        <f t="shared" si="98"/>
        <v>창동</v>
      </c>
      <c r="H2013" t="s">
        <v>4363</v>
      </c>
      <c r="I2013">
        <v>1414</v>
      </c>
    </row>
    <row r="2014" spans="1:9" x14ac:dyDescent="0.4">
      <c r="A2014">
        <v>3090000</v>
      </c>
      <c r="B2014" t="s">
        <v>4338</v>
      </c>
      <c r="C2014" s="1">
        <v>36269</v>
      </c>
      <c r="D2014" t="s">
        <v>4339</v>
      </c>
      <c r="E2014" t="str">
        <f t="shared" si="95"/>
        <v>서울특별시</v>
      </c>
      <c r="F2014" t="str">
        <f t="shared" si="96"/>
        <v xml:space="preserve">도봉구 </v>
      </c>
      <c r="G2014" t="str">
        <f t="shared" si="98"/>
        <v>창동</v>
      </c>
    </row>
    <row r="2015" spans="1:9" x14ac:dyDescent="0.4">
      <c r="A2015">
        <v>3090000</v>
      </c>
      <c r="B2015" t="s">
        <v>4376</v>
      </c>
      <c r="C2015" s="1">
        <v>37323</v>
      </c>
      <c r="D2015" t="s">
        <v>4377</v>
      </c>
      <c r="E2015" t="str">
        <f t="shared" si="95"/>
        <v>서울특별시</v>
      </c>
      <c r="F2015" t="str">
        <f t="shared" si="96"/>
        <v xml:space="preserve">도봉구 </v>
      </c>
      <c r="G2015" t="str">
        <f t="shared" si="98"/>
        <v>창동</v>
      </c>
      <c r="H2015" t="s">
        <v>4378</v>
      </c>
      <c r="I2015">
        <v>1414</v>
      </c>
    </row>
    <row r="2016" spans="1:9" x14ac:dyDescent="0.4">
      <c r="A2016">
        <v>3090000</v>
      </c>
      <c r="B2016" t="s">
        <v>132</v>
      </c>
      <c r="C2016" s="1">
        <v>45791</v>
      </c>
      <c r="D2016" t="s">
        <v>133</v>
      </c>
      <c r="E2016" t="str">
        <f t="shared" si="95"/>
        <v>서울특별시</v>
      </c>
      <c r="F2016" t="str">
        <f t="shared" si="96"/>
        <v xml:space="preserve">도봉구 </v>
      </c>
      <c r="G2016" t="str">
        <f t="shared" si="98"/>
        <v>창동</v>
      </c>
      <c r="H2016" t="s">
        <v>134</v>
      </c>
      <c r="I2016">
        <v>1414</v>
      </c>
    </row>
    <row r="2017" spans="1:9" x14ac:dyDescent="0.4">
      <c r="A2017">
        <v>3090000</v>
      </c>
      <c r="B2017" t="s">
        <v>4388</v>
      </c>
      <c r="C2017" s="1">
        <v>36328</v>
      </c>
      <c r="D2017" t="s">
        <v>4389</v>
      </c>
      <c r="E2017" t="str">
        <f t="shared" si="95"/>
        <v>서울특별시</v>
      </c>
      <c r="F2017" t="str">
        <f t="shared" si="96"/>
        <v xml:space="preserve">도봉구 </v>
      </c>
      <c r="G2017" t="str">
        <f t="shared" si="98"/>
        <v>창동</v>
      </c>
      <c r="H2017" t="s">
        <v>4390</v>
      </c>
      <c r="I2017">
        <v>1414</v>
      </c>
    </row>
    <row r="2018" spans="1:9" x14ac:dyDescent="0.4">
      <c r="A2018">
        <v>3090000</v>
      </c>
      <c r="B2018" t="s">
        <v>4356</v>
      </c>
      <c r="C2018" s="1">
        <v>40409</v>
      </c>
      <c r="D2018" t="s">
        <v>4357</v>
      </c>
      <c r="E2018" t="str">
        <f t="shared" si="95"/>
        <v>서울특별시</v>
      </c>
      <c r="F2018" t="str">
        <f t="shared" si="96"/>
        <v xml:space="preserve">도봉구 </v>
      </c>
      <c r="G2018" t="str">
        <f t="shared" si="98"/>
        <v>창동</v>
      </c>
      <c r="H2018" t="s">
        <v>4358</v>
      </c>
      <c r="I2018">
        <v>1414</v>
      </c>
    </row>
    <row r="2019" spans="1:9" x14ac:dyDescent="0.4">
      <c r="A2019">
        <v>3090000</v>
      </c>
      <c r="B2019" t="s">
        <v>4391</v>
      </c>
      <c r="C2019" s="1">
        <v>36550</v>
      </c>
      <c r="D2019" t="s">
        <v>4392</v>
      </c>
      <c r="E2019" t="str">
        <f t="shared" si="95"/>
        <v>서울특별시</v>
      </c>
      <c r="F2019" t="str">
        <f t="shared" si="96"/>
        <v xml:space="preserve">도봉구 </v>
      </c>
      <c r="G2019" t="str">
        <f t="shared" si="98"/>
        <v>창동</v>
      </c>
    </row>
    <row r="2020" spans="1:9" x14ac:dyDescent="0.4">
      <c r="A2020">
        <v>3090000</v>
      </c>
      <c r="B2020" t="s">
        <v>177</v>
      </c>
      <c r="C2020" s="1">
        <v>39436</v>
      </c>
      <c r="D2020" t="s">
        <v>178</v>
      </c>
      <c r="E2020" t="str">
        <f t="shared" si="95"/>
        <v>서울특별시</v>
      </c>
      <c r="F2020" t="str">
        <f t="shared" si="96"/>
        <v xml:space="preserve">도봉구 </v>
      </c>
      <c r="G2020" t="str">
        <f t="shared" si="98"/>
        <v>창동</v>
      </c>
      <c r="H2020" t="s">
        <v>179</v>
      </c>
      <c r="I2020">
        <v>1414</v>
      </c>
    </row>
    <row r="2021" spans="1:9" x14ac:dyDescent="0.4">
      <c r="A2021">
        <v>3090000</v>
      </c>
      <c r="B2021" t="s">
        <v>4359</v>
      </c>
      <c r="C2021" s="1">
        <v>36476</v>
      </c>
      <c r="D2021" t="s">
        <v>178</v>
      </c>
      <c r="E2021" t="str">
        <f t="shared" si="95"/>
        <v>서울특별시</v>
      </c>
      <c r="F2021" t="str">
        <f t="shared" si="96"/>
        <v xml:space="preserve">도봉구 </v>
      </c>
      <c r="G2021" t="str">
        <f t="shared" si="98"/>
        <v>창동</v>
      </c>
      <c r="H2021" t="s">
        <v>4360</v>
      </c>
      <c r="I2021">
        <v>1414</v>
      </c>
    </row>
    <row r="2022" spans="1:9" x14ac:dyDescent="0.4">
      <c r="A2022">
        <v>3090000</v>
      </c>
      <c r="B2022" t="s">
        <v>4345</v>
      </c>
      <c r="C2022" s="1">
        <v>45545</v>
      </c>
      <c r="D2022" t="s">
        <v>4346</v>
      </c>
      <c r="E2022" t="str">
        <f t="shared" si="95"/>
        <v>서울특별시</v>
      </c>
      <c r="F2022" t="str">
        <f t="shared" si="96"/>
        <v xml:space="preserve">도봉구 </v>
      </c>
      <c r="G2022" t="str">
        <f t="shared" si="98"/>
        <v>창동</v>
      </c>
      <c r="H2022" t="s">
        <v>4347</v>
      </c>
      <c r="I2022">
        <v>1414</v>
      </c>
    </row>
    <row r="2023" spans="1:9" x14ac:dyDescent="0.4">
      <c r="A2023">
        <v>3090000</v>
      </c>
      <c r="B2023" t="s">
        <v>4348</v>
      </c>
      <c r="C2023" s="1">
        <v>42051</v>
      </c>
      <c r="D2023" t="s">
        <v>4349</v>
      </c>
      <c r="E2023" t="str">
        <f t="shared" si="95"/>
        <v>서울특별시</v>
      </c>
      <c r="F2023" t="str">
        <f t="shared" si="96"/>
        <v xml:space="preserve">도봉구 </v>
      </c>
      <c r="G2023" t="str">
        <f t="shared" si="98"/>
        <v>창동</v>
      </c>
      <c r="H2023" t="s">
        <v>4350</v>
      </c>
      <c r="I2023">
        <v>1414</v>
      </c>
    </row>
    <row r="2024" spans="1:9" x14ac:dyDescent="0.4">
      <c r="A2024">
        <v>3090000</v>
      </c>
      <c r="B2024" t="s">
        <v>4325</v>
      </c>
      <c r="C2024" s="1">
        <v>36880</v>
      </c>
      <c r="D2024" t="s">
        <v>4326</v>
      </c>
      <c r="E2024" t="str">
        <f t="shared" si="95"/>
        <v>서울특별시</v>
      </c>
      <c r="F2024" t="str">
        <f t="shared" si="96"/>
        <v xml:space="preserve">도봉구 </v>
      </c>
      <c r="G2024" t="str">
        <f t="shared" si="98"/>
        <v>창동</v>
      </c>
      <c r="H2024" t="s">
        <v>4327</v>
      </c>
      <c r="I2024">
        <v>1414</v>
      </c>
    </row>
    <row r="2025" spans="1:9" x14ac:dyDescent="0.4">
      <c r="A2025">
        <v>3090000</v>
      </c>
      <c r="B2025" t="s">
        <v>4353</v>
      </c>
      <c r="C2025" s="1">
        <v>41122</v>
      </c>
      <c r="D2025" t="s">
        <v>4354</v>
      </c>
      <c r="E2025" t="str">
        <f t="shared" si="95"/>
        <v>서울특별시</v>
      </c>
      <c r="F2025" t="str">
        <f t="shared" si="96"/>
        <v xml:space="preserve">도봉구 </v>
      </c>
      <c r="G2025" t="str">
        <f t="shared" si="98"/>
        <v>창동</v>
      </c>
      <c r="H2025" t="s">
        <v>4355</v>
      </c>
      <c r="I2025">
        <v>1414</v>
      </c>
    </row>
    <row r="2026" spans="1:9" x14ac:dyDescent="0.4">
      <c r="A2026">
        <v>3090000</v>
      </c>
      <c r="B2026" t="s">
        <v>4330</v>
      </c>
      <c r="C2026" s="1">
        <v>37315</v>
      </c>
      <c r="D2026" t="s">
        <v>4331</v>
      </c>
      <c r="E2026" t="str">
        <f t="shared" si="95"/>
        <v>서울특별시</v>
      </c>
      <c r="F2026" t="str">
        <f t="shared" si="96"/>
        <v xml:space="preserve">도봉구 </v>
      </c>
      <c r="G2026" t="str">
        <f t="shared" si="98"/>
        <v>창동</v>
      </c>
    </row>
    <row r="2027" spans="1:9" x14ac:dyDescent="0.4">
      <c r="A2027">
        <v>3090000</v>
      </c>
      <c r="B2027" t="s">
        <v>4332</v>
      </c>
      <c r="C2027" s="1">
        <v>37539</v>
      </c>
      <c r="D2027" t="s">
        <v>4333</v>
      </c>
      <c r="E2027" t="str">
        <f t="shared" si="95"/>
        <v>서울특별시</v>
      </c>
      <c r="F2027" t="str">
        <f t="shared" si="96"/>
        <v xml:space="preserve">도봉구 </v>
      </c>
      <c r="G2027" t="str">
        <f t="shared" si="98"/>
        <v>창동</v>
      </c>
      <c r="H2027" t="s">
        <v>4334</v>
      </c>
      <c r="I2027">
        <v>1415</v>
      </c>
    </row>
    <row r="2028" spans="1:9" x14ac:dyDescent="0.4">
      <c r="A2028">
        <v>3090000</v>
      </c>
      <c r="B2028" t="s">
        <v>4400</v>
      </c>
      <c r="C2028" s="1">
        <v>36648</v>
      </c>
      <c r="D2028" t="s">
        <v>4401</v>
      </c>
      <c r="E2028" t="str">
        <f t="shared" si="95"/>
        <v>서울특별시</v>
      </c>
      <c r="F2028" t="str">
        <f t="shared" si="96"/>
        <v xml:space="preserve">도봉구 </v>
      </c>
      <c r="G2028" t="str">
        <f t="shared" si="98"/>
        <v>창동</v>
      </c>
      <c r="H2028" t="s">
        <v>4402</v>
      </c>
      <c r="I2028">
        <v>1415</v>
      </c>
    </row>
    <row r="2029" spans="1:9" x14ac:dyDescent="0.4">
      <c r="A2029">
        <v>3090000</v>
      </c>
      <c r="B2029" t="s">
        <v>4340</v>
      </c>
      <c r="C2029" s="1">
        <v>36353</v>
      </c>
      <c r="D2029" t="s">
        <v>4341</v>
      </c>
      <c r="E2029" t="str">
        <f t="shared" si="95"/>
        <v>서울특별시</v>
      </c>
      <c r="F2029" t="str">
        <f t="shared" si="96"/>
        <v xml:space="preserve">도봉구 </v>
      </c>
      <c r="G2029" t="str">
        <f t="shared" si="98"/>
        <v>창동</v>
      </c>
    </row>
    <row r="2030" spans="1:9" x14ac:dyDescent="0.4">
      <c r="A2030">
        <v>3090000</v>
      </c>
      <c r="B2030" t="s">
        <v>4406</v>
      </c>
      <c r="C2030" s="1">
        <v>43223</v>
      </c>
      <c r="D2030" t="s">
        <v>4407</v>
      </c>
      <c r="E2030" t="str">
        <f t="shared" si="95"/>
        <v>서울특별시</v>
      </c>
      <c r="F2030" t="str">
        <f t="shared" si="96"/>
        <v xml:space="preserve">도봉구 </v>
      </c>
      <c r="G2030" t="str">
        <f t="shared" si="98"/>
        <v>창동</v>
      </c>
      <c r="H2030" t="s">
        <v>4408</v>
      </c>
      <c r="I2030">
        <v>1414</v>
      </c>
    </row>
    <row r="2031" spans="1:9" x14ac:dyDescent="0.4">
      <c r="A2031">
        <v>3090000</v>
      </c>
      <c r="B2031" t="s">
        <v>4385</v>
      </c>
      <c r="C2031" s="1">
        <v>39273</v>
      </c>
      <c r="D2031" t="s">
        <v>4386</v>
      </c>
      <c r="E2031" t="str">
        <f t="shared" si="95"/>
        <v>서울특별시</v>
      </c>
      <c r="F2031" t="str">
        <f t="shared" si="96"/>
        <v xml:space="preserve">도봉구 </v>
      </c>
      <c r="G2031" t="str">
        <f t="shared" si="98"/>
        <v>창동</v>
      </c>
      <c r="H2031" t="s">
        <v>4387</v>
      </c>
      <c r="I2031">
        <v>1414</v>
      </c>
    </row>
    <row r="2032" spans="1:9" x14ac:dyDescent="0.4">
      <c r="A2032">
        <v>3090000</v>
      </c>
      <c r="B2032" t="s">
        <v>4373</v>
      </c>
      <c r="C2032" s="1">
        <v>37201</v>
      </c>
      <c r="D2032" t="s">
        <v>4374</v>
      </c>
      <c r="E2032" t="str">
        <f t="shared" si="95"/>
        <v>서울특별시</v>
      </c>
      <c r="F2032" t="str">
        <f t="shared" si="96"/>
        <v xml:space="preserve">도봉구 </v>
      </c>
      <c r="G2032" t="str">
        <f t="shared" si="98"/>
        <v>창동</v>
      </c>
      <c r="H2032" t="s">
        <v>4375</v>
      </c>
      <c r="I2032">
        <v>1405</v>
      </c>
    </row>
    <row r="2033" spans="1:9" x14ac:dyDescent="0.4">
      <c r="A2033">
        <v>3090000</v>
      </c>
      <c r="B2033" t="s">
        <v>4379</v>
      </c>
      <c r="C2033" s="1">
        <v>39189</v>
      </c>
      <c r="D2033" t="s">
        <v>4380</v>
      </c>
      <c r="E2033" t="str">
        <f t="shared" si="95"/>
        <v>서울특별시</v>
      </c>
      <c r="F2033" t="str">
        <f t="shared" si="96"/>
        <v xml:space="preserve">도봉구 </v>
      </c>
      <c r="G2033" t="str">
        <f t="shared" si="98"/>
        <v>창동</v>
      </c>
      <c r="H2033" t="s">
        <v>4381</v>
      </c>
      <c r="I2033">
        <v>1414</v>
      </c>
    </row>
    <row r="2034" spans="1:9" x14ac:dyDescent="0.4">
      <c r="A2034">
        <v>3090000</v>
      </c>
      <c r="B2034" t="s">
        <v>4328</v>
      </c>
      <c r="C2034" s="1">
        <v>37223</v>
      </c>
      <c r="D2034" t="s">
        <v>4329</v>
      </c>
      <c r="E2034" t="str">
        <f t="shared" si="95"/>
        <v>서울특별시</v>
      </c>
      <c r="F2034" t="str">
        <f t="shared" si="96"/>
        <v xml:space="preserve">도봉구 </v>
      </c>
      <c r="G2034" t="str">
        <f t="shared" si="98"/>
        <v>창동</v>
      </c>
    </row>
    <row r="2035" spans="1:9" x14ac:dyDescent="0.4">
      <c r="A2035">
        <v>3090000</v>
      </c>
      <c r="B2035" t="s">
        <v>4382</v>
      </c>
      <c r="C2035" s="1">
        <v>39267</v>
      </c>
      <c r="D2035" t="s">
        <v>4383</v>
      </c>
      <c r="E2035" t="str">
        <f t="shared" si="95"/>
        <v>서울특별시</v>
      </c>
      <c r="F2035" t="str">
        <f t="shared" si="96"/>
        <v xml:space="preserve">도봉구 </v>
      </c>
      <c r="G2035" t="str">
        <f t="shared" si="98"/>
        <v>창동</v>
      </c>
      <c r="H2035" t="s">
        <v>4384</v>
      </c>
      <c r="I2035">
        <v>1414</v>
      </c>
    </row>
    <row r="2036" spans="1:9" x14ac:dyDescent="0.4">
      <c r="A2036">
        <v>3090000</v>
      </c>
      <c r="B2036" t="s">
        <v>4342</v>
      </c>
      <c r="C2036" s="1">
        <v>36498</v>
      </c>
      <c r="D2036" t="s">
        <v>4343</v>
      </c>
      <c r="E2036" t="str">
        <f t="shared" si="95"/>
        <v>서울특별시</v>
      </c>
      <c r="F2036" t="str">
        <f t="shared" si="96"/>
        <v xml:space="preserve">도봉구 </v>
      </c>
      <c r="G2036" t="str">
        <f t="shared" si="98"/>
        <v>창동</v>
      </c>
      <c r="H2036" t="s">
        <v>4344</v>
      </c>
      <c r="I2036">
        <v>1414</v>
      </c>
    </row>
    <row r="2037" spans="1:9" x14ac:dyDescent="0.4">
      <c r="A2037">
        <v>3090000</v>
      </c>
      <c r="B2037" t="s">
        <v>4364</v>
      </c>
      <c r="C2037" s="1">
        <v>36577</v>
      </c>
      <c r="D2037" t="s">
        <v>4365</v>
      </c>
      <c r="E2037" t="str">
        <f t="shared" si="95"/>
        <v>서울특별시</v>
      </c>
      <c r="F2037" t="str">
        <f t="shared" si="96"/>
        <v xml:space="preserve">도봉구 </v>
      </c>
      <c r="G2037" t="str">
        <f t="shared" si="98"/>
        <v>창동</v>
      </c>
      <c r="H2037" t="s">
        <v>4366</v>
      </c>
      <c r="I2037">
        <v>1414</v>
      </c>
    </row>
    <row r="2038" spans="1:9" x14ac:dyDescent="0.4">
      <c r="A2038">
        <v>3090000</v>
      </c>
      <c r="B2038" t="s">
        <v>4319</v>
      </c>
      <c r="C2038" s="1">
        <v>36514</v>
      </c>
      <c r="D2038" t="s">
        <v>4320</v>
      </c>
      <c r="E2038" t="str">
        <f t="shared" si="95"/>
        <v>서울특별시</v>
      </c>
      <c r="F2038" t="str">
        <f t="shared" si="96"/>
        <v xml:space="preserve">도봉구 </v>
      </c>
      <c r="G2038" t="str">
        <f t="shared" si="98"/>
        <v>창동</v>
      </c>
      <c r="H2038" t="s">
        <v>4321</v>
      </c>
      <c r="I2038">
        <v>1414</v>
      </c>
    </row>
    <row r="2039" spans="1:9" x14ac:dyDescent="0.4">
      <c r="A2039">
        <v>3090000</v>
      </c>
      <c r="B2039" t="s">
        <v>4370</v>
      </c>
      <c r="C2039" s="1">
        <v>41022</v>
      </c>
      <c r="D2039" t="s">
        <v>4371</v>
      </c>
      <c r="E2039" t="str">
        <f t="shared" si="95"/>
        <v>서울특별시</v>
      </c>
      <c r="F2039" t="str">
        <f t="shared" si="96"/>
        <v xml:space="preserve">도봉구 </v>
      </c>
      <c r="G2039" t="str">
        <f t="shared" si="98"/>
        <v>창동</v>
      </c>
      <c r="H2039" t="s">
        <v>4372</v>
      </c>
      <c r="I2039">
        <v>1414</v>
      </c>
    </row>
    <row r="2040" spans="1:9" x14ac:dyDescent="0.4">
      <c r="A2040">
        <v>3090000</v>
      </c>
      <c r="B2040" t="s">
        <v>4367</v>
      </c>
      <c r="C2040" s="1">
        <v>40723</v>
      </c>
      <c r="D2040" t="s">
        <v>4368</v>
      </c>
      <c r="E2040" t="str">
        <f t="shared" si="95"/>
        <v>서울특별시</v>
      </c>
      <c r="F2040" t="str">
        <f t="shared" si="96"/>
        <v xml:space="preserve">도봉구 </v>
      </c>
      <c r="G2040" t="str">
        <f t="shared" si="98"/>
        <v>창동</v>
      </c>
      <c r="H2040" t="s">
        <v>4369</v>
      </c>
      <c r="I2040">
        <v>1414</v>
      </c>
    </row>
    <row r="2041" spans="1:9" x14ac:dyDescent="0.4">
      <c r="A2041">
        <v>3090000</v>
      </c>
      <c r="B2041" t="s">
        <v>4409</v>
      </c>
      <c r="C2041" s="1">
        <v>36965</v>
      </c>
      <c r="D2041" t="s">
        <v>4410</v>
      </c>
      <c r="E2041" t="str">
        <f t="shared" si="95"/>
        <v>서울특별시</v>
      </c>
      <c r="F2041" t="str">
        <f t="shared" si="96"/>
        <v xml:space="preserve">도봉구 </v>
      </c>
      <c r="G2041" t="str">
        <f t="shared" si="98"/>
        <v>창동</v>
      </c>
      <c r="H2041" t="s">
        <v>4411</v>
      </c>
      <c r="I2041">
        <v>1414</v>
      </c>
    </row>
    <row r="2042" spans="1:9" x14ac:dyDescent="0.4">
      <c r="A2042">
        <v>3050000</v>
      </c>
      <c r="B2042" t="s">
        <v>3535</v>
      </c>
      <c r="C2042" s="1">
        <v>32116</v>
      </c>
      <c r="D2042" t="s">
        <v>3536</v>
      </c>
      <c r="E2042" t="str">
        <f t="shared" si="95"/>
        <v>서울특별시</v>
      </c>
      <c r="F2042" t="str">
        <f t="shared" si="96"/>
        <v>동대문구</v>
      </c>
      <c r="G2042" t="str">
        <f>MID(SUBSTITUTE(D2042," ",""),10,4)</f>
        <v>답십리동</v>
      </c>
    </row>
    <row r="2043" spans="1:9" x14ac:dyDescent="0.4">
      <c r="A2043">
        <v>3050000</v>
      </c>
      <c r="B2043" t="s">
        <v>3621</v>
      </c>
      <c r="C2043" s="1">
        <v>31104</v>
      </c>
      <c r="D2043" t="s">
        <v>3536</v>
      </c>
      <c r="E2043" t="str">
        <f t="shared" si="95"/>
        <v>서울특별시</v>
      </c>
      <c r="F2043" t="str">
        <f t="shared" si="96"/>
        <v>동대문구</v>
      </c>
      <c r="G2043" t="str">
        <f t="shared" ref="G2043:G2084" si="99">MID(SUBSTITUTE(D2043," ",""),10,4)</f>
        <v>답십리동</v>
      </c>
    </row>
    <row r="2044" spans="1:9" x14ac:dyDescent="0.4">
      <c r="A2044">
        <v>3050000</v>
      </c>
      <c r="B2044" t="s">
        <v>3529</v>
      </c>
      <c r="C2044" s="1">
        <v>31974</v>
      </c>
      <c r="D2044" t="s">
        <v>3530</v>
      </c>
      <c r="E2044" t="str">
        <f t="shared" si="95"/>
        <v>서울특별시</v>
      </c>
      <c r="F2044" t="str">
        <f t="shared" si="96"/>
        <v>동대문구</v>
      </c>
      <c r="G2044" t="str">
        <f t="shared" si="99"/>
        <v>답십리동</v>
      </c>
    </row>
    <row r="2045" spans="1:9" x14ac:dyDescent="0.4">
      <c r="A2045">
        <v>3050000</v>
      </c>
      <c r="B2045" t="s">
        <v>3703</v>
      </c>
      <c r="C2045" s="1">
        <v>28487</v>
      </c>
      <c r="D2045" t="s">
        <v>3704</v>
      </c>
      <c r="E2045" t="str">
        <f t="shared" si="95"/>
        <v>서울특별시</v>
      </c>
      <c r="F2045" t="str">
        <f t="shared" si="96"/>
        <v>동대문구</v>
      </c>
      <c r="G2045" t="str">
        <f t="shared" si="99"/>
        <v>답십리동</v>
      </c>
    </row>
    <row r="2046" spans="1:9" x14ac:dyDescent="0.4">
      <c r="A2046">
        <v>3050000</v>
      </c>
      <c r="B2046" t="s">
        <v>3555</v>
      </c>
      <c r="C2046" s="1">
        <v>32504</v>
      </c>
      <c r="D2046" t="s">
        <v>3556</v>
      </c>
      <c r="E2046" t="str">
        <f t="shared" si="95"/>
        <v>서울특별시</v>
      </c>
      <c r="F2046" t="str">
        <f t="shared" si="96"/>
        <v>동대문구</v>
      </c>
      <c r="G2046" t="str">
        <f t="shared" si="99"/>
        <v>답십리동</v>
      </c>
    </row>
    <row r="2047" spans="1:9" x14ac:dyDescent="0.4">
      <c r="A2047">
        <v>3050000</v>
      </c>
      <c r="B2047" t="s">
        <v>3422</v>
      </c>
      <c r="C2047" s="1">
        <v>33250</v>
      </c>
      <c r="D2047" t="s">
        <v>3423</v>
      </c>
      <c r="E2047" t="str">
        <f t="shared" si="95"/>
        <v>서울특별시</v>
      </c>
      <c r="F2047" t="str">
        <f t="shared" si="96"/>
        <v>동대문구</v>
      </c>
      <c r="G2047" t="str">
        <f t="shared" si="99"/>
        <v>답십리동</v>
      </c>
    </row>
    <row r="2048" spans="1:9" x14ac:dyDescent="0.4">
      <c r="A2048">
        <v>3050000</v>
      </c>
      <c r="B2048" t="s">
        <v>3408</v>
      </c>
      <c r="C2048" s="1">
        <v>32932</v>
      </c>
      <c r="D2048" t="s">
        <v>3409</v>
      </c>
      <c r="E2048" t="str">
        <f t="shared" si="95"/>
        <v>서울특별시</v>
      </c>
      <c r="F2048" t="str">
        <f t="shared" si="96"/>
        <v>동대문구</v>
      </c>
      <c r="G2048" t="str">
        <f t="shared" si="99"/>
        <v>답십리동</v>
      </c>
    </row>
    <row r="2049" spans="1:9" x14ac:dyDescent="0.4">
      <c r="A2049">
        <v>3050000</v>
      </c>
      <c r="B2049" t="s">
        <v>3533</v>
      </c>
      <c r="C2049" s="1">
        <v>32112</v>
      </c>
      <c r="D2049" t="s">
        <v>3534</v>
      </c>
      <c r="E2049" t="str">
        <f t="shared" si="95"/>
        <v>서울특별시</v>
      </c>
      <c r="F2049" t="str">
        <f t="shared" si="96"/>
        <v>동대문구</v>
      </c>
      <c r="G2049" t="str">
        <f t="shared" si="99"/>
        <v>답십리동</v>
      </c>
    </row>
    <row r="2050" spans="1:9" x14ac:dyDescent="0.4">
      <c r="A2050">
        <v>3050000</v>
      </c>
      <c r="B2050" t="s">
        <v>3700</v>
      </c>
      <c r="C2050" s="1">
        <v>28258</v>
      </c>
      <c r="D2050" t="s">
        <v>3701</v>
      </c>
      <c r="E2050" t="str">
        <f t="shared" si="95"/>
        <v>서울특별시</v>
      </c>
      <c r="F2050" t="str">
        <f t="shared" si="96"/>
        <v>동대문구</v>
      </c>
      <c r="G2050" t="str">
        <f t="shared" si="99"/>
        <v>답십리동</v>
      </c>
      <c r="H2050" t="s">
        <v>3702</v>
      </c>
      <c r="I2050">
        <v>2597</v>
      </c>
    </row>
    <row r="2051" spans="1:9" x14ac:dyDescent="0.4">
      <c r="A2051">
        <v>3050000</v>
      </c>
      <c r="B2051" t="s">
        <v>3446</v>
      </c>
      <c r="C2051" s="1">
        <v>37377</v>
      </c>
      <c r="D2051" t="s">
        <v>3447</v>
      </c>
      <c r="E2051" t="str">
        <f t="shared" ref="E2051:E2114" si="100">LEFT(D2051,5)</f>
        <v>서울특별시</v>
      </c>
      <c r="F2051" t="str">
        <f t="shared" ref="F2051:F2114" si="101">MID(D2051,7,4)</f>
        <v>동대문구</v>
      </c>
      <c r="G2051" t="str">
        <f t="shared" si="99"/>
        <v>답십리동</v>
      </c>
    </row>
    <row r="2052" spans="1:9" x14ac:dyDescent="0.4">
      <c r="A2052">
        <v>3050000</v>
      </c>
      <c r="B2052" t="s">
        <v>3612</v>
      </c>
      <c r="C2052" s="1">
        <v>30944</v>
      </c>
      <c r="D2052" t="s">
        <v>3447</v>
      </c>
      <c r="E2052" t="str">
        <f t="shared" si="100"/>
        <v>서울특별시</v>
      </c>
      <c r="F2052" t="str">
        <f t="shared" si="101"/>
        <v>동대문구</v>
      </c>
      <c r="G2052" t="str">
        <f t="shared" si="99"/>
        <v>답십리동</v>
      </c>
    </row>
    <row r="2053" spans="1:9" x14ac:dyDescent="0.4">
      <c r="A2053">
        <v>3050000</v>
      </c>
      <c r="B2053" t="s">
        <v>3670</v>
      </c>
      <c r="C2053" s="1">
        <v>30102</v>
      </c>
      <c r="D2053" t="s">
        <v>3447</v>
      </c>
      <c r="E2053" t="str">
        <f t="shared" si="100"/>
        <v>서울특별시</v>
      </c>
      <c r="F2053" t="str">
        <f t="shared" si="101"/>
        <v>동대문구</v>
      </c>
      <c r="G2053" t="str">
        <f t="shared" si="99"/>
        <v>답십리동</v>
      </c>
      <c r="H2053" t="s">
        <v>3671</v>
      </c>
      <c r="I2053">
        <v>2622</v>
      </c>
    </row>
    <row r="2054" spans="1:9" x14ac:dyDescent="0.4">
      <c r="A2054">
        <v>3050000</v>
      </c>
      <c r="B2054" t="s">
        <v>3430</v>
      </c>
      <c r="C2054" s="1">
        <v>36498</v>
      </c>
      <c r="D2054" t="s">
        <v>3431</v>
      </c>
      <c r="E2054" t="str">
        <f t="shared" si="100"/>
        <v>서울특별시</v>
      </c>
      <c r="F2054" t="str">
        <f t="shared" si="101"/>
        <v>동대문구</v>
      </c>
      <c r="G2054" t="str">
        <f t="shared" si="99"/>
        <v>답십리동</v>
      </c>
    </row>
    <row r="2055" spans="1:9" x14ac:dyDescent="0.4">
      <c r="A2055">
        <v>3050000</v>
      </c>
      <c r="B2055" t="s">
        <v>3740</v>
      </c>
      <c r="C2055" s="1">
        <v>37011</v>
      </c>
      <c r="D2055" t="s">
        <v>3741</v>
      </c>
      <c r="E2055" t="str">
        <f t="shared" si="100"/>
        <v>서울특별시</v>
      </c>
      <c r="F2055" t="str">
        <f t="shared" si="101"/>
        <v>동대문구</v>
      </c>
      <c r="G2055" t="str">
        <f t="shared" si="99"/>
        <v>답십리동</v>
      </c>
      <c r="H2055" t="s">
        <v>3742</v>
      </c>
      <c r="I2055">
        <v>2604</v>
      </c>
    </row>
    <row r="2056" spans="1:9" x14ac:dyDescent="0.4">
      <c r="A2056">
        <v>3050000</v>
      </c>
      <c r="B2056" t="s">
        <v>3290</v>
      </c>
      <c r="C2056" s="1">
        <v>39428</v>
      </c>
      <c r="D2056" t="s">
        <v>3291</v>
      </c>
      <c r="E2056" t="str">
        <f t="shared" si="100"/>
        <v>서울특별시</v>
      </c>
      <c r="F2056" t="str">
        <f t="shared" si="101"/>
        <v>동대문구</v>
      </c>
      <c r="G2056" t="str">
        <f t="shared" si="99"/>
        <v>답십리동</v>
      </c>
      <c r="H2056" t="s">
        <v>3292</v>
      </c>
      <c r="I2056">
        <v>2604</v>
      </c>
    </row>
    <row r="2057" spans="1:9" x14ac:dyDescent="0.4">
      <c r="A2057">
        <v>3050000</v>
      </c>
      <c r="B2057" t="s">
        <v>3527</v>
      </c>
      <c r="C2057" s="1">
        <v>31953</v>
      </c>
      <c r="D2057" t="s">
        <v>3528</v>
      </c>
      <c r="E2057" t="str">
        <f t="shared" si="100"/>
        <v>서울특별시</v>
      </c>
      <c r="F2057" t="str">
        <f t="shared" si="101"/>
        <v>동대문구</v>
      </c>
      <c r="G2057" t="str">
        <f t="shared" si="99"/>
        <v>답십리동</v>
      </c>
    </row>
    <row r="2058" spans="1:9" x14ac:dyDescent="0.4">
      <c r="A2058">
        <v>3050000</v>
      </c>
      <c r="B2058" t="s">
        <v>3516</v>
      </c>
      <c r="C2058" s="1">
        <v>31865</v>
      </c>
      <c r="D2058" t="s">
        <v>3517</v>
      </c>
      <c r="E2058" t="str">
        <f t="shared" si="100"/>
        <v>서울특별시</v>
      </c>
      <c r="F2058" t="str">
        <f t="shared" si="101"/>
        <v>동대문구</v>
      </c>
      <c r="G2058" t="str">
        <f t="shared" si="99"/>
        <v>답십리동</v>
      </c>
      <c r="H2058" t="s">
        <v>3518</v>
      </c>
      <c r="I2058">
        <v>2604</v>
      </c>
    </row>
    <row r="2059" spans="1:9" x14ac:dyDescent="0.4">
      <c r="A2059">
        <v>3050000</v>
      </c>
      <c r="B2059" t="s">
        <v>3501</v>
      </c>
      <c r="C2059" s="1">
        <v>37627</v>
      </c>
      <c r="D2059" t="s">
        <v>3502</v>
      </c>
      <c r="E2059" t="str">
        <f t="shared" si="100"/>
        <v>서울특별시</v>
      </c>
      <c r="F2059" t="str">
        <f t="shared" si="101"/>
        <v>동대문구</v>
      </c>
      <c r="G2059" t="str">
        <f t="shared" si="99"/>
        <v>답십리동</v>
      </c>
      <c r="H2059" t="s">
        <v>3503</v>
      </c>
      <c r="I2059">
        <v>2603</v>
      </c>
    </row>
    <row r="2060" spans="1:9" x14ac:dyDescent="0.4">
      <c r="A2060">
        <v>3050000</v>
      </c>
      <c r="B2060" t="s">
        <v>3605</v>
      </c>
      <c r="C2060" s="1">
        <v>36528</v>
      </c>
      <c r="D2060" t="s">
        <v>3606</v>
      </c>
      <c r="E2060" t="str">
        <f t="shared" si="100"/>
        <v>서울특별시</v>
      </c>
      <c r="F2060" t="str">
        <f t="shared" si="101"/>
        <v>동대문구</v>
      </c>
      <c r="G2060" t="str">
        <f t="shared" si="99"/>
        <v>답십리동</v>
      </c>
    </row>
    <row r="2061" spans="1:9" x14ac:dyDescent="0.4">
      <c r="A2061">
        <v>3050000</v>
      </c>
      <c r="B2061" t="s">
        <v>3569</v>
      </c>
      <c r="C2061" s="1">
        <v>37224</v>
      </c>
      <c r="D2061" t="s">
        <v>3570</v>
      </c>
      <c r="E2061" t="str">
        <f t="shared" si="100"/>
        <v>서울특별시</v>
      </c>
      <c r="F2061" t="str">
        <f t="shared" si="101"/>
        <v>동대문구</v>
      </c>
      <c r="G2061" t="str">
        <f t="shared" si="99"/>
        <v>답십리동</v>
      </c>
      <c r="H2061" t="s">
        <v>3571</v>
      </c>
    </row>
    <row r="2062" spans="1:9" x14ac:dyDescent="0.4">
      <c r="A2062">
        <v>3050000</v>
      </c>
      <c r="B2062" t="s">
        <v>3559</v>
      </c>
      <c r="C2062" s="1">
        <v>33268</v>
      </c>
      <c r="D2062" t="s">
        <v>3560</v>
      </c>
      <c r="E2062" t="str">
        <f t="shared" si="100"/>
        <v>서울특별시</v>
      </c>
      <c r="F2062" t="str">
        <f t="shared" si="101"/>
        <v>동대문구</v>
      </c>
      <c r="G2062" t="str">
        <f t="shared" si="99"/>
        <v>답십리동</v>
      </c>
    </row>
    <row r="2063" spans="1:9" x14ac:dyDescent="0.4">
      <c r="A2063">
        <v>3050000</v>
      </c>
      <c r="B2063" t="s">
        <v>3642</v>
      </c>
      <c r="C2063" s="1">
        <v>39283</v>
      </c>
      <c r="D2063" t="s">
        <v>3643</v>
      </c>
      <c r="E2063" t="str">
        <f t="shared" si="100"/>
        <v>서울특별시</v>
      </c>
      <c r="F2063" t="str">
        <f t="shared" si="101"/>
        <v>동대문구</v>
      </c>
      <c r="G2063" t="str">
        <f t="shared" si="99"/>
        <v>답십리동</v>
      </c>
    </row>
    <row r="2064" spans="1:9" x14ac:dyDescent="0.4">
      <c r="A2064">
        <v>3050000</v>
      </c>
      <c r="B2064" t="s">
        <v>3680</v>
      </c>
      <c r="C2064" s="1">
        <v>40477</v>
      </c>
      <c r="D2064" t="s">
        <v>3643</v>
      </c>
      <c r="E2064" t="str">
        <f t="shared" si="100"/>
        <v>서울특별시</v>
      </c>
      <c r="F2064" t="str">
        <f t="shared" si="101"/>
        <v>동대문구</v>
      </c>
      <c r="G2064" t="str">
        <f t="shared" si="99"/>
        <v>답십리동</v>
      </c>
    </row>
    <row r="2065" spans="1:9" x14ac:dyDescent="0.4">
      <c r="A2065">
        <v>3050000</v>
      </c>
      <c r="B2065" t="s">
        <v>3726</v>
      </c>
      <c r="C2065" s="1">
        <v>31702</v>
      </c>
      <c r="D2065" t="s">
        <v>3727</v>
      </c>
      <c r="E2065" t="str">
        <f t="shared" si="100"/>
        <v>서울특별시</v>
      </c>
      <c r="F2065" t="str">
        <f t="shared" si="101"/>
        <v>동대문구</v>
      </c>
      <c r="G2065" t="str">
        <f t="shared" si="99"/>
        <v>답십리동</v>
      </c>
    </row>
    <row r="2066" spans="1:9" x14ac:dyDescent="0.4">
      <c r="A2066">
        <v>3050000</v>
      </c>
      <c r="B2066" t="s">
        <v>3416</v>
      </c>
      <c r="C2066" s="1">
        <v>30960</v>
      </c>
      <c r="D2066" t="s">
        <v>3417</v>
      </c>
      <c r="E2066" t="str">
        <f t="shared" si="100"/>
        <v>서울특별시</v>
      </c>
      <c r="F2066" t="str">
        <f t="shared" si="101"/>
        <v>동대문구</v>
      </c>
      <c r="G2066" t="str">
        <f t="shared" si="99"/>
        <v>답십리동</v>
      </c>
      <c r="H2066" t="s">
        <v>3418</v>
      </c>
    </row>
    <row r="2067" spans="1:9" x14ac:dyDescent="0.4">
      <c r="A2067">
        <v>3050000</v>
      </c>
      <c r="B2067" t="s">
        <v>3676</v>
      </c>
      <c r="C2067" s="1">
        <v>30432</v>
      </c>
      <c r="D2067" t="s">
        <v>3417</v>
      </c>
      <c r="E2067" t="str">
        <f t="shared" si="100"/>
        <v>서울특별시</v>
      </c>
      <c r="F2067" t="str">
        <f t="shared" si="101"/>
        <v>동대문구</v>
      </c>
      <c r="G2067" t="str">
        <f t="shared" si="99"/>
        <v>답십리동</v>
      </c>
    </row>
    <row r="2068" spans="1:9" x14ac:dyDescent="0.4">
      <c r="A2068">
        <v>3050000</v>
      </c>
      <c r="B2068" t="s">
        <v>3661</v>
      </c>
      <c r="C2068" s="1">
        <v>38839</v>
      </c>
      <c r="D2068" t="s">
        <v>3662</v>
      </c>
      <c r="E2068" t="str">
        <f t="shared" si="100"/>
        <v>서울특별시</v>
      </c>
      <c r="F2068" t="str">
        <f t="shared" si="101"/>
        <v>동대문구</v>
      </c>
      <c r="G2068" t="str">
        <f t="shared" si="99"/>
        <v>답십리동</v>
      </c>
    </row>
    <row r="2069" spans="1:9" x14ac:dyDescent="0.4">
      <c r="A2069">
        <v>3050000</v>
      </c>
      <c r="B2069" t="s">
        <v>3714</v>
      </c>
      <c r="C2069" s="1">
        <v>40428</v>
      </c>
      <c r="D2069" t="s">
        <v>3715</v>
      </c>
      <c r="E2069" t="str">
        <f t="shared" si="100"/>
        <v>서울특별시</v>
      </c>
      <c r="F2069" t="str">
        <f t="shared" si="101"/>
        <v>동대문구</v>
      </c>
      <c r="G2069" t="str">
        <f t="shared" si="99"/>
        <v>답십리동</v>
      </c>
      <c r="H2069" t="s">
        <v>3716</v>
      </c>
    </row>
    <row r="2070" spans="1:9" x14ac:dyDescent="0.4">
      <c r="A2070">
        <v>3050000</v>
      </c>
      <c r="B2070" t="s">
        <v>3381</v>
      </c>
      <c r="C2070" s="1">
        <v>30818</v>
      </c>
      <c r="D2070" t="s">
        <v>3382</v>
      </c>
      <c r="E2070" t="str">
        <f t="shared" si="100"/>
        <v>서울특별시</v>
      </c>
      <c r="F2070" t="str">
        <f t="shared" si="101"/>
        <v>동대문구</v>
      </c>
      <c r="G2070" t="str">
        <f t="shared" si="99"/>
        <v>답십리동</v>
      </c>
    </row>
    <row r="2071" spans="1:9" x14ac:dyDescent="0.4">
      <c r="A2071">
        <v>3050000</v>
      </c>
      <c r="B2071" t="s">
        <v>3413</v>
      </c>
      <c r="C2071" s="1">
        <v>33185</v>
      </c>
      <c r="D2071" t="s">
        <v>3382</v>
      </c>
      <c r="E2071" t="str">
        <f t="shared" si="100"/>
        <v>서울특별시</v>
      </c>
      <c r="F2071" t="str">
        <f t="shared" si="101"/>
        <v>동대문구</v>
      </c>
      <c r="G2071" t="str">
        <f t="shared" si="99"/>
        <v>답십리동</v>
      </c>
    </row>
    <row r="2072" spans="1:9" x14ac:dyDescent="0.4">
      <c r="A2072">
        <v>3050000</v>
      </c>
      <c r="B2072" t="s">
        <v>3521</v>
      </c>
      <c r="C2072" s="1">
        <v>36819</v>
      </c>
      <c r="D2072" t="s">
        <v>3382</v>
      </c>
      <c r="E2072" t="str">
        <f t="shared" si="100"/>
        <v>서울특별시</v>
      </c>
      <c r="F2072" t="str">
        <f t="shared" si="101"/>
        <v>동대문구</v>
      </c>
      <c r="G2072" t="str">
        <f t="shared" si="99"/>
        <v>답십리동</v>
      </c>
    </row>
    <row r="2073" spans="1:9" x14ac:dyDescent="0.4">
      <c r="A2073">
        <v>3050000</v>
      </c>
      <c r="B2073" t="s">
        <v>3574</v>
      </c>
      <c r="C2073" s="1">
        <v>36882</v>
      </c>
      <c r="D2073" t="s">
        <v>3382</v>
      </c>
      <c r="E2073" t="str">
        <f t="shared" si="100"/>
        <v>서울특별시</v>
      </c>
      <c r="F2073" t="str">
        <f t="shared" si="101"/>
        <v>동대문구</v>
      </c>
      <c r="G2073" t="str">
        <f t="shared" si="99"/>
        <v>답십리동</v>
      </c>
    </row>
    <row r="2074" spans="1:9" x14ac:dyDescent="0.4">
      <c r="A2074">
        <v>3050000</v>
      </c>
      <c r="B2074" t="s">
        <v>3629</v>
      </c>
      <c r="C2074" s="1">
        <v>31227</v>
      </c>
      <c r="D2074" t="s">
        <v>3630</v>
      </c>
      <c r="E2074" t="str">
        <f t="shared" si="100"/>
        <v>서울특별시</v>
      </c>
      <c r="F2074" t="str">
        <f t="shared" si="101"/>
        <v>동대문구</v>
      </c>
      <c r="G2074" t="str">
        <f t="shared" si="99"/>
        <v>답십리동</v>
      </c>
    </row>
    <row r="2075" spans="1:9" x14ac:dyDescent="0.4">
      <c r="A2075">
        <v>3050000</v>
      </c>
      <c r="B2075" t="s">
        <v>3383</v>
      </c>
      <c r="C2075" s="1">
        <v>30830</v>
      </c>
      <c r="D2075" t="s">
        <v>3384</v>
      </c>
      <c r="E2075" t="str">
        <f t="shared" si="100"/>
        <v>서울특별시</v>
      </c>
      <c r="F2075" t="str">
        <f t="shared" si="101"/>
        <v>동대문구</v>
      </c>
      <c r="G2075" t="str">
        <f t="shared" si="99"/>
        <v>답십리동</v>
      </c>
    </row>
    <row r="2076" spans="1:9" x14ac:dyDescent="0.4">
      <c r="A2076">
        <v>3050000</v>
      </c>
      <c r="B2076" t="s">
        <v>3634</v>
      </c>
      <c r="C2076" s="1">
        <v>31275</v>
      </c>
      <c r="D2076" t="s">
        <v>3635</v>
      </c>
      <c r="E2076" t="str">
        <f t="shared" si="100"/>
        <v>서울특별시</v>
      </c>
      <c r="F2076" t="str">
        <f t="shared" si="101"/>
        <v>동대문구</v>
      </c>
      <c r="G2076" t="str">
        <f t="shared" si="99"/>
        <v>답십리동</v>
      </c>
    </row>
    <row r="2077" spans="1:9" x14ac:dyDescent="0.4">
      <c r="A2077">
        <v>3050000</v>
      </c>
      <c r="B2077" t="s">
        <v>3705</v>
      </c>
      <c r="C2077" s="1">
        <v>29193</v>
      </c>
      <c r="D2077" t="s">
        <v>3706</v>
      </c>
      <c r="E2077" t="str">
        <f t="shared" si="100"/>
        <v>서울특별시</v>
      </c>
      <c r="F2077" t="str">
        <f t="shared" si="101"/>
        <v>동대문구</v>
      </c>
      <c r="G2077" t="str">
        <f t="shared" si="99"/>
        <v>답십리동</v>
      </c>
    </row>
    <row r="2078" spans="1:9" x14ac:dyDescent="0.4">
      <c r="A2078">
        <v>3050000</v>
      </c>
      <c r="B2078" t="s">
        <v>3755</v>
      </c>
      <c r="C2078" s="1">
        <v>31012</v>
      </c>
      <c r="D2078" t="s">
        <v>3756</v>
      </c>
      <c r="E2078" t="str">
        <f t="shared" si="100"/>
        <v>서울특별시</v>
      </c>
      <c r="F2078" t="str">
        <f t="shared" si="101"/>
        <v>동대문구</v>
      </c>
      <c r="G2078" t="str">
        <f t="shared" si="99"/>
        <v>답십리동</v>
      </c>
    </row>
    <row r="2079" spans="1:9" x14ac:dyDescent="0.4">
      <c r="A2079">
        <v>3050000</v>
      </c>
      <c r="B2079" t="s">
        <v>3323</v>
      </c>
      <c r="C2079" s="1">
        <v>40144</v>
      </c>
      <c r="D2079" t="s">
        <v>3324</v>
      </c>
      <c r="E2079" t="str">
        <f t="shared" si="100"/>
        <v>서울특별시</v>
      </c>
      <c r="F2079" t="str">
        <f t="shared" si="101"/>
        <v>동대문구</v>
      </c>
      <c r="G2079" t="str">
        <f t="shared" si="99"/>
        <v>답십리동</v>
      </c>
      <c r="H2079" t="s">
        <v>3325</v>
      </c>
      <c r="I2079">
        <v>2622</v>
      </c>
    </row>
    <row r="2080" spans="1:9" x14ac:dyDescent="0.4">
      <c r="A2080">
        <v>3050000</v>
      </c>
      <c r="B2080" t="s">
        <v>3493</v>
      </c>
      <c r="C2080" s="1">
        <v>33212</v>
      </c>
      <c r="D2080" t="s">
        <v>3494</v>
      </c>
      <c r="E2080" t="str">
        <f t="shared" si="100"/>
        <v>서울특별시</v>
      </c>
      <c r="F2080" t="str">
        <f t="shared" si="101"/>
        <v>동대문구</v>
      </c>
      <c r="G2080" t="str">
        <f t="shared" si="99"/>
        <v>답십리동</v>
      </c>
      <c r="H2080" t="s">
        <v>3325</v>
      </c>
      <c r="I2080">
        <v>2622</v>
      </c>
    </row>
    <row r="2081" spans="1:9" x14ac:dyDescent="0.4">
      <c r="A2081">
        <v>3050000</v>
      </c>
      <c r="B2081" t="s">
        <v>3495</v>
      </c>
      <c r="C2081" s="1">
        <v>36299</v>
      </c>
      <c r="D2081" t="s">
        <v>3496</v>
      </c>
      <c r="E2081" t="str">
        <f t="shared" si="100"/>
        <v>서울특별시</v>
      </c>
      <c r="F2081" t="str">
        <f t="shared" si="101"/>
        <v>동대문구</v>
      </c>
      <c r="G2081" t="str">
        <f t="shared" si="99"/>
        <v>답십리동</v>
      </c>
      <c r="H2081" t="s">
        <v>3497</v>
      </c>
      <c r="I2081">
        <v>2622</v>
      </c>
    </row>
    <row r="2082" spans="1:9" x14ac:dyDescent="0.4">
      <c r="A2082">
        <v>3050000</v>
      </c>
      <c r="B2082" t="s">
        <v>3299</v>
      </c>
      <c r="C2082" s="1">
        <v>30436</v>
      </c>
      <c r="D2082" t="s">
        <v>3300</v>
      </c>
      <c r="E2082" t="str">
        <f t="shared" si="100"/>
        <v>서울특별시</v>
      </c>
      <c r="F2082" t="str">
        <f t="shared" si="101"/>
        <v>동대문구</v>
      </c>
      <c r="G2082" t="str">
        <f t="shared" si="99"/>
        <v>답십리동</v>
      </c>
      <c r="H2082" t="s">
        <v>3301</v>
      </c>
      <c r="I2082">
        <v>2622</v>
      </c>
    </row>
    <row r="2083" spans="1:9" x14ac:dyDescent="0.4">
      <c r="A2083">
        <v>3050000</v>
      </c>
      <c r="B2083" t="s">
        <v>3610</v>
      </c>
      <c r="C2083" s="1">
        <v>30924</v>
      </c>
      <c r="D2083" t="s">
        <v>3611</v>
      </c>
      <c r="E2083" t="str">
        <f t="shared" si="100"/>
        <v>서울특별시</v>
      </c>
      <c r="F2083" t="str">
        <f t="shared" si="101"/>
        <v>동대문구</v>
      </c>
      <c r="G2083" t="str">
        <f t="shared" si="99"/>
        <v>답십리동</v>
      </c>
    </row>
    <row r="2084" spans="1:9" x14ac:dyDescent="0.4">
      <c r="A2084">
        <v>3050000</v>
      </c>
      <c r="B2084" t="s">
        <v>3506</v>
      </c>
      <c r="C2084" s="1">
        <v>31721</v>
      </c>
      <c r="D2084" t="s">
        <v>3507</v>
      </c>
      <c r="E2084" t="str">
        <f t="shared" si="100"/>
        <v>서울특별시</v>
      </c>
      <c r="F2084" t="str">
        <f t="shared" si="101"/>
        <v>동대문구</v>
      </c>
      <c r="G2084" t="str">
        <f t="shared" si="99"/>
        <v>답십리동</v>
      </c>
    </row>
    <row r="2085" spans="1:9" x14ac:dyDescent="0.4">
      <c r="A2085">
        <v>3050000</v>
      </c>
      <c r="B2085" t="s">
        <v>3646</v>
      </c>
      <c r="C2085" s="1">
        <v>25325</v>
      </c>
      <c r="D2085" t="s">
        <v>3647</v>
      </c>
      <c r="E2085" t="str">
        <f t="shared" si="100"/>
        <v>서울특별시</v>
      </c>
      <c r="F2085" t="str">
        <f t="shared" si="101"/>
        <v>동대문구</v>
      </c>
      <c r="G2085" t="str">
        <f>MID(SUBSTITUTE(D2085," ",""),10,3)</f>
        <v>신설동</v>
      </c>
      <c r="H2085" t="s">
        <v>3648</v>
      </c>
      <c r="I2085">
        <v>2580</v>
      </c>
    </row>
    <row r="2086" spans="1:9" x14ac:dyDescent="0.4">
      <c r="A2086">
        <v>3050000</v>
      </c>
      <c r="B2086" t="s">
        <v>3746</v>
      </c>
      <c r="C2086" s="1">
        <v>42570</v>
      </c>
      <c r="D2086" t="s">
        <v>3747</v>
      </c>
      <c r="E2086" t="str">
        <f t="shared" si="100"/>
        <v>서울특별시</v>
      </c>
      <c r="F2086" t="str">
        <f t="shared" si="101"/>
        <v>동대문구</v>
      </c>
      <c r="G2086" t="str">
        <f t="shared" ref="G2086:G2149" si="102">MID(SUBSTITUTE(D2086," ",""),10,3)</f>
        <v>신설동</v>
      </c>
      <c r="H2086" t="s">
        <v>3748</v>
      </c>
      <c r="I2086">
        <v>2580</v>
      </c>
    </row>
    <row r="2087" spans="1:9" x14ac:dyDescent="0.4">
      <c r="A2087">
        <v>3050000</v>
      </c>
      <c r="B2087" t="s">
        <v>3717</v>
      </c>
      <c r="C2087" s="1">
        <v>26985</v>
      </c>
      <c r="D2087" t="s">
        <v>3718</v>
      </c>
      <c r="E2087" t="str">
        <f t="shared" si="100"/>
        <v>서울특별시</v>
      </c>
      <c r="F2087" t="str">
        <f t="shared" si="101"/>
        <v>동대문구</v>
      </c>
      <c r="G2087" t="str">
        <f t="shared" si="102"/>
        <v>신설동</v>
      </c>
    </row>
    <row r="2088" spans="1:9" x14ac:dyDescent="0.4">
      <c r="A2088">
        <v>3050000</v>
      </c>
      <c r="B2088" t="s">
        <v>3487</v>
      </c>
      <c r="C2088" s="1">
        <v>30949</v>
      </c>
      <c r="D2088" t="s">
        <v>3488</v>
      </c>
      <c r="E2088" t="str">
        <f t="shared" si="100"/>
        <v>서울특별시</v>
      </c>
      <c r="F2088" t="str">
        <f t="shared" si="101"/>
        <v>동대문구</v>
      </c>
      <c r="G2088" t="str">
        <f t="shared" si="102"/>
        <v>신설동</v>
      </c>
      <c r="H2088" t="s">
        <v>3489</v>
      </c>
      <c r="I2088">
        <v>2580</v>
      </c>
    </row>
    <row r="2089" spans="1:9" x14ac:dyDescent="0.4">
      <c r="A2089">
        <v>3050000</v>
      </c>
      <c r="B2089" t="s">
        <v>3281</v>
      </c>
      <c r="C2089" s="1">
        <v>37225</v>
      </c>
      <c r="D2089" t="s">
        <v>3282</v>
      </c>
      <c r="E2089" t="str">
        <f t="shared" si="100"/>
        <v>서울특별시</v>
      </c>
      <c r="F2089" t="str">
        <f t="shared" si="101"/>
        <v>동대문구</v>
      </c>
      <c r="G2089" t="str">
        <f t="shared" si="102"/>
        <v>용두동</v>
      </c>
      <c r="H2089" t="s">
        <v>3283</v>
      </c>
      <c r="I2089">
        <v>2560</v>
      </c>
    </row>
    <row r="2090" spans="1:9" x14ac:dyDescent="0.4">
      <c r="A2090">
        <v>3050000</v>
      </c>
      <c r="B2090" t="s">
        <v>3305</v>
      </c>
      <c r="C2090" s="1">
        <v>41187</v>
      </c>
      <c r="D2090" t="s">
        <v>3306</v>
      </c>
      <c r="E2090" t="str">
        <f t="shared" si="100"/>
        <v>서울특별시</v>
      </c>
      <c r="F2090" t="str">
        <f t="shared" si="101"/>
        <v>동대문구</v>
      </c>
      <c r="G2090" t="str">
        <f t="shared" si="102"/>
        <v>용두동</v>
      </c>
      <c r="H2090" t="s">
        <v>3307</v>
      </c>
      <c r="I2090">
        <v>2560</v>
      </c>
    </row>
    <row r="2091" spans="1:9" x14ac:dyDescent="0.4">
      <c r="A2091">
        <v>3050000</v>
      </c>
      <c r="B2091" t="s">
        <v>3542</v>
      </c>
      <c r="C2091" s="1">
        <v>32221</v>
      </c>
      <c r="D2091" t="s">
        <v>3543</v>
      </c>
      <c r="E2091" t="str">
        <f t="shared" si="100"/>
        <v>서울특별시</v>
      </c>
      <c r="F2091" t="str">
        <f t="shared" si="101"/>
        <v>동대문구</v>
      </c>
      <c r="G2091" t="str">
        <f t="shared" si="102"/>
        <v>용두동</v>
      </c>
    </row>
    <row r="2092" spans="1:9" x14ac:dyDescent="0.4">
      <c r="A2092">
        <v>3050000</v>
      </c>
      <c r="B2092" t="s">
        <v>3332</v>
      </c>
      <c r="C2092" s="1">
        <v>26765</v>
      </c>
      <c r="D2092" t="s">
        <v>3333</v>
      </c>
      <c r="E2092" t="str">
        <f t="shared" si="100"/>
        <v>서울특별시</v>
      </c>
      <c r="F2092" t="str">
        <f t="shared" si="101"/>
        <v>동대문구</v>
      </c>
      <c r="G2092" t="str">
        <f t="shared" si="102"/>
        <v>용두동</v>
      </c>
      <c r="H2092" t="s">
        <v>3334</v>
      </c>
      <c r="I2092">
        <v>2590</v>
      </c>
    </row>
    <row r="2093" spans="1:9" x14ac:dyDescent="0.4">
      <c r="A2093">
        <v>3050000</v>
      </c>
      <c r="B2093" t="s">
        <v>3472</v>
      </c>
      <c r="C2093" s="1">
        <v>37162</v>
      </c>
      <c r="D2093" t="s">
        <v>3473</v>
      </c>
      <c r="E2093" t="str">
        <f t="shared" si="100"/>
        <v>서울특별시</v>
      </c>
      <c r="F2093" t="str">
        <f t="shared" si="101"/>
        <v>동대문구</v>
      </c>
      <c r="G2093" t="str">
        <f t="shared" si="102"/>
        <v>용두동</v>
      </c>
      <c r="H2093" t="s">
        <v>3474</v>
      </c>
      <c r="I2093">
        <v>2566</v>
      </c>
    </row>
    <row r="2094" spans="1:9" x14ac:dyDescent="0.4">
      <c r="A2094">
        <v>3050000</v>
      </c>
      <c r="B2094" t="s">
        <v>3672</v>
      </c>
      <c r="C2094" s="1">
        <v>30158</v>
      </c>
      <c r="D2094" t="s">
        <v>3673</v>
      </c>
      <c r="E2094" t="str">
        <f t="shared" si="100"/>
        <v>서울특별시</v>
      </c>
      <c r="F2094" t="str">
        <f t="shared" si="101"/>
        <v>동대문구</v>
      </c>
      <c r="G2094" t="str">
        <f t="shared" si="102"/>
        <v>용두동</v>
      </c>
    </row>
    <row r="2095" spans="1:9" x14ac:dyDescent="0.4">
      <c r="A2095">
        <v>3050000</v>
      </c>
      <c r="B2095" t="s">
        <v>3460</v>
      </c>
      <c r="C2095" s="1">
        <v>36732</v>
      </c>
      <c r="D2095" t="s">
        <v>3461</v>
      </c>
      <c r="E2095" t="str">
        <f t="shared" si="100"/>
        <v>서울특별시</v>
      </c>
      <c r="F2095" t="str">
        <f t="shared" si="101"/>
        <v>동대문구</v>
      </c>
      <c r="G2095" t="str">
        <f t="shared" si="102"/>
        <v>이문동</v>
      </c>
      <c r="H2095" t="s">
        <v>3462</v>
      </c>
      <c r="I2095">
        <v>2412</v>
      </c>
    </row>
    <row r="2096" spans="1:9" x14ac:dyDescent="0.4">
      <c r="A2096">
        <v>3050000</v>
      </c>
      <c r="B2096" t="s">
        <v>3737</v>
      </c>
      <c r="C2096" s="1">
        <v>36974</v>
      </c>
      <c r="D2096" t="s">
        <v>3738</v>
      </c>
      <c r="E2096" t="str">
        <f t="shared" si="100"/>
        <v>서울특별시</v>
      </c>
      <c r="F2096" t="str">
        <f t="shared" si="101"/>
        <v>동대문구</v>
      </c>
      <c r="G2096" t="str">
        <f t="shared" si="102"/>
        <v>이문동</v>
      </c>
      <c r="H2096" t="s">
        <v>3739</v>
      </c>
      <c r="I2096">
        <v>2400</v>
      </c>
    </row>
    <row r="2097" spans="1:9" x14ac:dyDescent="0.4">
      <c r="A2097">
        <v>3050000</v>
      </c>
      <c r="B2097" t="s">
        <v>3619</v>
      </c>
      <c r="C2097" s="1">
        <v>31083</v>
      </c>
      <c r="D2097" t="s">
        <v>3620</v>
      </c>
      <c r="E2097" t="str">
        <f t="shared" si="100"/>
        <v>서울특별시</v>
      </c>
      <c r="F2097" t="str">
        <f t="shared" si="101"/>
        <v>동대문구</v>
      </c>
      <c r="G2097" t="str">
        <f t="shared" si="102"/>
        <v>이문동</v>
      </c>
    </row>
    <row r="2098" spans="1:9" x14ac:dyDescent="0.4">
      <c r="A2098">
        <v>3050000</v>
      </c>
      <c r="B2098" t="s">
        <v>3457</v>
      </c>
      <c r="C2098" s="1">
        <v>31226</v>
      </c>
      <c r="D2098" t="s">
        <v>3458</v>
      </c>
      <c r="E2098" t="str">
        <f t="shared" si="100"/>
        <v>서울특별시</v>
      </c>
      <c r="F2098" t="str">
        <f t="shared" si="101"/>
        <v>동대문구</v>
      </c>
      <c r="G2098" t="str">
        <f t="shared" si="102"/>
        <v>이문동</v>
      </c>
      <c r="H2098" t="s">
        <v>3459</v>
      </c>
      <c r="I2098">
        <v>2406</v>
      </c>
    </row>
    <row r="2099" spans="1:9" x14ac:dyDescent="0.4">
      <c r="A2099">
        <v>3050000</v>
      </c>
      <c r="B2099" t="s">
        <v>3667</v>
      </c>
      <c r="C2099" s="1">
        <v>30057</v>
      </c>
      <c r="D2099" t="s">
        <v>3668</v>
      </c>
      <c r="E2099" t="str">
        <f t="shared" si="100"/>
        <v>서울특별시</v>
      </c>
      <c r="F2099" t="str">
        <f t="shared" si="101"/>
        <v>동대문구</v>
      </c>
      <c r="G2099" t="str">
        <f t="shared" si="102"/>
        <v>장안동</v>
      </c>
      <c r="H2099" t="s">
        <v>3669</v>
      </c>
      <c r="I2099">
        <v>2525</v>
      </c>
    </row>
    <row r="2100" spans="1:9" x14ac:dyDescent="0.4">
      <c r="A2100">
        <v>3050000</v>
      </c>
      <c r="B2100" t="s">
        <v>3335</v>
      </c>
      <c r="C2100" s="1">
        <v>27750</v>
      </c>
      <c r="D2100" t="s">
        <v>3336</v>
      </c>
      <c r="E2100" t="str">
        <f t="shared" si="100"/>
        <v>서울특별시</v>
      </c>
      <c r="F2100" t="str">
        <f t="shared" si="101"/>
        <v>동대문구</v>
      </c>
      <c r="G2100" t="str">
        <f t="shared" si="102"/>
        <v>장안동</v>
      </c>
      <c r="H2100" t="s">
        <v>3337</v>
      </c>
      <c r="I2100">
        <v>2525</v>
      </c>
    </row>
    <row r="2101" spans="1:9" x14ac:dyDescent="0.4">
      <c r="A2101">
        <v>3050000</v>
      </c>
      <c r="B2101" t="s">
        <v>3272</v>
      </c>
      <c r="C2101" s="1">
        <v>37011</v>
      </c>
      <c r="D2101" t="s">
        <v>3273</v>
      </c>
      <c r="E2101" t="str">
        <f t="shared" si="100"/>
        <v>서울특별시</v>
      </c>
      <c r="F2101" t="str">
        <f t="shared" si="101"/>
        <v>동대문구</v>
      </c>
      <c r="G2101" t="str">
        <f t="shared" si="102"/>
        <v>장안동</v>
      </c>
      <c r="H2101" t="s">
        <v>3274</v>
      </c>
      <c r="I2101">
        <v>2637</v>
      </c>
    </row>
    <row r="2102" spans="1:9" x14ac:dyDescent="0.4">
      <c r="A2102">
        <v>3050000</v>
      </c>
      <c r="B2102" t="s">
        <v>3625</v>
      </c>
      <c r="C2102" s="1">
        <v>31169</v>
      </c>
      <c r="D2102" t="s">
        <v>3626</v>
      </c>
      <c r="E2102" t="str">
        <f t="shared" si="100"/>
        <v>서울특별시</v>
      </c>
      <c r="F2102" t="str">
        <f t="shared" si="101"/>
        <v>동대문구</v>
      </c>
      <c r="G2102" t="str">
        <f t="shared" si="102"/>
        <v>장안동</v>
      </c>
      <c r="H2102" t="s">
        <v>3627</v>
      </c>
      <c r="I2102">
        <v>2637</v>
      </c>
    </row>
    <row r="2103" spans="1:9" x14ac:dyDescent="0.4">
      <c r="A2103">
        <v>3050000</v>
      </c>
      <c r="B2103" t="s">
        <v>3275</v>
      </c>
      <c r="C2103" s="1">
        <v>33892</v>
      </c>
      <c r="D2103" t="s">
        <v>3276</v>
      </c>
      <c r="E2103" t="str">
        <f t="shared" si="100"/>
        <v>서울특별시</v>
      </c>
      <c r="F2103" t="str">
        <f t="shared" si="101"/>
        <v>동대문구</v>
      </c>
      <c r="G2103" t="str">
        <f t="shared" si="102"/>
        <v>장안동</v>
      </c>
      <c r="H2103" t="s">
        <v>3277</v>
      </c>
      <c r="I2103">
        <v>2637</v>
      </c>
    </row>
    <row r="2104" spans="1:9" x14ac:dyDescent="0.4">
      <c r="A2104">
        <v>3050000</v>
      </c>
      <c r="B2104" t="s">
        <v>3728</v>
      </c>
      <c r="C2104" s="1">
        <v>37394</v>
      </c>
      <c r="D2104" t="s">
        <v>3729</v>
      </c>
      <c r="E2104" t="str">
        <f t="shared" si="100"/>
        <v>서울특별시</v>
      </c>
      <c r="F2104" t="str">
        <f t="shared" si="101"/>
        <v>동대문구</v>
      </c>
      <c r="G2104" t="str">
        <f t="shared" si="102"/>
        <v>장안동</v>
      </c>
    </row>
    <row r="2105" spans="1:9" x14ac:dyDescent="0.4">
      <c r="A2105">
        <v>3050000</v>
      </c>
      <c r="B2105" t="s">
        <v>3546</v>
      </c>
      <c r="C2105" s="1">
        <v>37036</v>
      </c>
      <c r="D2105" t="s">
        <v>3547</v>
      </c>
      <c r="E2105" t="str">
        <f t="shared" si="100"/>
        <v>서울특별시</v>
      </c>
      <c r="F2105" t="str">
        <f t="shared" si="101"/>
        <v>동대문구</v>
      </c>
      <c r="G2105" t="str">
        <f t="shared" si="102"/>
        <v>장안동</v>
      </c>
    </row>
    <row r="2106" spans="1:9" x14ac:dyDescent="0.4">
      <c r="A2106">
        <v>3050000</v>
      </c>
      <c r="B2106" t="s">
        <v>3734</v>
      </c>
      <c r="C2106" s="1">
        <v>36931</v>
      </c>
      <c r="D2106" t="s">
        <v>3547</v>
      </c>
      <c r="E2106" t="str">
        <f t="shared" si="100"/>
        <v>서울특별시</v>
      </c>
      <c r="F2106" t="str">
        <f t="shared" si="101"/>
        <v>동대문구</v>
      </c>
      <c r="G2106" t="str">
        <f t="shared" si="102"/>
        <v>장안동</v>
      </c>
    </row>
    <row r="2107" spans="1:9" x14ac:dyDescent="0.4">
      <c r="A2107">
        <v>3050000</v>
      </c>
      <c r="B2107" t="s">
        <v>3414</v>
      </c>
      <c r="C2107" s="1">
        <v>30960</v>
      </c>
      <c r="D2107" t="s">
        <v>3415</v>
      </c>
      <c r="E2107" t="str">
        <f t="shared" si="100"/>
        <v>서울특별시</v>
      </c>
      <c r="F2107" t="str">
        <f t="shared" si="101"/>
        <v>동대문구</v>
      </c>
      <c r="G2107" t="str">
        <f t="shared" si="102"/>
        <v>장안동</v>
      </c>
    </row>
    <row r="2108" spans="1:9" x14ac:dyDescent="0.4">
      <c r="A2108">
        <v>3050000</v>
      </c>
      <c r="B2108" t="s">
        <v>3575</v>
      </c>
      <c r="C2108" s="1">
        <v>36882</v>
      </c>
      <c r="D2108" t="s">
        <v>3576</v>
      </c>
      <c r="E2108" t="str">
        <f t="shared" si="100"/>
        <v>서울특별시</v>
      </c>
      <c r="F2108" t="str">
        <f t="shared" si="101"/>
        <v>동대문구</v>
      </c>
      <c r="G2108" t="str">
        <f t="shared" si="102"/>
        <v>장안동</v>
      </c>
      <c r="H2108" t="s">
        <v>3577</v>
      </c>
      <c r="I2108">
        <v>2639</v>
      </c>
    </row>
    <row r="2109" spans="1:9" x14ac:dyDescent="0.4">
      <c r="A2109">
        <v>3050000</v>
      </c>
      <c r="B2109" t="s">
        <v>3711</v>
      </c>
      <c r="C2109" s="1">
        <v>39819</v>
      </c>
      <c r="D2109" t="s">
        <v>3712</v>
      </c>
      <c r="E2109" t="str">
        <f t="shared" si="100"/>
        <v>서울특별시</v>
      </c>
      <c r="F2109" t="str">
        <f t="shared" si="101"/>
        <v>동대문구</v>
      </c>
      <c r="G2109" t="str">
        <f t="shared" si="102"/>
        <v>장안동</v>
      </c>
      <c r="H2109" t="s">
        <v>3713</v>
      </c>
    </row>
    <row r="2110" spans="1:9" x14ac:dyDescent="0.4">
      <c r="A2110">
        <v>3050000</v>
      </c>
      <c r="B2110" t="s">
        <v>3519</v>
      </c>
      <c r="C2110" s="1">
        <v>31883</v>
      </c>
      <c r="D2110" t="s">
        <v>3520</v>
      </c>
      <c r="E2110" t="str">
        <f t="shared" si="100"/>
        <v>서울특별시</v>
      </c>
      <c r="F2110" t="str">
        <f t="shared" si="101"/>
        <v>동대문구</v>
      </c>
      <c r="G2110" t="str">
        <f t="shared" si="102"/>
        <v>장안동</v>
      </c>
    </row>
    <row r="2111" spans="1:9" x14ac:dyDescent="0.4">
      <c r="A2111">
        <v>3050000</v>
      </c>
      <c r="B2111" t="s">
        <v>3764</v>
      </c>
      <c r="C2111" s="1">
        <v>36588</v>
      </c>
      <c r="D2111" t="s">
        <v>3520</v>
      </c>
      <c r="E2111" t="str">
        <f t="shared" si="100"/>
        <v>서울특별시</v>
      </c>
      <c r="F2111" t="str">
        <f t="shared" si="101"/>
        <v>동대문구</v>
      </c>
      <c r="G2111" t="str">
        <f t="shared" si="102"/>
        <v>장안동</v>
      </c>
    </row>
    <row r="2112" spans="1:9" x14ac:dyDescent="0.4">
      <c r="A2112">
        <v>3050000</v>
      </c>
      <c r="B2112" t="s">
        <v>3402</v>
      </c>
      <c r="C2112" s="1">
        <v>43244</v>
      </c>
      <c r="D2112" t="s">
        <v>3403</v>
      </c>
      <c r="E2112" t="str">
        <f t="shared" si="100"/>
        <v>서울특별시</v>
      </c>
      <c r="F2112" t="str">
        <f t="shared" si="101"/>
        <v>동대문구</v>
      </c>
      <c r="G2112" t="str">
        <f t="shared" si="102"/>
        <v>장안동</v>
      </c>
      <c r="H2112" t="s">
        <v>3404</v>
      </c>
    </row>
    <row r="2113" spans="1:9" x14ac:dyDescent="0.4">
      <c r="A2113">
        <v>3050000</v>
      </c>
      <c r="B2113" t="s">
        <v>3531</v>
      </c>
      <c r="C2113" s="1">
        <v>32020</v>
      </c>
      <c r="D2113" t="s">
        <v>3532</v>
      </c>
      <c r="E2113" t="str">
        <f t="shared" si="100"/>
        <v>서울특별시</v>
      </c>
      <c r="F2113" t="str">
        <f t="shared" si="101"/>
        <v>동대문구</v>
      </c>
      <c r="G2113" t="str">
        <f t="shared" si="102"/>
        <v>장안동</v>
      </c>
    </row>
    <row r="2114" spans="1:9" x14ac:dyDescent="0.4">
      <c r="A2114">
        <v>3050000</v>
      </c>
      <c r="B2114" t="s">
        <v>3524</v>
      </c>
      <c r="C2114" s="1">
        <v>31917</v>
      </c>
      <c r="D2114" t="s">
        <v>3525</v>
      </c>
      <c r="E2114" t="str">
        <f t="shared" si="100"/>
        <v>서울특별시</v>
      </c>
      <c r="F2114" t="str">
        <f t="shared" si="101"/>
        <v>동대문구</v>
      </c>
      <c r="G2114" t="str">
        <f t="shared" si="102"/>
        <v>장안동</v>
      </c>
      <c r="H2114" t="s">
        <v>3526</v>
      </c>
      <c r="I2114">
        <v>2639</v>
      </c>
    </row>
    <row r="2115" spans="1:9" x14ac:dyDescent="0.4">
      <c r="A2115">
        <v>3050000</v>
      </c>
      <c r="B2115" t="s">
        <v>3361</v>
      </c>
      <c r="C2115" s="1">
        <v>36846</v>
      </c>
      <c r="D2115" t="s">
        <v>3362</v>
      </c>
      <c r="E2115" t="str">
        <f t="shared" ref="E2115:E2178" si="103">LEFT(D2115,5)</f>
        <v>서울특별시</v>
      </c>
      <c r="F2115" t="str">
        <f t="shared" ref="F2115:F2178" si="104">MID(D2115,7,4)</f>
        <v>동대문구</v>
      </c>
      <c r="G2115" t="str">
        <f t="shared" si="102"/>
        <v>장안동</v>
      </c>
      <c r="H2115" t="s">
        <v>3363</v>
      </c>
      <c r="I2115">
        <v>2639</v>
      </c>
    </row>
    <row r="2116" spans="1:9" x14ac:dyDescent="0.4">
      <c r="A2116">
        <v>3050000</v>
      </c>
      <c r="B2116" t="s">
        <v>3749</v>
      </c>
      <c r="C2116" s="1">
        <v>30979</v>
      </c>
      <c r="D2116" t="s">
        <v>3362</v>
      </c>
      <c r="E2116" t="str">
        <f t="shared" si="103"/>
        <v>서울특별시</v>
      </c>
      <c r="F2116" t="str">
        <f t="shared" si="104"/>
        <v>동대문구</v>
      </c>
      <c r="G2116" t="str">
        <f t="shared" si="102"/>
        <v>장안동</v>
      </c>
    </row>
    <row r="2117" spans="1:9" x14ac:dyDescent="0.4">
      <c r="A2117">
        <v>3050000</v>
      </c>
      <c r="B2117" t="s">
        <v>3686</v>
      </c>
      <c r="C2117" s="1">
        <v>30459</v>
      </c>
      <c r="D2117" t="s">
        <v>3687</v>
      </c>
      <c r="E2117" t="str">
        <f t="shared" si="103"/>
        <v>서울특별시</v>
      </c>
      <c r="F2117" t="str">
        <f t="shared" si="104"/>
        <v>동대문구</v>
      </c>
      <c r="G2117" t="str">
        <f t="shared" si="102"/>
        <v>장안동</v>
      </c>
    </row>
    <row r="2118" spans="1:9" x14ac:dyDescent="0.4">
      <c r="A2118">
        <v>3050000</v>
      </c>
      <c r="B2118" t="s">
        <v>3695</v>
      </c>
      <c r="C2118" s="1">
        <v>41025</v>
      </c>
      <c r="D2118" t="s">
        <v>3687</v>
      </c>
      <c r="E2118" t="str">
        <f t="shared" si="103"/>
        <v>서울특별시</v>
      </c>
      <c r="F2118" t="str">
        <f t="shared" si="104"/>
        <v>동대문구</v>
      </c>
      <c r="G2118" t="str">
        <f t="shared" si="102"/>
        <v>장안동</v>
      </c>
      <c r="H2118" t="s">
        <v>3696</v>
      </c>
    </row>
    <row r="2119" spans="1:9" x14ac:dyDescent="0.4">
      <c r="A2119">
        <v>3050000</v>
      </c>
      <c r="B2119" t="s">
        <v>3377</v>
      </c>
      <c r="C2119" s="1">
        <v>36857</v>
      </c>
      <c r="D2119" t="s">
        <v>3378</v>
      </c>
      <c r="E2119" t="str">
        <f t="shared" si="103"/>
        <v>서울특별시</v>
      </c>
      <c r="F2119" t="str">
        <f t="shared" si="104"/>
        <v>동대문구</v>
      </c>
      <c r="G2119" t="str">
        <f t="shared" si="102"/>
        <v>장안동</v>
      </c>
    </row>
    <row r="2120" spans="1:9" x14ac:dyDescent="0.4">
      <c r="A2120">
        <v>3050000</v>
      </c>
      <c r="B2120" t="s">
        <v>3690</v>
      </c>
      <c r="C2120" s="1">
        <v>40746</v>
      </c>
      <c r="D2120" t="s">
        <v>3691</v>
      </c>
      <c r="E2120" t="str">
        <f t="shared" si="103"/>
        <v>서울특별시</v>
      </c>
      <c r="F2120" t="str">
        <f t="shared" si="104"/>
        <v>동대문구</v>
      </c>
      <c r="G2120" t="str">
        <f t="shared" si="102"/>
        <v>장안동</v>
      </c>
      <c r="H2120" t="s">
        <v>3692</v>
      </c>
      <c r="I2120">
        <v>2639</v>
      </c>
    </row>
    <row r="2121" spans="1:9" x14ac:dyDescent="0.4">
      <c r="A2121">
        <v>3050000</v>
      </c>
      <c r="B2121" t="s">
        <v>3551</v>
      </c>
      <c r="C2121" s="1">
        <v>37064</v>
      </c>
      <c r="D2121" t="s">
        <v>3552</v>
      </c>
      <c r="E2121" t="str">
        <f t="shared" si="103"/>
        <v>서울특별시</v>
      </c>
      <c r="F2121" t="str">
        <f t="shared" si="104"/>
        <v>동대문구</v>
      </c>
      <c r="G2121" t="str">
        <f t="shared" si="102"/>
        <v>장안동</v>
      </c>
      <c r="H2121" t="s">
        <v>3553</v>
      </c>
      <c r="I2121">
        <v>2639</v>
      </c>
    </row>
    <row r="2122" spans="1:9" x14ac:dyDescent="0.4">
      <c r="A2122">
        <v>3050000</v>
      </c>
      <c r="B2122" t="s">
        <v>3561</v>
      </c>
      <c r="C2122" s="1">
        <v>34006</v>
      </c>
      <c r="D2122" t="s">
        <v>3562</v>
      </c>
      <c r="E2122" t="str">
        <f t="shared" si="103"/>
        <v>서울특별시</v>
      </c>
      <c r="F2122" t="str">
        <f t="shared" si="104"/>
        <v>동대문구</v>
      </c>
      <c r="G2122" t="str">
        <f t="shared" si="102"/>
        <v>장안동</v>
      </c>
    </row>
    <row r="2123" spans="1:9" x14ac:dyDescent="0.4">
      <c r="A2123">
        <v>3050000</v>
      </c>
      <c r="B2123" t="s">
        <v>3613</v>
      </c>
      <c r="C2123" s="1">
        <v>30945</v>
      </c>
      <c r="D2123" t="s">
        <v>3562</v>
      </c>
      <c r="E2123" t="str">
        <f t="shared" si="103"/>
        <v>서울특별시</v>
      </c>
      <c r="F2123" t="str">
        <f t="shared" si="104"/>
        <v>동대문구</v>
      </c>
      <c r="G2123" t="str">
        <f t="shared" si="102"/>
        <v>장안동</v>
      </c>
    </row>
    <row r="2124" spans="1:9" x14ac:dyDescent="0.4">
      <c r="A2124">
        <v>3050000</v>
      </c>
      <c r="B2124" t="s">
        <v>3615</v>
      </c>
      <c r="C2124" s="1">
        <v>30949</v>
      </c>
      <c r="D2124" t="s">
        <v>3562</v>
      </c>
      <c r="E2124" t="str">
        <f t="shared" si="103"/>
        <v>서울특별시</v>
      </c>
      <c r="F2124" t="str">
        <f t="shared" si="104"/>
        <v>동대문구</v>
      </c>
      <c r="G2124" t="str">
        <f t="shared" si="102"/>
        <v>장안동</v>
      </c>
    </row>
    <row r="2125" spans="1:9" x14ac:dyDescent="0.4">
      <c r="A2125">
        <v>3050000</v>
      </c>
      <c r="B2125" t="s">
        <v>3367</v>
      </c>
      <c r="C2125" s="1">
        <v>36645</v>
      </c>
      <c r="D2125" t="s">
        <v>3368</v>
      </c>
      <c r="E2125" t="str">
        <f t="shared" si="103"/>
        <v>서울특별시</v>
      </c>
      <c r="F2125" t="str">
        <f t="shared" si="104"/>
        <v>동대문구</v>
      </c>
      <c r="G2125" t="str">
        <f t="shared" si="102"/>
        <v>장안동</v>
      </c>
    </row>
    <row r="2126" spans="1:9" x14ac:dyDescent="0.4">
      <c r="A2126">
        <v>3050000</v>
      </c>
      <c r="B2126" t="s">
        <v>3587</v>
      </c>
      <c r="C2126" s="1">
        <v>38905</v>
      </c>
      <c r="D2126" t="s">
        <v>3588</v>
      </c>
      <c r="E2126" t="str">
        <f t="shared" si="103"/>
        <v>서울특별시</v>
      </c>
      <c r="F2126" t="str">
        <f t="shared" si="104"/>
        <v>동대문구</v>
      </c>
      <c r="G2126" t="str">
        <f t="shared" si="102"/>
        <v>장안동</v>
      </c>
      <c r="H2126" t="s">
        <v>3589</v>
      </c>
      <c r="I2126">
        <v>2639</v>
      </c>
    </row>
    <row r="2127" spans="1:9" x14ac:dyDescent="0.4">
      <c r="A2127">
        <v>3050000</v>
      </c>
      <c r="B2127" t="s">
        <v>3296</v>
      </c>
      <c r="C2127" s="1">
        <v>36568</v>
      </c>
      <c r="D2127" t="s">
        <v>3297</v>
      </c>
      <c r="E2127" t="str">
        <f t="shared" si="103"/>
        <v>서울특별시</v>
      </c>
      <c r="F2127" t="str">
        <f t="shared" si="104"/>
        <v>동대문구</v>
      </c>
      <c r="G2127" t="str">
        <f t="shared" si="102"/>
        <v>장안동</v>
      </c>
      <c r="H2127" t="s">
        <v>3298</v>
      </c>
      <c r="I2127">
        <v>2639</v>
      </c>
    </row>
    <row r="2128" spans="1:9" x14ac:dyDescent="0.4">
      <c r="A2128">
        <v>3050000</v>
      </c>
      <c r="B2128" t="s">
        <v>3329</v>
      </c>
      <c r="C2128" s="1">
        <v>40312</v>
      </c>
      <c r="D2128" t="s">
        <v>3330</v>
      </c>
      <c r="E2128" t="str">
        <f t="shared" si="103"/>
        <v>서울특별시</v>
      </c>
      <c r="F2128" t="str">
        <f t="shared" si="104"/>
        <v>동대문구</v>
      </c>
      <c r="G2128" t="str">
        <f t="shared" si="102"/>
        <v>장안동</v>
      </c>
      <c r="H2128" t="s">
        <v>3331</v>
      </c>
      <c r="I2128">
        <v>2639</v>
      </c>
    </row>
    <row r="2129" spans="1:9" x14ac:dyDescent="0.4">
      <c r="A2129">
        <v>3050000</v>
      </c>
      <c r="B2129" t="s">
        <v>3393</v>
      </c>
      <c r="C2129" s="1">
        <v>38335</v>
      </c>
      <c r="D2129" t="s">
        <v>3394</v>
      </c>
      <c r="E2129" t="str">
        <f t="shared" si="103"/>
        <v>서울특별시</v>
      </c>
      <c r="F2129" t="str">
        <f t="shared" si="104"/>
        <v>동대문구</v>
      </c>
      <c r="G2129" t="str">
        <f t="shared" si="102"/>
        <v>장안동</v>
      </c>
      <c r="H2129" t="s">
        <v>3395</v>
      </c>
      <c r="I2129">
        <v>2639</v>
      </c>
    </row>
    <row r="2130" spans="1:9" x14ac:dyDescent="0.4">
      <c r="A2130">
        <v>3050000</v>
      </c>
      <c r="B2130" t="s">
        <v>3396</v>
      </c>
      <c r="C2130" s="1">
        <v>38335</v>
      </c>
      <c r="D2130" t="s">
        <v>3397</v>
      </c>
      <c r="E2130" t="str">
        <f t="shared" si="103"/>
        <v>서울특별시</v>
      </c>
      <c r="F2130" t="str">
        <f t="shared" si="104"/>
        <v>동대문구</v>
      </c>
      <c r="G2130" t="str">
        <f t="shared" si="102"/>
        <v>장안동</v>
      </c>
      <c r="H2130" t="s">
        <v>3398</v>
      </c>
      <c r="I2130">
        <v>2639</v>
      </c>
    </row>
    <row r="2131" spans="1:9" x14ac:dyDescent="0.4">
      <c r="A2131">
        <v>3050000</v>
      </c>
      <c r="B2131" t="s">
        <v>3484</v>
      </c>
      <c r="C2131" s="1">
        <v>38335</v>
      </c>
      <c r="D2131" t="s">
        <v>3485</v>
      </c>
      <c r="E2131" t="str">
        <f t="shared" si="103"/>
        <v>서울특별시</v>
      </c>
      <c r="F2131" t="str">
        <f t="shared" si="104"/>
        <v>동대문구</v>
      </c>
      <c r="G2131" t="str">
        <f t="shared" si="102"/>
        <v>장안동</v>
      </c>
      <c r="H2131" t="s">
        <v>3486</v>
      </c>
      <c r="I2131">
        <v>2639</v>
      </c>
    </row>
    <row r="2132" spans="1:9" x14ac:dyDescent="0.4">
      <c r="A2132">
        <v>3050000</v>
      </c>
      <c r="B2132" t="s">
        <v>3308</v>
      </c>
      <c r="C2132" s="1">
        <v>41946</v>
      </c>
      <c r="D2132" t="s">
        <v>3309</v>
      </c>
      <c r="E2132" t="str">
        <f t="shared" si="103"/>
        <v>서울특별시</v>
      </c>
      <c r="F2132" t="str">
        <f t="shared" si="104"/>
        <v>동대문구</v>
      </c>
      <c r="G2132" t="str">
        <f t="shared" si="102"/>
        <v>장안동</v>
      </c>
      <c r="H2132" t="s">
        <v>3310</v>
      </c>
      <c r="I2132">
        <v>2639</v>
      </c>
    </row>
    <row r="2133" spans="1:9" x14ac:dyDescent="0.4">
      <c r="A2133">
        <v>3050000</v>
      </c>
      <c r="B2133" t="s">
        <v>3314</v>
      </c>
      <c r="C2133" s="1">
        <v>42150</v>
      </c>
      <c r="D2133" t="s">
        <v>3315</v>
      </c>
      <c r="E2133" t="str">
        <f t="shared" si="103"/>
        <v>서울특별시</v>
      </c>
      <c r="F2133" t="str">
        <f t="shared" si="104"/>
        <v>동대문구</v>
      </c>
      <c r="G2133" t="str">
        <f t="shared" si="102"/>
        <v>장안동</v>
      </c>
      <c r="H2133" t="s">
        <v>3316</v>
      </c>
      <c r="I2133">
        <v>2639</v>
      </c>
    </row>
    <row r="2134" spans="1:9" x14ac:dyDescent="0.4">
      <c r="A2134">
        <v>3050000</v>
      </c>
      <c r="B2134" t="s">
        <v>3539</v>
      </c>
      <c r="C2134" s="1">
        <v>32181</v>
      </c>
      <c r="D2134" t="s">
        <v>3540</v>
      </c>
      <c r="E2134" t="str">
        <f t="shared" si="103"/>
        <v>서울특별시</v>
      </c>
      <c r="F2134" t="str">
        <f t="shared" si="104"/>
        <v>동대문구</v>
      </c>
      <c r="G2134" t="str">
        <f t="shared" si="102"/>
        <v>장안동</v>
      </c>
      <c r="H2134" t="s">
        <v>3541</v>
      </c>
      <c r="I2134">
        <v>2639</v>
      </c>
    </row>
    <row r="2135" spans="1:9" x14ac:dyDescent="0.4">
      <c r="A2135">
        <v>3050000</v>
      </c>
      <c r="B2135" t="s">
        <v>3601</v>
      </c>
      <c r="C2135" s="1">
        <v>36501</v>
      </c>
      <c r="D2135" t="s">
        <v>3602</v>
      </c>
      <c r="E2135" t="str">
        <f t="shared" si="103"/>
        <v>서울특별시</v>
      </c>
      <c r="F2135" t="str">
        <f t="shared" si="104"/>
        <v>동대문구</v>
      </c>
      <c r="G2135" t="str">
        <f t="shared" si="102"/>
        <v>장안동</v>
      </c>
    </row>
    <row r="2136" spans="1:9" x14ac:dyDescent="0.4">
      <c r="A2136">
        <v>3050000</v>
      </c>
      <c r="B2136" t="s">
        <v>3578</v>
      </c>
      <c r="C2136" s="1">
        <v>31523</v>
      </c>
      <c r="D2136" t="s">
        <v>3579</v>
      </c>
      <c r="E2136" t="str">
        <f t="shared" si="103"/>
        <v>서울특별시</v>
      </c>
      <c r="F2136" t="str">
        <f t="shared" si="104"/>
        <v>동대문구</v>
      </c>
      <c r="G2136" t="str">
        <f t="shared" si="102"/>
        <v>장안동</v>
      </c>
      <c r="H2136" t="s">
        <v>3580</v>
      </c>
      <c r="I2136">
        <v>2639</v>
      </c>
    </row>
    <row r="2137" spans="1:9" x14ac:dyDescent="0.4">
      <c r="A2137">
        <v>3050000</v>
      </c>
      <c r="B2137" t="s">
        <v>3490</v>
      </c>
      <c r="C2137" s="1">
        <v>30972</v>
      </c>
      <c r="D2137" t="s">
        <v>3491</v>
      </c>
      <c r="E2137" t="str">
        <f t="shared" si="103"/>
        <v>서울특별시</v>
      </c>
      <c r="F2137" t="str">
        <f t="shared" si="104"/>
        <v>동대문구</v>
      </c>
      <c r="G2137" t="str">
        <f t="shared" si="102"/>
        <v>장안동</v>
      </c>
      <c r="H2137" t="s">
        <v>3492</v>
      </c>
      <c r="I2137">
        <v>2639</v>
      </c>
    </row>
    <row r="2138" spans="1:9" x14ac:dyDescent="0.4">
      <c r="A2138">
        <v>3050000</v>
      </c>
      <c r="B2138" t="s">
        <v>3508</v>
      </c>
      <c r="C2138" s="1">
        <v>31772</v>
      </c>
      <c r="D2138" t="s">
        <v>3509</v>
      </c>
      <c r="E2138" t="str">
        <f t="shared" si="103"/>
        <v>서울특별시</v>
      </c>
      <c r="F2138" t="str">
        <f t="shared" si="104"/>
        <v>동대문구</v>
      </c>
      <c r="G2138" t="str">
        <f t="shared" si="102"/>
        <v>장안동</v>
      </c>
    </row>
    <row r="2139" spans="1:9" x14ac:dyDescent="0.4">
      <c r="A2139">
        <v>3050000</v>
      </c>
      <c r="B2139" t="s">
        <v>3438</v>
      </c>
      <c r="C2139" s="1">
        <v>36498</v>
      </c>
      <c r="D2139" t="s">
        <v>3439</v>
      </c>
      <c r="E2139" t="str">
        <f t="shared" si="103"/>
        <v>서울특별시</v>
      </c>
      <c r="F2139" t="str">
        <f t="shared" si="104"/>
        <v>동대문구</v>
      </c>
      <c r="G2139" t="str">
        <f t="shared" si="102"/>
        <v>장안동</v>
      </c>
    </row>
    <row r="2140" spans="1:9" x14ac:dyDescent="0.4">
      <c r="A2140">
        <v>3050000</v>
      </c>
      <c r="B2140" t="s">
        <v>3614</v>
      </c>
      <c r="C2140" s="1">
        <v>30949</v>
      </c>
      <c r="D2140" t="s">
        <v>3439</v>
      </c>
      <c r="E2140" t="str">
        <f t="shared" si="103"/>
        <v>서울특별시</v>
      </c>
      <c r="F2140" t="str">
        <f t="shared" si="104"/>
        <v>동대문구</v>
      </c>
      <c r="G2140" t="str">
        <f t="shared" si="102"/>
        <v>장안동</v>
      </c>
    </row>
    <row r="2141" spans="1:9" x14ac:dyDescent="0.4">
      <c r="A2141">
        <v>3050000</v>
      </c>
      <c r="B2141" t="s">
        <v>3326</v>
      </c>
      <c r="C2141" s="1">
        <v>40274</v>
      </c>
      <c r="D2141" t="s">
        <v>3327</v>
      </c>
      <c r="E2141" t="str">
        <f t="shared" si="103"/>
        <v>서울특별시</v>
      </c>
      <c r="F2141" t="str">
        <f t="shared" si="104"/>
        <v>동대문구</v>
      </c>
      <c r="G2141" t="str">
        <f t="shared" si="102"/>
        <v>장안동</v>
      </c>
      <c r="H2141" t="s">
        <v>3328</v>
      </c>
      <c r="I2141">
        <v>2639</v>
      </c>
    </row>
    <row r="2142" spans="1:9" x14ac:dyDescent="0.4">
      <c r="A2142">
        <v>3050000</v>
      </c>
      <c r="B2142" t="s">
        <v>3466</v>
      </c>
      <c r="C2142" s="1">
        <v>43409</v>
      </c>
      <c r="D2142" t="s">
        <v>3467</v>
      </c>
      <c r="E2142" t="str">
        <f t="shared" si="103"/>
        <v>서울특별시</v>
      </c>
      <c r="F2142" t="str">
        <f t="shared" si="104"/>
        <v>동대문구</v>
      </c>
      <c r="G2142" t="str">
        <f t="shared" si="102"/>
        <v>장안동</v>
      </c>
      <c r="H2142" t="s">
        <v>3468</v>
      </c>
      <c r="I2142">
        <v>2639</v>
      </c>
    </row>
    <row r="2143" spans="1:9" x14ac:dyDescent="0.4">
      <c r="A2143">
        <v>3050000</v>
      </c>
      <c r="B2143" t="s">
        <v>3435</v>
      </c>
      <c r="C2143" s="1">
        <v>45608</v>
      </c>
      <c r="D2143" t="s">
        <v>3436</v>
      </c>
      <c r="E2143" t="str">
        <f t="shared" si="103"/>
        <v>서울특별시</v>
      </c>
      <c r="F2143" t="str">
        <f t="shared" si="104"/>
        <v>동대문구</v>
      </c>
      <c r="G2143" t="str">
        <f t="shared" si="102"/>
        <v>장안동</v>
      </c>
      <c r="H2143" t="s">
        <v>3437</v>
      </c>
      <c r="I2143">
        <v>2639</v>
      </c>
    </row>
    <row r="2144" spans="1:9" x14ac:dyDescent="0.4">
      <c r="A2144">
        <v>3050000</v>
      </c>
      <c r="B2144" t="s">
        <v>3616</v>
      </c>
      <c r="C2144" s="1">
        <v>42503</v>
      </c>
      <c r="D2144" t="s">
        <v>3617</v>
      </c>
      <c r="E2144" t="str">
        <f t="shared" si="103"/>
        <v>서울특별시</v>
      </c>
      <c r="F2144" t="str">
        <f t="shared" si="104"/>
        <v>동대문구</v>
      </c>
      <c r="G2144" t="str">
        <f t="shared" si="102"/>
        <v>장안동</v>
      </c>
      <c r="H2144" t="s">
        <v>3618</v>
      </c>
      <c r="I2144">
        <v>2639</v>
      </c>
    </row>
    <row r="2145" spans="1:9" x14ac:dyDescent="0.4">
      <c r="A2145">
        <v>3050000</v>
      </c>
      <c r="B2145" t="s">
        <v>3504</v>
      </c>
      <c r="C2145" s="1">
        <v>31714</v>
      </c>
      <c r="D2145" t="s">
        <v>3505</v>
      </c>
      <c r="E2145" t="str">
        <f t="shared" si="103"/>
        <v>서울특별시</v>
      </c>
      <c r="F2145" t="str">
        <f t="shared" si="104"/>
        <v>동대문구</v>
      </c>
      <c r="G2145" t="str">
        <f t="shared" si="102"/>
        <v>장안동</v>
      </c>
    </row>
    <row r="2146" spans="1:9" x14ac:dyDescent="0.4">
      <c r="A2146">
        <v>3050000</v>
      </c>
      <c r="B2146" t="s">
        <v>3663</v>
      </c>
      <c r="C2146" s="1">
        <v>38905</v>
      </c>
      <c r="D2146" t="s">
        <v>3664</v>
      </c>
      <c r="E2146" t="str">
        <f t="shared" si="103"/>
        <v>서울특별시</v>
      </c>
      <c r="F2146" t="str">
        <f t="shared" si="104"/>
        <v>동대문구</v>
      </c>
      <c r="G2146" t="str">
        <f t="shared" si="102"/>
        <v>장안동</v>
      </c>
    </row>
    <row r="2147" spans="1:9" x14ac:dyDescent="0.4">
      <c r="A2147">
        <v>3050000</v>
      </c>
      <c r="B2147" t="s">
        <v>3697</v>
      </c>
      <c r="C2147" s="1">
        <v>41193</v>
      </c>
      <c r="D2147" t="s">
        <v>3698</v>
      </c>
      <c r="E2147" t="str">
        <f t="shared" si="103"/>
        <v>서울특별시</v>
      </c>
      <c r="F2147" t="str">
        <f t="shared" si="104"/>
        <v>동대문구</v>
      </c>
      <c r="G2147" t="str">
        <f t="shared" si="102"/>
        <v>장안동</v>
      </c>
      <c r="H2147" t="s">
        <v>3699</v>
      </c>
    </row>
    <row r="2148" spans="1:9" x14ac:dyDescent="0.4">
      <c r="A2148">
        <v>3050000</v>
      </c>
      <c r="B2148" t="s">
        <v>3266</v>
      </c>
      <c r="C2148" s="1">
        <v>31009</v>
      </c>
      <c r="D2148" t="s">
        <v>3267</v>
      </c>
      <c r="E2148" t="str">
        <f t="shared" si="103"/>
        <v>서울특별시</v>
      </c>
      <c r="F2148" t="str">
        <f t="shared" si="104"/>
        <v>동대문구</v>
      </c>
      <c r="G2148" t="str">
        <f t="shared" si="102"/>
        <v>장안동</v>
      </c>
      <c r="H2148" t="s">
        <v>3268</v>
      </c>
      <c r="I2148">
        <v>2639</v>
      </c>
    </row>
    <row r="2149" spans="1:9" x14ac:dyDescent="0.4">
      <c r="A2149">
        <v>3050000</v>
      </c>
      <c r="B2149" t="s">
        <v>3263</v>
      </c>
      <c r="C2149" s="1">
        <v>30993</v>
      </c>
      <c r="D2149" t="s">
        <v>3264</v>
      </c>
      <c r="E2149" t="str">
        <f t="shared" si="103"/>
        <v>서울특별시</v>
      </c>
      <c r="F2149" t="str">
        <f t="shared" si="104"/>
        <v>동대문구</v>
      </c>
      <c r="G2149" t="str">
        <f t="shared" si="102"/>
        <v>장안동</v>
      </c>
      <c r="H2149" t="s">
        <v>3265</v>
      </c>
      <c r="I2149">
        <v>2639</v>
      </c>
    </row>
    <row r="2150" spans="1:9" x14ac:dyDescent="0.4">
      <c r="A2150">
        <v>3050000</v>
      </c>
      <c r="B2150" t="s">
        <v>3311</v>
      </c>
      <c r="C2150" s="1">
        <v>41956</v>
      </c>
      <c r="D2150" t="s">
        <v>3312</v>
      </c>
      <c r="E2150" t="str">
        <f t="shared" si="103"/>
        <v>서울특별시</v>
      </c>
      <c r="F2150" t="str">
        <f t="shared" si="104"/>
        <v>동대문구</v>
      </c>
      <c r="G2150" t="str">
        <f t="shared" ref="G2150:G2213" si="105">MID(SUBSTITUTE(D2150," ",""),10,3)</f>
        <v>장안동</v>
      </c>
      <c r="H2150" t="s">
        <v>3313</v>
      </c>
      <c r="I2150">
        <v>2639</v>
      </c>
    </row>
    <row r="2151" spans="1:9" x14ac:dyDescent="0.4">
      <c r="A2151">
        <v>3050000</v>
      </c>
      <c r="B2151" t="s">
        <v>3566</v>
      </c>
      <c r="C2151" s="1">
        <v>37205</v>
      </c>
      <c r="D2151" t="s">
        <v>3312</v>
      </c>
      <c r="E2151" t="str">
        <f t="shared" si="103"/>
        <v>서울특별시</v>
      </c>
      <c r="F2151" t="str">
        <f t="shared" si="104"/>
        <v>동대문구</v>
      </c>
      <c r="G2151" t="str">
        <f t="shared" si="105"/>
        <v>장안동</v>
      </c>
    </row>
    <row r="2152" spans="1:9" x14ac:dyDescent="0.4">
      <c r="A2152">
        <v>3050000</v>
      </c>
      <c r="B2152" t="s">
        <v>3391</v>
      </c>
      <c r="C2152" s="1">
        <v>37838</v>
      </c>
      <c r="D2152" t="s">
        <v>3392</v>
      </c>
      <c r="E2152" t="str">
        <f t="shared" si="103"/>
        <v>서울특별시</v>
      </c>
      <c r="F2152" t="str">
        <f t="shared" si="104"/>
        <v>동대문구</v>
      </c>
      <c r="G2152" t="str">
        <f t="shared" si="105"/>
        <v>장안동</v>
      </c>
    </row>
    <row r="2153" spans="1:9" x14ac:dyDescent="0.4">
      <c r="A2153">
        <v>3050000</v>
      </c>
      <c r="B2153" t="s">
        <v>3590</v>
      </c>
      <c r="C2153" s="1">
        <v>39016</v>
      </c>
      <c r="D2153" t="s">
        <v>3591</v>
      </c>
      <c r="E2153" t="str">
        <f t="shared" si="103"/>
        <v>서울특별시</v>
      </c>
      <c r="F2153" t="str">
        <f t="shared" si="104"/>
        <v>동대문구</v>
      </c>
      <c r="G2153" t="str">
        <f t="shared" si="105"/>
        <v>장안동</v>
      </c>
    </row>
    <row r="2154" spans="1:9" x14ac:dyDescent="0.4">
      <c r="A2154">
        <v>3050000</v>
      </c>
      <c r="B2154" t="s">
        <v>3410</v>
      </c>
      <c r="C2154" s="1">
        <v>33045</v>
      </c>
      <c r="D2154" t="s">
        <v>3411</v>
      </c>
      <c r="E2154" t="str">
        <f t="shared" si="103"/>
        <v>서울특별시</v>
      </c>
      <c r="F2154" t="str">
        <f t="shared" si="104"/>
        <v>동대문구</v>
      </c>
      <c r="G2154" t="str">
        <f t="shared" si="105"/>
        <v>장안동</v>
      </c>
      <c r="H2154" t="s">
        <v>3412</v>
      </c>
    </row>
    <row r="2155" spans="1:9" x14ac:dyDescent="0.4">
      <c r="A2155">
        <v>3050000</v>
      </c>
      <c r="B2155" t="s">
        <v>3639</v>
      </c>
      <c r="C2155" s="1">
        <v>39273</v>
      </c>
      <c r="D2155" t="s">
        <v>3640</v>
      </c>
      <c r="E2155" t="str">
        <f t="shared" si="103"/>
        <v>서울특별시</v>
      </c>
      <c r="F2155" t="str">
        <f t="shared" si="104"/>
        <v>동대문구</v>
      </c>
      <c r="G2155" t="str">
        <f t="shared" si="105"/>
        <v>장안동</v>
      </c>
      <c r="H2155" t="s">
        <v>3641</v>
      </c>
    </row>
    <row r="2156" spans="1:9" x14ac:dyDescent="0.4">
      <c r="A2156">
        <v>3050000</v>
      </c>
      <c r="B2156" t="s">
        <v>3419</v>
      </c>
      <c r="C2156" s="1">
        <v>31055</v>
      </c>
      <c r="D2156" t="s">
        <v>3420</v>
      </c>
      <c r="E2156" t="str">
        <f t="shared" si="103"/>
        <v>서울특별시</v>
      </c>
      <c r="F2156" t="str">
        <f t="shared" si="104"/>
        <v>동대문구</v>
      </c>
      <c r="G2156" t="str">
        <f t="shared" si="105"/>
        <v>장안동</v>
      </c>
      <c r="H2156" t="s">
        <v>3421</v>
      </c>
      <c r="I2156">
        <v>2639</v>
      </c>
    </row>
    <row r="2157" spans="1:9" x14ac:dyDescent="0.4">
      <c r="A2157">
        <v>3050000</v>
      </c>
      <c r="B2157" t="s">
        <v>3598</v>
      </c>
      <c r="C2157" s="1">
        <v>43754</v>
      </c>
      <c r="D2157" t="s">
        <v>3599</v>
      </c>
      <c r="E2157" t="str">
        <f t="shared" si="103"/>
        <v>서울특별시</v>
      </c>
      <c r="F2157" t="str">
        <f t="shared" si="104"/>
        <v>동대문구</v>
      </c>
      <c r="G2157" t="str">
        <f t="shared" si="105"/>
        <v>장안동</v>
      </c>
      <c r="H2157" t="s">
        <v>3600</v>
      </c>
      <c r="I2157">
        <v>2639</v>
      </c>
    </row>
    <row r="2158" spans="1:9" x14ac:dyDescent="0.4">
      <c r="A2158">
        <v>3050000</v>
      </c>
      <c r="B2158" t="s">
        <v>3302</v>
      </c>
      <c r="C2158" s="1">
        <v>40989</v>
      </c>
      <c r="D2158" t="s">
        <v>3303</v>
      </c>
      <c r="E2158" t="str">
        <f t="shared" si="103"/>
        <v>서울특별시</v>
      </c>
      <c r="F2158" t="str">
        <f t="shared" si="104"/>
        <v>동대문구</v>
      </c>
      <c r="G2158" t="str">
        <f t="shared" si="105"/>
        <v>장안동</v>
      </c>
      <c r="H2158" t="s">
        <v>3304</v>
      </c>
      <c r="I2158">
        <v>2639</v>
      </c>
    </row>
    <row r="2159" spans="1:9" x14ac:dyDescent="0.4">
      <c r="A2159">
        <v>3050000</v>
      </c>
      <c r="B2159" t="s">
        <v>3353</v>
      </c>
      <c r="C2159" s="1">
        <v>36757</v>
      </c>
      <c r="D2159" t="s">
        <v>3354</v>
      </c>
      <c r="E2159" t="str">
        <f t="shared" si="103"/>
        <v>서울특별시</v>
      </c>
      <c r="F2159" t="str">
        <f t="shared" si="104"/>
        <v>동대문구</v>
      </c>
      <c r="G2159" t="str">
        <f t="shared" si="105"/>
        <v>장안동</v>
      </c>
    </row>
    <row r="2160" spans="1:9" x14ac:dyDescent="0.4">
      <c r="A2160">
        <v>3050000</v>
      </c>
      <c r="B2160" t="s">
        <v>3278</v>
      </c>
      <c r="C2160" s="1">
        <v>37100</v>
      </c>
      <c r="D2160" t="s">
        <v>3279</v>
      </c>
      <c r="E2160" t="str">
        <f t="shared" si="103"/>
        <v>서울특별시</v>
      </c>
      <c r="F2160" t="str">
        <f t="shared" si="104"/>
        <v>동대문구</v>
      </c>
      <c r="G2160" t="str">
        <f t="shared" si="105"/>
        <v>장안동</v>
      </c>
      <c r="H2160" t="s">
        <v>3280</v>
      </c>
      <c r="I2160">
        <v>2637</v>
      </c>
    </row>
    <row r="2161" spans="1:9" x14ac:dyDescent="0.4">
      <c r="A2161">
        <v>3050000</v>
      </c>
      <c r="B2161" t="s">
        <v>3359</v>
      </c>
      <c r="C2161" s="1">
        <v>36837</v>
      </c>
      <c r="D2161" t="s">
        <v>3360</v>
      </c>
      <c r="E2161" t="str">
        <f t="shared" si="103"/>
        <v>서울특별시</v>
      </c>
      <c r="F2161" t="str">
        <f t="shared" si="104"/>
        <v>동대문구</v>
      </c>
      <c r="G2161" t="str">
        <f t="shared" si="105"/>
        <v>장안동</v>
      </c>
    </row>
    <row r="2162" spans="1:9" x14ac:dyDescent="0.4">
      <c r="A2162">
        <v>3050000</v>
      </c>
      <c r="B2162" t="s">
        <v>3554</v>
      </c>
      <c r="C2162" s="1">
        <v>32493</v>
      </c>
      <c r="D2162" t="s">
        <v>3360</v>
      </c>
      <c r="E2162" t="str">
        <f t="shared" si="103"/>
        <v>서울특별시</v>
      </c>
      <c r="F2162" t="str">
        <f t="shared" si="104"/>
        <v>동대문구</v>
      </c>
      <c r="G2162" t="str">
        <f t="shared" si="105"/>
        <v>장안동</v>
      </c>
    </row>
    <row r="2163" spans="1:9" x14ac:dyDescent="0.4">
      <c r="A2163">
        <v>3050000</v>
      </c>
      <c r="B2163" t="s">
        <v>3537</v>
      </c>
      <c r="C2163" s="1">
        <v>32127</v>
      </c>
      <c r="D2163" t="s">
        <v>3538</v>
      </c>
      <c r="E2163" t="str">
        <f t="shared" si="103"/>
        <v>서울특별시</v>
      </c>
      <c r="F2163" t="str">
        <f t="shared" si="104"/>
        <v>동대문구</v>
      </c>
      <c r="G2163" t="str">
        <f t="shared" si="105"/>
        <v>장안동</v>
      </c>
    </row>
    <row r="2164" spans="1:9" x14ac:dyDescent="0.4">
      <c r="A2164">
        <v>3050000</v>
      </c>
      <c r="B2164" t="s">
        <v>3432</v>
      </c>
      <c r="C2164" s="1">
        <v>36791</v>
      </c>
      <c r="D2164" t="s">
        <v>3433</v>
      </c>
      <c r="E2164" t="str">
        <f t="shared" si="103"/>
        <v>서울특별시</v>
      </c>
      <c r="F2164" t="str">
        <f t="shared" si="104"/>
        <v>동대문구</v>
      </c>
      <c r="G2164" t="str">
        <f t="shared" si="105"/>
        <v>장안동</v>
      </c>
      <c r="H2164" t="s">
        <v>3434</v>
      </c>
      <c r="I2164">
        <v>2637</v>
      </c>
    </row>
    <row r="2165" spans="1:9" x14ac:dyDescent="0.4">
      <c r="A2165">
        <v>3050000</v>
      </c>
      <c r="B2165" t="s">
        <v>3548</v>
      </c>
      <c r="C2165" s="1">
        <v>37064</v>
      </c>
      <c r="D2165" t="s">
        <v>3549</v>
      </c>
      <c r="E2165" t="str">
        <f t="shared" si="103"/>
        <v>서울특별시</v>
      </c>
      <c r="F2165" t="str">
        <f t="shared" si="104"/>
        <v>동대문구</v>
      </c>
      <c r="G2165" t="str">
        <f t="shared" si="105"/>
        <v>장안동</v>
      </c>
      <c r="H2165" t="s">
        <v>3550</v>
      </c>
    </row>
    <row r="2166" spans="1:9" x14ac:dyDescent="0.4">
      <c r="A2166">
        <v>3050000</v>
      </c>
      <c r="B2166" t="s">
        <v>3385</v>
      </c>
      <c r="C2166" s="1">
        <v>30858</v>
      </c>
      <c r="D2166" t="s">
        <v>3386</v>
      </c>
      <c r="E2166" t="str">
        <f t="shared" si="103"/>
        <v>서울특별시</v>
      </c>
      <c r="F2166" t="str">
        <f t="shared" si="104"/>
        <v>동대문구</v>
      </c>
      <c r="G2166" t="str">
        <f t="shared" si="105"/>
        <v>장안동</v>
      </c>
      <c r="H2166" t="s">
        <v>3387</v>
      </c>
      <c r="I2166">
        <v>2637</v>
      </c>
    </row>
    <row r="2167" spans="1:9" x14ac:dyDescent="0.4">
      <c r="A2167">
        <v>3050000</v>
      </c>
      <c r="B2167" t="s">
        <v>3454</v>
      </c>
      <c r="C2167" s="1">
        <v>30930</v>
      </c>
      <c r="D2167" t="s">
        <v>3455</v>
      </c>
      <c r="E2167" t="str">
        <f t="shared" si="103"/>
        <v>서울특별시</v>
      </c>
      <c r="F2167" t="str">
        <f t="shared" si="104"/>
        <v>동대문구</v>
      </c>
      <c r="G2167" t="str">
        <f t="shared" si="105"/>
        <v>장안동</v>
      </c>
      <c r="H2167" t="s">
        <v>3456</v>
      </c>
      <c r="I2167">
        <v>2637</v>
      </c>
    </row>
    <row r="2168" spans="1:9" x14ac:dyDescent="0.4">
      <c r="A2168">
        <v>3050000</v>
      </c>
      <c r="B2168" t="s">
        <v>3732</v>
      </c>
      <c r="C2168" s="1">
        <v>37565</v>
      </c>
      <c r="D2168" t="s">
        <v>3733</v>
      </c>
      <c r="E2168" t="str">
        <f t="shared" si="103"/>
        <v>서울특별시</v>
      </c>
      <c r="F2168" t="str">
        <f t="shared" si="104"/>
        <v>동대문구</v>
      </c>
      <c r="G2168" t="str">
        <f t="shared" si="105"/>
        <v>장안동</v>
      </c>
    </row>
    <row r="2169" spans="1:9" x14ac:dyDescent="0.4">
      <c r="A2169">
        <v>3050000</v>
      </c>
      <c r="B2169" t="s">
        <v>3399</v>
      </c>
      <c r="C2169" s="1">
        <v>38650</v>
      </c>
      <c r="D2169" t="s">
        <v>3400</v>
      </c>
      <c r="E2169" t="str">
        <f t="shared" si="103"/>
        <v>서울특별시</v>
      </c>
      <c r="F2169" t="str">
        <f t="shared" si="104"/>
        <v>동대문구</v>
      </c>
      <c r="G2169" t="str">
        <f t="shared" si="105"/>
        <v>장안동</v>
      </c>
      <c r="H2169" t="s">
        <v>3401</v>
      </c>
      <c r="I2169">
        <v>2637</v>
      </c>
    </row>
    <row r="2170" spans="1:9" x14ac:dyDescent="0.4">
      <c r="A2170">
        <v>3050000</v>
      </c>
      <c r="B2170" t="s">
        <v>3628</v>
      </c>
      <c r="C2170" s="1">
        <v>31175</v>
      </c>
      <c r="D2170" t="s">
        <v>3400</v>
      </c>
      <c r="E2170" t="str">
        <f t="shared" si="103"/>
        <v>서울특별시</v>
      </c>
      <c r="F2170" t="str">
        <f t="shared" si="104"/>
        <v>동대문구</v>
      </c>
      <c r="G2170" t="str">
        <f t="shared" si="105"/>
        <v>장안동</v>
      </c>
      <c r="H2170" t="s">
        <v>3401</v>
      </c>
      <c r="I2170">
        <v>2637</v>
      </c>
    </row>
    <row r="2171" spans="1:9" x14ac:dyDescent="0.4">
      <c r="A2171">
        <v>3050000</v>
      </c>
      <c r="B2171" t="s">
        <v>3743</v>
      </c>
      <c r="C2171" s="1">
        <v>36236</v>
      </c>
      <c r="D2171" t="s">
        <v>3744</v>
      </c>
      <c r="E2171" t="str">
        <f t="shared" si="103"/>
        <v>서울특별시</v>
      </c>
      <c r="F2171" t="str">
        <f t="shared" si="104"/>
        <v>동대문구</v>
      </c>
      <c r="G2171" t="str">
        <f t="shared" si="105"/>
        <v>장안동</v>
      </c>
      <c r="H2171" t="s">
        <v>3745</v>
      </c>
    </row>
    <row r="2172" spans="1:9" x14ac:dyDescent="0.4">
      <c r="A2172">
        <v>3050000</v>
      </c>
      <c r="B2172" t="s">
        <v>3760</v>
      </c>
      <c r="C2172" s="1">
        <v>31275</v>
      </c>
      <c r="D2172" t="s">
        <v>3761</v>
      </c>
      <c r="E2172" t="str">
        <f t="shared" si="103"/>
        <v>서울특별시</v>
      </c>
      <c r="F2172" t="str">
        <f t="shared" si="104"/>
        <v>동대문구</v>
      </c>
      <c r="G2172" t="str">
        <f t="shared" si="105"/>
        <v>장안동</v>
      </c>
    </row>
    <row r="2173" spans="1:9" x14ac:dyDescent="0.4">
      <c r="A2173">
        <v>3050000</v>
      </c>
      <c r="B2173" t="s">
        <v>3343</v>
      </c>
      <c r="C2173" s="1">
        <v>40367</v>
      </c>
      <c r="D2173" t="s">
        <v>3344</v>
      </c>
      <c r="E2173" t="str">
        <f t="shared" si="103"/>
        <v>서울특별시</v>
      </c>
      <c r="F2173" t="str">
        <f t="shared" si="104"/>
        <v>동대문구</v>
      </c>
      <c r="G2173" t="str">
        <f t="shared" si="105"/>
        <v>장안동</v>
      </c>
      <c r="H2173" t="s">
        <v>3345</v>
      </c>
      <c r="I2173">
        <v>2624</v>
      </c>
    </row>
    <row r="2174" spans="1:9" x14ac:dyDescent="0.4">
      <c r="A2174">
        <v>3050000</v>
      </c>
      <c r="B2174" t="s">
        <v>3658</v>
      </c>
      <c r="C2174" s="1">
        <v>26172</v>
      </c>
      <c r="D2174" t="s">
        <v>3659</v>
      </c>
      <c r="E2174" t="str">
        <f t="shared" si="103"/>
        <v>서울특별시</v>
      </c>
      <c r="F2174" t="str">
        <f t="shared" si="104"/>
        <v>동대문구</v>
      </c>
      <c r="G2174" t="str">
        <f t="shared" si="105"/>
        <v>장안동</v>
      </c>
    </row>
    <row r="2175" spans="1:9" x14ac:dyDescent="0.4">
      <c r="A2175">
        <v>3050000</v>
      </c>
      <c r="B2175" t="s">
        <v>3681</v>
      </c>
      <c r="C2175" s="1">
        <v>40533</v>
      </c>
      <c r="D2175" t="s">
        <v>3682</v>
      </c>
      <c r="E2175" t="str">
        <f t="shared" si="103"/>
        <v>서울특별시</v>
      </c>
      <c r="F2175" t="str">
        <f t="shared" si="104"/>
        <v>동대문구</v>
      </c>
      <c r="G2175" t="str">
        <f t="shared" si="105"/>
        <v>장안동</v>
      </c>
      <c r="H2175" t="s">
        <v>3683</v>
      </c>
    </row>
    <row r="2176" spans="1:9" x14ac:dyDescent="0.4">
      <c r="A2176">
        <v>3050000</v>
      </c>
      <c r="B2176" t="s">
        <v>3338</v>
      </c>
      <c r="C2176" s="1">
        <v>44035</v>
      </c>
      <c r="D2176" t="s">
        <v>3339</v>
      </c>
      <c r="E2176" t="str">
        <f t="shared" si="103"/>
        <v>서울특별시</v>
      </c>
      <c r="F2176" t="str">
        <f t="shared" si="104"/>
        <v>동대문구</v>
      </c>
      <c r="G2176" t="str">
        <f t="shared" si="105"/>
        <v>장안동</v>
      </c>
      <c r="H2176" t="s">
        <v>3340</v>
      </c>
      <c r="I2176">
        <v>2624</v>
      </c>
    </row>
    <row r="2177" spans="1:9" x14ac:dyDescent="0.4">
      <c r="A2177">
        <v>3050000</v>
      </c>
      <c r="B2177" t="s">
        <v>3665</v>
      </c>
      <c r="C2177" s="1">
        <v>30055</v>
      </c>
      <c r="D2177" t="s">
        <v>3666</v>
      </c>
      <c r="E2177" t="str">
        <f t="shared" si="103"/>
        <v>서울특별시</v>
      </c>
      <c r="F2177" t="str">
        <f t="shared" si="104"/>
        <v>동대문구</v>
      </c>
      <c r="G2177" t="str">
        <f t="shared" si="105"/>
        <v>장안동</v>
      </c>
    </row>
    <row r="2178" spans="1:9" x14ac:dyDescent="0.4">
      <c r="A2178">
        <v>3050000</v>
      </c>
      <c r="B2178" t="s">
        <v>3585</v>
      </c>
      <c r="C2178" s="1">
        <v>31663</v>
      </c>
      <c r="D2178" t="s">
        <v>3586</v>
      </c>
      <c r="E2178" t="str">
        <f t="shared" si="103"/>
        <v>서울특별시</v>
      </c>
      <c r="F2178" t="str">
        <f t="shared" si="104"/>
        <v>동대문구</v>
      </c>
      <c r="G2178" t="str">
        <f t="shared" si="105"/>
        <v>장안동</v>
      </c>
    </row>
    <row r="2179" spans="1:9" x14ac:dyDescent="0.4">
      <c r="A2179">
        <v>3050000</v>
      </c>
      <c r="B2179" t="s">
        <v>3469</v>
      </c>
      <c r="C2179" s="1">
        <v>43780</v>
      </c>
      <c r="D2179" t="s">
        <v>3470</v>
      </c>
      <c r="E2179" t="str">
        <f t="shared" ref="E2179:E2242" si="106">LEFT(D2179,5)</f>
        <v>서울특별시</v>
      </c>
      <c r="F2179" t="str">
        <f t="shared" ref="F2179:F2242" si="107">MID(D2179,7,4)</f>
        <v>동대문구</v>
      </c>
      <c r="G2179" t="str">
        <f t="shared" si="105"/>
        <v>장안동</v>
      </c>
      <c r="H2179" t="s">
        <v>3471</v>
      </c>
      <c r="I2179">
        <v>2624</v>
      </c>
    </row>
    <row r="2180" spans="1:9" x14ac:dyDescent="0.4">
      <c r="A2180">
        <v>3050000</v>
      </c>
      <c r="B2180" t="s">
        <v>3623</v>
      </c>
      <c r="C2180" s="1">
        <v>31160</v>
      </c>
      <c r="D2180" t="s">
        <v>3624</v>
      </c>
      <c r="E2180" t="str">
        <f t="shared" si="106"/>
        <v>서울특별시</v>
      </c>
      <c r="F2180" t="str">
        <f t="shared" si="107"/>
        <v>동대문구</v>
      </c>
      <c r="G2180" t="str">
        <f t="shared" si="105"/>
        <v>장안동</v>
      </c>
    </row>
    <row r="2181" spans="1:9" x14ac:dyDescent="0.4">
      <c r="A2181">
        <v>3050000</v>
      </c>
      <c r="B2181" t="s">
        <v>3448</v>
      </c>
      <c r="C2181" s="1">
        <v>43710</v>
      </c>
      <c r="D2181" t="s">
        <v>3449</v>
      </c>
      <c r="E2181" t="str">
        <f t="shared" si="106"/>
        <v>서울특별시</v>
      </c>
      <c r="F2181" t="str">
        <f t="shared" si="107"/>
        <v>동대문구</v>
      </c>
      <c r="G2181" t="str">
        <f t="shared" si="105"/>
        <v>장안동</v>
      </c>
      <c r="H2181" t="s">
        <v>3450</v>
      </c>
      <c r="I2181">
        <v>2624</v>
      </c>
    </row>
    <row r="2182" spans="1:9" x14ac:dyDescent="0.4">
      <c r="A2182">
        <v>3050000</v>
      </c>
      <c r="B2182" t="s">
        <v>3428</v>
      </c>
      <c r="C2182" s="1">
        <v>36440</v>
      </c>
      <c r="D2182" t="s">
        <v>3429</v>
      </c>
      <c r="E2182" t="str">
        <f t="shared" si="106"/>
        <v>서울특별시</v>
      </c>
      <c r="F2182" t="str">
        <f t="shared" si="107"/>
        <v>동대문구</v>
      </c>
      <c r="G2182" t="str">
        <f t="shared" si="105"/>
        <v>장안동</v>
      </c>
    </row>
    <row r="2183" spans="1:9" x14ac:dyDescent="0.4">
      <c r="A2183">
        <v>3050000</v>
      </c>
      <c r="B2183" t="s">
        <v>3287</v>
      </c>
      <c r="C2183" s="1">
        <v>39119</v>
      </c>
      <c r="D2183" t="s">
        <v>3288</v>
      </c>
      <c r="E2183" t="str">
        <f t="shared" si="106"/>
        <v>서울특별시</v>
      </c>
      <c r="F2183" t="str">
        <f t="shared" si="107"/>
        <v>동대문구</v>
      </c>
      <c r="G2183" t="str">
        <f t="shared" si="105"/>
        <v>장안동</v>
      </c>
      <c r="H2183" t="s">
        <v>3289</v>
      </c>
      <c r="I2183">
        <v>2624</v>
      </c>
    </row>
    <row r="2184" spans="1:9" x14ac:dyDescent="0.4">
      <c r="A2184">
        <v>3050000</v>
      </c>
      <c r="B2184" t="s">
        <v>3349</v>
      </c>
      <c r="C2184" s="1">
        <v>36731</v>
      </c>
      <c r="D2184" t="s">
        <v>3350</v>
      </c>
      <c r="E2184" t="str">
        <f t="shared" si="106"/>
        <v>서울특별시</v>
      </c>
      <c r="F2184" t="str">
        <f t="shared" si="107"/>
        <v>동대문구</v>
      </c>
      <c r="G2184" t="str">
        <f t="shared" si="105"/>
        <v>장안동</v>
      </c>
    </row>
    <row r="2185" spans="1:9" x14ac:dyDescent="0.4">
      <c r="A2185">
        <v>3050000</v>
      </c>
      <c r="B2185" t="s">
        <v>3522</v>
      </c>
      <c r="C2185" s="1">
        <v>36822</v>
      </c>
      <c r="D2185" t="s">
        <v>3523</v>
      </c>
      <c r="E2185" t="str">
        <f t="shared" si="106"/>
        <v>서울특별시</v>
      </c>
      <c r="F2185" t="str">
        <f t="shared" si="107"/>
        <v>동대문구</v>
      </c>
      <c r="G2185" t="str">
        <f t="shared" si="105"/>
        <v>장안동</v>
      </c>
    </row>
    <row r="2186" spans="1:9" x14ac:dyDescent="0.4">
      <c r="A2186">
        <v>3050000</v>
      </c>
      <c r="B2186" t="s">
        <v>3709</v>
      </c>
      <c r="C2186" s="1">
        <v>29930</v>
      </c>
      <c r="D2186" t="s">
        <v>3523</v>
      </c>
      <c r="E2186" t="str">
        <f t="shared" si="106"/>
        <v>서울특별시</v>
      </c>
      <c r="F2186" t="str">
        <f t="shared" si="107"/>
        <v>동대문구</v>
      </c>
      <c r="G2186" t="str">
        <f t="shared" si="105"/>
        <v>장안동</v>
      </c>
      <c r="H2186" t="s">
        <v>3710</v>
      </c>
      <c r="I2186">
        <v>2624</v>
      </c>
    </row>
    <row r="2187" spans="1:9" x14ac:dyDescent="0.4">
      <c r="A2187">
        <v>3050000</v>
      </c>
      <c r="B2187" t="s">
        <v>3762</v>
      </c>
      <c r="C2187" s="1">
        <v>36580</v>
      </c>
      <c r="D2187" t="s">
        <v>3763</v>
      </c>
      <c r="E2187" t="str">
        <f t="shared" si="106"/>
        <v>서울특별시</v>
      </c>
      <c r="F2187" t="str">
        <f t="shared" si="107"/>
        <v>동대문구</v>
      </c>
      <c r="G2187" t="str">
        <f t="shared" si="105"/>
        <v>장안동</v>
      </c>
    </row>
    <row r="2188" spans="1:9" x14ac:dyDescent="0.4">
      <c r="A2188">
        <v>3050000</v>
      </c>
      <c r="B2188" t="s">
        <v>3631</v>
      </c>
      <c r="C2188" s="1">
        <v>31260</v>
      </c>
      <c r="D2188" t="s">
        <v>3632</v>
      </c>
      <c r="E2188" t="str">
        <f t="shared" si="106"/>
        <v>서울특별시</v>
      </c>
      <c r="F2188" t="str">
        <f t="shared" si="107"/>
        <v>동대문구</v>
      </c>
      <c r="G2188" t="str">
        <f t="shared" si="105"/>
        <v>장안동</v>
      </c>
      <c r="H2188" t="s">
        <v>3633</v>
      </c>
      <c r="I2188">
        <v>2624</v>
      </c>
    </row>
    <row r="2189" spans="1:9" x14ac:dyDescent="0.4">
      <c r="A2189">
        <v>3050000</v>
      </c>
      <c r="B2189" t="s">
        <v>3389</v>
      </c>
      <c r="C2189" s="1">
        <v>32567</v>
      </c>
      <c r="D2189" t="s">
        <v>3390</v>
      </c>
      <c r="E2189" t="str">
        <f t="shared" si="106"/>
        <v>서울특별시</v>
      </c>
      <c r="F2189" t="str">
        <f t="shared" si="107"/>
        <v>동대문구</v>
      </c>
      <c r="G2189" t="str">
        <f t="shared" si="105"/>
        <v>장안동</v>
      </c>
    </row>
    <row r="2190" spans="1:9" x14ac:dyDescent="0.4">
      <c r="A2190">
        <v>3050000</v>
      </c>
      <c r="B2190" t="s">
        <v>3649</v>
      </c>
      <c r="C2190" s="1">
        <v>25484</v>
      </c>
      <c r="D2190" t="s">
        <v>3390</v>
      </c>
      <c r="E2190" t="str">
        <f t="shared" si="106"/>
        <v>서울특별시</v>
      </c>
      <c r="F2190" t="str">
        <f t="shared" si="107"/>
        <v>동대문구</v>
      </c>
      <c r="G2190" t="str">
        <f t="shared" si="105"/>
        <v>장안동</v>
      </c>
    </row>
    <row r="2191" spans="1:9" x14ac:dyDescent="0.4">
      <c r="A2191">
        <v>3050000</v>
      </c>
      <c r="B2191" t="s">
        <v>3735</v>
      </c>
      <c r="C2191" s="1">
        <v>36971</v>
      </c>
      <c r="D2191" t="s">
        <v>3736</v>
      </c>
      <c r="E2191" t="str">
        <f t="shared" si="106"/>
        <v>서울특별시</v>
      </c>
      <c r="F2191" t="str">
        <f t="shared" si="107"/>
        <v>동대문구</v>
      </c>
      <c r="G2191" t="str">
        <f t="shared" si="105"/>
        <v>장안동</v>
      </c>
    </row>
    <row r="2192" spans="1:9" x14ac:dyDescent="0.4">
      <c r="A2192">
        <v>3050000</v>
      </c>
      <c r="B2192" t="s">
        <v>3752</v>
      </c>
      <c r="C2192" s="1">
        <v>31006</v>
      </c>
      <c r="D2192" t="s">
        <v>3736</v>
      </c>
      <c r="E2192" t="str">
        <f t="shared" si="106"/>
        <v>서울특별시</v>
      </c>
      <c r="F2192" t="str">
        <f t="shared" si="107"/>
        <v>동대문구</v>
      </c>
      <c r="G2192" t="str">
        <f t="shared" si="105"/>
        <v>장안동</v>
      </c>
    </row>
    <row r="2193" spans="1:9" x14ac:dyDescent="0.4">
      <c r="A2193">
        <v>3050000</v>
      </c>
      <c r="B2193" t="s">
        <v>3442</v>
      </c>
      <c r="C2193" s="1">
        <v>37310</v>
      </c>
      <c r="D2193" t="s">
        <v>3443</v>
      </c>
      <c r="E2193" t="str">
        <f t="shared" si="106"/>
        <v>서울특별시</v>
      </c>
      <c r="F2193" t="str">
        <f t="shared" si="107"/>
        <v>동대문구</v>
      </c>
      <c r="G2193" t="str">
        <f t="shared" si="105"/>
        <v>장안동</v>
      </c>
    </row>
    <row r="2194" spans="1:9" x14ac:dyDescent="0.4">
      <c r="A2194">
        <v>3050000</v>
      </c>
      <c r="B2194" t="s">
        <v>3515</v>
      </c>
      <c r="C2194" s="1">
        <v>31836</v>
      </c>
      <c r="D2194" t="s">
        <v>3443</v>
      </c>
      <c r="E2194" t="str">
        <f t="shared" si="106"/>
        <v>서울특별시</v>
      </c>
      <c r="F2194" t="str">
        <f t="shared" si="107"/>
        <v>동대문구</v>
      </c>
      <c r="G2194" t="str">
        <f t="shared" si="105"/>
        <v>장안동</v>
      </c>
    </row>
    <row r="2195" spans="1:9" x14ac:dyDescent="0.4">
      <c r="A2195">
        <v>3050000</v>
      </c>
      <c r="B2195" t="s">
        <v>3510</v>
      </c>
      <c r="C2195" s="1">
        <v>31824</v>
      </c>
      <c r="D2195" t="s">
        <v>3511</v>
      </c>
      <c r="E2195" t="str">
        <f t="shared" si="106"/>
        <v>서울특별시</v>
      </c>
      <c r="F2195" t="str">
        <f t="shared" si="107"/>
        <v>동대문구</v>
      </c>
      <c r="G2195" t="str">
        <f t="shared" si="105"/>
        <v>장안동</v>
      </c>
    </row>
    <row r="2196" spans="1:9" x14ac:dyDescent="0.4">
      <c r="A2196">
        <v>3050000</v>
      </c>
      <c r="B2196" t="s">
        <v>3355</v>
      </c>
      <c r="C2196" s="1">
        <v>36794</v>
      </c>
      <c r="D2196" t="s">
        <v>3356</v>
      </c>
      <c r="E2196" t="str">
        <f t="shared" si="106"/>
        <v>서울특별시</v>
      </c>
      <c r="F2196" t="str">
        <f t="shared" si="107"/>
        <v>동대문구</v>
      </c>
      <c r="G2196" t="str">
        <f t="shared" si="105"/>
        <v>장안동</v>
      </c>
      <c r="H2196" t="s">
        <v>3357</v>
      </c>
      <c r="I2196">
        <v>2624</v>
      </c>
    </row>
    <row r="2197" spans="1:9" x14ac:dyDescent="0.4">
      <c r="A2197">
        <v>3050000</v>
      </c>
      <c r="B2197" t="s">
        <v>3358</v>
      </c>
      <c r="C2197" s="1">
        <v>36794</v>
      </c>
      <c r="D2197" t="s">
        <v>3356</v>
      </c>
      <c r="E2197" t="str">
        <f t="shared" si="106"/>
        <v>서울특별시</v>
      </c>
      <c r="F2197" t="str">
        <f t="shared" si="107"/>
        <v>동대문구</v>
      </c>
      <c r="G2197" t="str">
        <f t="shared" si="105"/>
        <v>장안동</v>
      </c>
      <c r="H2197" t="s">
        <v>3357</v>
      </c>
      <c r="I2197">
        <v>2624</v>
      </c>
    </row>
    <row r="2198" spans="1:9" x14ac:dyDescent="0.4">
      <c r="A2198">
        <v>3050000</v>
      </c>
      <c r="B2198" t="s">
        <v>3388</v>
      </c>
      <c r="C2198" s="1">
        <v>31275</v>
      </c>
      <c r="D2198" t="s">
        <v>3356</v>
      </c>
      <c r="E2198" t="str">
        <f t="shared" si="106"/>
        <v>서울특별시</v>
      </c>
      <c r="F2198" t="str">
        <f t="shared" si="107"/>
        <v>동대문구</v>
      </c>
      <c r="G2198" t="str">
        <f t="shared" si="105"/>
        <v>장안동</v>
      </c>
      <c r="H2198" t="s">
        <v>3357</v>
      </c>
      <c r="I2198">
        <v>2624</v>
      </c>
    </row>
    <row r="2199" spans="1:9" x14ac:dyDescent="0.4">
      <c r="A2199">
        <v>3050000</v>
      </c>
      <c r="B2199" t="s">
        <v>3320</v>
      </c>
      <c r="C2199" s="1">
        <v>40100</v>
      </c>
      <c r="D2199" t="s">
        <v>3321</v>
      </c>
      <c r="E2199" t="str">
        <f t="shared" si="106"/>
        <v>서울특별시</v>
      </c>
      <c r="F2199" t="str">
        <f t="shared" si="107"/>
        <v>동대문구</v>
      </c>
      <c r="G2199" t="str">
        <f t="shared" si="105"/>
        <v>장안동</v>
      </c>
      <c r="H2199" t="s">
        <v>3322</v>
      </c>
      <c r="I2199">
        <v>2625</v>
      </c>
    </row>
    <row r="2200" spans="1:9" x14ac:dyDescent="0.4">
      <c r="A2200">
        <v>3050000</v>
      </c>
      <c r="B2200" t="s">
        <v>3721</v>
      </c>
      <c r="C2200" s="1">
        <v>27136</v>
      </c>
      <c r="D2200" t="s">
        <v>3321</v>
      </c>
      <c r="E2200" t="str">
        <f t="shared" si="106"/>
        <v>서울특별시</v>
      </c>
      <c r="F2200" t="str">
        <f t="shared" si="107"/>
        <v>동대문구</v>
      </c>
      <c r="G2200" t="str">
        <f t="shared" si="105"/>
        <v>장안동</v>
      </c>
    </row>
    <row r="2201" spans="1:9" x14ac:dyDescent="0.4">
      <c r="A2201">
        <v>3050000</v>
      </c>
      <c r="B2201" t="s">
        <v>3463</v>
      </c>
      <c r="C2201" s="1">
        <v>36853</v>
      </c>
      <c r="D2201" t="s">
        <v>3464</v>
      </c>
      <c r="E2201" t="str">
        <f t="shared" si="106"/>
        <v>서울특별시</v>
      </c>
      <c r="F2201" t="str">
        <f t="shared" si="107"/>
        <v>동대문구</v>
      </c>
      <c r="G2201" t="str">
        <f t="shared" si="105"/>
        <v>장안동</v>
      </c>
      <c r="H2201" t="s">
        <v>3465</v>
      </c>
      <c r="I2201">
        <v>2624</v>
      </c>
    </row>
    <row r="2202" spans="1:9" x14ac:dyDescent="0.4">
      <c r="A2202">
        <v>3050000</v>
      </c>
      <c r="B2202" t="s">
        <v>3284</v>
      </c>
      <c r="C2202" s="1">
        <v>31275</v>
      </c>
      <c r="D2202" t="s">
        <v>3285</v>
      </c>
      <c r="E2202" t="str">
        <f t="shared" si="106"/>
        <v>서울특별시</v>
      </c>
      <c r="F2202" t="str">
        <f t="shared" si="107"/>
        <v>동대문구</v>
      </c>
      <c r="G2202" t="str">
        <f t="shared" si="105"/>
        <v>장안동</v>
      </c>
      <c r="H2202" t="s">
        <v>3286</v>
      </c>
      <c r="I2202">
        <v>2624</v>
      </c>
    </row>
    <row r="2203" spans="1:9" x14ac:dyDescent="0.4">
      <c r="A2203">
        <v>3050000</v>
      </c>
      <c r="B2203" t="s">
        <v>3636</v>
      </c>
      <c r="C2203" s="1">
        <v>36685</v>
      </c>
      <c r="D2203" t="s">
        <v>3637</v>
      </c>
      <c r="E2203" t="str">
        <f t="shared" si="106"/>
        <v>서울특별시</v>
      </c>
      <c r="F2203" t="str">
        <f t="shared" si="107"/>
        <v>동대문구</v>
      </c>
      <c r="G2203" t="str">
        <f t="shared" si="105"/>
        <v>장안동</v>
      </c>
      <c r="H2203" t="s">
        <v>3638</v>
      </c>
      <c r="I2203">
        <v>2633</v>
      </c>
    </row>
    <row r="2204" spans="1:9" x14ac:dyDescent="0.4">
      <c r="A2204">
        <v>3050000</v>
      </c>
      <c r="B2204" t="s">
        <v>3475</v>
      </c>
      <c r="C2204" s="1">
        <v>36680</v>
      </c>
      <c r="D2204" t="s">
        <v>3476</v>
      </c>
      <c r="E2204" t="str">
        <f t="shared" si="106"/>
        <v>서울특별시</v>
      </c>
      <c r="F2204" t="str">
        <f t="shared" si="107"/>
        <v>동대문구</v>
      </c>
      <c r="G2204" t="str">
        <f t="shared" si="105"/>
        <v>장안동</v>
      </c>
      <c r="H2204" t="s">
        <v>3477</v>
      </c>
      <c r="I2204">
        <v>2636</v>
      </c>
    </row>
    <row r="2205" spans="1:9" x14ac:dyDescent="0.4">
      <c r="A2205">
        <v>3050000</v>
      </c>
      <c r="B2205" t="s">
        <v>3565</v>
      </c>
      <c r="C2205" s="1">
        <v>37163</v>
      </c>
      <c r="D2205" t="s">
        <v>3476</v>
      </c>
      <c r="E2205" t="str">
        <f t="shared" si="106"/>
        <v>서울특별시</v>
      </c>
      <c r="F2205" t="str">
        <f t="shared" si="107"/>
        <v>동대문구</v>
      </c>
      <c r="G2205" t="str">
        <f t="shared" si="105"/>
        <v>장안동</v>
      </c>
    </row>
    <row r="2206" spans="1:9" x14ac:dyDescent="0.4">
      <c r="A2206">
        <v>3050000</v>
      </c>
      <c r="B2206" t="s">
        <v>3766</v>
      </c>
      <c r="C2206" s="1">
        <v>36640</v>
      </c>
      <c r="D2206" t="s">
        <v>3767</v>
      </c>
      <c r="E2206" t="str">
        <f t="shared" si="106"/>
        <v>서울특별시</v>
      </c>
      <c r="F2206" t="str">
        <f t="shared" si="107"/>
        <v>동대문구</v>
      </c>
      <c r="G2206" t="str">
        <f t="shared" si="105"/>
        <v>장안동</v>
      </c>
    </row>
    <row r="2207" spans="1:9" x14ac:dyDescent="0.4">
      <c r="A2207">
        <v>3050000</v>
      </c>
      <c r="B2207" t="s">
        <v>3544</v>
      </c>
      <c r="C2207" s="1">
        <v>37034</v>
      </c>
      <c r="D2207" t="s">
        <v>3545</v>
      </c>
      <c r="E2207" t="str">
        <f t="shared" si="106"/>
        <v>서울특별시</v>
      </c>
      <c r="F2207" t="str">
        <f t="shared" si="107"/>
        <v>동대문구</v>
      </c>
      <c r="G2207" t="str">
        <f t="shared" si="105"/>
        <v>장안동</v>
      </c>
    </row>
    <row r="2208" spans="1:9" x14ac:dyDescent="0.4">
      <c r="A2208">
        <v>3050000</v>
      </c>
      <c r="B2208" t="s">
        <v>3346</v>
      </c>
      <c r="C2208" s="1">
        <v>39686</v>
      </c>
      <c r="D2208" t="s">
        <v>3347</v>
      </c>
      <c r="E2208" t="str">
        <f t="shared" si="106"/>
        <v>서울특별시</v>
      </c>
      <c r="F2208" t="str">
        <f t="shared" si="107"/>
        <v>동대문구</v>
      </c>
      <c r="G2208" t="str">
        <f t="shared" si="105"/>
        <v>장안동</v>
      </c>
      <c r="H2208" t="s">
        <v>3348</v>
      </c>
      <c r="I2208">
        <v>2645</v>
      </c>
    </row>
    <row r="2209" spans="1:9" x14ac:dyDescent="0.4">
      <c r="A2209">
        <v>3050000</v>
      </c>
      <c r="B2209" t="s">
        <v>3730</v>
      </c>
      <c r="C2209" s="1">
        <v>37540</v>
      </c>
      <c r="D2209" t="s">
        <v>3731</v>
      </c>
      <c r="E2209" t="str">
        <f t="shared" si="106"/>
        <v>서울특별시</v>
      </c>
      <c r="F2209" t="str">
        <f t="shared" si="107"/>
        <v>동대문구</v>
      </c>
      <c r="G2209" t="str">
        <f t="shared" si="105"/>
        <v>장안동</v>
      </c>
    </row>
    <row r="2210" spans="1:9" x14ac:dyDescent="0.4">
      <c r="A2210">
        <v>3050000</v>
      </c>
      <c r="B2210" t="s">
        <v>3341</v>
      </c>
      <c r="C2210" s="1">
        <v>36705</v>
      </c>
      <c r="D2210" t="s">
        <v>3342</v>
      </c>
      <c r="E2210" t="str">
        <f t="shared" si="106"/>
        <v>서울특별시</v>
      </c>
      <c r="F2210" t="str">
        <f t="shared" si="107"/>
        <v>동대문구</v>
      </c>
      <c r="G2210" t="str">
        <f t="shared" si="105"/>
        <v>장안동</v>
      </c>
    </row>
    <row r="2211" spans="1:9" x14ac:dyDescent="0.4">
      <c r="A2211">
        <v>3050000</v>
      </c>
      <c r="B2211" t="s">
        <v>3444</v>
      </c>
      <c r="C2211" s="1">
        <v>37371</v>
      </c>
      <c r="D2211" t="s">
        <v>3445</v>
      </c>
      <c r="E2211" t="str">
        <f t="shared" si="106"/>
        <v>서울특별시</v>
      </c>
      <c r="F2211" t="str">
        <f t="shared" si="107"/>
        <v>동대문구</v>
      </c>
      <c r="G2211" t="str">
        <f t="shared" si="105"/>
        <v>장안동</v>
      </c>
    </row>
    <row r="2212" spans="1:9" x14ac:dyDescent="0.4">
      <c r="A2212">
        <v>3050000</v>
      </c>
      <c r="B2212" t="s">
        <v>3512</v>
      </c>
      <c r="C2212" s="1">
        <v>36682</v>
      </c>
      <c r="D2212" t="s">
        <v>3513</v>
      </c>
      <c r="E2212" t="str">
        <f t="shared" si="106"/>
        <v>서울특별시</v>
      </c>
      <c r="F2212" t="str">
        <f t="shared" si="107"/>
        <v>동대문구</v>
      </c>
      <c r="G2212" t="str">
        <f t="shared" si="105"/>
        <v>장안동</v>
      </c>
      <c r="H2212" t="s">
        <v>3514</v>
      </c>
      <c r="I2212">
        <v>2645</v>
      </c>
    </row>
    <row r="2213" spans="1:9" x14ac:dyDescent="0.4">
      <c r="A2213">
        <v>3050000</v>
      </c>
      <c r="B2213" t="s">
        <v>3498</v>
      </c>
      <c r="C2213" s="1">
        <v>36382</v>
      </c>
      <c r="D2213" t="s">
        <v>3499</v>
      </c>
      <c r="E2213" t="str">
        <f t="shared" si="106"/>
        <v>서울특별시</v>
      </c>
      <c r="F2213" t="str">
        <f t="shared" si="107"/>
        <v>동대문구</v>
      </c>
      <c r="G2213" t="str">
        <f t="shared" si="105"/>
        <v>장안동</v>
      </c>
      <c r="H2213" t="s">
        <v>3500</v>
      </c>
      <c r="I2213">
        <v>2645</v>
      </c>
    </row>
    <row r="2214" spans="1:9" x14ac:dyDescent="0.4">
      <c r="A2214">
        <v>3050000</v>
      </c>
      <c r="B2214" t="s">
        <v>3426</v>
      </c>
      <c r="C2214" s="1">
        <v>36367</v>
      </c>
      <c r="D2214" t="s">
        <v>3427</v>
      </c>
      <c r="E2214" t="str">
        <f t="shared" si="106"/>
        <v>서울특별시</v>
      </c>
      <c r="F2214" t="str">
        <f t="shared" si="107"/>
        <v>동대문구</v>
      </c>
      <c r="G2214" t="str">
        <f t="shared" ref="G2214:G2260" si="108">MID(SUBSTITUTE(D2214," ",""),10,3)</f>
        <v>장안동</v>
      </c>
    </row>
    <row r="2215" spans="1:9" x14ac:dyDescent="0.4">
      <c r="A2215">
        <v>3050000</v>
      </c>
      <c r="B2215" t="s">
        <v>3592</v>
      </c>
      <c r="C2215" s="1">
        <v>43504</v>
      </c>
      <c r="D2215" t="s">
        <v>3593</v>
      </c>
      <c r="E2215" t="str">
        <f t="shared" si="106"/>
        <v>서울특별시</v>
      </c>
      <c r="F2215" t="str">
        <f t="shared" si="107"/>
        <v>동대문구</v>
      </c>
      <c r="G2215" t="str">
        <f t="shared" si="108"/>
        <v>장안동</v>
      </c>
      <c r="H2215" t="s">
        <v>3594</v>
      </c>
      <c r="I2215">
        <v>2645</v>
      </c>
    </row>
    <row r="2216" spans="1:9" x14ac:dyDescent="0.4">
      <c r="A2216">
        <v>3050000</v>
      </c>
      <c r="B2216" t="s">
        <v>3374</v>
      </c>
      <c r="C2216" s="1">
        <v>36675</v>
      </c>
      <c r="D2216" t="s">
        <v>3375</v>
      </c>
      <c r="E2216" t="str">
        <f t="shared" si="106"/>
        <v>서울특별시</v>
      </c>
      <c r="F2216" t="str">
        <f t="shared" si="107"/>
        <v>동대문구</v>
      </c>
      <c r="G2216" t="str">
        <f t="shared" si="108"/>
        <v>장안동</v>
      </c>
      <c r="H2216" t="s">
        <v>3376</v>
      </c>
      <c r="I2216">
        <v>2645</v>
      </c>
    </row>
    <row r="2217" spans="1:9" x14ac:dyDescent="0.4">
      <c r="A2217">
        <v>3050000</v>
      </c>
      <c r="B2217" t="s">
        <v>57</v>
      </c>
      <c r="C2217" s="1">
        <v>25976</v>
      </c>
      <c r="D2217" t="s">
        <v>58</v>
      </c>
      <c r="E2217" t="str">
        <f t="shared" si="106"/>
        <v>서울특별시</v>
      </c>
      <c r="F2217" t="str">
        <f t="shared" si="107"/>
        <v>동대문구</v>
      </c>
      <c r="G2217" t="str">
        <f t="shared" si="108"/>
        <v>전농동</v>
      </c>
      <c r="H2217" t="s">
        <v>59</v>
      </c>
      <c r="I2217">
        <v>2506</v>
      </c>
    </row>
    <row r="2218" spans="1:9" x14ac:dyDescent="0.4">
      <c r="A2218">
        <v>3050000</v>
      </c>
      <c r="B2218" t="s">
        <v>3655</v>
      </c>
      <c r="C2218" s="1">
        <v>26164</v>
      </c>
      <c r="D2218" t="s">
        <v>3656</v>
      </c>
      <c r="E2218" t="str">
        <f t="shared" si="106"/>
        <v>서울특별시</v>
      </c>
      <c r="F2218" t="str">
        <f t="shared" si="107"/>
        <v>동대문구</v>
      </c>
      <c r="G2218" t="str">
        <f t="shared" si="108"/>
        <v>전농동</v>
      </c>
      <c r="H2218" t="s">
        <v>3657</v>
      </c>
      <c r="I2218">
        <v>2547</v>
      </c>
    </row>
    <row r="2219" spans="1:9" x14ac:dyDescent="0.4">
      <c r="A2219">
        <v>3050000</v>
      </c>
      <c r="B2219" t="s">
        <v>3269</v>
      </c>
      <c r="C2219" s="1">
        <v>36530</v>
      </c>
      <c r="D2219" t="s">
        <v>3270</v>
      </c>
      <c r="E2219" t="str">
        <f t="shared" si="106"/>
        <v>서울특별시</v>
      </c>
      <c r="F2219" t="str">
        <f t="shared" si="107"/>
        <v>동대문구</v>
      </c>
      <c r="G2219" t="str">
        <f t="shared" si="108"/>
        <v>전농동</v>
      </c>
      <c r="H2219" t="s">
        <v>3271</v>
      </c>
      <c r="I2219">
        <v>2554</v>
      </c>
    </row>
    <row r="2220" spans="1:9" x14ac:dyDescent="0.4">
      <c r="A2220">
        <v>3050000</v>
      </c>
      <c r="B2220" t="s">
        <v>3607</v>
      </c>
      <c r="C2220" s="1">
        <v>30883</v>
      </c>
      <c r="D2220" t="s">
        <v>3608</v>
      </c>
      <c r="E2220" t="str">
        <f t="shared" si="106"/>
        <v>서울특별시</v>
      </c>
      <c r="F2220" t="str">
        <f t="shared" si="107"/>
        <v>동대문구</v>
      </c>
      <c r="G2220" t="str">
        <f t="shared" si="108"/>
        <v>전농동</v>
      </c>
      <c r="H2220" t="s">
        <v>3609</v>
      </c>
    </row>
    <row r="2221" spans="1:9" x14ac:dyDescent="0.4">
      <c r="A2221">
        <v>3050000</v>
      </c>
      <c r="B2221" t="s">
        <v>3750</v>
      </c>
      <c r="C2221" s="1">
        <v>30982</v>
      </c>
      <c r="D2221" t="s">
        <v>3751</v>
      </c>
      <c r="E2221" t="str">
        <f t="shared" si="106"/>
        <v>서울특별시</v>
      </c>
      <c r="F2221" t="str">
        <f t="shared" si="107"/>
        <v>동대문구</v>
      </c>
      <c r="G2221" t="str">
        <f t="shared" si="108"/>
        <v>전농동</v>
      </c>
    </row>
    <row r="2222" spans="1:9" x14ac:dyDescent="0.4">
      <c r="A2222">
        <v>3050000</v>
      </c>
      <c r="B2222" t="s">
        <v>3563</v>
      </c>
      <c r="C2222" s="1">
        <v>34369</v>
      </c>
      <c r="D2222" t="s">
        <v>3564</v>
      </c>
      <c r="E2222" t="str">
        <f t="shared" si="106"/>
        <v>서울특별시</v>
      </c>
      <c r="F2222" t="str">
        <f t="shared" si="107"/>
        <v>동대문구</v>
      </c>
      <c r="G2222" t="str">
        <f t="shared" si="108"/>
        <v>전농동</v>
      </c>
    </row>
    <row r="2223" spans="1:9" x14ac:dyDescent="0.4">
      <c r="A2223">
        <v>3050000</v>
      </c>
      <c r="B2223" t="s">
        <v>3765</v>
      </c>
      <c r="C2223" s="1">
        <v>36593</v>
      </c>
      <c r="D2223" t="s">
        <v>3564</v>
      </c>
      <c r="E2223" t="str">
        <f t="shared" si="106"/>
        <v>서울특별시</v>
      </c>
      <c r="F2223" t="str">
        <f t="shared" si="107"/>
        <v>동대문구</v>
      </c>
      <c r="G2223" t="str">
        <f t="shared" si="108"/>
        <v>전농동</v>
      </c>
    </row>
    <row r="2224" spans="1:9" x14ac:dyDescent="0.4">
      <c r="A2224">
        <v>3050000</v>
      </c>
      <c r="B2224" t="s">
        <v>3424</v>
      </c>
      <c r="C2224" s="1">
        <v>36315</v>
      </c>
      <c r="D2224" t="s">
        <v>3425</v>
      </c>
      <c r="E2224" t="str">
        <f t="shared" si="106"/>
        <v>서울특별시</v>
      </c>
      <c r="F2224" t="str">
        <f t="shared" si="107"/>
        <v>동대문구</v>
      </c>
      <c r="G2224" t="str">
        <f t="shared" si="108"/>
        <v>전농동</v>
      </c>
    </row>
    <row r="2225" spans="1:9" x14ac:dyDescent="0.4">
      <c r="A2225">
        <v>3050000</v>
      </c>
      <c r="B2225" t="s">
        <v>3293</v>
      </c>
      <c r="C2225" s="1">
        <v>30055</v>
      </c>
      <c r="D2225" t="s">
        <v>3294</v>
      </c>
      <c r="E2225" t="str">
        <f t="shared" si="106"/>
        <v>서울특별시</v>
      </c>
      <c r="F2225" t="str">
        <f t="shared" si="107"/>
        <v>동대문구</v>
      </c>
      <c r="G2225" t="str">
        <f t="shared" si="108"/>
        <v>전농동</v>
      </c>
      <c r="H2225" t="s">
        <v>3295</v>
      </c>
      <c r="I2225">
        <v>2554</v>
      </c>
    </row>
    <row r="2226" spans="1:9" x14ac:dyDescent="0.4">
      <c r="A2226">
        <v>3050000</v>
      </c>
      <c r="B2226" t="s">
        <v>3753</v>
      </c>
      <c r="C2226" s="1">
        <v>31008</v>
      </c>
      <c r="D2226" t="s">
        <v>3754</v>
      </c>
      <c r="E2226" t="str">
        <f t="shared" si="106"/>
        <v>서울특별시</v>
      </c>
      <c r="F2226" t="str">
        <f t="shared" si="107"/>
        <v>동대문구</v>
      </c>
      <c r="G2226" t="str">
        <f t="shared" si="108"/>
        <v>전농동</v>
      </c>
    </row>
    <row r="2227" spans="1:9" x14ac:dyDescent="0.4">
      <c r="A2227">
        <v>3050000</v>
      </c>
      <c r="B2227" t="s">
        <v>3674</v>
      </c>
      <c r="C2227" s="1">
        <v>30307</v>
      </c>
      <c r="D2227" t="s">
        <v>3675</v>
      </c>
      <c r="E2227" t="str">
        <f t="shared" si="106"/>
        <v>서울특별시</v>
      </c>
      <c r="F2227" t="str">
        <f t="shared" si="107"/>
        <v>동대문구</v>
      </c>
      <c r="G2227" t="str">
        <f t="shared" si="108"/>
        <v>전농동</v>
      </c>
    </row>
    <row r="2228" spans="1:9" x14ac:dyDescent="0.4">
      <c r="A2228">
        <v>3050000</v>
      </c>
      <c r="B2228" t="s">
        <v>3567</v>
      </c>
      <c r="C2228" s="1">
        <v>37209</v>
      </c>
      <c r="D2228" t="s">
        <v>3568</v>
      </c>
      <c r="E2228" t="str">
        <f t="shared" si="106"/>
        <v>서울특별시</v>
      </c>
      <c r="F2228" t="str">
        <f t="shared" si="107"/>
        <v>동대문구</v>
      </c>
      <c r="G2228" t="str">
        <f t="shared" si="108"/>
        <v>전농동</v>
      </c>
    </row>
    <row r="2229" spans="1:9" x14ac:dyDescent="0.4">
      <c r="A2229">
        <v>3050000</v>
      </c>
      <c r="B2229" t="s">
        <v>3722</v>
      </c>
      <c r="C2229" s="1">
        <v>27549</v>
      </c>
      <c r="D2229" t="s">
        <v>3723</v>
      </c>
      <c r="E2229" t="str">
        <f t="shared" si="106"/>
        <v>서울특별시</v>
      </c>
      <c r="F2229" t="str">
        <f t="shared" si="107"/>
        <v>동대문구</v>
      </c>
      <c r="G2229" t="str">
        <f t="shared" si="108"/>
        <v>전농동</v>
      </c>
    </row>
    <row r="2230" spans="1:9" x14ac:dyDescent="0.4">
      <c r="A2230">
        <v>3050000</v>
      </c>
      <c r="B2230" t="s">
        <v>3572</v>
      </c>
      <c r="C2230" s="1">
        <v>36862</v>
      </c>
      <c r="D2230" t="s">
        <v>3573</v>
      </c>
      <c r="E2230" t="str">
        <f t="shared" si="106"/>
        <v>서울특별시</v>
      </c>
      <c r="F2230" t="str">
        <f t="shared" si="107"/>
        <v>동대문구</v>
      </c>
      <c r="G2230" t="str">
        <f t="shared" si="108"/>
        <v>전농동</v>
      </c>
    </row>
    <row r="2231" spans="1:9" x14ac:dyDescent="0.4">
      <c r="A2231">
        <v>3050000</v>
      </c>
      <c r="B2231" t="s">
        <v>3364</v>
      </c>
      <c r="C2231" s="1">
        <v>36851</v>
      </c>
      <c r="D2231" t="s">
        <v>3365</v>
      </c>
      <c r="E2231" t="str">
        <f t="shared" si="106"/>
        <v>서울특별시</v>
      </c>
      <c r="F2231" t="str">
        <f t="shared" si="107"/>
        <v>동대문구</v>
      </c>
      <c r="G2231" t="str">
        <f t="shared" si="108"/>
        <v>전농동</v>
      </c>
      <c r="H2231" t="s">
        <v>3366</v>
      </c>
      <c r="I2231">
        <v>2559</v>
      </c>
    </row>
    <row r="2232" spans="1:9" x14ac:dyDescent="0.4">
      <c r="A2232">
        <v>3050000</v>
      </c>
      <c r="B2232" t="s">
        <v>3644</v>
      </c>
      <c r="C2232" s="1">
        <v>39549</v>
      </c>
      <c r="D2232" t="s">
        <v>3645</v>
      </c>
      <c r="E2232" t="str">
        <f t="shared" si="106"/>
        <v>서울특별시</v>
      </c>
      <c r="F2232" t="str">
        <f t="shared" si="107"/>
        <v>동대문구</v>
      </c>
      <c r="G2232" t="str">
        <f t="shared" si="108"/>
        <v>전농동</v>
      </c>
    </row>
    <row r="2233" spans="1:9" x14ac:dyDescent="0.4">
      <c r="A2233">
        <v>3050000</v>
      </c>
      <c r="B2233" t="s">
        <v>3677</v>
      </c>
      <c r="C2233" s="1">
        <v>30439</v>
      </c>
      <c r="D2233" t="s">
        <v>3645</v>
      </c>
      <c r="E2233" t="str">
        <f t="shared" si="106"/>
        <v>서울특별시</v>
      </c>
      <c r="F2233" t="str">
        <f t="shared" si="107"/>
        <v>동대문구</v>
      </c>
      <c r="G2233" t="str">
        <f t="shared" si="108"/>
        <v>전농동</v>
      </c>
    </row>
    <row r="2234" spans="1:9" x14ac:dyDescent="0.4">
      <c r="A2234">
        <v>3050000</v>
      </c>
      <c r="B2234" t="s">
        <v>3757</v>
      </c>
      <c r="C2234" s="1">
        <v>31013</v>
      </c>
      <c r="D2234" t="s">
        <v>3645</v>
      </c>
      <c r="E2234" t="str">
        <f t="shared" si="106"/>
        <v>서울특별시</v>
      </c>
      <c r="F2234" t="str">
        <f t="shared" si="107"/>
        <v>동대문구</v>
      </c>
      <c r="G2234" t="str">
        <f t="shared" si="108"/>
        <v>전농동</v>
      </c>
    </row>
    <row r="2235" spans="1:9" x14ac:dyDescent="0.4">
      <c r="A2235">
        <v>3050000</v>
      </c>
      <c r="B2235" t="s">
        <v>3557</v>
      </c>
      <c r="C2235" s="1">
        <v>33263</v>
      </c>
      <c r="D2235" t="s">
        <v>3558</v>
      </c>
      <c r="E2235" t="str">
        <f t="shared" si="106"/>
        <v>서울특별시</v>
      </c>
      <c r="F2235" t="str">
        <f t="shared" si="107"/>
        <v>동대문구</v>
      </c>
      <c r="G2235" t="str">
        <f t="shared" si="108"/>
        <v>전농동</v>
      </c>
    </row>
    <row r="2236" spans="1:9" x14ac:dyDescent="0.4">
      <c r="A2236">
        <v>3050000</v>
      </c>
      <c r="B2236" t="s">
        <v>3440</v>
      </c>
      <c r="C2236" s="1">
        <v>37277</v>
      </c>
      <c r="D2236" t="s">
        <v>3441</v>
      </c>
      <c r="E2236" t="str">
        <f t="shared" si="106"/>
        <v>서울특별시</v>
      </c>
      <c r="F2236" t="str">
        <f t="shared" si="107"/>
        <v>동대문구</v>
      </c>
      <c r="G2236" t="str">
        <f t="shared" si="108"/>
        <v>전농동</v>
      </c>
    </row>
    <row r="2237" spans="1:9" x14ac:dyDescent="0.4">
      <c r="A2237">
        <v>3050000</v>
      </c>
      <c r="B2237" t="s">
        <v>3688</v>
      </c>
      <c r="C2237" s="1">
        <v>40606</v>
      </c>
      <c r="D2237" t="s">
        <v>3441</v>
      </c>
      <c r="E2237" t="str">
        <f t="shared" si="106"/>
        <v>서울특별시</v>
      </c>
      <c r="F2237" t="str">
        <f t="shared" si="107"/>
        <v>동대문구</v>
      </c>
      <c r="G2237" t="str">
        <f t="shared" si="108"/>
        <v>전농동</v>
      </c>
      <c r="H2237" t="s">
        <v>3689</v>
      </c>
      <c r="I2237">
        <v>2559</v>
      </c>
    </row>
    <row r="2238" spans="1:9" x14ac:dyDescent="0.4">
      <c r="A2238">
        <v>3050000</v>
      </c>
      <c r="B2238" t="s">
        <v>3693</v>
      </c>
      <c r="C2238" s="1">
        <v>40862</v>
      </c>
      <c r="D2238" t="s">
        <v>3694</v>
      </c>
      <c r="E2238" t="str">
        <f t="shared" si="106"/>
        <v>서울특별시</v>
      </c>
      <c r="F2238" t="str">
        <f t="shared" si="107"/>
        <v>동대문구</v>
      </c>
      <c r="G2238" t="str">
        <f t="shared" si="108"/>
        <v>전농동</v>
      </c>
      <c r="H2238" t="s">
        <v>3689</v>
      </c>
      <c r="I2238">
        <v>2559</v>
      </c>
    </row>
    <row r="2239" spans="1:9" x14ac:dyDescent="0.4">
      <c r="A2239">
        <v>3050000</v>
      </c>
      <c r="B2239" t="s">
        <v>3581</v>
      </c>
      <c r="C2239" s="1">
        <v>31607</v>
      </c>
      <c r="D2239" t="s">
        <v>3582</v>
      </c>
      <c r="E2239" t="str">
        <f t="shared" si="106"/>
        <v>서울특별시</v>
      </c>
      <c r="F2239" t="str">
        <f t="shared" si="107"/>
        <v>동대문구</v>
      </c>
      <c r="G2239" t="str">
        <f t="shared" si="108"/>
        <v>전농동</v>
      </c>
    </row>
    <row r="2240" spans="1:9" x14ac:dyDescent="0.4">
      <c r="A2240">
        <v>3050000</v>
      </c>
      <c r="B2240" t="s">
        <v>3595</v>
      </c>
      <c r="C2240" s="1">
        <v>43521</v>
      </c>
      <c r="D2240" t="s">
        <v>3596</v>
      </c>
      <c r="E2240" t="str">
        <f t="shared" si="106"/>
        <v>서울특별시</v>
      </c>
      <c r="F2240" t="str">
        <f t="shared" si="107"/>
        <v>동대문구</v>
      </c>
      <c r="G2240" t="str">
        <f t="shared" si="108"/>
        <v>전농동</v>
      </c>
      <c r="H2240" t="s">
        <v>3597</v>
      </c>
      <c r="I2240">
        <v>2559</v>
      </c>
    </row>
    <row r="2241" spans="1:9" x14ac:dyDescent="0.4">
      <c r="A2241">
        <v>3050000</v>
      </c>
      <c r="B2241" t="s">
        <v>3405</v>
      </c>
      <c r="C2241" s="1">
        <v>43294</v>
      </c>
      <c r="D2241" t="s">
        <v>3406</v>
      </c>
      <c r="E2241" t="str">
        <f t="shared" si="106"/>
        <v>서울특별시</v>
      </c>
      <c r="F2241" t="str">
        <f t="shared" si="107"/>
        <v>동대문구</v>
      </c>
      <c r="G2241" t="str">
        <f t="shared" si="108"/>
        <v>전농동</v>
      </c>
      <c r="H2241" t="s">
        <v>3407</v>
      </c>
      <c r="I2241">
        <v>2559</v>
      </c>
    </row>
    <row r="2242" spans="1:9" x14ac:dyDescent="0.4">
      <c r="A2242">
        <v>3050000</v>
      </c>
      <c r="B2242" t="s">
        <v>3660</v>
      </c>
      <c r="C2242" s="1">
        <v>38754</v>
      </c>
      <c r="D2242" t="s">
        <v>3406</v>
      </c>
      <c r="E2242" t="str">
        <f t="shared" si="106"/>
        <v>서울특별시</v>
      </c>
      <c r="F2242" t="str">
        <f t="shared" si="107"/>
        <v>동대문구</v>
      </c>
      <c r="G2242" t="str">
        <f t="shared" si="108"/>
        <v>전농동</v>
      </c>
    </row>
    <row r="2243" spans="1:9" x14ac:dyDescent="0.4">
      <c r="A2243">
        <v>3050000</v>
      </c>
      <c r="B2243" t="s">
        <v>3678</v>
      </c>
      <c r="C2243" s="1">
        <v>30442</v>
      </c>
      <c r="D2243" t="s">
        <v>3406</v>
      </c>
      <c r="E2243" t="str">
        <f t="shared" ref="E2243:E2306" si="109">LEFT(D2243,5)</f>
        <v>서울특별시</v>
      </c>
      <c r="F2243" t="str">
        <f t="shared" ref="F2243:F2306" si="110">MID(D2243,7,4)</f>
        <v>동대문구</v>
      </c>
      <c r="G2243" t="str">
        <f t="shared" si="108"/>
        <v>전농동</v>
      </c>
      <c r="H2243" t="s">
        <v>3679</v>
      </c>
      <c r="I2243">
        <v>2559</v>
      </c>
    </row>
    <row r="2244" spans="1:9" x14ac:dyDescent="0.4">
      <c r="A2244">
        <v>3050000</v>
      </c>
      <c r="B2244" t="s">
        <v>3707</v>
      </c>
      <c r="C2244" s="1">
        <v>29777</v>
      </c>
      <c r="D2244" t="s">
        <v>3708</v>
      </c>
      <c r="E2244" t="str">
        <f t="shared" si="109"/>
        <v>서울특별시</v>
      </c>
      <c r="F2244" t="str">
        <f t="shared" si="110"/>
        <v>동대문구</v>
      </c>
      <c r="G2244" t="str">
        <f t="shared" si="108"/>
        <v>제기동</v>
      </c>
    </row>
    <row r="2245" spans="1:9" x14ac:dyDescent="0.4">
      <c r="A2245">
        <v>3050000</v>
      </c>
      <c r="B2245" t="s">
        <v>3684</v>
      </c>
      <c r="C2245" s="1">
        <v>30447</v>
      </c>
      <c r="D2245" t="s">
        <v>3685</v>
      </c>
      <c r="E2245" t="str">
        <f t="shared" si="109"/>
        <v>서울특별시</v>
      </c>
      <c r="F2245" t="str">
        <f t="shared" si="110"/>
        <v>동대문구</v>
      </c>
      <c r="G2245" t="str">
        <f t="shared" si="108"/>
        <v>제기동</v>
      </c>
    </row>
    <row r="2246" spans="1:9" x14ac:dyDescent="0.4">
      <c r="A2246">
        <v>3050000</v>
      </c>
      <c r="B2246" t="s">
        <v>3650</v>
      </c>
      <c r="C2246" s="1">
        <v>25946</v>
      </c>
      <c r="D2246" t="s">
        <v>3651</v>
      </c>
      <c r="E2246" t="str">
        <f t="shared" si="109"/>
        <v>서울특별시</v>
      </c>
      <c r="F2246" t="str">
        <f t="shared" si="110"/>
        <v>동대문구</v>
      </c>
      <c r="G2246" t="str">
        <f>MID(SUBSTITUTE(D2246," ",""),10,4)</f>
        <v>청량리동</v>
      </c>
    </row>
    <row r="2247" spans="1:9" x14ac:dyDescent="0.4">
      <c r="A2247">
        <v>3050000</v>
      </c>
      <c r="B2247" t="s">
        <v>3379</v>
      </c>
      <c r="C2247" s="1">
        <v>30459</v>
      </c>
      <c r="D2247" t="s">
        <v>3380</v>
      </c>
      <c r="E2247" t="str">
        <f t="shared" si="109"/>
        <v>서울특별시</v>
      </c>
      <c r="F2247" t="str">
        <f t="shared" si="110"/>
        <v>동대문구</v>
      </c>
      <c r="G2247" t="str">
        <f t="shared" ref="G2247:G2252" si="111">MID(SUBSTITUTE(D2247," ",""),10,4)</f>
        <v>청량리동</v>
      </c>
    </row>
    <row r="2248" spans="1:9" x14ac:dyDescent="0.4">
      <c r="A2248">
        <v>3050000</v>
      </c>
      <c r="B2248" t="s">
        <v>3622</v>
      </c>
      <c r="C2248" s="1">
        <v>31119</v>
      </c>
      <c r="D2248" t="s">
        <v>3380</v>
      </c>
      <c r="E2248" t="str">
        <f t="shared" si="109"/>
        <v>서울특별시</v>
      </c>
      <c r="F2248" t="str">
        <f t="shared" si="110"/>
        <v>동대문구</v>
      </c>
      <c r="G2248" t="str">
        <f t="shared" si="111"/>
        <v>청량리동</v>
      </c>
    </row>
    <row r="2249" spans="1:9" x14ac:dyDescent="0.4">
      <c r="A2249">
        <v>3050000</v>
      </c>
      <c r="B2249" t="s">
        <v>3478</v>
      </c>
      <c r="C2249" s="1">
        <v>36890</v>
      </c>
      <c r="D2249" t="s">
        <v>3479</v>
      </c>
      <c r="E2249" t="str">
        <f t="shared" si="109"/>
        <v>서울특별시</v>
      </c>
      <c r="F2249" t="str">
        <f t="shared" si="110"/>
        <v>동대문구</v>
      </c>
      <c r="G2249" t="str">
        <f t="shared" si="111"/>
        <v>청량리동</v>
      </c>
      <c r="H2249" t="s">
        <v>3480</v>
      </c>
      <c r="I2249">
        <v>2488</v>
      </c>
    </row>
    <row r="2250" spans="1:9" x14ac:dyDescent="0.4">
      <c r="A2250">
        <v>3050000</v>
      </c>
      <c r="B2250" t="s">
        <v>3583</v>
      </c>
      <c r="C2250" s="1">
        <v>31608</v>
      </c>
      <c r="D2250" t="s">
        <v>3584</v>
      </c>
      <c r="E2250" t="str">
        <f t="shared" si="109"/>
        <v>서울특별시</v>
      </c>
      <c r="F2250" t="str">
        <f t="shared" si="110"/>
        <v>동대문구</v>
      </c>
      <c r="G2250" t="str">
        <f t="shared" si="111"/>
        <v>청량리동</v>
      </c>
    </row>
    <row r="2251" spans="1:9" x14ac:dyDescent="0.4">
      <c r="A2251">
        <v>3050000</v>
      </c>
      <c r="B2251" t="s">
        <v>3724</v>
      </c>
      <c r="C2251" s="1">
        <v>28000</v>
      </c>
      <c r="D2251" t="s">
        <v>3725</v>
      </c>
      <c r="E2251" t="str">
        <f t="shared" si="109"/>
        <v>서울특별시</v>
      </c>
      <c r="F2251" t="str">
        <f t="shared" si="110"/>
        <v>동대문구</v>
      </c>
      <c r="G2251" t="str">
        <f t="shared" si="111"/>
        <v>청량리동</v>
      </c>
    </row>
    <row r="2252" spans="1:9" x14ac:dyDescent="0.4">
      <c r="A2252">
        <v>3050000</v>
      </c>
      <c r="B2252" t="s">
        <v>3369</v>
      </c>
      <c r="C2252" s="1">
        <v>36659</v>
      </c>
      <c r="D2252" t="s">
        <v>3370</v>
      </c>
      <c r="E2252" t="str">
        <f t="shared" si="109"/>
        <v>서울특별시</v>
      </c>
      <c r="F2252" t="str">
        <f t="shared" si="110"/>
        <v>동대문구</v>
      </c>
      <c r="G2252" t="str">
        <f t="shared" si="111"/>
        <v>청량리동</v>
      </c>
    </row>
    <row r="2253" spans="1:9" x14ac:dyDescent="0.4">
      <c r="A2253">
        <v>3050000</v>
      </c>
      <c r="B2253" t="s">
        <v>3652</v>
      </c>
      <c r="C2253" s="1">
        <v>25987</v>
      </c>
      <c r="D2253" t="s">
        <v>3653</v>
      </c>
      <c r="E2253" t="str">
        <f t="shared" si="109"/>
        <v>서울특별시</v>
      </c>
      <c r="F2253" t="str">
        <f t="shared" si="110"/>
        <v>동대문구</v>
      </c>
      <c r="G2253" t="str">
        <f t="shared" si="108"/>
        <v>휘경동</v>
      </c>
      <c r="H2253" t="s">
        <v>3654</v>
      </c>
      <c r="I2253">
        <v>2445</v>
      </c>
    </row>
    <row r="2254" spans="1:9" x14ac:dyDescent="0.4">
      <c r="A2254">
        <v>3050000</v>
      </c>
      <c r="B2254" t="s">
        <v>3451</v>
      </c>
      <c r="C2254" s="1">
        <v>30875</v>
      </c>
      <c r="D2254" t="s">
        <v>3452</v>
      </c>
      <c r="E2254" t="str">
        <f t="shared" si="109"/>
        <v>서울특별시</v>
      </c>
      <c r="F2254" t="str">
        <f t="shared" si="110"/>
        <v>동대문구</v>
      </c>
      <c r="G2254" t="str">
        <f t="shared" si="108"/>
        <v>휘경동</v>
      </c>
      <c r="H2254" t="s">
        <v>3453</v>
      </c>
      <c r="I2254">
        <v>2445</v>
      </c>
    </row>
    <row r="2255" spans="1:9" x14ac:dyDescent="0.4">
      <c r="A2255">
        <v>3050000</v>
      </c>
      <c r="B2255" t="s">
        <v>3719</v>
      </c>
      <c r="C2255" s="1">
        <v>27027</v>
      </c>
      <c r="D2255" t="s">
        <v>3720</v>
      </c>
      <c r="E2255" t="str">
        <f t="shared" si="109"/>
        <v>서울특별시</v>
      </c>
      <c r="F2255" t="str">
        <f t="shared" si="110"/>
        <v>동대문구</v>
      </c>
      <c r="G2255" t="str">
        <f t="shared" si="108"/>
        <v>휘경동</v>
      </c>
    </row>
    <row r="2256" spans="1:9" x14ac:dyDescent="0.4">
      <c r="A2256">
        <v>3050000</v>
      </c>
      <c r="B2256" t="s">
        <v>3481</v>
      </c>
      <c r="C2256" s="1">
        <v>30767</v>
      </c>
      <c r="D2256" t="s">
        <v>3482</v>
      </c>
      <c r="E2256" t="str">
        <f t="shared" si="109"/>
        <v>서울특별시</v>
      </c>
      <c r="F2256" t="str">
        <f t="shared" si="110"/>
        <v>동대문구</v>
      </c>
      <c r="G2256" t="str">
        <f t="shared" si="108"/>
        <v>휘경동</v>
      </c>
      <c r="H2256" t="s">
        <v>3483</v>
      </c>
      <c r="I2256">
        <v>2445</v>
      </c>
    </row>
    <row r="2257" spans="1:9" x14ac:dyDescent="0.4">
      <c r="A2257">
        <v>3050000</v>
      </c>
      <c r="B2257" t="s">
        <v>3758</v>
      </c>
      <c r="C2257" s="1">
        <v>31047</v>
      </c>
      <c r="D2257" t="s">
        <v>3759</v>
      </c>
      <c r="E2257" t="str">
        <f t="shared" si="109"/>
        <v>서울특별시</v>
      </c>
      <c r="F2257" t="str">
        <f t="shared" si="110"/>
        <v>동대문구</v>
      </c>
      <c r="G2257" t="str">
        <f t="shared" si="108"/>
        <v>휘경동</v>
      </c>
    </row>
    <row r="2258" spans="1:9" x14ac:dyDescent="0.4">
      <c r="A2258">
        <v>3050000</v>
      </c>
      <c r="B2258" t="s">
        <v>3603</v>
      </c>
      <c r="C2258" s="1">
        <v>36501</v>
      </c>
      <c r="D2258" t="s">
        <v>3604</v>
      </c>
      <c r="E2258" t="str">
        <f t="shared" si="109"/>
        <v>서울특별시</v>
      </c>
      <c r="F2258" t="str">
        <f t="shared" si="110"/>
        <v>동대문구</v>
      </c>
      <c r="G2258" t="str">
        <f t="shared" si="108"/>
        <v>휘경동</v>
      </c>
    </row>
    <row r="2259" spans="1:9" x14ac:dyDescent="0.4">
      <c r="A2259">
        <v>3050000</v>
      </c>
      <c r="B2259" t="s">
        <v>3351</v>
      </c>
      <c r="C2259" s="1">
        <v>36746</v>
      </c>
      <c r="D2259" t="s">
        <v>3352</v>
      </c>
      <c r="E2259" t="str">
        <f t="shared" si="109"/>
        <v>서울특별시</v>
      </c>
      <c r="F2259" t="str">
        <f t="shared" si="110"/>
        <v>동대문구</v>
      </c>
      <c r="G2259" t="str">
        <f t="shared" si="108"/>
        <v>휘경동</v>
      </c>
    </row>
    <row r="2260" spans="1:9" x14ac:dyDescent="0.4">
      <c r="A2260">
        <v>3050000</v>
      </c>
      <c r="B2260" t="s">
        <v>3317</v>
      </c>
      <c r="C2260" s="1">
        <v>28072</v>
      </c>
      <c r="D2260" t="s">
        <v>3318</v>
      </c>
      <c r="E2260" t="str">
        <f t="shared" si="109"/>
        <v>서울특별시</v>
      </c>
      <c r="F2260" t="str">
        <f t="shared" si="110"/>
        <v>동대문구</v>
      </c>
      <c r="G2260" t="str">
        <f t="shared" si="108"/>
        <v>휘경동</v>
      </c>
      <c r="H2260" t="s">
        <v>3319</v>
      </c>
      <c r="I2260">
        <v>2446</v>
      </c>
    </row>
    <row r="2261" spans="1:9" x14ac:dyDescent="0.4">
      <c r="A2261">
        <v>3190000</v>
      </c>
      <c r="B2261" t="s">
        <v>7736</v>
      </c>
      <c r="C2261" s="1">
        <v>36722</v>
      </c>
      <c r="D2261" t="s">
        <v>7737</v>
      </c>
      <c r="E2261" t="str">
        <f t="shared" si="109"/>
        <v>서울특별시</v>
      </c>
      <c r="F2261" t="str">
        <f t="shared" si="110"/>
        <v xml:space="preserve">동작구 </v>
      </c>
      <c r="G2261" t="str">
        <f t="shared" ref="G2261:G2306" si="112">MID(SUBSTITUTE(D2261," ",""),9,3)</f>
        <v>노량진</v>
      </c>
    </row>
    <row r="2262" spans="1:9" x14ac:dyDescent="0.4">
      <c r="A2262">
        <v>3190000</v>
      </c>
      <c r="B2262" t="s">
        <v>7758</v>
      </c>
      <c r="C2262" s="1">
        <v>36645</v>
      </c>
      <c r="D2262" t="s">
        <v>7759</v>
      </c>
      <c r="E2262" t="str">
        <f t="shared" si="109"/>
        <v>서울특별시</v>
      </c>
      <c r="F2262" t="str">
        <f t="shared" si="110"/>
        <v xml:space="preserve">동작구 </v>
      </c>
      <c r="G2262" t="str">
        <f t="shared" si="112"/>
        <v>노량진</v>
      </c>
    </row>
    <row r="2263" spans="1:9" x14ac:dyDescent="0.4">
      <c r="A2263">
        <v>3190000</v>
      </c>
      <c r="B2263" t="s">
        <v>7785</v>
      </c>
      <c r="C2263" s="1">
        <v>31849</v>
      </c>
      <c r="D2263" t="s">
        <v>7786</v>
      </c>
      <c r="E2263" t="str">
        <f t="shared" si="109"/>
        <v>서울특별시</v>
      </c>
      <c r="F2263" t="str">
        <f t="shared" si="110"/>
        <v xml:space="preserve">동작구 </v>
      </c>
      <c r="G2263" t="str">
        <f t="shared" si="112"/>
        <v>노량진</v>
      </c>
    </row>
    <row r="2264" spans="1:9" x14ac:dyDescent="0.4">
      <c r="A2264">
        <v>3190000</v>
      </c>
      <c r="B2264" t="s">
        <v>7628</v>
      </c>
      <c r="C2264" s="1">
        <v>34319</v>
      </c>
      <c r="D2264" t="s">
        <v>7629</v>
      </c>
      <c r="E2264" t="str">
        <f t="shared" si="109"/>
        <v>서울특별시</v>
      </c>
      <c r="F2264" t="str">
        <f t="shared" si="110"/>
        <v xml:space="preserve">동작구 </v>
      </c>
      <c r="G2264" t="str">
        <f t="shared" si="112"/>
        <v>노량진</v>
      </c>
      <c r="H2264" t="s">
        <v>7630</v>
      </c>
      <c r="I2264">
        <v>6935</v>
      </c>
    </row>
    <row r="2265" spans="1:9" x14ac:dyDescent="0.4">
      <c r="A2265">
        <v>3190000</v>
      </c>
      <c r="B2265" t="s">
        <v>7709</v>
      </c>
      <c r="C2265" s="1">
        <v>34503</v>
      </c>
      <c r="D2265" t="s">
        <v>7710</v>
      </c>
      <c r="E2265" t="str">
        <f t="shared" si="109"/>
        <v>서울특별시</v>
      </c>
      <c r="F2265" t="str">
        <f t="shared" si="110"/>
        <v xml:space="preserve">동작구 </v>
      </c>
      <c r="G2265" t="str">
        <f t="shared" si="112"/>
        <v>노량진</v>
      </c>
    </row>
    <row r="2266" spans="1:9" x14ac:dyDescent="0.4">
      <c r="A2266">
        <v>3190000</v>
      </c>
      <c r="B2266" t="s">
        <v>7722</v>
      </c>
      <c r="C2266" s="1">
        <v>36258</v>
      </c>
      <c r="D2266" t="s">
        <v>7723</v>
      </c>
      <c r="E2266" t="str">
        <f t="shared" si="109"/>
        <v>서울특별시</v>
      </c>
      <c r="F2266" t="str">
        <f t="shared" si="110"/>
        <v xml:space="preserve">동작구 </v>
      </c>
      <c r="G2266" t="str">
        <f t="shared" si="112"/>
        <v>노량진</v>
      </c>
    </row>
    <row r="2267" spans="1:9" x14ac:dyDescent="0.4">
      <c r="A2267">
        <v>3190000</v>
      </c>
      <c r="B2267" t="s">
        <v>7767</v>
      </c>
      <c r="C2267" s="1">
        <v>26988</v>
      </c>
      <c r="D2267" t="s">
        <v>7768</v>
      </c>
      <c r="E2267" t="str">
        <f t="shared" si="109"/>
        <v>서울특별시</v>
      </c>
      <c r="F2267" t="str">
        <f t="shared" si="110"/>
        <v xml:space="preserve">동작구 </v>
      </c>
      <c r="G2267" t="str">
        <f t="shared" si="112"/>
        <v>노량진</v>
      </c>
      <c r="H2267" t="s">
        <v>7769</v>
      </c>
      <c r="I2267">
        <v>6927</v>
      </c>
    </row>
    <row r="2268" spans="1:9" x14ac:dyDescent="0.4">
      <c r="A2268">
        <v>3190000</v>
      </c>
      <c r="B2268" t="s">
        <v>7811</v>
      </c>
      <c r="C2268" s="1">
        <v>36465</v>
      </c>
      <c r="D2268" t="s">
        <v>7768</v>
      </c>
      <c r="E2268" t="str">
        <f t="shared" si="109"/>
        <v>서울특별시</v>
      </c>
      <c r="F2268" t="str">
        <f t="shared" si="110"/>
        <v xml:space="preserve">동작구 </v>
      </c>
      <c r="G2268" t="str">
        <f t="shared" si="112"/>
        <v>노량진</v>
      </c>
    </row>
    <row r="2269" spans="1:9" x14ac:dyDescent="0.4">
      <c r="A2269">
        <v>3190000</v>
      </c>
      <c r="B2269" t="s">
        <v>7601</v>
      </c>
      <c r="C2269" s="1">
        <v>36607</v>
      </c>
      <c r="D2269" t="s">
        <v>7602</v>
      </c>
      <c r="E2269" t="str">
        <f t="shared" si="109"/>
        <v>서울특별시</v>
      </c>
      <c r="F2269" t="str">
        <f t="shared" si="110"/>
        <v xml:space="preserve">동작구 </v>
      </c>
      <c r="G2269" t="str">
        <f t="shared" si="112"/>
        <v>노량진</v>
      </c>
      <c r="H2269" t="s">
        <v>7603</v>
      </c>
      <c r="I2269">
        <v>6927</v>
      </c>
    </row>
    <row r="2270" spans="1:9" x14ac:dyDescent="0.4">
      <c r="A2270">
        <v>3190000</v>
      </c>
      <c r="B2270" t="s">
        <v>183</v>
      </c>
      <c r="C2270" s="1">
        <v>37057</v>
      </c>
      <c r="D2270" t="s">
        <v>184</v>
      </c>
      <c r="E2270" t="str">
        <f t="shared" si="109"/>
        <v>서울특별시</v>
      </c>
      <c r="F2270" t="str">
        <f t="shared" si="110"/>
        <v xml:space="preserve">동작구 </v>
      </c>
      <c r="G2270" t="str">
        <f t="shared" si="112"/>
        <v>노량진</v>
      </c>
      <c r="H2270" t="s">
        <v>185</v>
      </c>
      <c r="I2270">
        <v>6927</v>
      </c>
    </row>
    <row r="2271" spans="1:9" x14ac:dyDescent="0.4">
      <c r="A2271">
        <v>3190000</v>
      </c>
      <c r="B2271" t="s">
        <v>7724</v>
      </c>
      <c r="C2271" s="1">
        <v>36263</v>
      </c>
      <c r="D2271" t="s">
        <v>7725</v>
      </c>
      <c r="E2271" t="str">
        <f t="shared" si="109"/>
        <v>서울특별시</v>
      </c>
      <c r="F2271" t="str">
        <f t="shared" si="110"/>
        <v xml:space="preserve">동작구 </v>
      </c>
      <c r="G2271" t="str">
        <f t="shared" si="112"/>
        <v>노량진</v>
      </c>
    </row>
    <row r="2272" spans="1:9" x14ac:dyDescent="0.4">
      <c r="A2272">
        <v>3190000</v>
      </c>
      <c r="B2272" t="s">
        <v>7787</v>
      </c>
      <c r="C2272" s="1">
        <v>32154</v>
      </c>
      <c r="D2272" t="s">
        <v>7788</v>
      </c>
      <c r="E2272" t="str">
        <f t="shared" si="109"/>
        <v>서울특별시</v>
      </c>
      <c r="F2272" t="str">
        <f t="shared" si="110"/>
        <v xml:space="preserve">동작구 </v>
      </c>
      <c r="G2272" t="str">
        <f t="shared" si="112"/>
        <v>노량진</v>
      </c>
    </row>
    <row r="2273" spans="1:9" x14ac:dyDescent="0.4">
      <c r="A2273">
        <v>3190000</v>
      </c>
      <c r="B2273" t="s">
        <v>7640</v>
      </c>
      <c r="C2273" s="1">
        <v>36463</v>
      </c>
      <c r="D2273" t="s">
        <v>7641</v>
      </c>
      <c r="E2273" t="str">
        <f t="shared" si="109"/>
        <v>서울특별시</v>
      </c>
      <c r="F2273" t="str">
        <f t="shared" si="110"/>
        <v xml:space="preserve">동작구 </v>
      </c>
      <c r="G2273" t="str">
        <f t="shared" si="112"/>
        <v>노량진</v>
      </c>
      <c r="H2273" t="s">
        <v>7642</v>
      </c>
      <c r="I2273">
        <v>6928</v>
      </c>
    </row>
    <row r="2274" spans="1:9" x14ac:dyDescent="0.4">
      <c r="A2274">
        <v>3190000</v>
      </c>
      <c r="B2274" t="s">
        <v>7747</v>
      </c>
      <c r="C2274" s="1">
        <v>37202</v>
      </c>
      <c r="D2274" t="s">
        <v>7748</v>
      </c>
      <c r="E2274" t="str">
        <f t="shared" si="109"/>
        <v>서울특별시</v>
      </c>
      <c r="F2274" t="str">
        <f t="shared" si="110"/>
        <v xml:space="preserve">동작구 </v>
      </c>
      <c r="G2274" t="str">
        <f t="shared" si="112"/>
        <v>노량진</v>
      </c>
    </row>
    <row r="2275" spans="1:9" x14ac:dyDescent="0.4">
      <c r="A2275">
        <v>3190000</v>
      </c>
      <c r="B2275" t="s">
        <v>7770</v>
      </c>
      <c r="C2275" s="1">
        <v>27014</v>
      </c>
      <c r="D2275" t="s">
        <v>7771</v>
      </c>
      <c r="E2275" t="str">
        <f t="shared" si="109"/>
        <v>서울특별시</v>
      </c>
      <c r="F2275" t="str">
        <f t="shared" si="110"/>
        <v xml:space="preserve">동작구 </v>
      </c>
      <c r="G2275" t="str">
        <f t="shared" si="112"/>
        <v>노량진</v>
      </c>
    </row>
    <row r="2276" spans="1:9" x14ac:dyDescent="0.4">
      <c r="A2276">
        <v>3190000</v>
      </c>
      <c r="B2276" t="s">
        <v>7749</v>
      </c>
      <c r="C2276" s="1">
        <v>37321</v>
      </c>
      <c r="D2276" t="s">
        <v>7750</v>
      </c>
      <c r="E2276" t="str">
        <f t="shared" si="109"/>
        <v>서울특별시</v>
      </c>
      <c r="F2276" t="str">
        <f t="shared" si="110"/>
        <v xml:space="preserve">동작구 </v>
      </c>
      <c r="G2276" t="str">
        <f t="shared" si="112"/>
        <v>노량진</v>
      </c>
    </row>
    <row r="2277" spans="1:9" x14ac:dyDescent="0.4">
      <c r="A2277">
        <v>3190000</v>
      </c>
      <c r="B2277" t="s">
        <v>7574</v>
      </c>
      <c r="C2277" s="1">
        <v>37412</v>
      </c>
      <c r="D2277" t="s">
        <v>7575</v>
      </c>
      <c r="E2277" t="str">
        <f t="shared" si="109"/>
        <v>서울특별시</v>
      </c>
      <c r="F2277" t="str">
        <f t="shared" si="110"/>
        <v xml:space="preserve">동작구 </v>
      </c>
      <c r="G2277" t="str">
        <f t="shared" si="112"/>
        <v>노량진</v>
      </c>
      <c r="H2277" t="s">
        <v>7576</v>
      </c>
      <c r="I2277">
        <v>6928</v>
      </c>
    </row>
    <row r="2278" spans="1:9" x14ac:dyDescent="0.4">
      <c r="A2278">
        <v>3190000</v>
      </c>
      <c r="B2278" t="s">
        <v>7807</v>
      </c>
      <c r="C2278" s="1">
        <v>36459</v>
      </c>
      <c r="D2278" t="s">
        <v>7808</v>
      </c>
      <c r="E2278" t="str">
        <f t="shared" si="109"/>
        <v>서울특별시</v>
      </c>
      <c r="F2278" t="str">
        <f t="shared" si="110"/>
        <v xml:space="preserve">동작구 </v>
      </c>
      <c r="G2278" t="str">
        <f t="shared" si="112"/>
        <v>노량진</v>
      </c>
    </row>
    <row r="2279" spans="1:9" x14ac:dyDescent="0.4">
      <c r="A2279">
        <v>3190000</v>
      </c>
      <c r="B2279" t="s">
        <v>7667</v>
      </c>
      <c r="C2279" s="1">
        <v>36315</v>
      </c>
      <c r="D2279" t="s">
        <v>7668</v>
      </c>
      <c r="E2279" t="str">
        <f t="shared" si="109"/>
        <v>서울특별시</v>
      </c>
      <c r="F2279" t="str">
        <f t="shared" si="110"/>
        <v xml:space="preserve">동작구 </v>
      </c>
      <c r="G2279" t="str">
        <f t="shared" si="112"/>
        <v>노량진</v>
      </c>
      <c r="H2279" t="s">
        <v>7669</v>
      </c>
      <c r="I2279">
        <v>6928</v>
      </c>
    </row>
    <row r="2280" spans="1:9" x14ac:dyDescent="0.4">
      <c r="A2280">
        <v>3190000</v>
      </c>
      <c r="B2280" t="s">
        <v>7646</v>
      </c>
      <c r="C2280" s="1">
        <v>36489</v>
      </c>
      <c r="D2280" t="s">
        <v>7647</v>
      </c>
      <c r="E2280" t="str">
        <f t="shared" si="109"/>
        <v>서울특별시</v>
      </c>
      <c r="F2280" t="str">
        <f t="shared" si="110"/>
        <v xml:space="preserve">동작구 </v>
      </c>
      <c r="G2280" t="str">
        <f t="shared" si="112"/>
        <v>노량진</v>
      </c>
      <c r="H2280" t="s">
        <v>7648</v>
      </c>
      <c r="I2280">
        <v>6928</v>
      </c>
    </row>
    <row r="2281" spans="1:9" x14ac:dyDescent="0.4">
      <c r="A2281">
        <v>3190000</v>
      </c>
      <c r="B2281" t="s">
        <v>7826</v>
      </c>
      <c r="C2281" s="1">
        <v>36882</v>
      </c>
      <c r="D2281" t="s">
        <v>7827</v>
      </c>
      <c r="E2281" t="str">
        <f t="shared" si="109"/>
        <v>서울특별시</v>
      </c>
      <c r="F2281" t="str">
        <f t="shared" si="110"/>
        <v xml:space="preserve">동작구 </v>
      </c>
      <c r="G2281" t="str">
        <f t="shared" si="112"/>
        <v>노량진</v>
      </c>
      <c r="H2281" t="s">
        <v>7828</v>
      </c>
      <c r="I2281">
        <v>6928</v>
      </c>
    </row>
    <row r="2282" spans="1:9" x14ac:dyDescent="0.4">
      <c r="A2282">
        <v>3190000</v>
      </c>
      <c r="B2282" t="s">
        <v>7745</v>
      </c>
      <c r="C2282" s="1">
        <v>37183</v>
      </c>
      <c r="D2282" t="s">
        <v>7746</v>
      </c>
      <c r="E2282" t="str">
        <f t="shared" si="109"/>
        <v>서울특별시</v>
      </c>
      <c r="F2282" t="str">
        <f t="shared" si="110"/>
        <v xml:space="preserve">동작구 </v>
      </c>
      <c r="G2282" t="str">
        <f t="shared" si="112"/>
        <v>노량진</v>
      </c>
    </row>
    <row r="2283" spans="1:9" x14ac:dyDescent="0.4">
      <c r="A2283">
        <v>3190000</v>
      </c>
      <c r="B2283" t="s">
        <v>7816</v>
      </c>
      <c r="C2283" s="1">
        <v>36573</v>
      </c>
      <c r="D2283" t="s">
        <v>7817</v>
      </c>
      <c r="E2283" t="str">
        <f t="shared" si="109"/>
        <v>서울특별시</v>
      </c>
      <c r="F2283" t="str">
        <f t="shared" si="110"/>
        <v xml:space="preserve">동작구 </v>
      </c>
      <c r="G2283" t="str">
        <f t="shared" si="112"/>
        <v>노량진</v>
      </c>
    </row>
    <row r="2284" spans="1:9" x14ac:dyDescent="0.4">
      <c r="A2284">
        <v>3190000</v>
      </c>
      <c r="B2284" t="s">
        <v>7765</v>
      </c>
      <c r="C2284" s="1">
        <v>26289</v>
      </c>
      <c r="D2284" t="s">
        <v>7766</v>
      </c>
      <c r="E2284" t="str">
        <f t="shared" si="109"/>
        <v>서울특별시</v>
      </c>
      <c r="F2284" t="str">
        <f t="shared" si="110"/>
        <v xml:space="preserve">동작구 </v>
      </c>
      <c r="G2284" t="str">
        <f t="shared" si="112"/>
        <v>노량진</v>
      </c>
    </row>
    <row r="2285" spans="1:9" x14ac:dyDescent="0.4">
      <c r="A2285">
        <v>3190000</v>
      </c>
      <c r="B2285" t="s">
        <v>7772</v>
      </c>
      <c r="C2285" s="1">
        <v>27566</v>
      </c>
      <c r="D2285" t="s">
        <v>7773</v>
      </c>
      <c r="E2285" t="str">
        <f t="shared" si="109"/>
        <v>서울특별시</v>
      </c>
      <c r="F2285" t="str">
        <f t="shared" si="110"/>
        <v xml:space="preserve">동작구 </v>
      </c>
      <c r="G2285" t="str">
        <f t="shared" si="112"/>
        <v>노량진</v>
      </c>
    </row>
    <row r="2286" spans="1:9" x14ac:dyDescent="0.4">
      <c r="A2286">
        <v>3190000</v>
      </c>
      <c r="B2286" t="s">
        <v>7783</v>
      </c>
      <c r="C2286" s="1">
        <v>31628</v>
      </c>
      <c r="D2286" t="s">
        <v>7784</v>
      </c>
      <c r="E2286" t="str">
        <f t="shared" si="109"/>
        <v>서울특별시</v>
      </c>
      <c r="F2286" t="str">
        <f t="shared" si="110"/>
        <v xml:space="preserve">동작구 </v>
      </c>
      <c r="G2286" t="str">
        <f t="shared" si="112"/>
        <v>노량진</v>
      </c>
    </row>
    <row r="2287" spans="1:9" x14ac:dyDescent="0.4">
      <c r="A2287">
        <v>3190000</v>
      </c>
      <c r="B2287" t="s">
        <v>7583</v>
      </c>
      <c r="C2287" s="1">
        <v>43280</v>
      </c>
      <c r="D2287" t="s">
        <v>7584</v>
      </c>
      <c r="E2287" t="str">
        <f t="shared" si="109"/>
        <v>서울특별시</v>
      </c>
      <c r="F2287" t="str">
        <f t="shared" si="110"/>
        <v xml:space="preserve">동작구 </v>
      </c>
      <c r="G2287" t="str">
        <f t="shared" si="112"/>
        <v>노량진</v>
      </c>
      <c r="H2287" t="s">
        <v>7585</v>
      </c>
      <c r="I2287">
        <v>6902</v>
      </c>
    </row>
    <row r="2288" spans="1:9" x14ac:dyDescent="0.4">
      <c r="A2288">
        <v>3190000</v>
      </c>
      <c r="B2288" t="s">
        <v>7755</v>
      </c>
      <c r="C2288" s="1">
        <v>41082</v>
      </c>
      <c r="D2288" t="s">
        <v>7756</v>
      </c>
      <c r="E2288" t="str">
        <f t="shared" si="109"/>
        <v>서울특별시</v>
      </c>
      <c r="F2288" t="str">
        <f t="shared" si="110"/>
        <v xml:space="preserve">동작구 </v>
      </c>
      <c r="G2288" t="str">
        <f t="shared" si="112"/>
        <v>노량진</v>
      </c>
      <c r="H2288" t="s">
        <v>7757</v>
      </c>
      <c r="I2288">
        <v>6922</v>
      </c>
    </row>
    <row r="2289" spans="1:9" x14ac:dyDescent="0.4">
      <c r="A2289">
        <v>3190000</v>
      </c>
      <c r="B2289" t="s">
        <v>7801</v>
      </c>
      <c r="C2289" s="1">
        <v>36342</v>
      </c>
      <c r="D2289" t="s">
        <v>7802</v>
      </c>
      <c r="E2289" t="str">
        <f t="shared" si="109"/>
        <v>서울특별시</v>
      </c>
      <c r="F2289" t="str">
        <f t="shared" si="110"/>
        <v xml:space="preserve">동작구 </v>
      </c>
      <c r="G2289" t="str">
        <f t="shared" si="112"/>
        <v>노량진</v>
      </c>
    </row>
    <row r="2290" spans="1:9" x14ac:dyDescent="0.4">
      <c r="A2290">
        <v>3190000</v>
      </c>
      <c r="B2290" t="s">
        <v>7752</v>
      </c>
      <c r="C2290" s="1">
        <v>40347</v>
      </c>
      <c r="D2290" t="s">
        <v>7753</v>
      </c>
      <c r="E2290" t="str">
        <f t="shared" si="109"/>
        <v>서울특별시</v>
      </c>
      <c r="F2290" t="str">
        <f t="shared" si="110"/>
        <v xml:space="preserve">동작구 </v>
      </c>
      <c r="G2290" t="str">
        <f t="shared" si="112"/>
        <v>노량진</v>
      </c>
      <c r="H2290" t="s">
        <v>7754</v>
      </c>
      <c r="I2290">
        <v>6922</v>
      </c>
    </row>
    <row r="2291" spans="1:9" x14ac:dyDescent="0.4">
      <c r="A2291">
        <v>3190000</v>
      </c>
      <c r="B2291" t="s">
        <v>7823</v>
      </c>
      <c r="C2291" s="1">
        <v>36760</v>
      </c>
      <c r="D2291" t="s">
        <v>7824</v>
      </c>
      <c r="E2291" t="str">
        <f t="shared" si="109"/>
        <v>서울특별시</v>
      </c>
      <c r="F2291" t="str">
        <f t="shared" si="110"/>
        <v xml:space="preserve">동작구 </v>
      </c>
      <c r="G2291" t="str">
        <f t="shared" si="112"/>
        <v>노량진</v>
      </c>
      <c r="H2291" t="s">
        <v>7825</v>
      </c>
      <c r="I2291">
        <v>6922</v>
      </c>
    </row>
    <row r="2292" spans="1:9" x14ac:dyDescent="0.4">
      <c r="A2292">
        <v>3190000</v>
      </c>
      <c r="B2292" t="s">
        <v>7799</v>
      </c>
      <c r="C2292" s="1">
        <v>36329</v>
      </c>
      <c r="D2292" t="s">
        <v>7800</v>
      </c>
      <c r="E2292" t="str">
        <f t="shared" si="109"/>
        <v>서울특별시</v>
      </c>
      <c r="F2292" t="str">
        <f t="shared" si="110"/>
        <v xml:space="preserve">동작구 </v>
      </c>
      <c r="G2292" t="str">
        <f t="shared" si="112"/>
        <v>대방동</v>
      </c>
    </row>
    <row r="2293" spans="1:9" x14ac:dyDescent="0.4">
      <c r="A2293">
        <v>3190000</v>
      </c>
      <c r="B2293" t="s">
        <v>7820</v>
      </c>
      <c r="C2293" s="1">
        <v>36734</v>
      </c>
      <c r="D2293" t="s">
        <v>7821</v>
      </c>
      <c r="E2293" t="str">
        <f t="shared" si="109"/>
        <v>서울특별시</v>
      </c>
      <c r="F2293" t="str">
        <f t="shared" si="110"/>
        <v xml:space="preserve">동작구 </v>
      </c>
      <c r="G2293" t="str">
        <f t="shared" si="112"/>
        <v>대방동</v>
      </c>
      <c r="H2293" t="s">
        <v>7822</v>
      </c>
      <c r="I2293">
        <v>7055</v>
      </c>
    </row>
    <row r="2294" spans="1:9" x14ac:dyDescent="0.4">
      <c r="A2294">
        <v>3190000</v>
      </c>
      <c r="B2294" t="s">
        <v>7682</v>
      </c>
      <c r="C2294" s="1">
        <v>34512</v>
      </c>
      <c r="D2294" t="s">
        <v>7683</v>
      </c>
      <c r="E2294" t="str">
        <f t="shared" si="109"/>
        <v>서울특별시</v>
      </c>
      <c r="F2294" t="str">
        <f t="shared" si="110"/>
        <v xml:space="preserve">동작구 </v>
      </c>
      <c r="G2294" t="str">
        <f t="shared" si="112"/>
        <v>사당동</v>
      </c>
      <c r="H2294" t="s">
        <v>7684</v>
      </c>
      <c r="I2294">
        <v>7013</v>
      </c>
    </row>
    <row r="2295" spans="1:9" x14ac:dyDescent="0.4">
      <c r="A2295">
        <v>3190000</v>
      </c>
      <c r="B2295" t="s">
        <v>7726</v>
      </c>
      <c r="C2295" s="1">
        <v>36703</v>
      </c>
      <c r="D2295" t="s">
        <v>7727</v>
      </c>
      <c r="E2295" t="str">
        <f t="shared" si="109"/>
        <v>서울특별시</v>
      </c>
      <c r="F2295" t="str">
        <f t="shared" si="110"/>
        <v xml:space="preserve">동작구 </v>
      </c>
      <c r="G2295" t="str">
        <f t="shared" si="112"/>
        <v>사당동</v>
      </c>
    </row>
    <row r="2296" spans="1:9" x14ac:dyDescent="0.4">
      <c r="A2296">
        <v>3190000</v>
      </c>
      <c r="B2296" t="s">
        <v>7791</v>
      </c>
      <c r="C2296" s="1">
        <v>32443</v>
      </c>
      <c r="D2296" t="s">
        <v>7792</v>
      </c>
      <c r="E2296" t="str">
        <f t="shared" si="109"/>
        <v>서울특별시</v>
      </c>
      <c r="F2296" t="str">
        <f t="shared" si="110"/>
        <v xml:space="preserve">동작구 </v>
      </c>
      <c r="G2296" t="str">
        <f t="shared" si="112"/>
        <v>사당동</v>
      </c>
    </row>
    <row r="2297" spans="1:9" x14ac:dyDescent="0.4">
      <c r="A2297">
        <v>3190000</v>
      </c>
      <c r="B2297" t="s">
        <v>7818</v>
      </c>
      <c r="C2297" s="1">
        <v>36577</v>
      </c>
      <c r="D2297" t="s">
        <v>7819</v>
      </c>
      <c r="E2297" t="str">
        <f t="shared" si="109"/>
        <v>서울특별시</v>
      </c>
      <c r="F2297" t="str">
        <f t="shared" si="110"/>
        <v xml:space="preserve">동작구 </v>
      </c>
      <c r="G2297" t="str">
        <f t="shared" si="112"/>
        <v>사당동</v>
      </c>
    </row>
    <row r="2298" spans="1:9" x14ac:dyDescent="0.4">
      <c r="A2298">
        <v>3190000</v>
      </c>
      <c r="B2298" t="s">
        <v>7595</v>
      </c>
      <c r="C2298" s="1">
        <v>37365</v>
      </c>
      <c r="D2298" t="s">
        <v>7596</v>
      </c>
      <c r="E2298" t="str">
        <f t="shared" si="109"/>
        <v>서울특별시</v>
      </c>
      <c r="F2298" t="str">
        <f t="shared" si="110"/>
        <v xml:space="preserve">동작구 </v>
      </c>
      <c r="G2298" t="str">
        <f t="shared" si="112"/>
        <v>사당동</v>
      </c>
      <c r="H2298" t="s">
        <v>7597</v>
      </c>
      <c r="I2298">
        <v>7014</v>
      </c>
    </row>
    <row r="2299" spans="1:9" x14ac:dyDescent="0.4">
      <c r="A2299">
        <v>3190000</v>
      </c>
      <c r="B2299" t="s">
        <v>7762</v>
      </c>
      <c r="C2299" s="1">
        <v>36701</v>
      </c>
      <c r="D2299" t="s">
        <v>7763</v>
      </c>
      <c r="E2299" t="str">
        <f t="shared" si="109"/>
        <v>서울특별시</v>
      </c>
      <c r="F2299" t="str">
        <f t="shared" si="110"/>
        <v xml:space="preserve">동작구 </v>
      </c>
      <c r="G2299" t="str">
        <f t="shared" si="112"/>
        <v>사당동</v>
      </c>
      <c r="H2299" t="s">
        <v>7764</v>
      </c>
      <c r="I2299">
        <v>7014</v>
      </c>
    </row>
    <row r="2300" spans="1:9" x14ac:dyDescent="0.4">
      <c r="A2300">
        <v>3190000</v>
      </c>
      <c r="B2300" t="s">
        <v>7780</v>
      </c>
      <c r="C2300" s="1">
        <v>31628</v>
      </c>
      <c r="D2300" t="s">
        <v>7781</v>
      </c>
      <c r="E2300" t="str">
        <f t="shared" si="109"/>
        <v>서울특별시</v>
      </c>
      <c r="F2300" t="str">
        <f t="shared" si="110"/>
        <v xml:space="preserve">동작구 </v>
      </c>
      <c r="G2300" t="str">
        <f t="shared" si="112"/>
        <v>사당동</v>
      </c>
      <c r="H2300" t="s">
        <v>7782</v>
      </c>
      <c r="I2300">
        <v>7014</v>
      </c>
    </row>
    <row r="2301" spans="1:9" x14ac:dyDescent="0.4">
      <c r="A2301">
        <v>3190000</v>
      </c>
      <c r="B2301" t="s">
        <v>7661</v>
      </c>
      <c r="C2301" s="1">
        <v>36603</v>
      </c>
      <c r="D2301" t="s">
        <v>7662</v>
      </c>
      <c r="E2301" t="str">
        <f t="shared" si="109"/>
        <v>서울특별시</v>
      </c>
      <c r="F2301" t="str">
        <f t="shared" si="110"/>
        <v xml:space="preserve">동작구 </v>
      </c>
      <c r="G2301" t="str">
        <f t="shared" si="112"/>
        <v>사당동</v>
      </c>
      <c r="H2301" t="s">
        <v>7663</v>
      </c>
      <c r="I2301">
        <v>7014</v>
      </c>
    </row>
    <row r="2302" spans="1:9" x14ac:dyDescent="0.4">
      <c r="A2302">
        <v>3190000</v>
      </c>
      <c r="B2302" t="s">
        <v>7655</v>
      </c>
      <c r="C2302" s="1">
        <v>36518</v>
      </c>
      <c r="D2302" t="s">
        <v>7656</v>
      </c>
      <c r="E2302" t="str">
        <f t="shared" si="109"/>
        <v>서울특별시</v>
      </c>
      <c r="F2302" t="str">
        <f t="shared" si="110"/>
        <v xml:space="preserve">동작구 </v>
      </c>
      <c r="G2302" t="str">
        <f t="shared" si="112"/>
        <v>사당동</v>
      </c>
      <c r="H2302" t="s">
        <v>7657</v>
      </c>
      <c r="I2302">
        <v>7015</v>
      </c>
    </row>
    <row r="2303" spans="1:9" x14ac:dyDescent="0.4">
      <c r="A2303">
        <v>3190000</v>
      </c>
      <c r="B2303" t="s">
        <v>7652</v>
      </c>
      <c r="C2303" s="1">
        <v>36508</v>
      </c>
      <c r="D2303" t="s">
        <v>7653</v>
      </c>
      <c r="E2303" t="str">
        <f t="shared" si="109"/>
        <v>서울특별시</v>
      </c>
      <c r="F2303" t="str">
        <f t="shared" si="110"/>
        <v xml:space="preserve">동작구 </v>
      </c>
      <c r="G2303" t="str">
        <f t="shared" si="112"/>
        <v>사당동</v>
      </c>
      <c r="H2303" t="s">
        <v>7654</v>
      </c>
      <c r="I2303">
        <v>7015</v>
      </c>
    </row>
    <row r="2304" spans="1:9" x14ac:dyDescent="0.4">
      <c r="A2304">
        <v>3190000</v>
      </c>
      <c r="B2304" t="s">
        <v>7664</v>
      </c>
      <c r="C2304" s="1">
        <v>36601</v>
      </c>
      <c r="D2304" t="s">
        <v>7665</v>
      </c>
      <c r="E2304" t="str">
        <f t="shared" si="109"/>
        <v>서울특별시</v>
      </c>
      <c r="F2304" t="str">
        <f t="shared" si="110"/>
        <v xml:space="preserve">동작구 </v>
      </c>
      <c r="G2304" t="str">
        <f t="shared" si="112"/>
        <v>사당동</v>
      </c>
      <c r="H2304" t="s">
        <v>7666</v>
      </c>
      <c r="I2304">
        <v>7015</v>
      </c>
    </row>
    <row r="2305" spans="1:9" x14ac:dyDescent="0.4">
      <c r="A2305">
        <v>3190000</v>
      </c>
      <c r="B2305" t="s">
        <v>7797</v>
      </c>
      <c r="C2305" s="1">
        <v>34275</v>
      </c>
      <c r="D2305" t="s">
        <v>7798</v>
      </c>
      <c r="E2305" t="str">
        <f t="shared" si="109"/>
        <v>서울특별시</v>
      </c>
      <c r="F2305" t="str">
        <f t="shared" si="110"/>
        <v xml:space="preserve">동작구 </v>
      </c>
      <c r="G2305" t="str">
        <f t="shared" si="112"/>
        <v>사당동</v>
      </c>
    </row>
    <row r="2306" spans="1:9" x14ac:dyDescent="0.4">
      <c r="A2306">
        <v>3190000</v>
      </c>
      <c r="B2306" t="s">
        <v>7728</v>
      </c>
      <c r="C2306" s="1">
        <v>36980</v>
      </c>
      <c r="D2306" t="s">
        <v>7729</v>
      </c>
      <c r="E2306" t="str">
        <f t="shared" si="109"/>
        <v>서울특별시</v>
      </c>
      <c r="F2306" t="str">
        <f t="shared" si="110"/>
        <v xml:space="preserve">동작구 </v>
      </c>
      <c r="G2306" t="str">
        <f t="shared" si="112"/>
        <v>사당동</v>
      </c>
      <c r="H2306" t="s">
        <v>7730</v>
      </c>
      <c r="I2306">
        <v>7015</v>
      </c>
    </row>
    <row r="2307" spans="1:9" x14ac:dyDescent="0.4">
      <c r="A2307">
        <v>3190000</v>
      </c>
      <c r="B2307" t="s">
        <v>7731</v>
      </c>
      <c r="C2307" s="1">
        <v>37027</v>
      </c>
      <c r="D2307" t="s">
        <v>7732</v>
      </c>
      <c r="E2307" t="str">
        <f t="shared" ref="E2307:E2370" si="113">LEFT(D2307,5)</f>
        <v>서울특별시</v>
      </c>
      <c r="F2307" t="str">
        <f t="shared" ref="F2307:F2370" si="114">MID(D2307,7,4)</f>
        <v xml:space="preserve">동작구 </v>
      </c>
      <c r="G2307" t="str">
        <f t="shared" ref="G2307:G2370" si="115">MID(SUBSTITUTE(D2307," ",""),9,3)</f>
        <v>사당동</v>
      </c>
      <c r="H2307" t="s">
        <v>7733</v>
      </c>
      <c r="I2307">
        <v>7015</v>
      </c>
    </row>
    <row r="2308" spans="1:9" x14ac:dyDescent="0.4">
      <c r="A2308">
        <v>3190000</v>
      </c>
      <c r="B2308" t="s">
        <v>7789</v>
      </c>
      <c r="C2308" s="1">
        <v>32426</v>
      </c>
      <c r="D2308" t="s">
        <v>7790</v>
      </c>
      <c r="E2308" t="str">
        <f t="shared" si="113"/>
        <v>서울특별시</v>
      </c>
      <c r="F2308" t="str">
        <f t="shared" si="114"/>
        <v xml:space="preserve">동작구 </v>
      </c>
      <c r="G2308" t="str">
        <f t="shared" si="115"/>
        <v>사당동</v>
      </c>
    </row>
    <row r="2309" spans="1:9" x14ac:dyDescent="0.4">
      <c r="A2309">
        <v>3190000</v>
      </c>
      <c r="B2309" t="s">
        <v>7625</v>
      </c>
      <c r="C2309" s="1">
        <v>34227</v>
      </c>
      <c r="D2309" t="s">
        <v>7626</v>
      </c>
      <c r="E2309" t="str">
        <f t="shared" si="113"/>
        <v>서울특별시</v>
      </c>
      <c r="F2309" t="str">
        <f t="shared" si="114"/>
        <v xml:space="preserve">동작구 </v>
      </c>
      <c r="G2309" t="str">
        <f t="shared" si="115"/>
        <v>사당동</v>
      </c>
      <c r="H2309" t="s">
        <v>7627</v>
      </c>
      <c r="I2309">
        <v>7015</v>
      </c>
    </row>
    <row r="2310" spans="1:9" x14ac:dyDescent="0.4">
      <c r="A2310">
        <v>3190000</v>
      </c>
      <c r="B2310" t="s">
        <v>7670</v>
      </c>
      <c r="C2310" s="1">
        <v>34460</v>
      </c>
      <c r="D2310" t="s">
        <v>7671</v>
      </c>
      <c r="E2310" t="str">
        <f t="shared" si="113"/>
        <v>서울특별시</v>
      </c>
      <c r="F2310" t="str">
        <f t="shared" si="114"/>
        <v xml:space="preserve">동작구 </v>
      </c>
      <c r="G2310" t="str">
        <f t="shared" si="115"/>
        <v>사당동</v>
      </c>
      <c r="H2310" t="s">
        <v>7672</v>
      </c>
      <c r="I2310">
        <v>7015</v>
      </c>
    </row>
    <row r="2311" spans="1:9" x14ac:dyDescent="0.4">
      <c r="A2311">
        <v>3190000</v>
      </c>
      <c r="B2311" t="s">
        <v>7809</v>
      </c>
      <c r="C2311" s="1">
        <v>36463</v>
      </c>
      <c r="D2311" t="s">
        <v>7810</v>
      </c>
      <c r="E2311" t="str">
        <f t="shared" si="113"/>
        <v>서울특별시</v>
      </c>
      <c r="F2311" t="str">
        <f t="shared" si="114"/>
        <v xml:space="preserve">동작구 </v>
      </c>
      <c r="G2311" t="str">
        <f t="shared" si="115"/>
        <v>사당동</v>
      </c>
    </row>
    <row r="2312" spans="1:9" x14ac:dyDescent="0.4">
      <c r="A2312">
        <v>3190000</v>
      </c>
      <c r="B2312" t="s">
        <v>7760</v>
      </c>
      <c r="C2312" s="1">
        <v>36673</v>
      </c>
      <c r="D2312" t="s">
        <v>7761</v>
      </c>
      <c r="E2312" t="str">
        <f t="shared" si="113"/>
        <v>서울특별시</v>
      </c>
      <c r="F2312" t="str">
        <f t="shared" si="114"/>
        <v xml:space="preserve">동작구 </v>
      </c>
      <c r="G2312" t="str">
        <f t="shared" si="115"/>
        <v>사당동</v>
      </c>
    </row>
    <row r="2313" spans="1:9" x14ac:dyDescent="0.4">
      <c r="A2313">
        <v>3190000</v>
      </c>
      <c r="B2313" t="s">
        <v>7631</v>
      </c>
      <c r="C2313" s="1">
        <v>34440</v>
      </c>
      <c r="D2313" t="s">
        <v>7632</v>
      </c>
      <c r="E2313" t="str">
        <f t="shared" si="113"/>
        <v>서울특별시</v>
      </c>
      <c r="F2313" t="str">
        <f t="shared" si="114"/>
        <v xml:space="preserve">동작구 </v>
      </c>
      <c r="G2313" t="str">
        <f t="shared" si="115"/>
        <v>사당동</v>
      </c>
      <c r="H2313" t="s">
        <v>7633</v>
      </c>
      <c r="I2313">
        <v>7008</v>
      </c>
    </row>
    <row r="2314" spans="1:9" x14ac:dyDescent="0.4">
      <c r="A2314">
        <v>3190000</v>
      </c>
      <c r="B2314" t="s">
        <v>7740</v>
      </c>
      <c r="C2314" s="1">
        <v>36840</v>
      </c>
      <c r="D2314" t="s">
        <v>7741</v>
      </c>
      <c r="E2314" t="str">
        <f t="shared" si="113"/>
        <v>서울특별시</v>
      </c>
      <c r="F2314" t="str">
        <f t="shared" si="114"/>
        <v xml:space="preserve">동작구 </v>
      </c>
      <c r="G2314" t="str">
        <f t="shared" si="115"/>
        <v>사당동</v>
      </c>
    </row>
    <row r="2315" spans="1:9" x14ac:dyDescent="0.4">
      <c r="A2315">
        <v>3190000</v>
      </c>
      <c r="B2315" t="s">
        <v>7751</v>
      </c>
      <c r="C2315" s="1">
        <v>39674</v>
      </c>
      <c r="D2315" t="s">
        <v>7741</v>
      </c>
      <c r="E2315" t="str">
        <f t="shared" si="113"/>
        <v>서울특별시</v>
      </c>
      <c r="F2315" t="str">
        <f t="shared" si="114"/>
        <v xml:space="preserve">동작구 </v>
      </c>
      <c r="G2315" t="str">
        <f t="shared" si="115"/>
        <v>사당동</v>
      </c>
    </row>
    <row r="2316" spans="1:9" x14ac:dyDescent="0.4">
      <c r="A2316">
        <v>3190000</v>
      </c>
      <c r="B2316" t="s">
        <v>7779</v>
      </c>
      <c r="C2316" s="1">
        <v>30951</v>
      </c>
      <c r="D2316" t="s">
        <v>7741</v>
      </c>
      <c r="E2316" t="str">
        <f t="shared" si="113"/>
        <v>서울특별시</v>
      </c>
      <c r="F2316" t="str">
        <f t="shared" si="114"/>
        <v xml:space="preserve">동작구 </v>
      </c>
      <c r="G2316" t="str">
        <f t="shared" si="115"/>
        <v>사당동</v>
      </c>
    </row>
    <row r="2317" spans="1:9" x14ac:dyDescent="0.4">
      <c r="A2317">
        <v>3190000</v>
      </c>
      <c r="B2317" t="s">
        <v>7774</v>
      </c>
      <c r="C2317" s="1">
        <v>28208</v>
      </c>
      <c r="D2317" t="s">
        <v>7775</v>
      </c>
      <c r="E2317" t="str">
        <f t="shared" si="113"/>
        <v>서울특별시</v>
      </c>
      <c r="F2317" t="str">
        <f t="shared" si="114"/>
        <v xml:space="preserve">동작구 </v>
      </c>
      <c r="G2317" t="str">
        <f t="shared" si="115"/>
        <v>사당동</v>
      </c>
    </row>
    <row r="2318" spans="1:9" x14ac:dyDescent="0.4">
      <c r="A2318">
        <v>3190000</v>
      </c>
      <c r="B2318" t="s">
        <v>7707</v>
      </c>
      <c r="C2318" s="1">
        <v>34482</v>
      </c>
      <c r="D2318" t="s">
        <v>7708</v>
      </c>
      <c r="E2318" t="str">
        <f t="shared" si="113"/>
        <v>서울특별시</v>
      </c>
      <c r="F2318" t="str">
        <f t="shared" si="114"/>
        <v xml:space="preserve">동작구 </v>
      </c>
      <c r="G2318" t="str">
        <f t="shared" si="115"/>
        <v>사당동</v>
      </c>
    </row>
    <row r="2319" spans="1:9" x14ac:dyDescent="0.4">
      <c r="A2319">
        <v>3190000</v>
      </c>
      <c r="B2319" t="s">
        <v>7742</v>
      </c>
      <c r="C2319" s="1">
        <v>36852</v>
      </c>
      <c r="D2319" t="s">
        <v>7708</v>
      </c>
      <c r="E2319" t="str">
        <f t="shared" si="113"/>
        <v>서울특별시</v>
      </c>
      <c r="F2319" t="str">
        <f t="shared" si="114"/>
        <v xml:space="preserve">동작구 </v>
      </c>
      <c r="G2319" t="str">
        <f t="shared" si="115"/>
        <v>사당동</v>
      </c>
    </row>
    <row r="2320" spans="1:9" x14ac:dyDescent="0.4">
      <c r="A2320">
        <v>3190000</v>
      </c>
      <c r="B2320" t="s">
        <v>7694</v>
      </c>
      <c r="C2320" s="1">
        <v>36589</v>
      </c>
      <c r="D2320" t="s">
        <v>7695</v>
      </c>
      <c r="E2320" t="str">
        <f t="shared" si="113"/>
        <v>서울특별시</v>
      </c>
      <c r="F2320" t="str">
        <f t="shared" si="114"/>
        <v xml:space="preserve">동작구 </v>
      </c>
      <c r="G2320" t="str">
        <f t="shared" si="115"/>
        <v>사당동</v>
      </c>
    </row>
    <row r="2321" spans="1:9" x14ac:dyDescent="0.4">
      <c r="A2321">
        <v>3190000</v>
      </c>
      <c r="B2321" t="s">
        <v>7738</v>
      </c>
      <c r="C2321" s="1">
        <v>36775</v>
      </c>
      <c r="D2321" t="s">
        <v>7739</v>
      </c>
      <c r="E2321" t="str">
        <f t="shared" si="113"/>
        <v>서울특별시</v>
      </c>
      <c r="F2321" t="str">
        <f t="shared" si="114"/>
        <v xml:space="preserve">동작구 </v>
      </c>
      <c r="G2321" t="str">
        <f t="shared" si="115"/>
        <v>사당동</v>
      </c>
    </row>
    <row r="2322" spans="1:9" x14ac:dyDescent="0.4">
      <c r="A2322">
        <v>3190000</v>
      </c>
      <c r="B2322" t="s">
        <v>7805</v>
      </c>
      <c r="C2322" s="1">
        <v>36432</v>
      </c>
      <c r="D2322" t="s">
        <v>7739</v>
      </c>
      <c r="E2322" t="str">
        <f t="shared" si="113"/>
        <v>서울특별시</v>
      </c>
      <c r="F2322" t="str">
        <f t="shared" si="114"/>
        <v xml:space="preserve">동작구 </v>
      </c>
      <c r="G2322" t="str">
        <f t="shared" si="115"/>
        <v>사당동</v>
      </c>
      <c r="H2322" t="s">
        <v>7806</v>
      </c>
      <c r="I2322">
        <v>7008</v>
      </c>
    </row>
    <row r="2323" spans="1:9" x14ac:dyDescent="0.4">
      <c r="A2323">
        <v>3190000</v>
      </c>
      <c r="B2323" t="s">
        <v>7691</v>
      </c>
      <c r="C2323" s="1">
        <v>43453</v>
      </c>
      <c r="D2323" t="s">
        <v>7692</v>
      </c>
      <c r="E2323" t="str">
        <f t="shared" si="113"/>
        <v>서울특별시</v>
      </c>
      <c r="F2323" t="str">
        <f t="shared" si="114"/>
        <v xml:space="preserve">동작구 </v>
      </c>
      <c r="G2323" t="str">
        <f t="shared" si="115"/>
        <v>사당동</v>
      </c>
      <c r="H2323" t="s">
        <v>7693</v>
      </c>
      <c r="I2323">
        <v>7008</v>
      </c>
    </row>
    <row r="2324" spans="1:9" x14ac:dyDescent="0.4">
      <c r="A2324">
        <v>3190000</v>
      </c>
      <c r="B2324" t="s">
        <v>7696</v>
      </c>
      <c r="C2324" s="1">
        <v>36607</v>
      </c>
      <c r="D2324" t="s">
        <v>7692</v>
      </c>
      <c r="E2324" t="str">
        <f t="shared" si="113"/>
        <v>서울특별시</v>
      </c>
      <c r="F2324" t="str">
        <f t="shared" si="114"/>
        <v xml:space="preserve">동작구 </v>
      </c>
      <c r="G2324" t="str">
        <f t="shared" si="115"/>
        <v>사당동</v>
      </c>
      <c r="H2324" t="s">
        <v>7697</v>
      </c>
      <c r="I2324">
        <v>7008</v>
      </c>
    </row>
    <row r="2325" spans="1:9" x14ac:dyDescent="0.4">
      <c r="A2325">
        <v>3190000</v>
      </c>
      <c r="B2325" t="s">
        <v>7598</v>
      </c>
      <c r="C2325" s="1">
        <v>36607</v>
      </c>
      <c r="D2325" t="s">
        <v>7599</v>
      </c>
      <c r="E2325" t="str">
        <f t="shared" si="113"/>
        <v>서울특별시</v>
      </c>
      <c r="F2325" t="str">
        <f t="shared" si="114"/>
        <v xml:space="preserve">동작구 </v>
      </c>
      <c r="G2325" t="str">
        <f t="shared" si="115"/>
        <v>사당동</v>
      </c>
      <c r="H2325" t="s">
        <v>7600</v>
      </c>
      <c r="I2325">
        <v>7008</v>
      </c>
    </row>
    <row r="2326" spans="1:9" x14ac:dyDescent="0.4">
      <c r="A2326">
        <v>3190000</v>
      </c>
      <c r="B2326" t="s">
        <v>7832</v>
      </c>
      <c r="C2326" s="1">
        <v>37237</v>
      </c>
      <c r="D2326" t="s">
        <v>7833</v>
      </c>
      <c r="E2326" t="str">
        <f t="shared" si="113"/>
        <v>서울특별시</v>
      </c>
      <c r="F2326" t="str">
        <f t="shared" si="114"/>
        <v xml:space="preserve">동작구 </v>
      </c>
      <c r="G2326" t="str">
        <f t="shared" si="115"/>
        <v>사당동</v>
      </c>
      <c r="H2326" t="s">
        <v>7834</v>
      </c>
      <c r="I2326">
        <v>7008</v>
      </c>
    </row>
    <row r="2327" spans="1:9" x14ac:dyDescent="0.4">
      <c r="A2327">
        <v>3190000</v>
      </c>
      <c r="B2327" t="s">
        <v>7688</v>
      </c>
      <c r="C2327" s="1">
        <v>36314</v>
      </c>
      <c r="D2327" t="s">
        <v>7689</v>
      </c>
      <c r="E2327" t="str">
        <f t="shared" si="113"/>
        <v>서울특별시</v>
      </c>
      <c r="F2327" t="str">
        <f t="shared" si="114"/>
        <v xml:space="preserve">동작구 </v>
      </c>
      <c r="G2327" t="str">
        <f t="shared" si="115"/>
        <v>사당동</v>
      </c>
      <c r="H2327" t="s">
        <v>7690</v>
      </c>
      <c r="I2327">
        <v>7008</v>
      </c>
    </row>
    <row r="2328" spans="1:9" x14ac:dyDescent="0.4">
      <c r="A2328">
        <v>3190000</v>
      </c>
      <c r="B2328" t="s">
        <v>7829</v>
      </c>
      <c r="C2328" s="1">
        <v>37183</v>
      </c>
      <c r="D2328" t="s">
        <v>7830</v>
      </c>
      <c r="E2328" t="str">
        <f t="shared" si="113"/>
        <v>서울특별시</v>
      </c>
      <c r="F2328" t="str">
        <f t="shared" si="114"/>
        <v xml:space="preserve">동작구 </v>
      </c>
      <c r="G2328" t="str">
        <f t="shared" si="115"/>
        <v>사당동</v>
      </c>
      <c r="H2328" t="s">
        <v>7831</v>
      </c>
      <c r="I2328">
        <v>7008</v>
      </c>
    </row>
    <row r="2329" spans="1:9" x14ac:dyDescent="0.4">
      <c r="A2329">
        <v>3190000</v>
      </c>
      <c r="B2329" t="s">
        <v>7643</v>
      </c>
      <c r="C2329" s="1">
        <v>36477</v>
      </c>
      <c r="D2329" t="s">
        <v>7644</v>
      </c>
      <c r="E2329" t="str">
        <f t="shared" si="113"/>
        <v>서울특별시</v>
      </c>
      <c r="F2329" t="str">
        <f t="shared" si="114"/>
        <v xml:space="preserve">동작구 </v>
      </c>
      <c r="G2329" t="str">
        <f t="shared" si="115"/>
        <v>사당동</v>
      </c>
      <c r="H2329" t="s">
        <v>7645</v>
      </c>
      <c r="I2329">
        <v>7008</v>
      </c>
    </row>
    <row r="2330" spans="1:9" x14ac:dyDescent="0.4">
      <c r="A2330">
        <v>3190000</v>
      </c>
      <c r="B2330" t="s">
        <v>7743</v>
      </c>
      <c r="C2330" s="1">
        <v>37172</v>
      </c>
      <c r="D2330" t="s">
        <v>7744</v>
      </c>
      <c r="E2330" t="str">
        <f t="shared" si="113"/>
        <v>서울특별시</v>
      </c>
      <c r="F2330" t="str">
        <f t="shared" si="114"/>
        <v xml:space="preserve">동작구 </v>
      </c>
      <c r="G2330" t="str">
        <f t="shared" si="115"/>
        <v>사당동</v>
      </c>
    </row>
    <row r="2331" spans="1:9" x14ac:dyDescent="0.4">
      <c r="A2331">
        <v>3190000</v>
      </c>
      <c r="B2331" t="s">
        <v>7803</v>
      </c>
      <c r="C2331" s="1">
        <v>36388</v>
      </c>
      <c r="D2331" t="s">
        <v>7804</v>
      </c>
      <c r="E2331" t="str">
        <f t="shared" si="113"/>
        <v>서울특별시</v>
      </c>
      <c r="F2331" t="str">
        <f t="shared" si="114"/>
        <v xml:space="preserve">동작구 </v>
      </c>
      <c r="G2331" t="str">
        <f t="shared" si="115"/>
        <v>사당동</v>
      </c>
    </row>
    <row r="2332" spans="1:9" x14ac:dyDescent="0.4">
      <c r="A2332">
        <v>3190000</v>
      </c>
      <c r="B2332" t="s">
        <v>7812</v>
      </c>
      <c r="C2332" s="1">
        <v>36469</v>
      </c>
      <c r="D2332" t="s">
        <v>7813</v>
      </c>
      <c r="E2332" t="str">
        <f t="shared" si="113"/>
        <v>서울특별시</v>
      </c>
      <c r="F2332" t="str">
        <f t="shared" si="114"/>
        <v xml:space="preserve">동작구 </v>
      </c>
      <c r="G2332" t="str">
        <f t="shared" si="115"/>
        <v>사당동</v>
      </c>
      <c r="H2332" t="s">
        <v>7814</v>
      </c>
      <c r="I2332">
        <v>7008</v>
      </c>
    </row>
    <row r="2333" spans="1:9" x14ac:dyDescent="0.4">
      <c r="A2333">
        <v>3190000</v>
      </c>
      <c r="B2333" t="s">
        <v>7815</v>
      </c>
      <c r="C2333" s="1">
        <v>36486</v>
      </c>
      <c r="D2333" t="s">
        <v>7813</v>
      </c>
      <c r="E2333" t="str">
        <f t="shared" si="113"/>
        <v>서울특별시</v>
      </c>
      <c r="F2333" t="str">
        <f t="shared" si="114"/>
        <v xml:space="preserve">동작구 </v>
      </c>
      <c r="G2333" t="str">
        <f t="shared" si="115"/>
        <v>사당동</v>
      </c>
      <c r="H2333" t="s">
        <v>7814</v>
      </c>
      <c r="I2333">
        <v>7008</v>
      </c>
    </row>
    <row r="2334" spans="1:9" x14ac:dyDescent="0.4">
      <c r="A2334">
        <v>3190000</v>
      </c>
      <c r="B2334" t="s">
        <v>75</v>
      </c>
      <c r="C2334" s="1">
        <v>42951</v>
      </c>
      <c r="D2334" t="s">
        <v>76</v>
      </c>
      <c r="E2334" t="str">
        <f t="shared" si="113"/>
        <v>서울특별시</v>
      </c>
      <c r="F2334" t="str">
        <f t="shared" si="114"/>
        <v xml:space="preserve">동작구 </v>
      </c>
      <c r="G2334" t="str">
        <f t="shared" si="115"/>
        <v>사당동</v>
      </c>
      <c r="H2334" t="s">
        <v>77</v>
      </c>
    </row>
    <row r="2335" spans="1:9" x14ac:dyDescent="0.4">
      <c r="A2335">
        <v>3190000</v>
      </c>
      <c r="B2335" t="s">
        <v>7701</v>
      </c>
      <c r="C2335" s="1">
        <v>34458</v>
      </c>
      <c r="D2335" t="s">
        <v>7702</v>
      </c>
      <c r="E2335" t="str">
        <f t="shared" si="113"/>
        <v>서울특별시</v>
      </c>
      <c r="F2335" t="str">
        <f t="shared" si="114"/>
        <v xml:space="preserve">동작구 </v>
      </c>
      <c r="G2335" t="str">
        <f t="shared" si="115"/>
        <v>사당동</v>
      </c>
      <c r="H2335" t="s">
        <v>7703</v>
      </c>
      <c r="I2335">
        <v>7013</v>
      </c>
    </row>
    <row r="2336" spans="1:9" x14ac:dyDescent="0.4">
      <c r="A2336">
        <v>3190000</v>
      </c>
      <c r="B2336" t="s">
        <v>7793</v>
      </c>
      <c r="C2336" s="1">
        <v>32750</v>
      </c>
      <c r="D2336" t="s">
        <v>7794</v>
      </c>
      <c r="E2336" t="str">
        <f t="shared" si="113"/>
        <v>서울특별시</v>
      </c>
      <c r="F2336" t="str">
        <f t="shared" si="114"/>
        <v xml:space="preserve">동작구 </v>
      </c>
      <c r="G2336" t="str">
        <f t="shared" si="115"/>
        <v>사당동</v>
      </c>
    </row>
    <row r="2337" spans="1:9" x14ac:dyDescent="0.4">
      <c r="A2337">
        <v>3190000</v>
      </c>
      <c r="B2337" t="s">
        <v>7610</v>
      </c>
      <c r="C2337" s="1">
        <v>36647</v>
      </c>
      <c r="D2337" t="s">
        <v>7611</v>
      </c>
      <c r="E2337" t="str">
        <f t="shared" si="113"/>
        <v>서울특별시</v>
      </c>
      <c r="F2337" t="str">
        <f t="shared" si="114"/>
        <v xml:space="preserve">동작구 </v>
      </c>
      <c r="G2337" t="str">
        <f t="shared" si="115"/>
        <v>사당동</v>
      </c>
      <c r="H2337" t="s">
        <v>7612</v>
      </c>
      <c r="I2337">
        <v>7008</v>
      </c>
    </row>
    <row r="2338" spans="1:9" x14ac:dyDescent="0.4">
      <c r="A2338">
        <v>3190000</v>
      </c>
      <c r="B2338" t="s">
        <v>7604</v>
      </c>
      <c r="C2338" s="1">
        <v>36613</v>
      </c>
      <c r="D2338" t="s">
        <v>7605</v>
      </c>
      <c r="E2338" t="str">
        <f t="shared" si="113"/>
        <v>서울특별시</v>
      </c>
      <c r="F2338" t="str">
        <f t="shared" si="114"/>
        <v xml:space="preserve">동작구 </v>
      </c>
      <c r="G2338" t="str">
        <f t="shared" si="115"/>
        <v>사당동</v>
      </c>
      <c r="H2338" t="s">
        <v>7606</v>
      </c>
      <c r="I2338">
        <v>7008</v>
      </c>
    </row>
    <row r="2339" spans="1:9" x14ac:dyDescent="0.4">
      <c r="A2339">
        <v>3190000</v>
      </c>
      <c r="B2339" t="s">
        <v>7577</v>
      </c>
      <c r="C2339" s="1">
        <v>37428</v>
      </c>
      <c r="D2339" t="s">
        <v>7578</v>
      </c>
      <c r="E2339" t="str">
        <f t="shared" si="113"/>
        <v>서울특별시</v>
      </c>
      <c r="F2339" t="str">
        <f t="shared" si="114"/>
        <v xml:space="preserve">동작구 </v>
      </c>
      <c r="G2339" t="str">
        <f t="shared" si="115"/>
        <v>사당동</v>
      </c>
      <c r="H2339" t="s">
        <v>7579</v>
      </c>
      <c r="I2339">
        <v>7008</v>
      </c>
    </row>
    <row r="2340" spans="1:9" x14ac:dyDescent="0.4">
      <c r="A2340">
        <v>3190000</v>
      </c>
      <c r="B2340" t="s">
        <v>7685</v>
      </c>
      <c r="C2340" s="1">
        <v>34513</v>
      </c>
      <c r="D2340" t="s">
        <v>7686</v>
      </c>
      <c r="E2340" t="str">
        <f t="shared" si="113"/>
        <v>서울특별시</v>
      </c>
      <c r="F2340" t="str">
        <f t="shared" si="114"/>
        <v xml:space="preserve">동작구 </v>
      </c>
      <c r="G2340" t="str">
        <f t="shared" si="115"/>
        <v>사당동</v>
      </c>
      <c r="H2340" t="s">
        <v>7687</v>
      </c>
      <c r="I2340">
        <v>7008</v>
      </c>
    </row>
    <row r="2341" spans="1:9" x14ac:dyDescent="0.4">
      <c r="A2341">
        <v>3190000</v>
      </c>
      <c r="B2341" t="s">
        <v>7658</v>
      </c>
      <c r="C2341" s="1">
        <v>36595</v>
      </c>
      <c r="D2341" t="s">
        <v>7659</v>
      </c>
      <c r="E2341" t="str">
        <f t="shared" si="113"/>
        <v>서울특별시</v>
      </c>
      <c r="F2341" t="str">
        <f t="shared" si="114"/>
        <v xml:space="preserve">동작구 </v>
      </c>
      <c r="G2341" t="str">
        <f t="shared" si="115"/>
        <v>사당동</v>
      </c>
      <c r="H2341" t="s">
        <v>7660</v>
      </c>
      <c r="I2341">
        <v>7008</v>
      </c>
    </row>
    <row r="2342" spans="1:9" x14ac:dyDescent="0.4">
      <c r="A2342">
        <v>3190000</v>
      </c>
      <c r="B2342" t="s">
        <v>7634</v>
      </c>
      <c r="C2342" s="1">
        <v>36385</v>
      </c>
      <c r="D2342" t="s">
        <v>7635</v>
      </c>
      <c r="E2342" t="str">
        <f t="shared" si="113"/>
        <v>서울특별시</v>
      </c>
      <c r="F2342" t="str">
        <f t="shared" si="114"/>
        <v xml:space="preserve">동작구 </v>
      </c>
      <c r="G2342" t="str">
        <f t="shared" si="115"/>
        <v>사당동</v>
      </c>
      <c r="H2342" t="s">
        <v>7636</v>
      </c>
      <c r="I2342">
        <v>7008</v>
      </c>
    </row>
    <row r="2343" spans="1:9" x14ac:dyDescent="0.4">
      <c r="A2343">
        <v>3190000</v>
      </c>
      <c r="B2343" t="s">
        <v>7734</v>
      </c>
      <c r="C2343" s="1">
        <v>36710</v>
      </c>
      <c r="D2343" t="s">
        <v>7735</v>
      </c>
      <c r="E2343" t="str">
        <f t="shared" si="113"/>
        <v>서울특별시</v>
      </c>
      <c r="F2343" t="str">
        <f t="shared" si="114"/>
        <v xml:space="preserve">동작구 </v>
      </c>
      <c r="G2343" t="str">
        <f t="shared" si="115"/>
        <v>사당동</v>
      </c>
    </row>
    <row r="2344" spans="1:9" x14ac:dyDescent="0.4">
      <c r="A2344">
        <v>3190000</v>
      </c>
      <c r="B2344" t="s">
        <v>7714</v>
      </c>
      <c r="C2344" s="1">
        <v>34505</v>
      </c>
      <c r="D2344" t="s">
        <v>7715</v>
      </c>
      <c r="E2344" t="str">
        <f t="shared" si="113"/>
        <v>서울특별시</v>
      </c>
      <c r="F2344" t="str">
        <f t="shared" si="114"/>
        <v xml:space="preserve">동작구 </v>
      </c>
      <c r="G2344" t="str">
        <f t="shared" si="115"/>
        <v>사당동</v>
      </c>
    </row>
    <row r="2345" spans="1:9" x14ac:dyDescent="0.4">
      <c r="A2345">
        <v>3190000</v>
      </c>
      <c r="B2345" t="s">
        <v>7616</v>
      </c>
      <c r="C2345" s="1">
        <v>27559</v>
      </c>
      <c r="D2345" t="s">
        <v>7617</v>
      </c>
      <c r="E2345" t="str">
        <f t="shared" si="113"/>
        <v>서울특별시</v>
      </c>
      <c r="F2345" t="str">
        <f t="shared" si="114"/>
        <v xml:space="preserve">동작구 </v>
      </c>
      <c r="G2345" t="str">
        <f t="shared" si="115"/>
        <v>사당동</v>
      </c>
      <c r="H2345" t="s">
        <v>7618</v>
      </c>
      <c r="I2345">
        <v>7012</v>
      </c>
    </row>
    <row r="2346" spans="1:9" x14ac:dyDescent="0.4">
      <c r="A2346">
        <v>3190000</v>
      </c>
      <c r="B2346" t="s">
        <v>7704</v>
      </c>
      <c r="C2346" s="1">
        <v>34461</v>
      </c>
      <c r="D2346" t="s">
        <v>7705</v>
      </c>
      <c r="E2346" t="str">
        <f t="shared" si="113"/>
        <v>서울특별시</v>
      </c>
      <c r="F2346" t="str">
        <f t="shared" si="114"/>
        <v xml:space="preserve">동작구 </v>
      </c>
      <c r="G2346" t="str">
        <f t="shared" si="115"/>
        <v>상도동</v>
      </c>
      <c r="H2346" t="s">
        <v>7706</v>
      </c>
    </row>
    <row r="2347" spans="1:9" x14ac:dyDescent="0.4">
      <c r="A2347">
        <v>3190000</v>
      </c>
      <c r="B2347" t="s">
        <v>7795</v>
      </c>
      <c r="C2347" s="1">
        <v>33600</v>
      </c>
      <c r="D2347" t="s">
        <v>7796</v>
      </c>
      <c r="E2347" t="str">
        <f t="shared" si="113"/>
        <v>서울특별시</v>
      </c>
      <c r="F2347" t="str">
        <f t="shared" si="114"/>
        <v xml:space="preserve">동작구 </v>
      </c>
      <c r="G2347" t="str">
        <f t="shared" si="115"/>
        <v>상도동</v>
      </c>
    </row>
    <row r="2348" spans="1:9" x14ac:dyDescent="0.4">
      <c r="A2348">
        <v>3190000</v>
      </c>
      <c r="B2348" t="s">
        <v>7716</v>
      </c>
      <c r="C2348" s="1">
        <v>34512</v>
      </c>
      <c r="D2348" t="s">
        <v>7717</v>
      </c>
      <c r="E2348" t="str">
        <f t="shared" si="113"/>
        <v>서울특별시</v>
      </c>
      <c r="F2348" t="str">
        <f t="shared" si="114"/>
        <v xml:space="preserve">동작구 </v>
      </c>
      <c r="G2348" t="str">
        <f t="shared" si="115"/>
        <v>상도동</v>
      </c>
      <c r="H2348" t="s">
        <v>7718</v>
      </c>
      <c r="I2348">
        <v>7041</v>
      </c>
    </row>
    <row r="2349" spans="1:9" x14ac:dyDescent="0.4">
      <c r="A2349">
        <v>3190000</v>
      </c>
      <c r="B2349" t="s">
        <v>7619</v>
      </c>
      <c r="C2349" s="1">
        <v>29255</v>
      </c>
      <c r="D2349" t="s">
        <v>7620</v>
      </c>
      <c r="E2349" t="str">
        <f t="shared" si="113"/>
        <v>서울특별시</v>
      </c>
      <c r="F2349" t="str">
        <f t="shared" si="114"/>
        <v xml:space="preserve">동작구 </v>
      </c>
      <c r="G2349" t="str">
        <f t="shared" si="115"/>
        <v>상도동</v>
      </c>
      <c r="H2349" t="s">
        <v>7621</v>
      </c>
      <c r="I2349">
        <v>6952</v>
      </c>
    </row>
    <row r="2350" spans="1:9" x14ac:dyDescent="0.4">
      <c r="A2350">
        <v>3190000</v>
      </c>
      <c r="B2350" t="s">
        <v>7698</v>
      </c>
      <c r="C2350" s="1">
        <v>34457</v>
      </c>
      <c r="D2350" t="s">
        <v>7699</v>
      </c>
      <c r="E2350" t="str">
        <f t="shared" si="113"/>
        <v>서울특별시</v>
      </c>
      <c r="F2350" t="str">
        <f t="shared" si="114"/>
        <v xml:space="preserve">동작구 </v>
      </c>
      <c r="G2350" t="str">
        <f t="shared" si="115"/>
        <v>상도동</v>
      </c>
      <c r="H2350" t="s">
        <v>7700</v>
      </c>
      <c r="I2350">
        <v>6952</v>
      </c>
    </row>
    <row r="2351" spans="1:9" x14ac:dyDescent="0.4">
      <c r="A2351">
        <v>3190000</v>
      </c>
      <c r="B2351" t="s">
        <v>7637</v>
      </c>
      <c r="C2351" s="1">
        <v>36449</v>
      </c>
      <c r="D2351" t="s">
        <v>7638</v>
      </c>
      <c r="E2351" t="str">
        <f t="shared" si="113"/>
        <v>서울특별시</v>
      </c>
      <c r="F2351" t="str">
        <f t="shared" si="114"/>
        <v xml:space="preserve">동작구 </v>
      </c>
      <c r="G2351" t="str">
        <f t="shared" si="115"/>
        <v>상도동</v>
      </c>
      <c r="H2351" t="s">
        <v>7639</v>
      </c>
      <c r="I2351">
        <v>6952</v>
      </c>
    </row>
    <row r="2352" spans="1:9" x14ac:dyDescent="0.4">
      <c r="A2352">
        <v>3190000</v>
      </c>
      <c r="B2352" t="s">
        <v>7676</v>
      </c>
      <c r="C2352" s="1">
        <v>34488</v>
      </c>
      <c r="D2352" t="s">
        <v>7677</v>
      </c>
      <c r="E2352" t="str">
        <f t="shared" si="113"/>
        <v>서울특별시</v>
      </c>
      <c r="F2352" t="str">
        <f t="shared" si="114"/>
        <v xml:space="preserve">동작구 </v>
      </c>
      <c r="G2352" t="str">
        <f t="shared" si="115"/>
        <v>상도동</v>
      </c>
      <c r="H2352" t="s">
        <v>7678</v>
      </c>
      <c r="I2352">
        <v>6952</v>
      </c>
    </row>
    <row r="2353" spans="1:9" x14ac:dyDescent="0.4">
      <c r="A2353">
        <v>3190000</v>
      </c>
      <c r="B2353" t="s">
        <v>7613</v>
      </c>
      <c r="C2353" s="1">
        <v>26876</v>
      </c>
      <c r="D2353" t="s">
        <v>7614</v>
      </c>
      <c r="E2353" t="str">
        <f t="shared" si="113"/>
        <v>서울특별시</v>
      </c>
      <c r="F2353" t="str">
        <f t="shared" si="114"/>
        <v xml:space="preserve">동작구 </v>
      </c>
      <c r="G2353" t="str">
        <f t="shared" si="115"/>
        <v>상도동</v>
      </c>
      <c r="H2353" t="s">
        <v>7615</v>
      </c>
      <c r="I2353">
        <v>6937</v>
      </c>
    </row>
    <row r="2354" spans="1:9" x14ac:dyDescent="0.4">
      <c r="A2354">
        <v>3190000</v>
      </c>
      <c r="B2354" t="s">
        <v>7580</v>
      </c>
      <c r="C2354" s="1">
        <v>37358</v>
      </c>
      <c r="D2354" t="s">
        <v>7581</v>
      </c>
      <c r="E2354" t="str">
        <f t="shared" si="113"/>
        <v>서울특별시</v>
      </c>
      <c r="F2354" t="str">
        <f t="shared" si="114"/>
        <v xml:space="preserve">동작구 </v>
      </c>
      <c r="G2354" t="str">
        <f t="shared" si="115"/>
        <v>상도동</v>
      </c>
      <c r="H2354" t="s">
        <v>7582</v>
      </c>
      <c r="I2354">
        <v>6937</v>
      </c>
    </row>
    <row r="2355" spans="1:9" x14ac:dyDescent="0.4">
      <c r="A2355">
        <v>3190000</v>
      </c>
      <c r="B2355" t="s">
        <v>7649</v>
      </c>
      <c r="C2355" s="1">
        <v>34446</v>
      </c>
      <c r="D2355" t="s">
        <v>7650</v>
      </c>
      <c r="E2355" t="str">
        <f t="shared" si="113"/>
        <v>서울특별시</v>
      </c>
      <c r="F2355" t="str">
        <f t="shared" si="114"/>
        <v xml:space="preserve">동작구 </v>
      </c>
      <c r="G2355" t="str">
        <f t="shared" si="115"/>
        <v>상도동</v>
      </c>
      <c r="H2355" t="s">
        <v>7651</v>
      </c>
      <c r="I2355">
        <v>6963</v>
      </c>
    </row>
    <row r="2356" spans="1:9" x14ac:dyDescent="0.4">
      <c r="A2356">
        <v>3190000</v>
      </c>
      <c r="B2356" t="s">
        <v>7673</v>
      </c>
      <c r="C2356" s="1">
        <v>34470</v>
      </c>
      <c r="D2356" t="s">
        <v>7674</v>
      </c>
      <c r="E2356" t="str">
        <f t="shared" si="113"/>
        <v>서울특별시</v>
      </c>
      <c r="F2356" t="str">
        <f t="shared" si="114"/>
        <v xml:space="preserve">동작구 </v>
      </c>
      <c r="G2356" t="str">
        <f t="shared" si="115"/>
        <v>신대방</v>
      </c>
      <c r="H2356" t="s">
        <v>7675</v>
      </c>
      <c r="I2356">
        <v>7053</v>
      </c>
    </row>
    <row r="2357" spans="1:9" x14ac:dyDescent="0.4">
      <c r="A2357">
        <v>3190000</v>
      </c>
      <c r="B2357" t="s">
        <v>7719</v>
      </c>
      <c r="C2357" s="1">
        <v>34533</v>
      </c>
      <c r="D2357" t="s">
        <v>7720</v>
      </c>
      <c r="E2357" t="str">
        <f t="shared" si="113"/>
        <v>서울특별시</v>
      </c>
      <c r="F2357" t="str">
        <f t="shared" si="114"/>
        <v xml:space="preserve">동작구 </v>
      </c>
      <c r="G2357" t="str">
        <f t="shared" si="115"/>
        <v>신대방</v>
      </c>
      <c r="H2357" t="s">
        <v>7721</v>
      </c>
    </row>
    <row r="2358" spans="1:9" x14ac:dyDescent="0.4">
      <c r="A2358">
        <v>3190000</v>
      </c>
      <c r="B2358" t="s">
        <v>7711</v>
      </c>
      <c r="C2358" s="1">
        <v>34505</v>
      </c>
      <c r="D2358" t="s">
        <v>7712</v>
      </c>
      <c r="E2358" t="str">
        <f t="shared" si="113"/>
        <v>서울특별시</v>
      </c>
      <c r="F2358" t="str">
        <f t="shared" si="114"/>
        <v xml:space="preserve">동작구 </v>
      </c>
      <c r="G2358" t="str">
        <f t="shared" si="115"/>
        <v>신대방</v>
      </c>
      <c r="H2358" t="s">
        <v>7713</v>
      </c>
      <c r="I2358">
        <v>7056</v>
      </c>
    </row>
    <row r="2359" spans="1:9" x14ac:dyDescent="0.4">
      <c r="A2359">
        <v>3190000</v>
      </c>
      <c r="B2359" t="s">
        <v>7679</v>
      </c>
      <c r="C2359" s="1">
        <v>34498</v>
      </c>
      <c r="D2359" t="s">
        <v>7680</v>
      </c>
      <c r="E2359" t="str">
        <f t="shared" si="113"/>
        <v>서울특별시</v>
      </c>
      <c r="F2359" t="str">
        <f t="shared" si="114"/>
        <v xml:space="preserve">동작구 </v>
      </c>
      <c r="G2359" t="str">
        <f t="shared" si="115"/>
        <v>신대방</v>
      </c>
      <c r="H2359" t="s">
        <v>7681</v>
      </c>
      <c r="I2359">
        <v>7069</v>
      </c>
    </row>
    <row r="2360" spans="1:9" x14ac:dyDescent="0.4">
      <c r="A2360">
        <v>3190000</v>
      </c>
      <c r="B2360" t="s">
        <v>7776</v>
      </c>
      <c r="C2360" s="1">
        <v>28636</v>
      </c>
      <c r="D2360" t="s">
        <v>7777</v>
      </c>
      <c r="E2360" t="str">
        <f t="shared" si="113"/>
        <v>서울특별시</v>
      </c>
      <c r="F2360" t="str">
        <f t="shared" si="114"/>
        <v xml:space="preserve">동작구 </v>
      </c>
      <c r="G2360" t="str">
        <f t="shared" si="115"/>
        <v>신대방</v>
      </c>
      <c r="H2360" t="s">
        <v>7778</v>
      </c>
      <c r="I2360">
        <v>7069</v>
      </c>
    </row>
    <row r="2361" spans="1:9" x14ac:dyDescent="0.4">
      <c r="A2361">
        <v>3190000</v>
      </c>
      <c r="B2361" t="s">
        <v>7622</v>
      </c>
      <c r="C2361" s="1">
        <v>32750</v>
      </c>
      <c r="D2361" t="s">
        <v>7623</v>
      </c>
      <c r="E2361" t="str">
        <f t="shared" si="113"/>
        <v>서울특별시</v>
      </c>
      <c r="F2361" t="str">
        <f t="shared" si="114"/>
        <v xml:space="preserve">동작구 </v>
      </c>
      <c r="G2361" t="str">
        <f t="shared" si="115"/>
        <v>흑석동</v>
      </c>
      <c r="H2361" t="s">
        <v>7624</v>
      </c>
      <c r="I2361">
        <v>6972</v>
      </c>
    </row>
    <row r="2362" spans="1:9" x14ac:dyDescent="0.4">
      <c r="A2362">
        <v>3130000</v>
      </c>
      <c r="B2362" t="s">
        <v>5446</v>
      </c>
      <c r="C2362" s="1">
        <v>36899</v>
      </c>
      <c r="D2362" t="s">
        <v>5447</v>
      </c>
      <c r="E2362" t="str">
        <f t="shared" si="113"/>
        <v>서울특별시</v>
      </c>
      <c r="F2362" t="str">
        <f t="shared" si="114"/>
        <v xml:space="preserve">마포구 </v>
      </c>
      <c r="G2362" t="str">
        <f t="shared" si="115"/>
        <v>공덕동</v>
      </c>
      <c r="H2362" t="s">
        <v>5448</v>
      </c>
      <c r="I2362">
        <v>4214</v>
      </c>
    </row>
    <row r="2363" spans="1:9" x14ac:dyDescent="0.4">
      <c r="A2363">
        <v>3130000</v>
      </c>
      <c r="B2363" t="s">
        <v>5458</v>
      </c>
      <c r="C2363" s="1">
        <v>37228</v>
      </c>
      <c r="D2363" t="s">
        <v>5447</v>
      </c>
      <c r="E2363" t="str">
        <f t="shared" si="113"/>
        <v>서울특별시</v>
      </c>
      <c r="F2363" t="str">
        <f t="shared" si="114"/>
        <v xml:space="preserve">마포구 </v>
      </c>
      <c r="G2363" t="str">
        <f t="shared" si="115"/>
        <v>공덕동</v>
      </c>
      <c r="H2363" t="s">
        <v>5459</v>
      </c>
      <c r="I2363">
        <v>4214</v>
      </c>
    </row>
    <row r="2364" spans="1:9" x14ac:dyDescent="0.4">
      <c r="A2364">
        <v>3130000</v>
      </c>
      <c r="B2364" t="s">
        <v>5370</v>
      </c>
      <c r="C2364" s="1">
        <v>38839</v>
      </c>
      <c r="D2364" t="s">
        <v>5371</v>
      </c>
      <c r="E2364" t="str">
        <f t="shared" si="113"/>
        <v>서울특별시</v>
      </c>
      <c r="F2364" t="str">
        <f t="shared" si="114"/>
        <v xml:space="preserve">마포구 </v>
      </c>
      <c r="G2364" t="str">
        <f t="shared" si="115"/>
        <v>공덕동</v>
      </c>
      <c r="H2364" t="s">
        <v>5372</v>
      </c>
      <c r="I2364">
        <v>4214</v>
      </c>
    </row>
    <row r="2365" spans="1:9" x14ac:dyDescent="0.4">
      <c r="A2365">
        <v>3130000</v>
      </c>
      <c r="B2365" t="s">
        <v>5460</v>
      </c>
      <c r="C2365" s="1">
        <v>37370</v>
      </c>
      <c r="D2365" t="s">
        <v>5461</v>
      </c>
      <c r="E2365" t="str">
        <f t="shared" si="113"/>
        <v>서울특별시</v>
      </c>
      <c r="F2365" t="str">
        <f t="shared" si="114"/>
        <v xml:space="preserve">마포구 </v>
      </c>
      <c r="G2365" t="str">
        <f t="shared" si="115"/>
        <v>공덕동</v>
      </c>
      <c r="H2365" t="s">
        <v>5462</v>
      </c>
      <c r="I2365">
        <v>4214</v>
      </c>
    </row>
    <row r="2366" spans="1:9" x14ac:dyDescent="0.4">
      <c r="A2366">
        <v>3130000</v>
      </c>
      <c r="B2366" t="s">
        <v>5452</v>
      </c>
      <c r="C2366" s="1">
        <v>37061</v>
      </c>
      <c r="D2366" t="s">
        <v>5453</v>
      </c>
      <c r="E2366" t="str">
        <f t="shared" si="113"/>
        <v>서울특별시</v>
      </c>
      <c r="F2366" t="str">
        <f t="shared" si="114"/>
        <v xml:space="preserve">마포구 </v>
      </c>
      <c r="G2366" t="str">
        <f t="shared" si="115"/>
        <v>공덕동</v>
      </c>
      <c r="H2366" t="s">
        <v>5454</v>
      </c>
      <c r="I2366">
        <v>4214</v>
      </c>
    </row>
    <row r="2367" spans="1:9" x14ac:dyDescent="0.4">
      <c r="A2367">
        <v>3130000</v>
      </c>
      <c r="B2367" t="s">
        <v>12155</v>
      </c>
      <c r="C2367" s="1">
        <v>36859</v>
      </c>
      <c r="D2367" t="s">
        <v>12156</v>
      </c>
      <c r="E2367" t="str">
        <f t="shared" si="113"/>
        <v>서울특별시</v>
      </c>
      <c r="F2367" t="str">
        <f t="shared" si="114"/>
        <v xml:space="preserve">마포구 </v>
      </c>
      <c r="G2367" t="str">
        <f t="shared" si="115"/>
        <v>공덕동</v>
      </c>
      <c r="H2367" t="s">
        <v>12157</v>
      </c>
      <c r="I2367">
        <v>4214</v>
      </c>
    </row>
    <row r="2368" spans="1:9" x14ac:dyDescent="0.4">
      <c r="A2368">
        <v>3130000</v>
      </c>
      <c r="B2368" t="s">
        <v>5130</v>
      </c>
      <c r="C2368" s="1">
        <v>37326</v>
      </c>
      <c r="D2368" t="s">
        <v>5131</v>
      </c>
      <c r="E2368" t="str">
        <f t="shared" si="113"/>
        <v>서울특별시</v>
      </c>
      <c r="F2368" t="str">
        <f t="shared" si="114"/>
        <v xml:space="preserve">마포구 </v>
      </c>
      <c r="G2368" t="str">
        <f t="shared" si="115"/>
        <v>공덕동</v>
      </c>
      <c r="H2368" t="s">
        <v>5132</v>
      </c>
      <c r="I2368">
        <v>4214</v>
      </c>
    </row>
    <row r="2369" spans="1:9" x14ac:dyDescent="0.4">
      <c r="A2369">
        <v>3130000</v>
      </c>
      <c r="B2369" t="s">
        <v>5198</v>
      </c>
      <c r="C2369" s="1">
        <v>32165</v>
      </c>
      <c r="D2369" t="s">
        <v>5199</v>
      </c>
      <c r="E2369" t="str">
        <f t="shared" si="113"/>
        <v>서울특별시</v>
      </c>
      <c r="F2369" t="str">
        <f t="shared" si="114"/>
        <v xml:space="preserve">마포구 </v>
      </c>
      <c r="G2369" t="str">
        <f t="shared" si="115"/>
        <v>공덕동</v>
      </c>
    </row>
    <row r="2370" spans="1:9" x14ac:dyDescent="0.4">
      <c r="A2370">
        <v>3130000</v>
      </c>
      <c r="B2370" t="s">
        <v>5280</v>
      </c>
      <c r="C2370" s="1">
        <v>36886</v>
      </c>
      <c r="D2370" t="s">
        <v>5281</v>
      </c>
      <c r="E2370" t="str">
        <f t="shared" si="113"/>
        <v>서울특별시</v>
      </c>
      <c r="F2370" t="str">
        <f t="shared" si="114"/>
        <v xml:space="preserve">마포구 </v>
      </c>
      <c r="G2370" t="str">
        <f t="shared" si="115"/>
        <v>공덕동</v>
      </c>
    </row>
    <row r="2371" spans="1:9" x14ac:dyDescent="0.4">
      <c r="A2371">
        <v>3130000</v>
      </c>
      <c r="B2371" t="s">
        <v>5172</v>
      </c>
      <c r="C2371" s="1">
        <v>34466</v>
      </c>
      <c r="D2371" t="s">
        <v>5173</v>
      </c>
      <c r="E2371" t="str">
        <f t="shared" ref="E2371:E2434" si="116">LEFT(D2371,5)</f>
        <v>서울특별시</v>
      </c>
      <c r="F2371" t="str">
        <f t="shared" ref="F2371:F2434" si="117">MID(D2371,7,4)</f>
        <v xml:space="preserve">마포구 </v>
      </c>
      <c r="G2371" t="str">
        <f>MID(SUBSTITUTE(D2371," ",""),9,4)</f>
        <v>노고산동</v>
      </c>
    </row>
    <row r="2372" spans="1:9" x14ac:dyDescent="0.4">
      <c r="A2372">
        <v>3130000</v>
      </c>
      <c r="B2372" t="s">
        <v>5313</v>
      </c>
      <c r="C2372" s="1">
        <v>39147</v>
      </c>
      <c r="D2372" t="s">
        <v>5314</v>
      </c>
      <c r="E2372" t="str">
        <f t="shared" si="116"/>
        <v>서울특별시</v>
      </c>
      <c r="F2372" t="str">
        <f t="shared" si="117"/>
        <v xml:space="preserve">마포구 </v>
      </c>
      <c r="G2372" t="str">
        <f t="shared" ref="G2372:G2416" si="118">MID(SUBSTITUTE(D2372," ",""),9,4)</f>
        <v>노고산동</v>
      </c>
      <c r="H2372" t="s">
        <v>5315</v>
      </c>
      <c r="I2372">
        <v>4109</v>
      </c>
    </row>
    <row r="2373" spans="1:9" x14ac:dyDescent="0.4">
      <c r="A2373">
        <v>3130000</v>
      </c>
      <c r="B2373" t="s">
        <v>5247</v>
      </c>
      <c r="C2373" s="1">
        <v>36623</v>
      </c>
      <c r="D2373" t="s">
        <v>5248</v>
      </c>
      <c r="E2373" t="str">
        <f t="shared" si="116"/>
        <v>서울특별시</v>
      </c>
      <c r="F2373" t="str">
        <f t="shared" si="117"/>
        <v xml:space="preserve">마포구 </v>
      </c>
      <c r="G2373" t="str">
        <f t="shared" si="118"/>
        <v>노고산동</v>
      </c>
    </row>
    <row r="2374" spans="1:9" x14ac:dyDescent="0.4">
      <c r="A2374">
        <v>3130000</v>
      </c>
      <c r="B2374" t="s">
        <v>5206</v>
      </c>
      <c r="C2374" s="1">
        <v>34509</v>
      </c>
      <c r="D2374" t="s">
        <v>5207</v>
      </c>
      <c r="E2374" t="str">
        <f t="shared" si="116"/>
        <v>서울특별시</v>
      </c>
      <c r="F2374" t="str">
        <f t="shared" si="117"/>
        <v xml:space="preserve">마포구 </v>
      </c>
      <c r="G2374" t="str">
        <f t="shared" si="118"/>
        <v>노고산동</v>
      </c>
    </row>
    <row r="2375" spans="1:9" x14ac:dyDescent="0.4">
      <c r="A2375">
        <v>3130000</v>
      </c>
      <c r="B2375" t="s">
        <v>5334</v>
      </c>
      <c r="C2375" s="1">
        <v>37690</v>
      </c>
      <c r="D2375" t="s">
        <v>5335</v>
      </c>
      <c r="E2375" t="str">
        <f t="shared" si="116"/>
        <v>서울특별시</v>
      </c>
      <c r="F2375" t="str">
        <f t="shared" si="117"/>
        <v xml:space="preserve">마포구 </v>
      </c>
      <c r="G2375" t="str">
        <f t="shared" si="118"/>
        <v>노고산동</v>
      </c>
    </row>
    <row r="2376" spans="1:9" x14ac:dyDescent="0.4">
      <c r="A2376">
        <v>3130000</v>
      </c>
      <c r="B2376" t="s">
        <v>5302</v>
      </c>
      <c r="C2376" s="1">
        <v>37097</v>
      </c>
      <c r="D2376" t="s">
        <v>5303</v>
      </c>
      <c r="E2376" t="str">
        <f t="shared" si="116"/>
        <v>서울특별시</v>
      </c>
      <c r="F2376" t="str">
        <f t="shared" si="117"/>
        <v xml:space="preserve">마포구 </v>
      </c>
      <c r="G2376" t="str">
        <f t="shared" si="118"/>
        <v>노고산동</v>
      </c>
      <c r="H2376" t="s">
        <v>5304</v>
      </c>
      <c r="I2376">
        <v>4109</v>
      </c>
    </row>
    <row r="2377" spans="1:9" x14ac:dyDescent="0.4">
      <c r="A2377">
        <v>3130000</v>
      </c>
      <c r="B2377" t="s">
        <v>5321</v>
      </c>
      <c r="C2377" s="1">
        <v>40611</v>
      </c>
      <c r="D2377" t="s">
        <v>5322</v>
      </c>
      <c r="E2377" t="str">
        <f t="shared" si="116"/>
        <v>서울특별시</v>
      </c>
      <c r="F2377" t="str">
        <f t="shared" si="117"/>
        <v xml:space="preserve">마포구 </v>
      </c>
      <c r="G2377" t="str">
        <f t="shared" si="118"/>
        <v>노고산동</v>
      </c>
      <c r="H2377" t="s">
        <v>5323</v>
      </c>
      <c r="I2377">
        <v>4100</v>
      </c>
    </row>
    <row r="2378" spans="1:9" x14ac:dyDescent="0.4">
      <c r="A2378">
        <v>3130000</v>
      </c>
      <c r="B2378" t="s">
        <v>5475</v>
      </c>
      <c r="C2378" s="1">
        <v>45472</v>
      </c>
      <c r="D2378" t="s">
        <v>5322</v>
      </c>
      <c r="E2378" t="str">
        <f t="shared" si="116"/>
        <v>서울특별시</v>
      </c>
      <c r="F2378" t="str">
        <f t="shared" si="117"/>
        <v xml:space="preserve">마포구 </v>
      </c>
      <c r="G2378" t="str">
        <f t="shared" si="118"/>
        <v>노고산동</v>
      </c>
      <c r="H2378" t="s">
        <v>5476</v>
      </c>
      <c r="I2378">
        <v>4100</v>
      </c>
    </row>
    <row r="2379" spans="1:9" x14ac:dyDescent="0.4">
      <c r="A2379">
        <v>3130000</v>
      </c>
      <c r="B2379" t="s">
        <v>5220</v>
      </c>
      <c r="C2379" s="1">
        <v>34585</v>
      </c>
      <c r="D2379" t="s">
        <v>5221</v>
      </c>
      <c r="E2379" t="str">
        <f t="shared" si="116"/>
        <v>서울특별시</v>
      </c>
      <c r="F2379" t="str">
        <f t="shared" si="117"/>
        <v xml:space="preserve">마포구 </v>
      </c>
      <c r="G2379" t="str">
        <f t="shared" si="118"/>
        <v>노고산동</v>
      </c>
      <c r="H2379" t="s">
        <v>5222</v>
      </c>
      <c r="I2379">
        <v>4100</v>
      </c>
    </row>
    <row r="2380" spans="1:9" x14ac:dyDescent="0.4">
      <c r="A2380">
        <v>3130000</v>
      </c>
      <c r="B2380" t="s">
        <v>5353</v>
      </c>
      <c r="C2380" s="1">
        <v>36510</v>
      </c>
      <c r="D2380" t="s">
        <v>5354</v>
      </c>
      <c r="E2380" t="str">
        <f t="shared" si="116"/>
        <v>서울특별시</v>
      </c>
      <c r="F2380" t="str">
        <f t="shared" si="117"/>
        <v xml:space="preserve">마포구 </v>
      </c>
      <c r="G2380" t="str">
        <f t="shared" si="118"/>
        <v>노고산동</v>
      </c>
      <c r="H2380" t="s">
        <v>5355</v>
      </c>
      <c r="I2380">
        <v>4100</v>
      </c>
    </row>
    <row r="2381" spans="1:9" x14ac:dyDescent="0.4">
      <c r="A2381">
        <v>3130000</v>
      </c>
      <c r="B2381" t="s">
        <v>5393</v>
      </c>
      <c r="C2381" s="1">
        <v>42894</v>
      </c>
      <c r="D2381" t="s">
        <v>5354</v>
      </c>
      <c r="E2381" t="str">
        <f t="shared" si="116"/>
        <v>서울특별시</v>
      </c>
      <c r="F2381" t="str">
        <f t="shared" si="117"/>
        <v xml:space="preserve">마포구 </v>
      </c>
      <c r="G2381" t="str">
        <f t="shared" si="118"/>
        <v>노고산동</v>
      </c>
      <c r="H2381" t="s">
        <v>5394</v>
      </c>
      <c r="I2381">
        <v>4100</v>
      </c>
    </row>
    <row r="2382" spans="1:9" x14ac:dyDescent="0.4">
      <c r="A2382">
        <v>3130000</v>
      </c>
      <c r="B2382" t="s">
        <v>5190</v>
      </c>
      <c r="C2382" s="1">
        <v>34508</v>
      </c>
      <c r="D2382" t="s">
        <v>5191</v>
      </c>
      <c r="E2382" t="str">
        <f t="shared" si="116"/>
        <v>서울특별시</v>
      </c>
      <c r="F2382" t="str">
        <f t="shared" si="117"/>
        <v xml:space="preserve">마포구 </v>
      </c>
      <c r="G2382" t="str">
        <f t="shared" si="118"/>
        <v>노고산동</v>
      </c>
    </row>
    <row r="2383" spans="1:9" x14ac:dyDescent="0.4">
      <c r="A2383">
        <v>3130000</v>
      </c>
      <c r="B2383" t="s">
        <v>5182</v>
      </c>
      <c r="C2383" s="1">
        <v>34505</v>
      </c>
      <c r="D2383" t="s">
        <v>5183</v>
      </c>
      <c r="E2383" t="str">
        <f t="shared" si="116"/>
        <v>서울특별시</v>
      </c>
      <c r="F2383" t="str">
        <f t="shared" si="117"/>
        <v xml:space="preserve">마포구 </v>
      </c>
      <c r="G2383" t="str">
        <f t="shared" si="118"/>
        <v>노고산동</v>
      </c>
    </row>
    <row r="2384" spans="1:9" x14ac:dyDescent="0.4">
      <c r="A2384">
        <v>3130000</v>
      </c>
      <c r="B2384" t="s">
        <v>5186</v>
      </c>
      <c r="C2384" s="1">
        <v>34508</v>
      </c>
      <c r="D2384" t="s">
        <v>5187</v>
      </c>
      <c r="E2384" t="str">
        <f t="shared" si="116"/>
        <v>서울특별시</v>
      </c>
      <c r="F2384" t="str">
        <f t="shared" si="117"/>
        <v xml:space="preserve">마포구 </v>
      </c>
      <c r="G2384" t="str">
        <f t="shared" si="118"/>
        <v>노고산동</v>
      </c>
    </row>
    <row r="2385" spans="1:9" x14ac:dyDescent="0.4">
      <c r="A2385">
        <v>3130000</v>
      </c>
      <c r="B2385" t="s">
        <v>5358</v>
      </c>
      <c r="C2385" s="1">
        <v>36518</v>
      </c>
      <c r="D2385" t="s">
        <v>5359</v>
      </c>
      <c r="E2385" t="str">
        <f t="shared" si="116"/>
        <v>서울특별시</v>
      </c>
      <c r="F2385" t="str">
        <f t="shared" si="117"/>
        <v xml:space="preserve">마포구 </v>
      </c>
      <c r="G2385" t="str">
        <f t="shared" si="118"/>
        <v>노고산동</v>
      </c>
    </row>
    <row r="2386" spans="1:9" x14ac:dyDescent="0.4">
      <c r="A2386">
        <v>3130000</v>
      </c>
      <c r="B2386" t="s">
        <v>5218</v>
      </c>
      <c r="C2386" s="1">
        <v>34569</v>
      </c>
      <c r="D2386" t="s">
        <v>5219</v>
      </c>
      <c r="E2386" t="str">
        <f t="shared" si="116"/>
        <v>서울특별시</v>
      </c>
      <c r="F2386" t="str">
        <f t="shared" si="117"/>
        <v xml:space="preserve">마포구 </v>
      </c>
      <c r="G2386" t="str">
        <f t="shared" si="118"/>
        <v>노고산동</v>
      </c>
    </row>
    <row r="2387" spans="1:9" x14ac:dyDescent="0.4">
      <c r="A2387">
        <v>3130000</v>
      </c>
      <c r="B2387" t="s">
        <v>5160</v>
      </c>
      <c r="C2387" s="1">
        <v>34334</v>
      </c>
      <c r="D2387" t="s">
        <v>5161</v>
      </c>
      <c r="E2387" t="str">
        <f t="shared" si="116"/>
        <v>서울특별시</v>
      </c>
      <c r="F2387" t="str">
        <f t="shared" si="117"/>
        <v xml:space="preserve">마포구 </v>
      </c>
      <c r="G2387" t="str">
        <f t="shared" si="118"/>
        <v>노고산동</v>
      </c>
    </row>
    <row r="2388" spans="1:9" x14ac:dyDescent="0.4">
      <c r="A2388">
        <v>3130000</v>
      </c>
      <c r="B2388" t="s">
        <v>5298</v>
      </c>
      <c r="C2388" s="1">
        <v>36999</v>
      </c>
      <c r="D2388" t="s">
        <v>5299</v>
      </c>
      <c r="E2388" t="str">
        <f t="shared" si="116"/>
        <v>서울특별시</v>
      </c>
      <c r="F2388" t="str">
        <f t="shared" si="117"/>
        <v xml:space="preserve">마포구 </v>
      </c>
      <c r="G2388" t="str">
        <f t="shared" si="118"/>
        <v>노고산동</v>
      </c>
    </row>
    <row r="2389" spans="1:9" x14ac:dyDescent="0.4">
      <c r="A2389">
        <v>3130000</v>
      </c>
      <c r="B2389" t="s">
        <v>5194</v>
      </c>
      <c r="C2389" s="1">
        <v>31293</v>
      </c>
      <c r="D2389" t="s">
        <v>5195</v>
      </c>
      <c r="E2389" t="str">
        <f t="shared" si="116"/>
        <v>서울특별시</v>
      </c>
      <c r="F2389" t="str">
        <f t="shared" si="117"/>
        <v xml:space="preserve">마포구 </v>
      </c>
      <c r="G2389" t="str">
        <f t="shared" si="118"/>
        <v>노고산동</v>
      </c>
    </row>
    <row r="2390" spans="1:9" x14ac:dyDescent="0.4">
      <c r="A2390">
        <v>3130000</v>
      </c>
      <c r="B2390" t="s">
        <v>5435</v>
      </c>
      <c r="C2390" s="1">
        <v>36556</v>
      </c>
      <c r="D2390" t="s">
        <v>5436</v>
      </c>
      <c r="E2390" t="str">
        <f t="shared" si="116"/>
        <v>서울특별시</v>
      </c>
      <c r="F2390" t="str">
        <f t="shared" si="117"/>
        <v xml:space="preserve">마포구 </v>
      </c>
      <c r="G2390" t="str">
        <f t="shared" si="118"/>
        <v>노고산동</v>
      </c>
      <c r="H2390" t="s">
        <v>5437</v>
      </c>
      <c r="I2390">
        <v>4100</v>
      </c>
    </row>
    <row r="2391" spans="1:9" x14ac:dyDescent="0.4">
      <c r="A2391">
        <v>3130000</v>
      </c>
      <c r="B2391" t="s">
        <v>5210</v>
      </c>
      <c r="C2391" s="1">
        <v>34524</v>
      </c>
      <c r="D2391" t="s">
        <v>5211</v>
      </c>
      <c r="E2391" t="str">
        <f t="shared" si="116"/>
        <v>서울특별시</v>
      </c>
      <c r="F2391" t="str">
        <f t="shared" si="117"/>
        <v xml:space="preserve">마포구 </v>
      </c>
      <c r="G2391" t="str">
        <f t="shared" si="118"/>
        <v>노고산동</v>
      </c>
    </row>
    <row r="2392" spans="1:9" x14ac:dyDescent="0.4">
      <c r="A2392">
        <v>3130000</v>
      </c>
      <c r="B2392" t="s">
        <v>5305</v>
      </c>
      <c r="C2392" s="1">
        <v>26826</v>
      </c>
      <c r="D2392" t="s">
        <v>5306</v>
      </c>
      <c r="E2392" t="str">
        <f t="shared" si="116"/>
        <v>서울특별시</v>
      </c>
      <c r="F2392" t="str">
        <f t="shared" si="117"/>
        <v xml:space="preserve">마포구 </v>
      </c>
      <c r="G2392" t="str">
        <f t="shared" si="118"/>
        <v>노고산동</v>
      </c>
    </row>
    <row r="2393" spans="1:9" x14ac:dyDescent="0.4">
      <c r="A2393">
        <v>3130000</v>
      </c>
      <c r="B2393" t="s">
        <v>5423</v>
      </c>
      <c r="C2393" s="1">
        <v>36510</v>
      </c>
      <c r="D2393" t="s">
        <v>5424</v>
      </c>
      <c r="E2393" t="str">
        <f t="shared" si="116"/>
        <v>서울특별시</v>
      </c>
      <c r="F2393" t="str">
        <f t="shared" si="117"/>
        <v xml:space="preserve">마포구 </v>
      </c>
      <c r="G2393" t="str">
        <f t="shared" si="118"/>
        <v>노고산동</v>
      </c>
      <c r="H2393" t="s">
        <v>5425</v>
      </c>
      <c r="I2393">
        <v>4057</v>
      </c>
    </row>
    <row r="2394" spans="1:9" x14ac:dyDescent="0.4">
      <c r="A2394">
        <v>3130000</v>
      </c>
      <c r="B2394" t="s">
        <v>5384</v>
      </c>
      <c r="C2394" s="1">
        <v>40680</v>
      </c>
      <c r="D2394" t="s">
        <v>5385</v>
      </c>
      <c r="E2394" t="str">
        <f t="shared" si="116"/>
        <v>서울특별시</v>
      </c>
      <c r="F2394" t="str">
        <f t="shared" si="117"/>
        <v xml:space="preserve">마포구 </v>
      </c>
      <c r="G2394" t="str">
        <f t="shared" si="118"/>
        <v>노고산동</v>
      </c>
      <c r="H2394" t="s">
        <v>5386</v>
      </c>
      <c r="I2394">
        <v>4057</v>
      </c>
    </row>
    <row r="2395" spans="1:9" x14ac:dyDescent="0.4">
      <c r="A2395">
        <v>3130000</v>
      </c>
      <c r="B2395" t="s">
        <v>5146</v>
      </c>
      <c r="C2395" s="1">
        <v>36288</v>
      </c>
      <c r="D2395" t="s">
        <v>5147</v>
      </c>
      <c r="E2395" t="str">
        <f t="shared" si="116"/>
        <v>서울특별시</v>
      </c>
      <c r="F2395" t="str">
        <f t="shared" si="117"/>
        <v xml:space="preserve">마포구 </v>
      </c>
      <c r="G2395" t="str">
        <f t="shared" si="118"/>
        <v>노고산동</v>
      </c>
    </row>
    <row r="2396" spans="1:9" x14ac:dyDescent="0.4">
      <c r="A2396">
        <v>3130000</v>
      </c>
      <c r="B2396" t="s">
        <v>5214</v>
      </c>
      <c r="C2396" s="1">
        <v>34554</v>
      </c>
      <c r="D2396" t="s">
        <v>5215</v>
      </c>
      <c r="E2396" t="str">
        <f t="shared" si="116"/>
        <v>서울특별시</v>
      </c>
      <c r="F2396" t="str">
        <f t="shared" si="117"/>
        <v xml:space="preserve">마포구 </v>
      </c>
      <c r="G2396" t="str">
        <f t="shared" si="118"/>
        <v>노고산동</v>
      </c>
    </row>
    <row r="2397" spans="1:9" x14ac:dyDescent="0.4">
      <c r="A2397">
        <v>3130000</v>
      </c>
      <c r="B2397" t="s">
        <v>5188</v>
      </c>
      <c r="C2397" s="1">
        <v>34508</v>
      </c>
      <c r="D2397" t="s">
        <v>5189</v>
      </c>
      <c r="E2397" t="str">
        <f t="shared" si="116"/>
        <v>서울특별시</v>
      </c>
      <c r="F2397" t="str">
        <f t="shared" si="117"/>
        <v xml:space="preserve">마포구 </v>
      </c>
      <c r="G2397" t="str">
        <f t="shared" si="118"/>
        <v>노고산동</v>
      </c>
    </row>
    <row r="2398" spans="1:9" x14ac:dyDescent="0.4">
      <c r="A2398">
        <v>3130000</v>
      </c>
      <c r="B2398" t="s">
        <v>5477</v>
      </c>
      <c r="C2398" s="1">
        <v>45434</v>
      </c>
      <c r="D2398" t="s">
        <v>5478</v>
      </c>
      <c r="E2398" t="str">
        <f t="shared" si="116"/>
        <v>서울특별시</v>
      </c>
      <c r="F2398" t="str">
        <f t="shared" si="117"/>
        <v xml:space="preserve">마포구 </v>
      </c>
      <c r="G2398" t="str">
        <f t="shared" si="118"/>
        <v>노고산동</v>
      </c>
      <c r="H2398" t="s">
        <v>5479</v>
      </c>
      <c r="I2398">
        <v>4058</v>
      </c>
    </row>
    <row r="2399" spans="1:9" x14ac:dyDescent="0.4">
      <c r="A2399">
        <v>3130000</v>
      </c>
      <c r="B2399" t="s">
        <v>5292</v>
      </c>
      <c r="C2399" s="1">
        <v>36985</v>
      </c>
      <c r="D2399" t="s">
        <v>5293</v>
      </c>
      <c r="E2399" t="str">
        <f t="shared" si="116"/>
        <v>서울특별시</v>
      </c>
      <c r="F2399" t="str">
        <f t="shared" si="117"/>
        <v xml:space="preserve">마포구 </v>
      </c>
      <c r="G2399" t="str">
        <f t="shared" si="118"/>
        <v>노고산동</v>
      </c>
      <c r="H2399" t="s">
        <v>5294</v>
      </c>
      <c r="I2399">
        <v>4058</v>
      </c>
    </row>
    <row r="2400" spans="1:9" x14ac:dyDescent="0.4">
      <c r="A2400">
        <v>3130000</v>
      </c>
      <c r="B2400" t="s">
        <v>5208</v>
      </c>
      <c r="C2400" s="1">
        <v>34521</v>
      </c>
      <c r="D2400" t="s">
        <v>5209</v>
      </c>
      <c r="E2400" t="str">
        <f t="shared" si="116"/>
        <v>서울특별시</v>
      </c>
      <c r="F2400" t="str">
        <f t="shared" si="117"/>
        <v xml:space="preserve">마포구 </v>
      </c>
      <c r="G2400" t="str">
        <f t="shared" si="118"/>
        <v>노고산동</v>
      </c>
    </row>
    <row r="2401" spans="1:9" x14ac:dyDescent="0.4">
      <c r="A2401">
        <v>3130000</v>
      </c>
      <c r="B2401" t="s">
        <v>5351</v>
      </c>
      <c r="C2401" s="1">
        <v>36510</v>
      </c>
      <c r="D2401" t="s">
        <v>5352</v>
      </c>
      <c r="E2401" t="str">
        <f t="shared" si="116"/>
        <v>서울특별시</v>
      </c>
      <c r="F2401" t="str">
        <f t="shared" si="117"/>
        <v xml:space="preserve">마포구 </v>
      </c>
      <c r="G2401" t="str">
        <f t="shared" si="118"/>
        <v>노고산동</v>
      </c>
    </row>
    <row r="2402" spans="1:9" x14ac:dyDescent="0.4">
      <c r="A2402">
        <v>3130000</v>
      </c>
      <c r="B2402" t="s">
        <v>5327</v>
      </c>
      <c r="C2402" s="1">
        <v>42425</v>
      </c>
      <c r="D2402" t="s">
        <v>5328</v>
      </c>
      <c r="E2402" t="str">
        <f t="shared" si="116"/>
        <v>서울특별시</v>
      </c>
      <c r="F2402" t="str">
        <f t="shared" si="117"/>
        <v xml:space="preserve">마포구 </v>
      </c>
      <c r="G2402" t="str">
        <f t="shared" si="118"/>
        <v>노고산동</v>
      </c>
      <c r="H2402" t="s">
        <v>5202</v>
      </c>
      <c r="I2402">
        <v>4058</v>
      </c>
    </row>
    <row r="2403" spans="1:9" x14ac:dyDescent="0.4">
      <c r="A2403">
        <v>3130000</v>
      </c>
      <c r="B2403" t="s">
        <v>5200</v>
      </c>
      <c r="C2403" s="1">
        <v>34307</v>
      </c>
      <c r="D2403" t="s">
        <v>5201</v>
      </c>
      <c r="E2403" t="str">
        <f t="shared" si="116"/>
        <v>서울특별시</v>
      </c>
      <c r="F2403" t="str">
        <f t="shared" si="117"/>
        <v xml:space="preserve">마포구 </v>
      </c>
      <c r="G2403" t="str">
        <f t="shared" si="118"/>
        <v>노고산동</v>
      </c>
      <c r="H2403" t="s">
        <v>5202</v>
      </c>
      <c r="I2403">
        <v>4058</v>
      </c>
    </row>
    <row r="2404" spans="1:9" x14ac:dyDescent="0.4">
      <c r="A2404">
        <v>3130000</v>
      </c>
      <c r="B2404" t="s">
        <v>5162</v>
      </c>
      <c r="C2404" s="1">
        <v>34396</v>
      </c>
      <c r="D2404" t="s">
        <v>5163</v>
      </c>
      <c r="E2404" t="str">
        <f t="shared" si="116"/>
        <v>서울특별시</v>
      </c>
      <c r="F2404" t="str">
        <f t="shared" si="117"/>
        <v xml:space="preserve">마포구 </v>
      </c>
      <c r="G2404" t="str">
        <f t="shared" si="118"/>
        <v>노고산동</v>
      </c>
      <c r="H2404" t="s">
        <v>5164</v>
      </c>
      <c r="I2404">
        <v>4058</v>
      </c>
    </row>
    <row r="2405" spans="1:9" x14ac:dyDescent="0.4">
      <c r="A2405">
        <v>3130000</v>
      </c>
      <c r="B2405" t="s">
        <v>5362</v>
      </c>
      <c r="C2405" s="1">
        <v>44376</v>
      </c>
      <c r="D2405" t="s">
        <v>5363</v>
      </c>
      <c r="E2405" t="str">
        <f t="shared" si="116"/>
        <v>서울특별시</v>
      </c>
      <c r="F2405" t="str">
        <f t="shared" si="117"/>
        <v xml:space="preserve">마포구 </v>
      </c>
      <c r="G2405" t="str">
        <f t="shared" si="118"/>
        <v>노고산동</v>
      </c>
      <c r="H2405" t="s">
        <v>5364</v>
      </c>
      <c r="I2405">
        <v>4058</v>
      </c>
    </row>
    <row r="2406" spans="1:9" x14ac:dyDescent="0.4">
      <c r="A2406">
        <v>3130000</v>
      </c>
      <c r="B2406" t="s">
        <v>5184</v>
      </c>
      <c r="C2406" s="1">
        <v>34505</v>
      </c>
      <c r="D2406" t="s">
        <v>5185</v>
      </c>
      <c r="E2406" t="str">
        <f t="shared" si="116"/>
        <v>서울특별시</v>
      </c>
      <c r="F2406" t="str">
        <f t="shared" si="117"/>
        <v xml:space="preserve">마포구 </v>
      </c>
      <c r="G2406" t="str">
        <f t="shared" si="118"/>
        <v>노고산동</v>
      </c>
    </row>
    <row r="2407" spans="1:9" x14ac:dyDescent="0.4">
      <c r="A2407">
        <v>3130000</v>
      </c>
      <c r="B2407" t="s">
        <v>5212</v>
      </c>
      <c r="C2407" s="1">
        <v>34541</v>
      </c>
      <c r="D2407" t="s">
        <v>5213</v>
      </c>
      <c r="E2407" t="str">
        <f t="shared" si="116"/>
        <v>서울특별시</v>
      </c>
      <c r="F2407" t="str">
        <f t="shared" si="117"/>
        <v xml:space="preserve">마포구 </v>
      </c>
      <c r="G2407" t="str">
        <f t="shared" si="118"/>
        <v>노고산동</v>
      </c>
    </row>
    <row r="2408" spans="1:9" x14ac:dyDescent="0.4">
      <c r="A2408">
        <v>3130000</v>
      </c>
      <c r="B2408" t="s">
        <v>5311</v>
      </c>
      <c r="C2408" s="1">
        <v>39589</v>
      </c>
      <c r="D2408" t="s">
        <v>5213</v>
      </c>
      <c r="E2408" t="str">
        <f t="shared" si="116"/>
        <v>서울특별시</v>
      </c>
      <c r="F2408" t="str">
        <f t="shared" si="117"/>
        <v xml:space="preserve">마포구 </v>
      </c>
      <c r="G2408" t="str">
        <f t="shared" si="118"/>
        <v>노고산동</v>
      </c>
      <c r="H2408" t="s">
        <v>5312</v>
      </c>
      <c r="I2408">
        <v>4058</v>
      </c>
    </row>
    <row r="2409" spans="1:9" x14ac:dyDescent="0.4">
      <c r="A2409">
        <v>3130000</v>
      </c>
      <c r="B2409" t="s">
        <v>5167</v>
      </c>
      <c r="C2409" s="1">
        <v>34421</v>
      </c>
      <c r="D2409" t="s">
        <v>5168</v>
      </c>
      <c r="E2409" t="str">
        <f t="shared" si="116"/>
        <v>서울특별시</v>
      </c>
      <c r="F2409" t="str">
        <f t="shared" si="117"/>
        <v xml:space="preserve">마포구 </v>
      </c>
      <c r="G2409" t="str">
        <f t="shared" si="118"/>
        <v>노고산동</v>
      </c>
      <c r="H2409" t="s">
        <v>5169</v>
      </c>
      <c r="I2409">
        <v>4058</v>
      </c>
    </row>
    <row r="2410" spans="1:9" x14ac:dyDescent="0.4">
      <c r="A2410">
        <v>3130000</v>
      </c>
      <c r="B2410" t="s">
        <v>5365</v>
      </c>
      <c r="C2410" s="1">
        <v>44376</v>
      </c>
      <c r="D2410" t="s">
        <v>5366</v>
      </c>
      <c r="E2410" t="str">
        <f t="shared" si="116"/>
        <v>서울특별시</v>
      </c>
      <c r="F2410" t="str">
        <f t="shared" si="117"/>
        <v xml:space="preserve">마포구 </v>
      </c>
      <c r="G2410" t="str">
        <f t="shared" si="118"/>
        <v>노고산동</v>
      </c>
      <c r="H2410" t="s">
        <v>5367</v>
      </c>
      <c r="I2410">
        <v>4058</v>
      </c>
    </row>
    <row r="2411" spans="1:9" x14ac:dyDescent="0.4">
      <c r="A2411">
        <v>3130000</v>
      </c>
      <c r="B2411" t="s">
        <v>5480</v>
      </c>
      <c r="C2411" s="1">
        <v>44405</v>
      </c>
      <c r="D2411" t="s">
        <v>5366</v>
      </c>
      <c r="E2411" t="str">
        <f t="shared" si="116"/>
        <v>서울특별시</v>
      </c>
      <c r="F2411" t="str">
        <f t="shared" si="117"/>
        <v xml:space="preserve">마포구 </v>
      </c>
      <c r="G2411" t="str">
        <f t="shared" si="118"/>
        <v>노고산동</v>
      </c>
      <c r="H2411" t="s">
        <v>5481</v>
      </c>
      <c r="I2411">
        <v>4058</v>
      </c>
    </row>
    <row r="2412" spans="1:9" x14ac:dyDescent="0.4">
      <c r="A2412">
        <v>3130000</v>
      </c>
      <c r="B2412" t="s">
        <v>5329</v>
      </c>
      <c r="C2412" s="1">
        <v>43077</v>
      </c>
      <c r="D2412" t="s">
        <v>5330</v>
      </c>
      <c r="E2412" t="str">
        <f t="shared" si="116"/>
        <v>서울특별시</v>
      </c>
      <c r="F2412" t="str">
        <f t="shared" si="117"/>
        <v xml:space="preserve">마포구 </v>
      </c>
      <c r="G2412" t="str">
        <f t="shared" si="118"/>
        <v>노고산동</v>
      </c>
      <c r="H2412" t="s">
        <v>5331</v>
      </c>
      <c r="I2412">
        <v>4058</v>
      </c>
    </row>
    <row r="2413" spans="1:9" x14ac:dyDescent="0.4">
      <c r="A2413">
        <v>3130000</v>
      </c>
      <c r="B2413" t="s">
        <v>5316</v>
      </c>
      <c r="C2413" s="1">
        <v>39343</v>
      </c>
      <c r="D2413" t="s">
        <v>5317</v>
      </c>
      <c r="E2413" t="str">
        <f t="shared" si="116"/>
        <v>서울특별시</v>
      </c>
      <c r="F2413" t="str">
        <f t="shared" si="117"/>
        <v xml:space="preserve">마포구 </v>
      </c>
      <c r="G2413" t="str">
        <f t="shared" si="118"/>
        <v>노고산동</v>
      </c>
      <c r="H2413" t="s">
        <v>5318</v>
      </c>
      <c r="I2413">
        <v>4058</v>
      </c>
    </row>
    <row r="2414" spans="1:9" x14ac:dyDescent="0.4">
      <c r="A2414">
        <v>3130000</v>
      </c>
      <c r="B2414" t="s">
        <v>5192</v>
      </c>
      <c r="C2414" s="1">
        <v>34508</v>
      </c>
      <c r="D2414" t="s">
        <v>5193</v>
      </c>
      <c r="E2414" t="str">
        <f t="shared" si="116"/>
        <v>서울특별시</v>
      </c>
      <c r="F2414" t="str">
        <f t="shared" si="117"/>
        <v xml:space="preserve">마포구 </v>
      </c>
      <c r="G2414" t="str">
        <f t="shared" si="118"/>
        <v>노고산동</v>
      </c>
    </row>
    <row r="2415" spans="1:9" x14ac:dyDescent="0.4">
      <c r="A2415">
        <v>3130000</v>
      </c>
      <c r="B2415" t="s">
        <v>5165</v>
      </c>
      <c r="C2415" s="1">
        <v>34396</v>
      </c>
      <c r="D2415" t="s">
        <v>5166</v>
      </c>
      <c r="E2415" t="str">
        <f t="shared" si="116"/>
        <v>서울특별시</v>
      </c>
      <c r="F2415" t="str">
        <f t="shared" si="117"/>
        <v xml:space="preserve">마포구 </v>
      </c>
      <c r="G2415" t="str">
        <f t="shared" si="118"/>
        <v>노고산동</v>
      </c>
    </row>
    <row r="2416" spans="1:9" x14ac:dyDescent="0.4">
      <c r="A2416">
        <v>3130000</v>
      </c>
      <c r="B2416" t="s">
        <v>5216</v>
      </c>
      <c r="C2416" s="1">
        <v>34557</v>
      </c>
      <c r="D2416" t="s">
        <v>5217</v>
      </c>
      <c r="E2416" t="str">
        <f t="shared" si="116"/>
        <v>서울특별시</v>
      </c>
      <c r="F2416" t="str">
        <f t="shared" si="117"/>
        <v xml:space="preserve">마포구 </v>
      </c>
      <c r="G2416" t="str">
        <f t="shared" si="118"/>
        <v>노고산동</v>
      </c>
    </row>
    <row r="2417" spans="1:9" x14ac:dyDescent="0.4">
      <c r="A2417">
        <v>3130000</v>
      </c>
      <c r="B2417" t="s">
        <v>5179</v>
      </c>
      <c r="C2417" s="1">
        <v>34500</v>
      </c>
      <c r="D2417" t="s">
        <v>5180</v>
      </c>
      <c r="E2417" t="str">
        <f t="shared" si="116"/>
        <v>서울특별시</v>
      </c>
      <c r="F2417" t="str">
        <f t="shared" si="117"/>
        <v xml:space="preserve">마포구 </v>
      </c>
      <c r="G2417" t="str">
        <f t="shared" ref="G2417:G2434" si="119">MID(SUBSTITUTE(D2417," ",""),9,3)</f>
        <v>대흥동</v>
      </c>
      <c r="H2417" t="s">
        <v>5181</v>
      </c>
      <c r="I2417">
        <v>4104</v>
      </c>
    </row>
    <row r="2418" spans="1:9" x14ac:dyDescent="0.4">
      <c r="A2418">
        <v>3130000</v>
      </c>
      <c r="B2418" t="s">
        <v>5157</v>
      </c>
      <c r="C2418" s="1">
        <v>34332</v>
      </c>
      <c r="D2418" t="s">
        <v>5158</v>
      </c>
      <c r="E2418" t="str">
        <f t="shared" si="116"/>
        <v>서울특별시</v>
      </c>
      <c r="F2418" t="str">
        <f t="shared" si="117"/>
        <v xml:space="preserve">마포구 </v>
      </c>
      <c r="G2418" t="str">
        <f t="shared" si="119"/>
        <v>도화동</v>
      </c>
      <c r="H2418" t="s">
        <v>5159</v>
      </c>
      <c r="I2418">
        <v>4168</v>
      </c>
    </row>
    <row r="2419" spans="1:9" x14ac:dyDescent="0.4">
      <c r="A2419">
        <v>3130000</v>
      </c>
      <c r="B2419" t="s">
        <v>5240</v>
      </c>
      <c r="C2419" s="1">
        <v>36578</v>
      </c>
      <c r="D2419" t="s">
        <v>5241</v>
      </c>
      <c r="E2419" t="str">
        <f t="shared" si="116"/>
        <v>서울특별시</v>
      </c>
      <c r="F2419" t="str">
        <f t="shared" si="117"/>
        <v xml:space="preserve">마포구 </v>
      </c>
      <c r="G2419" t="str">
        <f t="shared" si="119"/>
        <v>도화동</v>
      </c>
    </row>
    <row r="2420" spans="1:9" x14ac:dyDescent="0.4">
      <c r="A2420">
        <v>3130000</v>
      </c>
      <c r="B2420" t="s">
        <v>5128</v>
      </c>
      <c r="C2420" s="1">
        <v>37277</v>
      </c>
      <c r="D2420" t="s">
        <v>5129</v>
      </c>
      <c r="E2420" t="str">
        <f t="shared" si="116"/>
        <v>서울특별시</v>
      </c>
      <c r="F2420" t="str">
        <f t="shared" si="117"/>
        <v xml:space="preserve">마포구 </v>
      </c>
      <c r="G2420" t="str">
        <f t="shared" si="119"/>
        <v>도화동</v>
      </c>
    </row>
    <row r="2421" spans="1:9" x14ac:dyDescent="0.4">
      <c r="A2421">
        <v>3130000</v>
      </c>
      <c r="B2421" t="s">
        <v>5177</v>
      </c>
      <c r="C2421" s="1">
        <v>34493</v>
      </c>
      <c r="D2421" t="s">
        <v>5178</v>
      </c>
      <c r="E2421" t="str">
        <f t="shared" si="116"/>
        <v>서울특별시</v>
      </c>
      <c r="F2421" t="str">
        <f t="shared" si="117"/>
        <v xml:space="preserve">마포구 </v>
      </c>
      <c r="G2421" t="str">
        <f t="shared" si="119"/>
        <v>도화동</v>
      </c>
    </row>
    <row r="2422" spans="1:9" x14ac:dyDescent="0.4">
      <c r="A2422">
        <v>3130000</v>
      </c>
      <c r="B2422" t="s">
        <v>5300</v>
      </c>
      <c r="C2422" s="1">
        <v>37036</v>
      </c>
      <c r="D2422" t="s">
        <v>5301</v>
      </c>
      <c r="E2422" t="str">
        <f t="shared" si="116"/>
        <v>서울특별시</v>
      </c>
      <c r="F2422" t="str">
        <f t="shared" si="117"/>
        <v xml:space="preserve">마포구 </v>
      </c>
      <c r="G2422" t="str">
        <f t="shared" si="119"/>
        <v>도화동</v>
      </c>
    </row>
    <row r="2423" spans="1:9" x14ac:dyDescent="0.4">
      <c r="A2423">
        <v>3130000</v>
      </c>
      <c r="B2423" t="s">
        <v>5275</v>
      </c>
      <c r="C2423" s="1">
        <v>36872</v>
      </c>
      <c r="D2423" t="s">
        <v>5276</v>
      </c>
      <c r="E2423" t="str">
        <f t="shared" si="116"/>
        <v>서울특별시</v>
      </c>
      <c r="F2423" t="str">
        <f t="shared" si="117"/>
        <v xml:space="preserve">마포구 </v>
      </c>
      <c r="G2423" t="str">
        <f t="shared" si="119"/>
        <v>도화동</v>
      </c>
    </row>
    <row r="2424" spans="1:9" x14ac:dyDescent="0.4">
      <c r="A2424">
        <v>3130000</v>
      </c>
      <c r="B2424" t="s">
        <v>5256</v>
      </c>
      <c r="C2424" s="1">
        <v>36712</v>
      </c>
      <c r="D2424" t="s">
        <v>5257</v>
      </c>
      <c r="E2424" t="str">
        <f t="shared" si="116"/>
        <v>서울특별시</v>
      </c>
      <c r="F2424" t="str">
        <f t="shared" si="117"/>
        <v xml:space="preserve">마포구 </v>
      </c>
      <c r="G2424" t="str">
        <f t="shared" si="119"/>
        <v>도화동</v>
      </c>
    </row>
    <row r="2425" spans="1:9" x14ac:dyDescent="0.4">
      <c r="A2425">
        <v>3130000</v>
      </c>
      <c r="B2425" t="s">
        <v>5288</v>
      </c>
      <c r="C2425" s="1">
        <v>36964</v>
      </c>
      <c r="D2425" t="s">
        <v>5289</v>
      </c>
      <c r="E2425" t="str">
        <f t="shared" si="116"/>
        <v>서울특별시</v>
      </c>
      <c r="F2425" t="str">
        <f t="shared" si="117"/>
        <v xml:space="preserve">마포구 </v>
      </c>
      <c r="G2425" t="str">
        <f t="shared" si="119"/>
        <v>도화동</v>
      </c>
    </row>
    <row r="2426" spans="1:9" x14ac:dyDescent="0.4">
      <c r="A2426">
        <v>3130000</v>
      </c>
      <c r="B2426" t="s">
        <v>5406</v>
      </c>
      <c r="C2426" s="1">
        <v>37602</v>
      </c>
      <c r="D2426" t="s">
        <v>5407</v>
      </c>
      <c r="E2426" t="str">
        <f t="shared" si="116"/>
        <v>서울특별시</v>
      </c>
      <c r="F2426" t="str">
        <f t="shared" si="117"/>
        <v xml:space="preserve">마포구 </v>
      </c>
      <c r="G2426" t="str">
        <f t="shared" si="119"/>
        <v>도화동</v>
      </c>
      <c r="H2426" t="s">
        <v>5408</v>
      </c>
      <c r="I2426">
        <v>4168</v>
      </c>
    </row>
    <row r="2427" spans="1:9" x14ac:dyDescent="0.4">
      <c r="A2427">
        <v>3130000</v>
      </c>
      <c r="B2427" t="s">
        <v>5438</v>
      </c>
      <c r="C2427" s="1">
        <v>36577</v>
      </c>
      <c r="D2427" t="s">
        <v>5407</v>
      </c>
      <c r="E2427" t="str">
        <f t="shared" si="116"/>
        <v>서울특별시</v>
      </c>
      <c r="F2427" t="str">
        <f t="shared" si="117"/>
        <v xml:space="preserve">마포구 </v>
      </c>
      <c r="G2427" t="str">
        <f t="shared" si="119"/>
        <v>도화동</v>
      </c>
      <c r="H2427" t="s">
        <v>5439</v>
      </c>
      <c r="I2427">
        <v>4168</v>
      </c>
    </row>
    <row r="2428" spans="1:9" x14ac:dyDescent="0.4">
      <c r="A2428">
        <v>3130000</v>
      </c>
      <c r="B2428" t="s">
        <v>5373</v>
      </c>
      <c r="C2428" s="1">
        <v>39398</v>
      </c>
      <c r="D2428" t="s">
        <v>5374</v>
      </c>
      <c r="E2428" t="str">
        <f t="shared" si="116"/>
        <v>서울특별시</v>
      </c>
      <c r="F2428" t="str">
        <f t="shared" si="117"/>
        <v xml:space="preserve">마포구 </v>
      </c>
      <c r="G2428" t="str">
        <f t="shared" si="119"/>
        <v>도화동</v>
      </c>
      <c r="H2428" t="s">
        <v>5375</v>
      </c>
      <c r="I2428">
        <v>4168</v>
      </c>
    </row>
    <row r="2429" spans="1:9" x14ac:dyDescent="0.4">
      <c r="A2429">
        <v>3130000</v>
      </c>
      <c r="B2429" t="s">
        <v>5429</v>
      </c>
      <c r="C2429" s="1">
        <v>36662</v>
      </c>
      <c r="D2429" t="s">
        <v>5430</v>
      </c>
      <c r="E2429" t="str">
        <f t="shared" si="116"/>
        <v>서울특별시</v>
      </c>
      <c r="F2429" t="str">
        <f t="shared" si="117"/>
        <v xml:space="preserve">마포구 </v>
      </c>
      <c r="G2429" t="str">
        <f t="shared" si="119"/>
        <v>도화동</v>
      </c>
      <c r="H2429" t="s">
        <v>5431</v>
      </c>
      <c r="I2429">
        <v>4174</v>
      </c>
    </row>
    <row r="2430" spans="1:9" x14ac:dyDescent="0.4">
      <c r="A2430">
        <v>3130000</v>
      </c>
      <c r="B2430" t="s">
        <v>5381</v>
      </c>
      <c r="C2430" s="1">
        <v>40114</v>
      </c>
      <c r="D2430" t="s">
        <v>5382</v>
      </c>
      <c r="E2430" t="str">
        <f t="shared" si="116"/>
        <v>서울특별시</v>
      </c>
      <c r="F2430" t="str">
        <f t="shared" si="117"/>
        <v xml:space="preserve">마포구 </v>
      </c>
      <c r="G2430" t="str">
        <f t="shared" si="119"/>
        <v>도화동</v>
      </c>
      <c r="H2430" t="s">
        <v>5383</v>
      </c>
      <c r="I2430">
        <v>4174</v>
      </c>
    </row>
    <row r="2431" spans="1:9" x14ac:dyDescent="0.4">
      <c r="A2431">
        <v>3130000</v>
      </c>
      <c r="B2431" t="s">
        <v>5290</v>
      </c>
      <c r="C2431" s="1">
        <v>36976</v>
      </c>
      <c r="D2431" t="s">
        <v>5291</v>
      </c>
      <c r="E2431" t="str">
        <f t="shared" si="116"/>
        <v>서울특별시</v>
      </c>
      <c r="F2431" t="str">
        <f t="shared" si="117"/>
        <v xml:space="preserve">마포구 </v>
      </c>
      <c r="G2431" t="str">
        <f t="shared" si="119"/>
        <v>도화동</v>
      </c>
    </row>
    <row r="2432" spans="1:9" x14ac:dyDescent="0.4">
      <c r="A2432">
        <v>3130000</v>
      </c>
      <c r="B2432" t="s">
        <v>5282</v>
      </c>
      <c r="C2432" s="1">
        <v>36903</v>
      </c>
      <c r="D2432" t="s">
        <v>5283</v>
      </c>
      <c r="E2432" t="str">
        <f t="shared" si="116"/>
        <v>서울특별시</v>
      </c>
      <c r="F2432" t="str">
        <f t="shared" si="117"/>
        <v xml:space="preserve">마포구 </v>
      </c>
      <c r="G2432" t="str">
        <f t="shared" si="119"/>
        <v>도화동</v>
      </c>
    </row>
    <row r="2433" spans="1:9" x14ac:dyDescent="0.4">
      <c r="A2433">
        <v>3130000</v>
      </c>
      <c r="B2433" t="s">
        <v>5338</v>
      </c>
      <c r="C2433" s="1">
        <v>36396</v>
      </c>
      <c r="D2433" t="s">
        <v>5339</v>
      </c>
      <c r="E2433" t="str">
        <f t="shared" si="116"/>
        <v>서울특별시</v>
      </c>
      <c r="F2433" t="str">
        <f t="shared" si="117"/>
        <v xml:space="preserve">마포구 </v>
      </c>
      <c r="G2433" t="str">
        <f t="shared" si="119"/>
        <v>도화동</v>
      </c>
    </row>
    <row r="2434" spans="1:9" x14ac:dyDescent="0.4">
      <c r="A2434">
        <v>3130000</v>
      </c>
      <c r="B2434" t="s">
        <v>5231</v>
      </c>
      <c r="C2434" s="1">
        <v>36431</v>
      </c>
      <c r="D2434" t="s">
        <v>5232</v>
      </c>
      <c r="E2434" t="str">
        <f t="shared" si="116"/>
        <v>서울특별시</v>
      </c>
      <c r="F2434" t="str">
        <f t="shared" si="117"/>
        <v xml:space="preserve">마포구 </v>
      </c>
      <c r="G2434" t="str">
        <f t="shared" si="119"/>
        <v>도화동</v>
      </c>
      <c r="H2434" t="s">
        <v>5233</v>
      </c>
      <c r="I2434">
        <v>4158</v>
      </c>
    </row>
    <row r="2435" spans="1:9" x14ac:dyDescent="0.4">
      <c r="A2435">
        <v>3130000</v>
      </c>
      <c r="B2435" t="s">
        <v>5309</v>
      </c>
      <c r="C2435" s="1">
        <v>38345</v>
      </c>
      <c r="D2435" t="s">
        <v>5232</v>
      </c>
      <c r="E2435" t="str">
        <f t="shared" ref="E2435:E2498" si="120">LEFT(D2435,5)</f>
        <v>서울특별시</v>
      </c>
      <c r="F2435" t="str">
        <f t="shared" ref="F2435:F2498" si="121">MID(D2435,7,4)</f>
        <v xml:space="preserve">마포구 </v>
      </c>
      <c r="G2435" t="str">
        <f t="shared" ref="G2435:G2498" si="122">MID(SUBSTITUTE(D2435," ",""),9,3)</f>
        <v>도화동</v>
      </c>
      <c r="H2435" t="s">
        <v>5310</v>
      </c>
      <c r="I2435">
        <v>4158</v>
      </c>
    </row>
    <row r="2436" spans="1:9" x14ac:dyDescent="0.4">
      <c r="A2436">
        <v>3130000</v>
      </c>
      <c r="B2436" t="s">
        <v>5403</v>
      </c>
      <c r="C2436" s="1">
        <v>38408</v>
      </c>
      <c r="D2436" t="s">
        <v>5404</v>
      </c>
      <c r="E2436" t="str">
        <f t="shared" si="120"/>
        <v>서울특별시</v>
      </c>
      <c r="F2436" t="str">
        <f t="shared" si="121"/>
        <v xml:space="preserve">마포구 </v>
      </c>
      <c r="G2436" t="str">
        <f t="shared" si="122"/>
        <v>도화동</v>
      </c>
      <c r="H2436" t="s">
        <v>5405</v>
      </c>
      <c r="I2436">
        <v>4158</v>
      </c>
    </row>
    <row r="2437" spans="1:9" x14ac:dyDescent="0.4">
      <c r="A2437">
        <v>3130000</v>
      </c>
      <c r="B2437" t="s">
        <v>5126</v>
      </c>
      <c r="C2437" s="1">
        <v>37252</v>
      </c>
      <c r="D2437" t="s">
        <v>5127</v>
      </c>
      <c r="E2437" t="str">
        <f t="shared" si="120"/>
        <v>서울특별시</v>
      </c>
      <c r="F2437" t="str">
        <f t="shared" si="121"/>
        <v xml:space="preserve">마포구 </v>
      </c>
      <c r="G2437" t="str">
        <f t="shared" si="122"/>
        <v>도화동</v>
      </c>
    </row>
    <row r="2438" spans="1:9" x14ac:dyDescent="0.4">
      <c r="A2438">
        <v>3130000</v>
      </c>
      <c r="B2438" t="s">
        <v>5356</v>
      </c>
      <c r="C2438" s="1">
        <v>36516</v>
      </c>
      <c r="D2438" t="s">
        <v>5357</v>
      </c>
      <c r="E2438" t="str">
        <f t="shared" si="120"/>
        <v>서울특별시</v>
      </c>
      <c r="F2438" t="str">
        <f t="shared" si="121"/>
        <v xml:space="preserve">마포구 </v>
      </c>
      <c r="G2438" t="str">
        <f t="shared" si="122"/>
        <v>도화동</v>
      </c>
    </row>
    <row r="2439" spans="1:9" x14ac:dyDescent="0.4">
      <c r="A2439">
        <v>3130000</v>
      </c>
      <c r="B2439" t="s">
        <v>5336</v>
      </c>
      <c r="C2439" s="1">
        <v>36372</v>
      </c>
      <c r="D2439" t="s">
        <v>5337</v>
      </c>
      <c r="E2439" t="str">
        <f t="shared" si="120"/>
        <v>서울특별시</v>
      </c>
      <c r="F2439" t="str">
        <f t="shared" si="121"/>
        <v xml:space="preserve">마포구 </v>
      </c>
      <c r="G2439" t="str">
        <f t="shared" si="122"/>
        <v>도화동</v>
      </c>
    </row>
    <row r="2440" spans="1:9" x14ac:dyDescent="0.4">
      <c r="A2440">
        <v>3130000</v>
      </c>
      <c r="B2440" t="s">
        <v>5141</v>
      </c>
      <c r="C2440" s="1">
        <v>36266</v>
      </c>
      <c r="D2440" t="s">
        <v>5142</v>
      </c>
      <c r="E2440" t="str">
        <f t="shared" si="120"/>
        <v>서울특별시</v>
      </c>
      <c r="F2440" t="str">
        <f t="shared" si="121"/>
        <v xml:space="preserve">마포구 </v>
      </c>
      <c r="G2440" t="str">
        <f t="shared" si="122"/>
        <v>도화동</v>
      </c>
    </row>
    <row r="2441" spans="1:9" x14ac:dyDescent="0.4">
      <c r="A2441">
        <v>3130000</v>
      </c>
      <c r="B2441" t="s">
        <v>5307</v>
      </c>
      <c r="C2441" s="1">
        <v>36431</v>
      </c>
      <c r="D2441" t="s">
        <v>5308</v>
      </c>
      <c r="E2441" t="str">
        <f t="shared" si="120"/>
        <v>서울특별시</v>
      </c>
      <c r="F2441" t="str">
        <f t="shared" si="121"/>
        <v xml:space="preserve">마포구 </v>
      </c>
      <c r="G2441" t="str">
        <f t="shared" si="122"/>
        <v>도화동</v>
      </c>
    </row>
    <row r="2442" spans="1:9" x14ac:dyDescent="0.4">
      <c r="A2442">
        <v>3130000</v>
      </c>
      <c r="B2442" t="s">
        <v>5254</v>
      </c>
      <c r="C2442" s="1">
        <v>36648</v>
      </c>
      <c r="D2442" t="s">
        <v>5255</v>
      </c>
      <c r="E2442" t="str">
        <f t="shared" si="120"/>
        <v>서울특별시</v>
      </c>
      <c r="F2442" t="str">
        <f t="shared" si="121"/>
        <v xml:space="preserve">마포구 </v>
      </c>
      <c r="G2442" t="str">
        <f t="shared" si="122"/>
        <v>도화동</v>
      </c>
    </row>
    <row r="2443" spans="1:9" x14ac:dyDescent="0.4">
      <c r="A2443">
        <v>3130000</v>
      </c>
      <c r="B2443" t="s">
        <v>5139</v>
      </c>
      <c r="C2443" s="1">
        <v>36224</v>
      </c>
      <c r="D2443" t="s">
        <v>5140</v>
      </c>
      <c r="E2443" t="str">
        <f t="shared" si="120"/>
        <v>서울특별시</v>
      </c>
      <c r="F2443" t="str">
        <f t="shared" si="121"/>
        <v xml:space="preserve">마포구 </v>
      </c>
      <c r="G2443" t="str">
        <f t="shared" si="122"/>
        <v>도화동</v>
      </c>
    </row>
    <row r="2444" spans="1:9" x14ac:dyDescent="0.4">
      <c r="A2444">
        <v>3130000</v>
      </c>
      <c r="B2444" t="s">
        <v>5238</v>
      </c>
      <c r="C2444" s="1">
        <v>36552</v>
      </c>
      <c r="D2444" t="s">
        <v>5239</v>
      </c>
      <c r="E2444" t="str">
        <f t="shared" si="120"/>
        <v>서울특별시</v>
      </c>
      <c r="F2444" t="str">
        <f t="shared" si="121"/>
        <v xml:space="preserve">마포구 </v>
      </c>
      <c r="G2444" t="str">
        <f t="shared" si="122"/>
        <v>도화동</v>
      </c>
    </row>
    <row r="2445" spans="1:9" x14ac:dyDescent="0.4">
      <c r="A2445">
        <v>3130000</v>
      </c>
      <c r="B2445" t="s">
        <v>5411</v>
      </c>
      <c r="C2445" s="1">
        <v>36350</v>
      </c>
      <c r="D2445" t="s">
        <v>5412</v>
      </c>
      <c r="E2445" t="str">
        <f t="shared" si="120"/>
        <v>서울특별시</v>
      </c>
      <c r="F2445" t="str">
        <f t="shared" si="121"/>
        <v xml:space="preserve">마포구 </v>
      </c>
      <c r="G2445" t="str">
        <f t="shared" si="122"/>
        <v>도화동</v>
      </c>
      <c r="H2445" t="s">
        <v>5413</v>
      </c>
      <c r="I2445">
        <v>4158</v>
      </c>
    </row>
    <row r="2446" spans="1:9" x14ac:dyDescent="0.4">
      <c r="A2446">
        <v>3130000</v>
      </c>
      <c r="B2446" t="s">
        <v>5150</v>
      </c>
      <c r="C2446" s="1">
        <v>36329</v>
      </c>
      <c r="D2446" t="s">
        <v>5151</v>
      </c>
      <c r="E2446" t="str">
        <f t="shared" si="120"/>
        <v>서울특별시</v>
      </c>
      <c r="F2446" t="str">
        <f t="shared" si="121"/>
        <v xml:space="preserve">마포구 </v>
      </c>
      <c r="G2446" t="str">
        <f t="shared" si="122"/>
        <v>도화동</v>
      </c>
    </row>
    <row r="2447" spans="1:9" x14ac:dyDescent="0.4">
      <c r="A2447">
        <v>3130000</v>
      </c>
      <c r="B2447" t="s">
        <v>5390</v>
      </c>
      <c r="C2447" s="1">
        <v>42521</v>
      </c>
      <c r="D2447" t="s">
        <v>5391</v>
      </c>
      <c r="E2447" t="str">
        <f t="shared" si="120"/>
        <v>서울특별시</v>
      </c>
      <c r="F2447" t="str">
        <f t="shared" si="121"/>
        <v xml:space="preserve">마포구 </v>
      </c>
      <c r="G2447" t="str">
        <f t="shared" si="122"/>
        <v>도화동</v>
      </c>
      <c r="H2447" t="s">
        <v>5392</v>
      </c>
      <c r="I2447">
        <v>4158</v>
      </c>
    </row>
    <row r="2448" spans="1:9" x14ac:dyDescent="0.4">
      <c r="A2448">
        <v>3130000</v>
      </c>
      <c r="B2448" t="s">
        <v>5387</v>
      </c>
      <c r="C2448" s="1">
        <v>42240</v>
      </c>
      <c r="D2448" t="s">
        <v>5388</v>
      </c>
      <c r="E2448" t="str">
        <f t="shared" si="120"/>
        <v>서울특별시</v>
      </c>
      <c r="F2448" t="str">
        <f t="shared" si="121"/>
        <v xml:space="preserve">마포구 </v>
      </c>
      <c r="G2448" t="str">
        <f t="shared" si="122"/>
        <v>도화동</v>
      </c>
      <c r="H2448" t="s">
        <v>5389</v>
      </c>
      <c r="I2448">
        <v>4158</v>
      </c>
    </row>
    <row r="2449" spans="1:9" x14ac:dyDescent="0.4">
      <c r="A2449">
        <v>3130000</v>
      </c>
      <c r="B2449" t="s">
        <v>5443</v>
      </c>
      <c r="C2449" s="1">
        <v>36761</v>
      </c>
      <c r="D2449" t="s">
        <v>5444</v>
      </c>
      <c r="E2449" t="str">
        <f t="shared" si="120"/>
        <v>서울특별시</v>
      </c>
      <c r="F2449" t="str">
        <f t="shared" si="121"/>
        <v xml:space="preserve">마포구 </v>
      </c>
      <c r="G2449" t="str">
        <f t="shared" si="122"/>
        <v>도화동</v>
      </c>
      <c r="H2449" t="s">
        <v>5445</v>
      </c>
      <c r="I2449">
        <v>4158</v>
      </c>
    </row>
    <row r="2450" spans="1:9" x14ac:dyDescent="0.4">
      <c r="A2450">
        <v>3130000</v>
      </c>
      <c r="B2450" t="s">
        <v>5261</v>
      </c>
      <c r="C2450" s="1">
        <v>36720</v>
      </c>
      <c r="D2450" t="s">
        <v>5262</v>
      </c>
      <c r="E2450" t="str">
        <f t="shared" si="120"/>
        <v>서울특별시</v>
      </c>
      <c r="F2450" t="str">
        <f t="shared" si="121"/>
        <v xml:space="preserve">마포구 </v>
      </c>
      <c r="G2450" t="str">
        <f t="shared" si="122"/>
        <v>도화동</v>
      </c>
      <c r="H2450" t="s">
        <v>5263</v>
      </c>
      <c r="I2450">
        <v>4158</v>
      </c>
    </row>
    <row r="2451" spans="1:9" x14ac:dyDescent="0.4">
      <c r="A2451">
        <v>3130000</v>
      </c>
      <c r="B2451" t="s">
        <v>5286</v>
      </c>
      <c r="C2451" s="1">
        <v>36958</v>
      </c>
      <c r="D2451" t="s">
        <v>5262</v>
      </c>
      <c r="E2451" t="str">
        <f t="shared" si="120"/>
        <v>서울특별시</v>
      </c>
      <c r="F2451" t="str">
        <f t="shared" si="121"/>
        <v xml:space="preserve">마포구 </v>
      </c>
      <c r="G2451" t="str">
        <f t="shared" si="122"/>
        <v>도화동</v>
      </c>
      <c r="H2451" t="s">
        <v>5287</v>
      </c>
      <c r="I2451">
        <v>4158</v>
      </c>
    </row>
    <row r="2452" spans="1:9" x14ac:dyDescent="0.4">
      <c r="A2452">
        <v>3130000</v>
      </c>
      <c r="B2452" t="s">
        <v>5466</v>
      </c>
      <c r="C2452" s="1">
        <v>36271</v>
      </c>
      <c r="D2452" t="s">
        <v>5467</v>
      </c>
      <c r="E2452" t="str">
        <f t="shared" si="120"/>
        <v>서울특별시</v>
      </c>
      <c r="F2452" t="str">
        <f t="shared" si="121"/>
        <v xml:space="preserve">마포구 </v>
      </c>
      <c r="G2452" t="str">
        <f t="shared" si="122"/>
        <v>도화동</v>
      </c>
      <c r="H2452" t="s">
        <v>5468</v>
      </c>
      <c r="I2452">
        <v>4174</v>
      </c>
    </row>
    <row r="2453" spans="1:9" x14ac:dyDescent="0.4">
      <c r="A2453">
        <v>3130000</v>
      </c>
      <c r="B2453" t="s">
        <v>5345</v>
      </c>
      <c r="C2453" s="1">
        <v>36502</v>
      </c>
      <c r="D2453" t="s">
        <v>5346</v>
      </c>
      <c r="E2453" t="str">
        <f t="shared" si="120"/>
        <v>서울특별시</v>
      </c>
      <c r="F2453" t="str">
        <f t="shared" si="121"/>
        <v xml:space="preserve">마포구 </v>
      </c>
      <c r="G2453" t="str">
        <f t="shared" si="122"/>
        <v>도화동</v>
      </c>
      <c r="H2453" t="s">
        <v>5347</v>
      </c>
      <c r="I2453">
        <v>4174</v>
      </c>
    </row>
    <row r="2454" spans="1:9" x14ac:dyDescent="0.4">
      <c r="A2454">
        <v>3130000</v>
      </c>
      <c r="B2454" t="s">
        <v>5266</v>
      </c>
      <c r="C2454" s="1">
        <v>36799</v>
      </c>
      <c r="D2454" t="s">
        <v>5267</v>
      </c>
      <c r="E2454" t="str">
        <f t="shared" si="120"/>
        <v>서울특별시</v>
      </c>
      <c r="F2454" t="str">
        <f t="shared" si="121"/>
        <v xml:space="preserve">마포구 </v>
      </c>
      <c r="G2454" t="str">
        <f t="shared" si="122"/>
        <v>도화동</v>
      </c>
    </row>
    <row r="2455" spans="1:9" x14ac:dyDescent="0.4">
      <c r="A2455">
        <v>3130000</v>
      </c>
      <c r="B2455" t="s">
        <v>5271</v>
      </c>
      <c r="C2455" s="1">
        <v>36834</v>
      </c>
      <c r="D2455" t="s">
        <v>5272</v>
      </c>
      <c r="E2455" t="str">
        <f t="shared" si="120"/>
        <v>서울특별시</v>
      </c>
      <c r="F2455" t="str">
        <f t="shared" si="121"/>
        <v xml:space="preserve">마포구 </v>
      </c>
      <c r="G2455" t="str">
        <f t="shared" si="122"/>
        <v>도화동</v>
      </c>
    </row>
    <row r="2456" spans="1:9" x14ac:dyDescent="0.4">
      <c r="A2456">
        <v>3130000</v>
      </c>
      <c r="B2456" t="s">
        <v>5332</v>
      </c>
      <c r="C2456" s="1">
        <v>36497</v>
      </c>
      <c r="D2456" t="s">
        <v>5333</v>
      </c>
      <c r="E2456" t="str">
        <f t="shared" si="120"/>
        <v>서울특별시</v>
      </c>
      <c r="F2456" t="str">
        <f t="shared" si="121"/>
        <v xml:space="preserve">마포구 </v>
      </c>
      <c r="G2456" t="str">
        <f t="shared" si="122"/>
        <v>도화동</v>
      </c>
    </row>
    <row r="2457" spans="1:9" x14ac:dyDescent="0.4">
      <c r="A2457">
        <v>3130000</v>
      </c>
      <c r="B2457" t="s">
        <v>5340</v>
      </c>
      <c r="C2457" s="1">
        <v>36397</v>
      </c>
      <c r="D2457" t="s">
        <v>5341</v>
      </c>
      <c r="E2457" t="str">
        <f t="shared" si="120"/>
        <v>서울특별시</v>
      </c>
      <c r="F2457" t="str">
        <f t="shared" si="121"/>
        <v xml:space="preserve">마포구 </v>
      </c>
      <c r="G2457" t="str">
        <f t="shared" si="122"/>
        <v>도화동</v>
      </c>
    </row>
    <row r="2458" spans="1:9" x14ac:dyDescent="0.4">
      <c r="A2458">
        <v>3130000</v>
      </c>
      <c r="B2458" t="s">
        <v>5245</v>
      </c>
      <c r="C2458" s="1">
        <v>36613</v>
      </c>
      <c r="D2458" t="s">
        <v>5246</v>
      </c>
      <c r="E2458" t="str">
        <f t="shared" si="120"/>
        <v>서울특별시</v>
      </c>
      <c r="F2458" t="str">
        <f t="shared" si="121"/>
        <v xml:space="preserve">마포구 </v>
      </c>
      <c r="G2458" t="str">
        <f t="shared" si="122"/>
        <v>도화동</v>
      </c>
    </row>
    <row r="2459" spans="1:9" x14ac:dyDescent="0.4">
      <c r="A2459">
        <v>3130000</v>
      </c>
      <c r="B2459" t="s">
        <v>5196</v>
      </c>
      <c r="C2459" s="1">
        <v>31404</v>
      </c>
      <c r="D2459" t="s">
        <v>5197</v>
      </c>
      <c r="E2459" t="str">
        <f t="shared" si="120"/>
        <v>서울특별시</v>
      </c>
      <c r="F2459" t="str">
        <f t="shared" si="121"/>
        <v xml:space="preserve">마포구 </v>
      </c>
      <c r="G2459" t="str">
        <f t="shared" si="122"/>
        <v>도화동</v>
      </c>
    </row>
    <row r="2460" spans="1:9" x14ac:dyDescent="0.4">
      <c r="A2460">
        <v>3130000</v>
      </c>
      <c r="B2460" t="s">
        <v>5397</v>
      </c>
      <c r="C2460" s="1">
        <v>36462</v>
      </c>
      <c r="D2460" t="s">
        <v>5398</v>
      </c>
      <c r="E2460" t="str">
        <f t="shared" si="120"/>
        <v>서울특별시</v>
      </c>
      <c r="F2460" t="str">
        <f t="shared" si="121"/>
        <v xml:space="preserve">마포구 </v>
      </c>
      <c r="G2460" t="str">
        <f t="shared" si="122"/>
        <v>도화동</v>
      </c>
      <c r="H2460" t="s">
        <v>5399</v>
      </c>
      <c r="I2460">
        <v>4167</v>
      </c>
    </row>
    <row r="2461" spans="1:9" x14ac:dyDescent="0.4">
      <c r="A2461">
        <v>3130000</v>
      </c>
      <c r="B2461" t="s">
        <v>5409</v>
      </c>
      <c r="C2461" s="1">
        <v>36496</v>
      </c>
      <c r="D2461" t="s">
        <v>5398</v>
      </c>
      <c r="E2461" t="str">
        <f t="shared" si="120"/>
        <v>서울특별시</v>
      </c>
      <c r="F2461" t="str">
        <f t="shared" si="121"/>
        <v xml:space="preserve">마포구 </v>
      </c>
      <c r="G2461" t="str">
        <f t="shared" si="122"/>
        <v>도화동</v>
      </c>
      <c r="H2461" t="s">
        <v>5410</v>
      </c>
      <c r="I2461">
        <v>4167</v>
      </c>
    </row>
    <row r="2462" spans="1:9" x14ac:dyDescent="0.4">
      <c r="A2462">
        <v>3130000</v>
      </c>
      <c r="B2462" t="s">
        <v>5143</v>
      </c>
      <c r="C2462" s="1">
        <v>36269</v>
      </c>
      <c r="D2462" t="s">
        <v>5144</v>
      </c>
      <c r="E2462" t="str">
        <f t="shared" si="120"/>
        <v>서울특별시</v>
      </c>
      <c r="F2462" t="str">
        <f t="shared" si="121"/>
        <v xml:space="preserve">마포구 </v>
      </c>
      <c r="G2462" t="str">
        <f t="shared" si="122"/>
        <v>도화동</v>
      </c>
      <c r="H2462" t="s">
        <v>5145</v>
      </c>
      <c r="I2462">
        <v>4167</v>
      </c>
    </row>
    <row r="2463" spans="1:9" x14ac:dyDescent="0.4">
      <c r="A2463">
        <v>3130000</v>
      </c>
      <c r="B2463" t="s">
        <v>5319</v>
      </c>
      <c r="C2463" s="1">
        <v>39850</v>
      </c>
      <c r="D2463" t="s">
        <v>5144</v>
      </c>
      <c r="E2463" t="str">
        <f t="shared" si="120"/>
        <v>서울특별시</v>
      </c>
      <c r="F2463" t="str">
        <f t="shared" si="121"/>
        <v xml:space="preserve">마포구 </v>
      </c>
      <c r="G2463" t="str">
        <f t="shared" si="122"/>
        <v>도화동</v>
      </c>
      <c r="H2463" t="s">
        <v>5320</v>
      </c>
      <c r="I2463">
        <v>4167</v>
      </c>
    </row>
    <row r="2464" spans="1:9" x14ac:dyDescent="0.4">
      <c r="A2464">
        <v>3130000</v>
      </c>
      <c r="B2464" t="s">
        <v>5379</v>
      </c>
      <c r="C2464" s="1">
        <v>39744</v>
      </c>
      <c r="D2464" t="s">
        <v>5144</v>
      </c>
      <c r="E2464" t="str">
        <f t="shared" si="120"/>
        <v>서울특별시</v>
      </c>
      <c r="F2464" t="str">
        <f t="shared" si="121"/>
        <v xml:space="preserve">마포구 </v>
      </c>
      <c r="G2464" t="str">
        <f t="shared" si="122"/>
        <v>도화동</v>
      </c>
      <c r="H2464" t="s">
        <v>5380</v>
      </c>
      <c r="I2464">
        <v>4167</v>
      </c>
    </row>
    <row r="2465" spans="1:9" x14ac:dyDescent="0.4">
      <c r="A2465">
        <v>3130000</v>
      </c>
      <c r="B2465" t="s">
        <v>5395</v>
      </c>
      <c r="C2465" s="1">
        <v>42908</v>
      </c>
      <c r="D2465" t="s">
        <v>5144</v>
      </c>
      <c r="E2465" t="str">
        <f t="shared" si="120"/>
        <v>서울특별시</v>
      </c>
      <c r="F2465" t="str">
        <f t="shared" si="121"/>
        <v xml:space="preserve">마포구 </v>
      </c>
      <c r="G2465" t="str">
        <f t="shared" si="122"/>
        <v>도화동</v>
      </c>
      <c r="H2465" t="s">
        <v>5396</v>
      </c>
      <c r="I2465">
        <v>4167</v>
      </c>
    </row>
    <row r="2466" spans="1:9" x14ac:dyDescent="0.4">
      <c r="A2466">
        <v>3130000</v>
      </c>
      <c r="B2466" t="s">
        <v>5324</v>
      </c>
      <c r="C2466" s="1">
        <v>42171</v>
      </c>
      <c r="D2466" t="s">
        <v>5325</v>
      </c>
      <c r="E2466" t="str">
        <f t="shared" si="120"/>
        <v>서울특별시</v>
      </c>
      <c r="F2466" t="str">
        <f t="shared" si="121"/>
        <v xml:space="preserve">마포구 </v>
      </c>
      <c r="G2466" t="str">
        <f t="shared" si="122"/>
        <v>도화동</v>
      </c>
      <c r="H2466" t="s">
        <v>5326</v>
      </c>
      <c r="I2466">
        <v>4167</v>
      </c>
    </row>
    <row r="2467" spans="1:9" x14ac:dyDescent="0.4">
      <c r="A2467">
        <v>3130000</v>
      </c>
      <c r="B2467" t="s">
        <v>5342</v>
      </c>
      <c r="C2467" s="1">
        <v>36398</v>
      </c>
      <c r="D2467" t="s">
        <v>5343</v>
      </c>
      <c r="E2467" t="str">
        <f t="shared" si="120"/>
        <v>서울특별시</v>
      </c>
      <c r="F2467" t="str">
        <f t="shared" si="121"/>
        <v xml:space="preserve">마포구 </v>
      </c>
      <c r="G2467" t="str">
        <f t="shared" si="122"/>
        <v>도화동</v>
      </c>
      <c r="H2467" t="s">
        <v>5344</v>
      </c>
      <c r="I2467">
        <v>4167</v>
      </c>
    </row>
    <row r="2468" spans="1:9" x14ac:dyDescent="0.4">
      <c r="A2468">
        <v>3130000</v>
      </c>
      <c r="B2468" t="s">
        <v>5148</v>
      </c>
      <c r="C2468" s="1">
        <v>36305</v>
      </c>
      <c r="D2468" t="s">
        <v>5149</v>
      </c>
      <c r="E2468" t="str">
        <f t="shared" si="120"/>
        <v>서울특별시</v>
      </c>
      <c r="F2468" t="str">
        <f t="shared" si="121"/>
        <v xml:space="preserve">마포구 </v>
      </c>
      <c r="G2468" t="str">
        <f t="shared" si="122"/>
        <v>도화동</v>
      </c>
    </row>
    <row r="2469" spans="1:9" x14ac:dyDescent="0.4">
      <c r="A2469">
        <v>3130000</v>
      </c>
      <c r="B2469" t="s">
        <v>5277</v>
      </c>
      <c r="C2469" s="1">
        <v>36873</v>
      </c>
      <c r="D2469" t="s">
        <v>5278</v>
      </c>
      <c r="E2469" t="str">
        <f t="shared" si="120"/>
        <v>서울특별시</v>
      </c>
      <c r="F2469" t="str">
        <f t="shared" si="121"/>
        <v xml:space="preserve">마포구 </v>
      </c>
      <c r="G2469" t="str">
        <f t="shared" si="122"/>
        <v>도화동</v>
      </c>
      <c r="H2469" t="s">
        <v>5279</v>
      </c>
      <c r="I2469">
        <v>4167</v>
      </c>
    </row>
    <row r="2470" spans="1:9" x14ac:dyDescent="0.4">
      <c r="A2470">
        <v>3130000</v>
      </c>
      <c r="B2470" t="s">
        <v>5234</v>
      </c>
      <c r="C2470" s="1">
        <v>36440</v>
      </c>
      <c r="D2470" t="s">
        <v>5235</v>
      </c>
      <c r="E2470" t="str">
        <f t="shared" si="120"/>
        <v>서울특별시</v>
      </c>
      <c r="F2470" t="str">
        <f t="shared" si="121"/>
        <v xml:space="preserve">마포구 </v>
      </c>
      <c r="G2470" t="str">
        <f t="shared" si="122"/>
        <v>도화동</v>
      </c>
    </row>
    <row r="2471" spans="1:9" x14ac:dyDescent="0.4">
      <c r="A2471">
        <v>3130000</v>
      </c>
      <c r="B2471" t="s">
        <v>5152</v>
      </c>
      <c r="C2471" s="1">
        <v>36346</v>
      </c>
      <c r="D2471" t="s">
        <v>5153</v>
      </c>
      <c r="E2471" t="str">
        <f t="shared" si="120"/>
        <v>서울특별시</v>
      </c>
      <c r="F2471" t="str">
        <f t="shared" si="121"/>
        <v xml:space="preserve">마포구 </v>
      </c>
      <c r="G2471" t="str">
        <f t="shared" si="122"/>
        <v>도화동</v>
      </c>
      <c r="H2471" t="s">
        <v>5154</v>
      </c>
      <c r="I2471">
        <v>4167</v>
      </c>
    </row>
    <row r="2472" spans="1:9" x14ac:dyDescent="0.4">
      <c r="A2472">
        <v>3130000</v>
      </c>
      <c r="B2472" t="s">
        <v>5155</v>
      </c>
      <c r="C2472" s="1">
        <v>36350</v>
      </c>
      <c r="D2472" t="s">
        <v>5153</v>
      </c>
      <c r="E2472" t="str">
        <f t="shared" si="120"/>
        <v>서울특별시</v>
      </c>
      <c r="F2472" t="str">
        <f t="shared" si="121"/>
        <v xml:space="preserve">마포구 </v>
      </c>
      <c r="G2472" t="str">
        <f t="shared" si="122"/>
        <v>도화동</v>
      </c>
      <c r="H2472" t="s">
        <v>5156</v>
      </c>
      <c r="I2472">
        <v>4167</v>
      </c>
    </row>
    <row r="2473" spans="1:9" x14ac:dyDescent="0.4">
      <c r="A2473">
        <v>3130000</v>
      </c>
      <c r="B2473" t="s">
        <v>5368</v>
      </c>
      <c r="C2473" s="1">
        <v>39644</v>
      </c>
      <c r="D2473" t="s">
        <v>5153</v>
      </c>
      <c r="E2473" t="str">
        <f t="shared" si="120"/>
        <v>서울특별시</v>
      </c>
      <c r="F2473" t="str">
        <f t="shared" si="121"/>
        <v xml:space="preserve">마포구 </v>
      </c>
      <c r="G2473" t="str">
        <f t="shared" si="122"/>
        <v>도화동</v>
      </c>
      <c r="H2473" t="s">
        <v>5369</v>
      </c>
      <c r="I2473">
        <v>4167</v>
      </c>
    </row>
    <row r="2474" spans="1:9" x14ac:dyDescent="0.4">
      <c r="A2474">
        <v>3130000</v>
      </c>
      <c r="B2474" t="s">
        <v>5258</v>
      </c>
      <c r="C2474" s="1">
        <v>36717</v>
      </c>
      <c r="D2474" t="s">
        <v>5259</v>
      </c>
      <c r="E2474" t="str">
        <f t="shared" si="120"/>
        <v>서울특별시</v>
      </c>
      <c r="F2474" t="str">
        <f t="shared" si="121"/>
        <v xml:space="preserve">마포구 </v>
      </c>
      <c r="G2474" t="str">
        <f t="shared" si="122"/>
        <v>도화동</v>
      </c>
      <c r="H2474" t="s">
        <v>5260</v>
      </c>
      <c r="I2474">
        <v>4167</v>
      </c>
    </row>
    <row r="2475" spans="1:9" x14ac:dyDescent="0.4">
      <c r="A2475">
        <v>3130000</v>
      </c>
      <c r="B2475" t="s">
        <v>5432</v>
      </c>
      <c r="C2475" s="1">
        <v>36535</v>
      </c>
      <c r="D2475" t="s">
        <v>5433</v>
      </c>
      <c r="E2475" t="str">
        <f t="shared" si="120"/>
        <v>서울특별시</v>
      </c>
      <c r="F2475" t="str">
        <f t="shared" si="121"/>
        <v xml:space="preserve">마포구 </v>
      </c>
      <c r="G2475" t="str">
        <f t="shared" si="122"/>
        <v>도화동</v>
      </c>
      <c r="H2475" t="s">
        <v>5434</v>
      </c>
      <c r="I2475">
        <v>4167</v>
      </c>
    </row>
    <row r="2476" spans="1:9" x14ac:dyDescent="0.4">
      <c r="A2476">
        <v>3130000</v>
      </c>
      <c r="B2476" t="s">
        <v>5463</v>
      </c>
      <c r="C2476" s="1">
        <v>34638</v>
      </c>
      <c r="D2476" t="s">
        <v>5464</v>
      </c>
      <c r="E2476" t="str">
        <f t="shared" si="120"/>
        <v>서울특별시</v>
      </c>
      <c r="F2476" t="str">
        <f t="shared" si="121"/>
        <v xml:space="preserve">마포구 </v>
      </c>
      <c r="G2476" t="str">
        <f t="shared" si="122"/>
        <v>동교동</v>
      </c>
      <c r="H2476" t="s">
        <v>5465</v>
      </c>
      <c r="I2476">
        <v>3985</v>
      </c>
    </row>
    <row r="2477" spans="1:9" x14ac:dyDescent="0.4">
      <c r="A2477">
        <v>3130000</v>
      </c>
      <c r="B2477" t="s">
        <v>5295</v>
      </c>
      <c r="C2477" s="1">
        <v>36991</v>
      </c>
      <c r="D2477" t="s">
        <v>5296</v>
      </c>
      <c r="E2477" t="str">
        <f t="shared" si="120"/>
        <v>서울특별시</v>
      </c>
      <c r="F2477" t="str">
        <f t="shared" si="121"/>
        <v xml:space="preserve">마포구 </v>
      </c>
      <c r="G2477" t="str">
        <f t="shared" si="122"/>
        <v>동교동</v>
      </c>
      <c r="H2477" t="s">
        <v>5297</v>
      </c>
      <c r="I2477">
        <v>3995</v>
      </c>
    </row>
    <row r="2478" spans="1:9" x14ac:dyDescent="0.4">
      <c r="A2478">
        <v>3130000</v>
      </c>
      <c r="B2478" t="s">
        <v>5469</v>
      </c>
      <c r="C2478" s="1">
        <v>37156</v>
      </c>
      <c r="D2478" t="s">
        <v>5470</v>
      </c>
      <c r="E2478" t="str">
        <f t="shared" si="120"/>
        <v>서울특별시</v>
      </c>
      <c r="F2478" t="str">
        <f t="shared" si="121"/>
        <v xml:space="preserve">마포구 </v>
      </c>
      <c r="G2478" t="str">
        <f t="shared" si="122"/>
        <v>동교동</v>
      </c>
      <c r="H2478" t="s">
        <v>5471</v>
      </c>
      <c r="I2478">
        <v>3995</v>
      </c>
    </row>
    <row r="2479" spans="1:9" x14ac:dyDescent="0.4">
      <c r="A2479">
        <v>3130000</v>
      </c>
      <c r="B2479" t="s">
        <v>5400</v>
      </c>
      <c r="C2479" s="1">
        <v>36693</v>
      </c>
      <c r="D2479" t="s">
        <v>5401</v>
      </c>
      <c r="E2479" t="str">
        <f t="shared" si="120"/>
        <v>서울특별시</v>
      </c>
      <c r="F2479" t="str">
        <f t="shared" si="121"/>
        <v xml:space="preserve">마포구 </v>
      </c>
      <c r="G2479" t="str">
        <f t="shared" si="122"/>
        <v>동교동</v>
      </c>
      <c r="H2479" t="s">
        <v>5402</v>
      </c>
      <c r="I2479">
        <v>3995</v>
      </c>
    </row>
    <row r="2480" spans="1:9" x14ac:dyDescent="0.4">
      <c r="A2480">
        <v>3130000</v>
      </c>
      <c r="B2480" t="s">
        <v>5414</v>
      </c>
      <c r="C2480" s="1">
        <v>36381</v>
      </c>
      <c r="D2480" t="s">
        <v>5415</v>
      </c>
      <c r="E2480" t="str">
        <f t="shared" si="120"/>
        <v>서울특별시</v>
      </c>
      <c r="F2480" t="str">
        <f t="shared" si="121"/>
        <v xml:space="preserve">마포구 </v>
      </c>
      <c r="G2480" t="str">
        <f t="shared" si="122"/>
        <v>동교동</v>
      </c>
      <c r="H2480" t="s">
        <v>5416</v>
      </c>
      <c r="I2480">
        <v>3995</v>
      </c>
    </row>
    <row r="2481" spans="1:9" x14ac:dyDescent="0.4">
      <c r="A2481">
        <v>3130000</v>
      </c>
      <c r="B2481" t="s">
        <v>5137</v>
      </c>
      <c r="C2481" s="1">
        <v>35387</v>
      </c>
      <c r="D2481" t="s">
        <v>5138</v>
      </c>
      <c r="E2481" t="str">
        <f t="shared" si="120"/>
        <v>서울특별시</v>
      </c>
      <c r="F2481" t="str">
        <f t="shared" si="121"/>
        <v xml:space="preserve">마포구 </v>
      </c>
      <c r="G2481" t="str">
        <f t="shared" si="122"/>
        <v>동교동</v>
      </c>
    </row>
    <row r="2482" spans="1:9" x14ac:dyDescent="0.4">
      <c r="A2482">
        <v>3130000</v>
      </c>
      <c r="B2482" t="s">
        <v>5264</v>
      </c>
      <c r="C2482" s="1">
        <v>36776</v>
      </c>
      <c r="D2482" t="s">
        <v>5265</v>
      </c>
      <c r="E2482" t="str">
        <f t="shared" si="120"/>
        <v>서울특별시</v>
      </c>
      <c r="F2482" t="str">
        <f t="shared" si="121"/>
        <v xml:space="preserve">마포구 </v>
      </c>
      <c r="G2482" t="str">
        <f t="shared" si="122"/>
        <v>마포동</v>
      </c>
    </row>
    <row r="2483" spans="1:9" x14ac:dyDescent="0.4">
      <c r="A2483">
        <v>3130000</v>
      </c>
      <c r="B2483" t="s">
        <v>5203</v>
      </c>
      <c r="C2483" s="1">
        <v>34508</v>
      </c>
      <c r="D2483" t="s">
        <v>5204</v>
      </c>
      <c r="E2483" t="str">
        <f t="shared" si="120"/>
        <v>서울특별시</v>
      </c>
      <c r="F2483" t="str">
        <f t="shared" si="121"/>
        <v xml:space="preserve">마포구 </v>
      </c>
      <c r="G2483" t="str">
        <f t="shared" si="122"/>
        <v>서교동</v>
      </c>
      <c r="H2483" t="s">
        <v>5205</v>
      </c>
      <c r="I2483">
        <v>4055</v>
      </c>
    </row>
    <row r="2484" spans="1:9" x14ac:dyDescent="0.4">
      <c r="A2484">
        <v>3130000</v>
      </c>
      <c r="B2484" t="s">
        <v>5251</v>
      </c>
      <c r="C2484" s="1">
        <v>36636</v>
      </c>
      <c r="D2484" t="s">
        <v>5252</v>
      </c>
      <c r="E2484" t="str">
        <f t="shared" si="120"/>
        <v>서울특별시</v>
      </c>
      <c r="F2484" t="str">
        <f t="shared" si="121"/>
        <v xml:space="preserve">마포구 </v>
      </c>
      <c r="G2484" t="str">
        <f t="shared" si="122"/>
        <v>서교동</v>
      </c>
      <c r="H2484" t="s">
        <v>5253</v>
      </c>
      <c r="I2484">
        <v>4031</v>
      </c>
    </row>
    <row r="2485" spans="1:9" x14ac:dyDescent="0.4">
      <c r="A2485">
        <v>3130000</v>
      </c>
      <c r="B2485" t="s">
        <v>5455</v>
      </c>
      <c r="C2485" s="1">
        <v>37194</v>
      </c>
      <c r="D2485" t="s">
        <v>5456</v>
      </c>
      <c r="E2485" t="str">
        <f t="shared" si="120"/>
        <v>서울특별시</v>
      </c>
      <c r="F2485" t="str">
        <f t="shared" si="121"/>
        <v xml:space="preserve">마포구 </v>
      </c>
      <c r="G2485" t="str">
        <f t="shared" si="122"/>
        <v>서교동</v>
      </c>
      <c r="H2485" t="s">
        <v>5457</v>
      </c>
      <c r="I2485">
        <v>4031</v>
      </c>
    </row>
    <row r="2486" spans="1:9" x14ac:dyDescent="0.4">
      <c r="A2486">
        <v>3130000</v>
      </c>
      <c r="B2486" t="s">
        <v>5348</v>
      </c>
      <c r="C2486" s="1">
        <v>36504</v>
      </c>
      <c r="D2486" t="s">
        <v>5349</v>
      </c>
      <c r="E2486" t="str">
        <f t="shared" si="120"/>
        <v>서울특별시</v>
      </c>
      <c r="F2486" t="str">
        <f t="shared" si="121"/>
        <v xml:space="preserve">마포구 </v>
      </c>
      <c r="G2486" t="str">
        <f t="shared" si="122"/>
        <v>서교동</v>
      </c>
      <c r="H2486" t="s">
        <v>5350</v>
      </c>
      <c r="I2486">
        <v>4038</v>
      </c>
    </row>
    <row r="2487" spans="1:9" x14ac:dyDescent="0.4">
      <c r="A2487">
        <v>3130000</v>
      </c>
      <c r="B2487" t="s">
        <v>5440</v>
      </c>
      <c r="C2487" s="1">
        <v>36628</v>
      </c>
      <c r="D2487" t="s">
        <v>5441</v>
      </c>
      <c r="E2487" t="str">
        <f t="shared" si="120"/>
        <v>서울특별시</v>
      </c>
      <c r="F2487" t="str">
        <f t="shared" si="121"/>
        <v xml:space="preserve">마포구 </v>
      </c>
      <c r="G2487" t="str">
        <f t="shared" si="122"/>
        <v>서교동</v>
      </c>
      <c r="H2487" t="s">
        <v>5442</v>
      </c>
      <c r="I2487">
        <v>4038</v>
      </c>
    </row>
    <row r="2488" spans="1:9" x14ac:dyDescent="0.4">
      <c r="A2488">
        <v>3130000</v>
      </c>
      <c r="B2488" t="s">
        <v>5268</v>
      </c>
      <c r="C2488" s="1">
        <v>36811</v>
      </c>
      <c r="D2488" t="s">
        <v>5269</v>
      </c>
      <c r="E2488" t="str">
        <f t="shared" si="120"/>
        <v>서울특별시</v>
      </c>
      <c r="F2488" t="str">
        <f t="shared" si="121"/>
        <v xml:space="preserve">마포구 </v>
      </c>
      <c r="G2488" t="str">
        <f t="shared" si="122"/>
        <v>서교동</v>
      </c>
      <c r="H2488" t="s">
        <v>5270</v>
      </c>
      <c r="I2488">
        <v>4038</v>
      </c>
    </row>
    <row r="2489" spans="1:9" x14ac:dyDescent="0.4">
      <c r="A2489">
        <v>3130000</v>
      </c>
      <c r="B2489" t="s">
        <v>111</v>
      </c>
      <c r="C2489" s="1">
        <v>45779</v>
      </c>
      <c r="D2489" t="s">
        <v>112</v>
      </c>
      <c r="E2489" t="str">
        <f t="shared" si="120"/>
        <v>서울특별시</v>
      </c>
      <c r="F2489" t="str">
        <f t="shared" si="121"/>
        <v xml:space="preserve">마포구 </v>
      </c>
      <c r="G2489" t="str">
        <f t="shared" si="122"/>
        <v>서교동</v>
      </c>
      <c r="H2489" t="s">
        <v>113</v>
      </c>
      <c r="I2489">
        <v>4038</v>
      </c>
    </row>
    <row r="2490" spans="1:9" x14ac:dyDescent="0.4">
      <c r="A2490">
        <v>3130000</v>
      </c>
      <c r="B2490" t="s">
        <v>5426</v>
      </c>
      <c r="C2490" s="1">
        <v>36517</v>
      </c>
      <c r="D2490" t="s">
        <v>5427</v>
      </c>
      <c r="E2490" t="str">
        <f t="shared" si="120"/>
        <v>서울특별시</v>
      </c>
      <c r="F2490" t="str">
        <f t="shared" si="121"/>
        <v xml:space="preserve">마포구 </v>
      </c>
      <c r="G2490" t="str">
        <f t="shared" si="122"/>
        <v>서교동</v>
      </c>
      <c r="H2490" t="s">
        <v>5428</v>
      </c>
      <c r="I2490">
        <v>4038</v>
      </c>
    </row>
    <row r="2491" spans="1:9" x14ac:dyDescent="0.4">
      <c r="A2491">
        <v>3130000</v>
      </c>
      <c r="B2491" t="s">
        <v>5420</v>
      </c>
      <c r="C2491" s="1">
        <v>36508</v>
      </c>
      <c r="D2491" t="s">
        <v>5421</v>
      </c>
      <c r="E2491" t="str">
        <f t="shared" si="120"/>
        <v>서울특별시</v>
      </c>
      <c r="F2491" t="str">
        <f t="shared" si="121"/>
        <v xml:space="preserve">마포구 </v>
      </c>
      <c r="G2491" t="str">
        <f t="shared" si="122"/>
        <v>서교동</v>
      </c>
      <c r="H2491" t="s">
        <v>5422</v>
      </c>
      <c r="I2491">
        <v>4038</v>
      </c>
    </row>
    <row r="2492" spans="1:9" x14ac:dyDescent="0.4">
      <c r="A2492">
        <v>3130000</v>
      </c>
      <c r="B2492" t="s">
        <v>5472</v>
      </c>
      <c r="C2492" s="1">
        <v>37162</v>
      </c>
      <c r="D2492" t="s">
        <v>5473</v>
      </c>
      <c r="E2492" t="str">
        <f t="shared" si="120"/>
        <v>서울특별시</v>
      </c>
      <c r="F2492" t="str">
        <f t="shared" si="121"/>
        <v xml:space="preserve">마포구 </v>
      </c>
      <c r="G2492" t="str">
        <f t="shared" si="122"/>
        <v>서교동</v>
      </c>
      <c r="H2492" t="s">
        <v>5474</v>
      </c>
    </row>
    <row r="2493" spans="1:9" x14ac:dyDescent="0.4">
      <c r="A2493">
        <v>3130000</v>
      </c>
      <c r="B2493" t="s">
        <v>5174</v>
      </c>
      <c r="C2493" s="1">
        <v>34492</v>
      </c>
      <c r="D2493" t="s">
        <v>5175</v>
      </c>
      <c r="E2493" t="str">
        <f t="shared" si="120"/>
        <v>서울특별시</v>
      </c>
      <c r="F2493" t="str">
        <f t="shared" si="121"/>
        <v xml:space="preserve">마포구 </v>
      </c>
      <c r="G2493" t="str">
        <f t="shared" si="122"/>
        <v>서교동</v>
      </c>
      <c r="H2493" t="s">
        <v>5176</v>
      </c>
      <c r="I2493">
        <v>4038</v>
      </c>
    </row>
    <row r="2494" spans="1:9" x14ac:dyDescent="0.4">
      <c r="A2494">
        <v>3130000</v>
      </c>
      <c r="B2494" t="s">
        <v>5449</v>
      </c>
      <c r="C2494" s="1">
        <v>36966</v>
      </c>
      <c r="D2494" t="s">
        <v>5450</v>
      </c>
      <c r="E2494" t="str">
        <f t="shared" si="120"/>
        <v>서울특별시</v>
      </c>
      <c r="F2494" t="str">
        <f t="shared" si="121"/>
        <v xml:space="preserve">마포구 </v>
      </c>
      <c r="G2494" t="str">
        <f t="shared" si="122"/>
        <v>서교동</v>
      </c>
      <c r="H2494" t="s">
        <v>5451</v>
      </c>
      <c r="I2494">
        <v>4038</v>
      </c>
    </row>
    <row r="2495" spans="1:9" x14ac:dyDescent="0.4">
      <c r="A2495">
        <v>3130000</v>
      </c>
      <c r="B2495" t="s">
        <v>5242</v>
      </c>
      <c r="C2495" s="1">
        <v>36591</v>
      </c>
      <c r="D2495" t="s">
        <v>5243</v>
      </c>
      <c r="E2495" t="str">
        <f t="shared" si="120"/>
        <v>서울특별시</v>
      </c>
      <c r="F2495" t="str">
        <f t="shared" si="121"/>
        <v xml:space="preserve">마포구 </v>
      </c>
      <c r="G2495" t="str">
        <f t="shared" si="122"/>
        <v>서교동</v>
      </c>
      <c r="H2495" t="s">
        <v>5244</v>
      </c>
      <c r="I2495">
        <v>4038</v>
      </c>
    </row>
    <row r="2496" spans="1:9" x14ac:dyDescent="0.4">
      <c r="A2496">
        <v>3130000</v>
      </c>
      <c r="B2496" t="s">
        <v>5225</v>
      </c>
      <c r="C2496" s="1">
        <v>36678</v>
      </c>
      <c r="D2496" t="s">
        <v>5226</v>
      </c>
      <c r="E2496" t="str">
        <f t="shared" si="120"/>
        <v>서울특별시</v>
      </c>
      <c r="F2496" t="str">
        <f t="shared" si="121"/>
        <v xml:space="preserve">마포구 </v>
      </c>
      <c r="G2496" t="str">
        <f t="shared" si="122"/>
        <v>서교동</v>
      </c>
      <c r="H2496" t="s">
        <v>5227</v>
      </c>
      <c r="I2496">
        <v>4038</v>
      </c>
    </row>
    <row r="2497" spans="1:9" x14ac:dyDescent="0.4">
      <c r="A2497">
        <v>3130000</v>
      </c>
      <c r="B2497" t="s">
        <v>5417</v>
      </c>
      <c r="C2497" s="1">
        <v>36404</v>
      </c>
      <c r="D2497" t="s">
        <v>5418</v>
      </c>
      <c r="E2497" t="str">
        <f t="shared" si="120"/>
        <v>서울특별시</v>
      </c>
      <c r="F2497" t="str">
        <f t="shared" si="121"/>
        <v xml:space="preserve">마포구 </v>
      </c>
      <c r="G2497" t="str">
        <f t="shared" si="122"/>
        <v>서교동</v>
      </c>
      <c r="H2497" t="s">
        <v>5419</v>
      </c>
      <c r="I2497">
        <v>4038</v>
      </c>
    </row>
    <row r="2498" spans="1:9" x14ac:dyDescent="0.4">
      <c r="A2498">
        <v>3130000</v>
      </c>
      <c r="B2498" t="s">
        <v>5228</v>
      </c>
      <c r="C2498" s="1">
        <v>36682</v>
      </c>
      <c r="D2498" t="s">
        <v>5229</v>
      </c>
      <c r="E2498" t="str">
        <f t="shared" si="120"/>
        <v>서울특별시</v>
      </c>
      <c r="F2498" t="str">
        <f t="shared" si="121"/>
        <v xml:space="preserve">마포구 </v>
      </c>
      <c r="G2498" t="str">
        <f t="shared" si="122"/>
        <v>서교동</v>
      </c>
      <c r="H2498" t="s">
        <v>5230</v>
      </c>
      <c r="I2498">
        <v>4038</v>
      </c>
    </row>
    <row r="2499" spans="1:9" x14ac:dyDescent="0.4">
      <c r="A2499">
        <v>3130000</v>
      </c>
      <c r="B2499" t="s">
        <v>5135</v>
      </c>
      <c r="C2499" s="1">
        <v>34678</v>
      </c>
      <c r="D2499" t="s">
        <v>5136</v>
      </c>
      <c r="E2499" t="str">
        <f t="shared" ref="E2499:E2562" si="123">LEFT(D2499,5)</f>
        <v>서울특별시</v>
      </c>
      <c r="F2499" t="str">
        <f t="shared" ref="F2499:F2562" si="124">MID(D2499,7,4)</f>
        <v xml:space="preserve">마포구 </v>
      </c>
      <c r="G2499" t="str">
        <f t="shared" ref="G2499:G2508" si="125">MID(SUBSTITUTE(D2499," ",""),9,3)</f>
        <v>서교동</v>
      </c>
    </row>
    <row r="2500" spans="1:9" x14ac:dyDescent="0.4">
      <c r="A2500">
        <v>3130000</v>
      </c>
      <c r="B2500" t="s">
        <v>5170</v>
      </c>
      <c r="C2500" s="1">
        <v>34445</v>
      </c>
      <c r="D2500" t="s">
        <v>5171</v>
      </c>
      <c r="E2500" t="str">
        <f t="shared" si="123"/>
        <v>서울특별시</v>
      </c>
      <c r="F2500" t="str">
        <f t="shared" si="124"/>
        <v xml:space="preserve">마포구 </v>
      </c>
      <c r="G2500" t="str">
        <f t="shared" si="125"/>
        <v>신공덕</v>
      </c>
    </row>
    <row r="2501" spans="1:9" x14ac:dyDescent="0.4">
      <c r="A2501">
        <v>3130000</v>
      </c>
      <c r="B2501" t="s">
        <v>5223</v>
      </c>
      <c r="C2501" s="1">
        <v>34587</v>
      </c>
      <c r="D2501" t="s">
        <v>5224</v>
      </c>
      <c r="E2501" t="str">
        <f t="shared" si="123"/>
        <v>서울특별시</v>
      </c>
      <c r="F2501" t="str">
        <f t="shared" si="124"/>
        <v xml:space="preserve">마포구 </v>
      </c>
      <c r="G2501" t="str">
        <f t="shared" si="125"/>
        <v>합정동</v>
      </c>
    </row>
    <row r="2502" spans="1:9" x14ac:dyDescent="0.4">
      <c r="A2502">
        <v>3130000</v>
      </c>
      <c r="B2502" t="s">
        <v>5360</v>
      </c>
      <c r="C2502" s="1">
        <v>34311</v>
      </c>
      <c r="D2502" t="s">
        <v>5361</v>
      </c>
      <c r="E2502" t="str">
        <f t="shared" si="123"/>
        <v>서울특별시</v>
      </c>
      <c r="F2502" t="str">
        <f t="shared" si="124"/>
        <v xml:space="preserve">마포구 </v>
      </c>
      <c r="G2502" t="str">
        <f t="shared" si="125"/>
        <v>합정동</v>
      </c>
    </row>
    <row r="2503" spans="1:9" x14ac:dyDescent="0.4">
      <c r="A2503">
        <v>3130000</v>
      </c>
      <c r="B2503" t="s">
        <v>5124</v>
      </c>
      <c r="C2503" s="1">
        <v>37210</v>
      </c>
      <c r="D2503" t="s">
        <v>5125</v>
      </c>
      <c r="E2503" t="str">
        <f t="shared" si="123"/>
        <v>서울특별시</v>
      </c>
      <c r="F2503" t="str">
        <f t="shared" si="124"/>
        <v xml:space="preserve">마포구 </v>
      </c>
      <c r="G2503" t="str">
        <f t="shared" si="125"/>
        <v>합정동</v>
      </c>
    </row>
    <row r="2504" spans="1:9" x14ac:dyDescent="0.4">
      <c r="A2504">
        <v>3130000</v>
      </c>
      <c r="B2504" t="s">
        <v>5133</v>
      </c>
      <c r="C2504" s="1">
        <v>37558</v>
      </c>
      <c r="D2504" t="s">
        <v>5134</v>
      </c>
      <c r="E2504" t="str">
        <f t="shared" si="123"/>
        <v>서울특별시</v>
      </c>
      <c r="F2504" t="str">
        <f t="shared" si="124"/>
        <v xml:space="preserve">마포구 </v>
      </c>
      <c r="G2504" t="str">
        <f t="shared" si="125"/>
        <v>합정동</v>
      </c>
    </row>
    <row r="2505" spans="1:9" x14ac:dyDescent="0.4">
      <c r="A2505">
        <v>3130000</v>
      </c>
      <c r="B2505" t="s">
        <v>5284</v>
      </c>
      <c r="C2505" s="1">
        <v>36944</v>
      </c>
      <c r="D2505" t="s">
        <v>5285</v>
      </c>
      <c r="E2505" t="str">
        <f t="shared" si="123"/>
        <v>서울특별시</v>
      </c>
      <c r="F2505" t="str">
        <f t="shared" si="124"/>
        <v xml:space="preserve">마포구 </v>
      </c>
      <c r="G2505" t="str">
        <f t="shared" si="125"/>
        <v>합정동</v>
      </c>
    </row>
    <row r="2506" spans="1:9" x14ac:dyDescent="0.4">
      <c r="A2506">
        <v>3130000</v>
      </c>
      <c r="B2506" t="s">
        <v>5273</v>
      </c>
      <c r="C2506" s="1">
        <v>36847</v>
      </c>
      <c r="D2506" t="s">
        <v>5274</v>
      </c>
      <c r="E2506" t="str">
        <f t="shared" si="123"/>
        <v>서울특별시</v>
      </c>
      <c r="F2506" t="str">
        <f t="shared" si="124"/>
        <v xml:space="preserve">마포구 </v>
      </c>
      <c r="G2506" t="str">
        <f t="shared" si="125"/>
        <v>합정동</v>
      </c>
    </row>
    <row r="2507" spans="1:9" x14ac:dyDescent="0.4">
      <c r="A2507">
        <v>3130000</v>
      </c>
      <c r="B2507" t="s">
        <v>5249</v>
      </c>
      <c r="C2507" s="1">
        <v>36636</v>
      </c>
      <c r="D2507" t="s">
        <v>5250</v>
      </c>
      <c r="E2507" t="str">
        <f t="shared" si="123"/>
        <v>서울특별시</v>
      </c>
      <c r="F2507" t="str">
        <f t="shared" si="124"/>
        <v xml:space="preserve">마포구 </v>
      </c>
      <c r="G2507" t="str">
        <f t="shared" si="125"/>
        <v>합정동</v>
      </c>
    </row>
    <row r="2508" spans="1:9" x14ac:dyDescent="0.4">
      <c r="A2508">
        <v>3130000</v>
      </c>
      <c r="B2508" t="s">
        <v>5236</v>
      </c>
      <c r="C2508" s="1">
        <v>36462</v>
      </c>
      <c r="D2508" t="s">
        <v>5237</v>
      </c>
      <c r="E2508" t="str">
        <f t="shared" si="123"/>
        <v>서울특별시</v>
      </c>
      <c r="F2508" t="str">
        <f t="shared" si="124"/>
        <v xml:space="preserve">마포구 </v>
      </c>
      <c r="G2508" t="str">
        <f t="shared" si="125"/>
        <v>합정동</v>
      </c>
    </row>
    <row r="2509" spans="1:9" x14ac:dyDescent="0.4">
      <c r="A2509">
        <v>3120000</v>
      </c>
      <c r="B2509" t="s">
        <v>4951</v>
      </c>
      <c r="C2509" s="1">
        <v>31920</v>
      </c>
      <c r="D2509" t="s">
        <v>4952</v>
      </c>
      <c r="E2509" t="str">
        <f t="shared" si="123"/>
        <v>서울특별시</v>
      </c>
      <c r="F2509" t="str">
        <f t="shared" si="124"/>
        <v>서대문구</v>
      </c>
      <c r="G2509" t="str">
        <f>MID(SUBSTITUTE(D2509," ",""),10,4)</f>
        <v>남가좌동</v>
      </c>
      <c r="H2509" t="s">
        <v>4953</v>
      </c>
      <c r="I2509">
        <v>3712</v>
      </c>
    </row>
    <row r="2510" spans="1:9" x14ac:dyDescent="0.4">
      <c r="A2510">
        <v>3120000</v>
      </c>
      <c r="B2510" t="s">
        <v>5047</v>
      </c>
      <c r="C2510" s="1">
        <v>36899</v>
      </c>
      <c r="D2510" t="s">
        <v>5048</v>
      </c>
      <c r="E2510" t="str">
        <f t="shared" si="123"/>
        <v>서울특별시</v>
      </c>
      <c r="F2510" t="str">
        <f t="shared" si="124"/>
        <v>서대문구</v>
      </c>
      <c r="G2510" t="str">
        <f t="shared" ref="G2510:G2519" si="126">MID(SUBSTITUTE(D2510," ",""),10,4)</f>
        <v>남가좌동</v>
      </c>
      <c r="H2510" t="s">
        <v>5049</v>
      </c>
      <c r="I2510">
        <v>3712</v>
      </c>
    </row>
    <row r="2511" spans="1:9" x14ac:dyDescent="0.4">
      <c r="A2511">
        <v>3120000</v>
      </c>
      <c r="B2511" t="s">
        <v>4969</v>
      </c>
      <c r="C2511" s="1">
        <v>41534</v>
      </c>
      <c r="D2511" t="s">
        <v>4970</v>
      </c>
      <c r="E2511" t="str">
        <f t="shared" si="123"/>
        <v>서울특별시</v>
      </c>
      <c r="F2511" t="str">
        <f t="shared" si="124"/>
        <v>서대문구</v>
      </c>
      <c r="G2511" t="str">
        <f t="shared" si="126"/>
        <v>남가좌동</v>
      </c>
      <c r="H2511" t="s">
        <v>4971</v>
      </c>
      <c r="I2511">
        <v>3712</v>
      </c>
    </row>
    <row r="2512" spans="1:9" x14ac:dyDescent="0.4">
      <c r="A2512">
        <v>3120000</v>
      </c>
      <c r="B2512" t="s">
        <v>4921</v>
      </c>
      <c r="C2512" s="1">
        <v>27066</v>
      </c>
      <c r="D2512" t="s">
        <v>4922</v>
      </c>
      <c r="E2512" t="str">
        <f t="shared" si="123"/>
        <v>서울특별시</v>
      </c>
      <c r="F2512" t="str">
        <f t="shared" si="124"/>
        <v>서대문구</v>
      </c>
      <c r="G2512" t="str">
        <f t="shared" si="126"/>
        <v>남가좌동</v>
      </c>
      <c r="H2512" t="s">
        <v>4923</v>
      </c>
      <c r="I2512">
        <v>3712</v>
      </c>
    </row>
    <row r="2513" spans="1:9" x14ac:dyDescent="0.4">
      <c r="A2513">
        <v>3120000</v>
      </c>
      <c r="B2513" t="s">
        <v>5044</v>
      </c>
      <c r="C2513" s="1">
        <v>36854</v>
      </c>
      <c r="D2513" t="s">
        <v>5045</v>
      </c>
      <c r="E2513" t="str">
        <f t="shared" si="123"/>
        <v>서울특별시</v>
      </c>
      <c r="F2513" t="str">
        <f t="shared" si="124"/>
        <v>서대문구</v>
      </c>
      <c r="G2513" t="str">
        <f t="shared" si="126"/>
        <v>남가좌동</v>
      </c>
    </row>
    <row r="2514" spans="1:9" x14ac:dyDescent="0.4">
      <c r="A2514">
        <v>3120000</v>
      </c>
      <c r="B2514" t="s">
        <v>4963</v>
      </c>
      <c r="C2514" s="1">
        <v>36946</v>
      </c>
      <c r="D2514" t="s">
        <v>4964</v>
      </c>
      <c r="E2514" t="str">
        <f t="shared" si="123"/>
        <v>서울특별시</v>
      </c>
      <c r="F2514" t="str">
        <f t="shared" si="124"/>
        <v>서대문구</v>
      </c>
      <c r="G2514" t="str">
        <f t="shared" si="126"/>
        <v>남가좌동</v>
      </c>
      <c r="H2514" t="s">
        <v>4965</v>
      </c>
      <c r="I2514">
        <v>3712</v>
      </c>
    </row>
    <row r="2515" spans="1:9" x14ac:dyDescent="0.4">
      <c r="A2515">
        <v>3120000</v>
      </c>
      <c r="B2515" t="s">
        <v>4957</v>
      </c>
      <c r="C2515" s="1">
        <v>36728</v>
      </c>
      <c r="D2515" t="s">
        <v>4958</v>
      </c>
      <c r="E2515" t="str">
        <f t="shared" si="123"/>
        <v>서울특별시</v>
      </c>
      <c r="F2515" t="str">
        <f t="shared" si="124"/>
        <v>서대문구</v>
      </c>
      <c r="G2515" t="str">
        <f t="shared" si="126"/>
        <v>남가좌동</v>
      </c>
      <c r="H2515" t="s">
        <v>4959</v>
      </c>
      <c r="I2515">
        <v>3712</v>
      </c>
    </row>
    <row r="2516" spans="1:9" x14ac:dyDescent="0.4">
      <c r="A2516">
        <v>3120000</v>
      </c>
      <c r="B2516" t="s">
        <v>4960</v>
      </c>
      <c r="C2516" s="1">
        <v>36887</v>
      </c>
      <c r="D2516" t="s">
        <v>4961</v>
      </c>
      <c r="E2516" t="str">
        <f t="shared" si="123"/>
        <v>서울특별시</v>
      </c>
      <c r="F2516" t="str">
        <f t="shared" si="124"/>
        <v>서대문구</v>
      </c>
      <c r="G2516" t="str">
        <f t="shared" si="126"/>
        <v>남가좌동</v>
      </c>
      <c r="H2516" t="s">
        <v>4962</v>
      </c>
      <c r="I2516">
        <v>3712</v>
      </c>
    </row>
    <row r="2517" spans="1:9" x14ac:dyDescent="0.4">
      <c r="A2517">
        <v>3120000</v>
      </c>
      <c r="B2517" t="s">
        <v>5052</v>
      </c>
      <c r="C2517" s="1">
        <v>36963</v>
      </c>
      <c r="D2517" t="s">
        <v>5053</v>
      </c>
      <c r="E2517" t="str">
        <f t="shared" si="123"/>
        <v>서울특별시</v>
      </c>
      <c r="F2517" t="str">
        <f t="shared" si="124"/>
        <v>서대문구</v>
      </c>
      <c r="G2517" t="str">
        <f t="shared" si="126"/>
        <v>남가좌동</v>
      </c>
      <c r="H2517" t="s">
        <v>5054</v>
      </c>
      <c r="I2517">
        <v>3712</v>
      </c>
    </row>
    <row r="2518" spans="1:9" x14ac:dyDescent="0.4">
      <c r="A2518">
        <v>3120000</v>
      </c>
      <c r="B2518" t="s">
        <v>4954</v>
      </c>
      <c r="C2518" s="1">
        <v>36675</v>
      </c>
      <c r="D2518" t="s">
        <v>4955</v>
      </c>
      <c r="E2518" t="str">
        <f t="shared" si="123"/>
        <v>서울특별시</v>
      </c>
      <c r="F2518" t="str">
        <f t="shared" si="124"/>
        <v>서대문구</v>
      </c>
      <c r="G2518" t="str">
        <f t="shared" si="126"/>
        <v>남가좌동</v>
      </c>
      <c r="H2518" t="s">
        <v>4956</v>
      </c>
      <c r="I2518">
        <v>3712</v>
      </c>
    </row>
    <row r="2519" spans="1:9" x14ac:dyDescent="0.4">
      <c r="A2519">
        <v>3120000</v>
      </c>
      <c r="B2519" t="s">
        <v>5095</v>
      </c>
      <c r="C2519" s="1">
        <v>28215</v>
      </c>
      <c r="D2519" t="s">
        <v>5096</v>
      </c>
      <c r="E2519" t="str">
        <f t="shared" si="123"/>
        <v>서울특별시</v>
      </c>
      <c r="F2519" t="str">
        <f t="shared" si="124"/>
        <v>서대문구</v>
      </c>
      <c r="G2519" t="str">
        <f t="shared" si="126"/>
        <v>남가좌동</v>
      </c>
    </row>
    <row r="2520" spans="1:9" x14ac:dyDescent="0.4">
      <c r="A2520">
        <v>3120000</v>
      </c>
      <c r="B2520" t="s">
        <v>4948</v>
      </c>
      <c r="C2520" s="1">
        <v>31769</v>
      </c>
      <c r="D2520" t="s">
        <v>4949</v>
      </c>
      <c r="E2520" t="str">
        <f t="shared" si="123"/>
        <v>서울특별시</v>
      </c>
      <c r="F2520" t="str">
        <f t="shared" si="124"/>
        <v>서대문구</v>
      </c>
      <c r="G2520" t="str">
        <f>MID(SUBSTITUTE(D2520," ",""),10,3)</f>
        <v>대현동</v>
      </c>
      <c r="H2520" t="s">
        <v>4950</v>
      </c>
      <c r="I2520">
        <v>3766</v>
      </c>
    </row>
    <row r="2521" spans="1:9" x14ac:dyDescent="0.4">
      <c r="A2521">
        <v>3120000</v>
      </c>
      <c r="B2521" t="s">
        <v>5021</v>
      </c>
      <c r="C2521" s="1">
        <v>31727</v>
      </c>
      <c r="D2521" t="s">
        <v>5022</v>
      </c>
      <c r="E2521" t="str">
        <f t="shared" si="123"/>
        <v>서울특별시</v>
      </c>
      <c r="F2521" t="str">
        <f t="shared" si="124"/>
        <v>서대문구</v>
      </c>
      <c r="G2521" t="str">
        <f t="shared" ref="G2521:G2584" si="127">MID(SUBSTITUTE(D2521," ",""),10,3)</f>
        <v>대현동</v>
      </c>
      <c r="H2521" t="s">
        <v>5023</v>
      </c>
      <c r="I2521">
        <v>3766</v>
      </c>
    </row>
    <row r="2522" spans="1:9" x14ac:dyDescent="0.4">
      <c r="A2522">
        <v>3120000</v>
      </c>
      <c r="B2522" t="s">
        <v>5104</v>
      </c>
      <c r="C2522" s="1">
        <v>32402</v>
      </c>
      <c r="D2522" t="s">
        <v>5105</v>
      </c>
      <c r="E2522" t="str">
        <f t="shared" si="123"/>
        <v>서울특별시</v>
      </c>
      <c r="F2522" t="str">
        <f t="shared" si="124"/>
        <v>서대문구</v>
      </c>
      <c r="G2522" t="str">
        <f t="shared" si="127"/>
        <v>대현동</v>
      </c>
    </row>
    <row r="2523" spans="1:9" x14ac:dyDescent="0.4">
      <c r="A2523">
        <v>3120000</v>
      </c>
      <c r="B2523" t="s">
        <v>4991</v>
      </c>
      <c r="C2523" s="1">
        <v>30559</v>
      </c>
      <c r="D2523" t="s">
        <v>4992</v>
      </c>
      <c r="E2523" t="str">
        <f t="shared" si="123"/>
        <v>서울특별시</v>
      </c>
      <c r="F2523" t="str">
        <f t="shared" si="124"/>
        <v>서대문구</v>
      </c>
      <c r="G2523" t="str">
        <f t="shared" si="127"/>
        <v>대현동</v>
      </c>
      <c r="H2523" t="s">
        <v>4993</v>
      </c>
      <c r="I2523">
        <v>3780</v>
      </c>
    </row>
    <row r="2524" spans="1:9" x14ac:dyDescent="0.4">
      <c r="A2524">
        <v>3120000</v>
      </c>
      <c r="B2524" t="s">
        <v>5016</v>
      </c>
      <c r="C2524" s="1">
        <v>31292</v>
      </c>
      <c r="D2524" t="s">
        <v>5017</v>
      </c>
      <c r="E2524" t="str">
        <f t="shared" si="123"/>
        <v>서울특별시</v>
      </c>
      <c r="F2524" t="str">
        <f t="shared" si="124"/>
        <v>서대문구</v>
      </c>
      <c r="G2524" t="str">
        <f t="shared" si="127"/>
        <v>대현동</v>
      </c>
      <c r="H2524" t="s">
        <v>5018</v>
      </c>
      <c r="I2524">
        <v>3780</v>
      </c>
    </row>
    <row r="2525" spans="1:9" x14ac:dyDescent="0.4">
      <c r="A2525">
        <v>3120000</v>
      </c>
      <c r="B2525" t="s">
        <v>5066</v>
      </c>
      <c r="C2525" s="1">
        <v>37869</v>
      </c>
      <c r="D2525" t="s">
        <v>5067</v>
      </c>
      <c r="E2525" t="str">
        <f t="shared" si="123"/>
        <v>서울특별시</v>
      </c>
      <c r="F2525" t="str">
        <f t="shared" si="124"/>
        <v>서대문구</v>
      </c>
      <c r="G2525" t="str">
        <f t="shared" si="127"/>
        <v>대현동</v>
      </c>
    </row>
    <row r="2526" spans="1:9" x14ac:dyDescent="0.4">
      <c r="A2526">
        <v>3120000</v>
      </c>
      <c r="B2526" t="s">
        <v>5001</v>
      </c>
      <c r="C2526" s="1">
        <v>30915</v>
      </c>
      <c r="D2526" t="s">
        <v>5002</v>
      </c>
      <c r="E2526" t="str">
        <f t="shared" si="123"/>
        <v>서울특별시</v>
      </c>
      <c r="F2526" t="str">
        <f t="shared" si="124"/>
        <v>서대문구</v>
      </c>
      <c r="G2526" t="str">
        <f t="shared" si="127"/>
        <v>대현동</v>
      </c>
    </row>
    <row r="2527" spans="1:9" x14ac:dyDescent="0.4">
      <c r="A2527">
        <v>3120000</v>
      </c>
      <c r="B2527" t="s">
        <v>4897</v>
      </c>
      <c r="C2527" s="1">
        <v>36279</v>
      </c>
      <c r="D2527" t="s">
        <v>4898</v>
      </c>
      <c r="E2527" t="str">
        <f t="shared" si="123"/>
        <v>서울특별시</v>
      </c>
      <c r="F2527" t="str">
        <f t="shared" si="124"/>
        <v>서대문구</v>
      </c>
      <c r="G2527" t="str">
        <f t="shared" si="127"/>
        <v>대현동</v>
      </c>
    </row>
    <row r="2528" spans="1:9" x14ac:dyDescent="0.4">
      <c r="A2528">
        <v>3120000</v>
      </c>
      <c r="B2528" t="s">
        <v>5117</v>
      </c>
      <c r="C2528" s="1">
        <v>29057</v>
      </c>
      <c r="D2528" t="s">
        <v>5118</v>
      </c>
      <c r="E2528" t="str">
        <f t="shared" si="123"/>
        <v>서울특별시</v>
      </c>
      <c r="F2528" t="str">
        <f t="shared" si="124"/>
        <v>서대문구</v>
      </c>
      <c r="G2528" t="str">
        <f t="shared" si="127"/>
        <v>대현동</v>
      </c>
    </row>
    <row r="2529" spans="1:9" x14ac:dyDescent="0.4">
      <c r="A2529">
        <v>3120000</v>
      </c>
      <c r="B2529" t="s">
        <v>4895</v>
      </c>
      <c r="C2529" s="1">
        <v>34076</v>
      </c>
      <c r="D2529" t="s">
        <v>4896</v>
      </c>
      <c r="E2529" t="str">
        <f t="shared" si="123"/>
        <v>서울특별시</v>
      </c>
      <c r="F2529" t="str">
        <f t="shared" si="124"/>
        <v>서대문구</v>
      </c>
      <c r="G2529" t="str">
        <f t="shared" si="127"/>
        <v>대현동</v>
      </c>
    </row>
    <row r="2530" spans="1:9" x14ac:dyDescent="0.4">
      <c r="A2530">
        <v>3120000</v>
      </c>
      <c r="B2530" t="s">
        <v>5062</v>
      </c>
      <c r="C2530" s="1">
        <v>37371</v>
      </c>
      <c r="D2530" t="s">
        <v>5063</v>
      </c>
      <c r="E2530" t="str">
        <f t="shared" si="123"/>
        <v>서울특별시</v>
      </c>
      <c r="F2530" t="str">
        <f t="shared" si="124"/>
        <v>서대문구</v>
      </c>
      <c r="G2530" t="str">
        <f t="shared" si="127"/>
        <v>대현동</v>
      </c>
    </row>
    <row r="2531" spans="1:9" x14ac:dyDescent="0.4">
      <c r="A2531">
        <v>3120000</v>
      </c>
      <c r="B2531" t="s">
        <v>5106</v>
      </c>
      <c r="C2531" s="1">
        <v>32865</v>
      </c>
      <c r="D2531" t="s">
        <v>5107</v>
      </c>
      <c r="E2531" t="str">
        <f t="shared" si="123"/>
        <v>서울특별시</v>
      </c>
      <c r="F2531" t="str">
        <f t="shared" si="124"/>
        <v>서대문구</v>
      </c>
      <c r="G2531" t="str">
        <f t="shared" si="127"/>
        <v>대현동</v>
      </c>
    </row>
    <row r="2532" spans="1:9" x14ac:dyDescent="0.4">
      <c r="A2532">
        <v>3120000</v>
      </c>
      <c r="B2532" t="s">
        <v>4904</v>
      </c>
      <c r="C2532" s="1">
        <v>30389</v>
      </c>
      <c r="D2532" t="s">
        <v>4905</v>
      </c>
      <c r="E2532" t="str">
        <f t="shared" si="123"/>
        <v>서울특별시</v>
      </c>
      <c r="F2532" t="str">
        <f t="shared" si="124"/>
        <v>서대문구</v>
      </c>
      <c r="G2532" t="str">
        <f t="shared" si="127"/>
        <v>대현동</v>
      </c>
    </row>
    <row r="2533" spans="1:9" x14ac:dyDescent="0.4">
      <c r="A2533">
        <v>3120000</v>
      </c>
      <c r="B2533" t="s">
        <v>5123</v>
      </c>
      <c r="C2533" s="1">
        <v>30292</v>
      </c>
      <c r="D2533" t="s">
        <v>4905</v>
      </c>
      <c r="E2533" t="str">
        <f t="shared" si="123"/>
        <v>서울특별시</v>
      </c>
      <c r="F2533" t="str">
        <f t="shared" si="124"/>
        <v>서대문구</v>
      </c>
      <c r="G2533" t="str">
        <f t="shared" si="127"/>
        <v>대현동</v>
      </c>
    </row>
    <row r="2534" spans="1:9" x14ac:dyDescent="0.4">
      <c r="A2534">
        <v>3120000</v>
      </c>
      <c r="B2534" t="s">
        <v>5121</v>
      </c>
      <c r="C2534" s="1">
        <v>30090</v>
      </c>
      <c r="D2534" t="s">
        <v>5122</v>
      </c>
      <c r="E2534" t="str">
        <f t="shared" si="123"/>
        <v>서울특별시</v>
      </c>
      <c r="F2534" t="str">
        <f t="shared" si="124"/>
        <v>서대문구</v>
      </c>
      <c r="G2534" t="str">
        <f t="shared" si="127"/>
        <v>대현동</v>
      </c>
    </row>
    <row r="2535" spans="1:9" x14ac:dyDescent="0.4">
      <c r="A2535">
        <v>3120000</v>
      </c>
      <c r="B2535" t="s">
        <v>5012</v>
      </c>
      <c r="C2535" s="1">
        <v>31276</v>
      </c>
      <c r="D2535" t="s">
        <v>5013</v>
      </c>
      <c r="E2535" t="str">
        <f t="shared" si="123"/>
        <v>서울특별시</v>
      </c>
      <c r="F2535" t="str">
        <f t="shared" si="124"/>
        <v>서대문구</v>
      </c>
      <c r="G2535" t="str">
        <f t="shared" si="127"/>
        <v>대현동</v>
      </c>
    </row>
    <row r="2536" spans="1:9" x14ac:dyDescent="0.4">
      <c r="A2536">
        <v>3120000</v>
      </c>
      <c r="B2536" t="s">
        <v>5024</v>
      </c>
      <c r="C2536" s="1">
        <v>31944</v>
      </c>
      <c r="D2536" t="s">
        <v>5013</v>
      </c>
      <c r="E2536" t="str">
        <f t="shared" si="123"/>
        <v>서울특별시</v>
      </c>
      <c r="F2536" t="str">
        <f t="shared" si="124"/>
        <v>서대문구</v>
      </c>
      <c r="G2536" t="str">
        <f t="shared" si="127"/>
        <v>대현동</v>
      </c>
      <c r="H2536" t="s">
        <v>5025</v>
      </c>
    </row>
    <row r="2537" spans="1:9" x14ac:dyDescent="0.4">
      <c r="A2537">
        <v>3120000</v>
      </c>
      <c r="B2537" t="s">
        <v>5043</v>
      </c>
      <c r="C2537" s="1">
        <v>36701</v>
      </c>
      <c r="D2537" t="s">
        <v>5013</v>
      </c>
      <c r="E2537" t="str">
        <f t="shared" si="123"/>
        <v>서울특별시</v>
      </c>
      <c r="F2537" t="str">
        <f t="shared" si="124"/>
        <v>서대문구</v>
      </c>
      <c r="G2537" t="str">
        <f t="shared" si="127"/>
        <v>대현동</v>
      </c>
      <c r="H2537" t="s">
        <v>5025</v>
      </c>
    </row>
    <row r="2538" spans="1:9" x14ac:dyDescent="0.4">
      <c r="A2538">
        <v>3120000</v>
      </c>
      <c r="B2538" t="s">
        <v>5074</v>
      </c>
      <c r="C2538" s="1">
        <v>31271</v>
      </c>
      <c r="D2538" t="s">
        <v>5075</v>
      </c>
      <c r="E2538" t="str">
        <f t="shared" si="123"/>
        <v>서울특별시</v>
      </c>
      <c r="F2538" t="str">
        <f t="shared" si="124"/>
        <v>서대문구</v>
      </c>
      <c r="G2538" t="str">
        <f t="shared" si="127"/>
        <v>대현동</v>
      </c>
    </row>
    <row r="2539" spans="1:9" x14ac:dyDescent="0.4">
      <c r="A2539">
        <v>3120000</v>
      </c>
      <c r="B2539" t="s">
        <v>5064</v>
      </c>
      <c r="C2539" s="1">
        <v>39912</v>
      </c>
      <c r="D2539" t="s">
        <v>5065</v>
      </c>
      <c r="E2539" t="str">
        <f t="shared" si="123"/>
        <v>서울특별시</v>
      </c>
      <c r="F2539" t="str">
        <f t="shared" si="124"/>
        <v>서대문구</v>
      </c>
      <c r="G2539" t="str">
        <f t="shared" si="127"/>
        <v>대현동</v>
      </c>
    </row>
    <row r="2540" spans="1:9" x14ac:dyDescent="0.4">
      <c r="A2540">
        <v>3120000</v>
      </c>
      <c r="B2540" t="s">
        <v>5082</v>
      </c>
      <c r="C2540" s="1">
        <v>26810</v>
      </c>
      <c r="D2540" t="s">
        <v>5083</v>
      </c>
      <c r="E2540" t="str">
        <f t="shared" si="123"/>
        <v>서울특별시</v>
      </c>
      <c r="F2540" t="str">
        <f t="shared" si="124"/>
        <v>서대문구</v>
      </c>
      <c r="G2540" t="str">
        <f t="shared" si="127"/>
        <v>미근동</v>
      </c>
      <c r="H2540" t="s">
        <v>5084</v>
      </c>
      <c r="I2540">
        <v>3738</v>
      </c>
    </row>
    <row r="2541" spans="1:9" x14ac:dyDescent="0.4">
      <c r="A2541">
        <v>3120000</v>
      </c>
      <c r="B2541" t="s">
        <v>5035</v>
      </c>
      <c r="C2541" s="1">
        <v>26148</v>
      </c>
      <c r="D2541" t="s">
        <v>5036</v>
      </c>
      <c r="E2541" t="str">
        <f t="shared" si="123"/>
        <v>서울특별시</v>
      </c>
      <c r="F2541" t="str">
        <f t="shared" si="124"/>
        <v>서대문구</v>
      </c>
      <c r="G2541" t="str">
        <f t="shared" si="127"/>
        <v>미근동</v>
      </c>
    </row>
    <row r="2542" spans="1:9" x14ac:dyDescent="0.4">
      <c r="A2542">
        <v>3120000</v>
      </c>
      <c r="B2542" t="s">
        <v>4918</v>
      </c>
      <c r="C2542" s="1">
        <v>26956</v>
      </c>
      <c r="D2542" t="s">
        <v>4919</v>
      </c>
      <c r="E2542" t="str">
        <f t="shared" si="123"/>
        <v>서울특별시</v>
      </c>
      <c r="F2542" t="str">
        <f t="shared" si="124"/>
        <v>서대문구</v>
      </c>
      <c r="G2542" t="str">
        <f t="shared" si="127"/>
        <v>연희동</v>
      </c>
      <c r="H2542" t="s">
        <v>4920</v>
      </c>
      <c r="I2542">
        <v>3781</v>
      </c>
    </row>
    <row r="2543" spans="1:9" x14ac:dyDescent="0.4">
      <c r="A2543">
        <v>3120000</v>
      </c>
      <c r="B2543" t="s">
        <v>4978</v>
      </c>
      <c r="C2543" s="1">
        <v>30487</v>
      </c>
      <c r="D2543" t="s">
        <v>4979</v>
      </c>
      <c r="E2543" t="str">
        <f t="shared" si="123"/>
        <v>서울특별시</v>
      </c>
      <c r="F2543" t="str">
        <f t="shared" si="124"/>
        <v>서대문구</v>
      </c>
      <c r="G2543" t="str">
        <f t="shared" si="127"/>
        <v>영천동</v>
      </c>
      <c r="H2543" t="s">
        <v>4980</v>
      </c>
      <c r="I2543">
        <v>3734</v>
      </c>
    </row>
    <row r="2544" spans="1:9" x14ac:dyDescent="0.4">
      <c r="A2544">
        <v>3120000</v>
      </c>
      <c r="B2544" t="s">
        <v>4942</v>
      </c>
      <c r="C2544" s="1">
        <v>33446</v>
      </c>
      <c r="D2544" t="s">
        <v>4943</v>
      </c>
      <c r="E2544" t="str">
        <f t="shared" si="123"/>
        <v>서울특별시</v>
      </c>
      <c r="F2544" t="str">
        <f t="shared" si="124"/>
        <v>서대문구</v>
      </c>
      <c r="G2544" t="str">
        <f t="shared" si="127"/>
        <v>영천동</v>
      </c>
      <c r="H2544" t="s">
        <v>4944</v>
      </c>
      <c r="I2544">
        <v>3734</v>
      </c>
    </row>
    <row r="2545" spans="1:9" x14ac:dyDescent="0.4">
      <c r="A2545">
        <v>3120000</v>
      </c>
      <c r="B2545" t="s">
        <v>5119</v>
      </c>
      <c r="C2545" s="1">
        <v>30090</v>
      </c>
      <c r="D2545" t="s">
        <v>5120</v>
      </c>
      <c r="E2545" t="str">
        <f t="shared" si="123"/>
        <v>서울특별시</v>
      </c>
      <c r="F2545" t="str">
        <f t="shared" si="124"/>
        <v>서대문구</v>
      </c>
      <c r="G2545" t="str">
        <f t="shared" si="127"/>
        <v>창천동</v>
      </c>
    </row>
    <row r="2546" spans="1:9" x14ac:dyDescent="0.4">
      <c r="A2546">
        <v>3120000</v>
      </c>
      <c r="B2546" t="s">
        <v>4945</v>
      </c>
      <c r="C2546" s="1">
        <v>33585</v>
      </c>
      <c r="D2546" t="s">
        <v>4946</v>
      </c>
      <c r="E2546" t="str">
        <f t="shared" si="123"/>
        <v>서울특별시</v>
      </c>
      <c r="F2546" t="str">
        <f t="shared" si="124"/>
        <v>서대문구</v>
      </c>
      <c r="G2546" t="str">
        <f t="shared" si="127"/>
        <v>창천동</v>
      </c>
      <c r="H2546" t="s">
        <v>4947</v>
      </c>
      <c r="I2546">
        <v>3779</v>
      </c>
    </row>
    <row r="2547" spans="1:9" x14ac:dyDescent="0.4">
      <c r="A2547">
        <v>3120000</v>
      </c>
      <c r="B2547" t="s">
        <v>5008</v>
      </c>
      <c r="C2547" s="1">
        <v>31037</v>
      </c>
      <c r="D2547" t="s">
        <v>5009</v>
      </c>
      <c r="E2547" t="str">
        <f t="shared" si="123"/>
        <v>서울특별시</v>
      </c>
      <c r="F2547" t="str">
        <f t="shared" si="124"/>
        <v>서대문구</v>
      </c>
      <c r="G2547" t="str">
        <f t="shared" si="127"/>
        <v>창천동</v>
      </c>
    </row>
    <row r="2548" spans="1:9" x14ac:dyDescent="0.4">
      <c r="A2548">
        <v>3120000</v>
      </c>
      <c r="B2548" t="s">
        <v>5076</v>
      </c>
      <c r="C2548" s="1">
        <v>26166</v>
      </c>
      <c r="D2548" t="s">
        <v>5009</v>
      </c>
      <c r="E2548" t="str">
        <f t="shared" si="123"/>
        <v>서울특별시</v>
      </c>
      <c r="F2548" t="str">
        <f t="shared" si="124"/>
        <v>서대문구</v>
      </c>
      <c r="G2548" t="str">
        <f t="shared" si="127"/>
        <v>창천동</v>
      </c>
      <c r="H2548" t="s">
        <v>5077</v>
      </c>
      <c r="I2548">
        <v>3779</v>
      </c>
    </row>
    <row r="2549" spans="1:9" x14ac:dyDescent="0.4">
      <c r="A2549">
        <v>3120000</v>
      </c>
      <c r="B2549" t="s">
        <v>5108</v>
      </c>
      <c r="C2549" s="1">
        <v>32889</v>
      </c>
      <c r="D2549" t="s">
        <v>5109</v>
      </c>
      <c r="E2549" t="str">
        <f t="shared" si="123"/>
        <v>서울특별시</v>
      </c>
      <c r="F2549" t="str">
        <f t="shared" si="124"/>
        <v>서대문구</v>
      </c>
      <c r="G2549" t="str">
        <f t="shared" si="127"/>
        <v>창천동</v>
      </c>
    </row>
    <row r="2550" spans="1:9" x14ac:dyDescent="0.4">
      <c r="A2550">
        <v>3120000</v>
      </c>
      <c r="B2550" t="s">
        <v>4984</v>
      </c>
      <c r="C2550" s="1">
        <v>37650</v>
      </c>
      <c r="D2550" t="s">
        <v>4985</v>
      </c>
      <c r="E2550" t="str">
        <f t="shared" si="123"/>
        <v>서울특별시</v>
      </c>
      <c r="F2550" t="str">
        <f t="shared" si="124"/>
        <v>서대문구</v>
      </c>
      <c r="G2550" t="str">
        <f t="shared" si="127"/>
        <v>창천동</v>
      </c>
      <c r="H2550" t="s">
        <v>4986</v>
      </c>
      <c r="I2550">
        <v>3779</v>
      </c>
    </row>
    <row r="2551" spans="1:9" x14ac:dyDescent="0.4">
      <c r="A2551">
        <v>3120000</v>
      </c>
      <c r="B2551" t="s">
        <v>5029</v>
      </c>
      <c r="C2551" s="1">
        <v>25524</v>
      </c>
      <c r="D2551" t="s">
        <v>5030</v>
      </c>
      <c r="E2551" t="str">
        <f t="shared" si="123"/>
        <v>서울특별시</v>
      </c>
      <c r="F2551" t="str">
        <f t="shared" si="124"/>
        <v>서대문구</v>
      </c>
      <c r="G2551" t="str">
        <f t="shared" si="127"/>
        <v>창천동</v>
      </c>
    </row>
    <row r="2552" spans="1:9" x14ac:dyDescent="0.4">
      <c r="A2552">
        <v>3120000</v>
      </c>
      <c r="B2552" t="s">
        <v>5101</v>
      </c>
      <c r="C2552" s="1">
        <v>28483</v>
      </c>
      <c r="D2552" t="s">
        <v>5102</v>
      </c>
      <c r="E2552" t="str">
        <f t="shared" si="123"/>
        <v>서울특별시</v>
      </c>
      <c r="F2552" t="str">
        <f t="shared" si="124"/>
        <v>서대문구</v>
      </c>
      <c r="G2552" t="str">
        <f t="shared" si="127"/>
        <v>창천동</v>
      </c>
    </row>
    <row r="2553" spans="1:9" x14ac:dyDescent="0.4">
      <c r="A2553">
        <v>3120000</v>
      </c>
      <c r="B2553" t="s">
        <v>4999</v>
      </c>
      <c r="C2553" s="1">
        <v>30879</v>
      </c>
      <c r="D2553" t="s">
        <v>5000</v>
      </c>
      <c r="E2553" t="str">
        <f t="shared" si="123"/>
        <v>서울특별시</v>
      </c>
      <c r="F2553" t="str">
        <f t="shared" si="124"/>
        <v>서대문구</v>
      </c>
      <c r="G2553" t="str">
        <f t="shared" si="127"/>
        <v>창천동</v>
      </c>
    </row>
    <row r="2554" spans="1:9" x14ac:dyDescent="0.4">
      <c r="A2554">
        <v>3120000</v>
      </c>
      <c r="B2554" t="s">
        <v>4899</v>
      </c>
      <c r="C2554" s="1">
        <v>36295</v>
      </c>
      <c r="D2554" t="s">
        <v>4900</v>
      </c>
      <c r="E2554" t="str">
        <f t="shared" si="123"/>
        <v>서울특별시</v>
      </c>
      <c r="F2554" t="str">
        <f t="shared" si="124"/>
        <v>서대문구</v>
      </c>
      <c r="G2554" t="str">
        <f t="shared" si="127"/>
        <v>창천동</v>
      </c>
      <c r="H2554" t="s">
        <v>4901</v>
      </c>
      <c r="I2554">
        <v>3779</v>
      </c>
    </row>
    <row r="2555" spans="1:9" x14ac:dyDescent="0.4">
      <c r="A2555">
        <v>3120000</v>
      </c>
      <c r="B2555" t="s">
        <v>4981</v>
      </c>
      <c r="C2555" s="1">
        <v>30946</v>
      </c>
      <c r="D2555" t="s">
        <v>4982</v>
      </c>
      <c r="E2555" t="str">
        <f t="shared" si="123"/>
        <v>서울특별시</v>
      </c>
      <c r="F2555" t="str">
        <f t="shared" si="124"/>
        <v>서대문구</v>
      </c>
      <c r="G2555" t="str">
        <f t="shared" si="127"/>
        <v>창천동</v>
      </c>
      <c r="H2555" t="s">
        <v>4983</v>
      </c>
      <c r="I2555">
        <v>3777</v>
      </c>
    </row>
    <row r="2556" spans="1:9" x14ac:dyDescent="0.4">
      <c r="A2556">
        <v>3120000</v>
      </c>
      <c r="B2556" t="s">
        <v>5097</v>
      </c>
      <c r="C2556" s="1">
        <v>28291</v>
      </c>
      <c r="D2556" t="s">
        <v>5098</v>
      </c>
      <c r="E2556" t="str">
        <f t="shared" si="123"/>
        <v>서울특별시</v>
      </c>
      <c r="F2556" t="str">
        <f t="shared" si="124"/>
        <v>서대문구</v>
      </c>
      <c r="G2556" t="str">
        <f t="shared" si="127"/>
        <v>창천동</v>
      </c>
    </row>
    <row r="2557" spans="1:9" x14ac:dyDescent="0.4">
      <c r="A2557">
        <v>3120000</v>
      </c>
      <c r="B2557" t="s">
        <v>5055</v>
      </c>
      <c r="C2557" s="1">
        <v>37224</v>
      </c>
      <c r="D2557" t="s">
        <v>5056</v>
      </c>
      <c r="E2557" t="str">
        <f t="shared" si="123"/>
        <v>서울특별시</v>
      </c>
      <c r="F2557" t="str">
        <f t="shared" si="124"/>
        <v>서대문구</v>
      </c>
      <c r="G2557" t="str">
        <f t="shared" si="127"/>
        <v>창천동</v>
      </c>
      <c r="H2557" t="s">
        <v>5057</v>
      </c>
    </row>
    <row r="2558" spans="1:9" x14ac:dyDescent="0.4">
      <c r="A2558">
        <v>3120000</v>
      </c>
      <c r="B2558" t="s">
        <v>4939</v>
      </c>
      <c r="C2558" s="1">
        <v>30008</v>
      </c>
      <c r="D2558" t="s">
        <v>4940</v>
      </c>
      <c r="E2558" t="str">
        <f t="shared" si="123"/>
        <v>서울특별시</v>
      </c>
      <c r="F2558" t="str">
        <f t="shared" si="124"/>
        <v>서대문구</v>
      </c>
      <c r="G2558" t="str">
        <f t="shared" si="127"/>
        <v>창천동</v>
      </c>
      <c r="H2558" t="s">
        <v>4941</v>
      </c>
      <c r="I2558">
        <v>3779</v>
      </c>
    </row>
    <row r="2559" spans="1:9" x14ac:dyDescent="0.4">
      <c r="A2559">
        <v>3120000</v>
      </c>
      <c r="B2559" t="s">
        <v>4933</v>
      </c>
      <c r="C2559" s="1">
        <v>32434</v>
      </c>
      <c r="D2559" t="s">
        <v>4934</v>
      </c>
      <c r="E2559" t="str">
        <f t="shared" si="123"/>
        <v>서울특별시</v>
      </c>
      <c r="F2559" t="str">
        <f t="shared" si="124"/>
        <v>서대문구</v>
      </c>
      <c r="G2559" t="str">
        <f t="shared" si="127"/>
        <v>창천동</v>
      </c>
      <c r="H2559" t="s">
        <v>4935</v>
      </c>
      <c r="I2559">
        <v>3780</v>
      </c>
    </row>
    <row r="2560" spans="1:9" x14ac:dyDescent="0.4">
      <c r="A2560">
        <v>3120000</v>
      </c>
      <c r="B2560" t="s">
        <v>5070</v>
      </c>
      <c r="C2560" s="1">
        <v>28483</v>
      </c>
      <c r="D2560" t="s">
        <v>5071</v>
      </c>
      <c r="E2560" t="str">
        <f t="shared" si="123"/>
        <v>서울특별시</v>
      </c>
      <c r="F2560" t="str">
        <f t="shared" si="124"/>
        <v>서대문구</v>
      </c>
      <c r="G2560" t="str">
        <f t="shared" si="127"/>
        <v>창천동</v>
      </c>
    </row>
    <row r="2561" spans="1:9" x14ac:dyDescent="0.4">
      <c r="A2561">
        <v>3120000</v>
      </c>
      <c r="B2561" t="s">
        <v>4893</v>
      </c>
      <c r="C2561" s="1">
        <v>33234</v>
      </c>
      <c r="D2561" t="s">
        <v>4894</v>
      </c>
      <c r="E2561" t="str">
        <f t="shared" si="123"/>
        <v>서울특별시</v>
      </c>
      <c r="F2561" t="str">
        <f t="shared" si="124"/>
        <v>서대문구</v>
      </c>
      <c r="G2561" t="str">
        <f t="shared" si="127"/>
        <v>창천동</v>
      </c>
    </row>
    <row r="2562" spans="1:9" x14ac:dyDescent="0.4">
      <c r="A2562">
        <v>3120000</v>
      </c>
      <c r="B2562" t="s">
        <v>5080</v>
      </c>
      <c r="C2562" s="1">
        <v>26597</v>
      </c>
      <c r="D2562" t="s">
        <v>5081</v>
      </c>
      <c r="E2562" t="str">
        <f t="shared" si="123"/>
        <v>서울특별시</v>
      </c>
      <c r="F2562" t="str">
        <f t="shared" si="124"/>
        <v>서대문구</v>
      </c>
      <c r="G2562" t="str">
        <f t="shared" si="127"/>
        <v>창천동</v>
      </c>
    </row>
    <row r="2563" spans="1:9" x14ac:dyDescent="0.4">
      <c r="A2563">
        <v>3120000</v>
      </c>
      <c r="B2563" t="s">
        <v>4889</v>
      </c>
      <c r="C2563" s="1">
        <v>28602</v>
      </c>
      <c r="D2563" t="s">
        <v>4890</v>
      </c>
      <c r="E2563" t="str">
        <f t="shared" ref="E2563:E2626" si="128">LEFT(D2563,5)</f>
        <v>서울특별시</v>
      </c>
      <c r="F2563" t="str">
        <f t="shared" ref="F2563:F2626" si="129">MID(D2563,7,4)</f>
        <v>서대문구</v>
      </c>
      <c r="G2563" t="str">
        <f t="shared" si="127"/>
        <v>창천동</v>
      </c>
    </row>
    <row r="2564" spans="1:9" x14ac:dyDescent="0.4">
      <c r="A2564">
        <v>3120000</v>
      </c>
      <c r="B2564" t="s">
        <v>4998</v>
      </c>
      <c r="C2564" s="1">
        <v>30825</v>
      </c>
      <c r="D2564" t="s">
        <v>4890</v>
      </c>
      <c r="E2564" t="str">
        <f t="shared" si="128"/>
        <v>서울특별시</v>
      </c>
      <c r="F2564" t="str">
        <f t="shared" si="129"/>
        <v>서대문구</v>
      </c>
      <c r="G2564" t="str">
        <f t="shared" si="127"/>
        <v>창천동</v>
      </c>
    </row>
    <row r="2565" spans="1:9" x14ac:dyDescent="0.4">
      <c r="A2565">
        <v>3120000</v>
      </c>
      <c r="B2565" t="s">
        <v>4996</v>
      </c>
      <c r="C2565" s="1">
        <v>30785</v>
      </c>
      <c r="D2565" t="s">
        <v>4997</v>
      </c>
      <c r="E2565" t="str">
        <f t="shared" si="128"/>
        <v>서울특별시</v>
      </c>
      <c r="F2565" t="str">
        <f t="shared" si="129"/>
        <v>서대문구</v>
      </c>
      <c r="G2565" t="str">
        <f t="shared" si="127"/>
        <v>창천동</v>
      </c>
    </row>
    <row r="2566" spans="1:9" x14ac:dyDescent="0.4">
      <c r="A2566">
        <v>3120000</v>
      </c>
      <c r="B2566" t="s">
        <v>4891</v>
      </c>
      <c r="C2566" s="1">
        <v>33224</v>
      </c>
      <c r="D2566" t="s">
        <v>4892</v>
      </c>
      <c r="E2566" t="str">
        <f t="shared" si="128"/>
        <v>서울특별시</v>
      </c>
      <c r="F2566" t="str">
        <f t="shared" si="129"/>
        <v>서대문구</v>
      </c>
      <c r="G2566" t="str">
        <f t="shared" si="127"/>
        <v>창천동</v>
      </c>
    </row>
    <row r="2567" spans="1:9" x14ac:dyDescent="0.4">
      <c r="A2567">
        <v>3120000</v>
      </c>
      <c r="B2567" t="s">
        <v>5099</v>
      </c>
      <c r="C2567" s="1">
        <v>28403</v>
      </c>
      <c r="D2567" t="s">
        <v>5100</v>
      </c>
      <c r="E2567" t="str">
        <f t="shared" si="128"/>
        <v>서울특별시</v>
      </c>
      <c r="F2567" t="str">
        <f t="shared" si="129"/>
        <v>서대문구</v>
      </c>
      <c r="G2567" t="str">
        <f t="shared" si="127"/>
        <v>창천동</v>
      </c>
    </row>
    <row r="2568" spans="1:9" x14ac:dyDescent="0.4">
      <c r="A2568">
        <v>3120000</v>
      </c>
      <c r="B2568" t="s">
        <v>5037</v>
      </c>
      <c r="C2568" s="1">
        <v>36455</v>
      </c>
      <c r="D2568" t="s">
        <v>5038</v>
      </c>
      <c r="E2568" t="str">
        <f t="shared" si="128"/>
        <v>서울특별시</v>
      </c>
      <c r="F2568" t="str">
        <f t="shared" si="129"/>
        <v>서대문구</v>
      </c>
      <c r="G2568" t="str">
        <f t="shared" si="127"/>
        <v>창천동</v>
      </c>
      <c r="H2568" t="s">
        <v>5039</v>
      </c>
      <c r="I2568">
        <v>3779</v>
      </c>
    </row>
    <row r="2569" spans="1:9" x14ac:dyDescent="0.4">
      <c r="A2569">
        <v>3120000</v>
      </c>
      <c r="B2569" t="s">
        <v>5003</v>
      </c>
      <c r="C2569" s="1">
        <v>31012</v>
      </c>
      <c r="D2569" t="s">
        <v>5004</v>
      </c>
      <c r="E2569" t="str">
        <f t="shared" si="128"/>
        <v>서울특별시</v>
      </c>
      <c r="F2569" t="str">
        <f t="shared" si="129"/>
        <v>서대문구</v>
      </c>
      <c r="G2569" t="str">
        <f t="shared" si="127"/>
        <v>창천동</v>
      </c>
    </row>
    <row r="2570" spans="1:9" x14ac:dyDescent="0.4">
      <c r="A2570">
        <v>3120000</v>
      </c>
      <c r="B2570" t="s">
        <v>5005</v>
      </c>
      <c r="C2570" s="1">
        <v>45505</v>
      </c>
      <c r="D2570" t="s">
        <v>5006</v>
      </c>
      <c r="E2570" t="str">
        <f t="shared" si="128"/>
        <v>서울특별시</v>
      </c>
      <c r="F2570" t="str">
        <f t="shared" si="129"/>
        <v>서대문구</v>
      </c>
      <c r="G2570" t="str">
        <f t="shared" si="127"/>
        <v>창천동</v>
      </c>
      <c r="H2570" t="s">
        <v>5007</v>
      </c>
      <c r="I2570">
        <v>3779</v>
      </c>
    </row>
    <row r="2571" spans="1:9" x14ac:dyDescent="0.4">
      <c r="A2571">
        <v>3120000</v>
      </c>
      <c r="B2571" t="s">
        <v>4927</v>
      </c>
      <c r="C2571" s="1">
        <v>28445</v>
      </c>
      <c r="D2571" t="s">
        <v>4928</v>
      </c>
      <c r="E2571" t="str">
        <f t="shared" si="128"/>
        <v>서울특별시</v>
      </c>
      <c r="F2571" t="str">
        <f t="shared" si="129"/>
        <v>서대문구</v>
      </c>
      <c r="G2571" t="str">
        <f t="shared" si="127"/>
        <v>창천동</v>
      </c>
      <c r="H2571" t="s">
        <v>4929</v>
      </c>
      <c r="I2571">
        <v>3779</v>
      </c>
    </row>
    <row r="2572" spans="1:9" x14ac:dyDescent="0.4">
      <c r="A2572">
        <v>3120000</v>
      </c>
      <c r="B2572" t="s">
        <v>4936</v>
      </c>
      <c r="C2572" s="1">
        <v>29022</v>
      </c>
      <c r="D2572" t="s">
        <v>4937</v>
      </c>
      <c r="E2572" t="str">
        <f t="shared" si="128"/>
        <v>서울특별시</v>
      </c>
      <c r="F2572" t="str">
        <f t="shared" si="129"/>
        <v>서대문구</v>
      </c>
      <c r="G2572" t="str">
        <f t="shared" si="127"/>
        <v>창천동</v>
      </c>
      <c r="H2572" t="s">
        <v>4938</v>
      </c>
      <c r="I2572">
        <v>3779</v>
      </c>
    </row>
    <row r="2573" spans="1:9" x14ac:dyDescent="0.4">
      <c r="A2573">
        <v>3120000</v>
      </c>
      <c r="B2573" t="s">
        <v>90</v>
      </c>
      <c r="C2573" s="1">
        <v>40674</v>
      </c>
      <c r="D2573" t="s">
        <v>91</v>
      </c>
      <c r="E2573" t="str">
        <f t="shared" si="128"/>
        <v>서울특별시</v>
      </c>
      <c r="F2573" t="str">
        <f t="shared" si="129"/>
        <v>서대문구</v>
      </c>
      <c r="G2573" t="str">
        <f t="shared" si="127"/>
        <v>창천동</v>
      </c>
      <c r="H2573" t="s">
        <v>92</v>
      </c>
      <c r="I2573">
        <v>3779</v>
      </c>
    </row>
    <row r="2574" spans="1:9" x14ac:dyDescent="0.4">
      <c r="A2574">
        <v>3120000</v>
      </c>
      <c r="B2574" t="s">
        <v>5059</v>
      </c>
      <c r="C2574" s="1">
        <v>37280</v>
      </c>
      <c r="D2574" t="s">
        <v>5060</v>
      </c>
      <c r="E2574" t="str">
        <f t="shared" si="128"/>
        <v>서울특별시</v>
      </c>
      <c r="F2574" t="str">
        <f t="shared" si="129"/>
        <v>서대문구</v>
      </c>
      <c r="G2574" t="str">
        <f t="shared" si="127"/>
        <v>창천동</v>
      </c>
      <c r="H2574" t="s">
        <v>5061</v>
      </c>
      <c r="I2574">
        <v>3779</v>
      </c>
    </row>
    <row r="2575" spans="1:9" x14ac:dyDescent="0.4">
      <c r="A2575">
        <v>3120000</v>
      </c>
      <c r="B2575" t="s">
        <v>4924</v>
      </c>
      <c r="C2575" s="1">
        <v>27629</v>
      </c>
      <c r="D2575" t="s">
        <v>4925</v>
      </c>
      <c r="E2575" t="str">
        <f t="shared" si="128"/>
        <v>서울특별시</v>
      </c>
      <c r="F2575" t="str">
        <f t="shared" si="129"/>
        <v>서대문구</v>
      </c>
      <c r="G2575" t="str">
        <f t="shared" si="127"/>
        <v>창천동</v>
      </c>
      <c r="H2575" t="s">
        <v>4926</v>
      </c>
      <c r="I2575">
        <v>3779</v>
      </c>
    </row>
    <row r="2576" spans="1:9" x14ac:dyDescent="0.4">
      <c r="A2576">
        <v>3120000</v>
      </c>
      <c r="B2576" t="s">
        <v>5088</v>
      </c>
      <c r="C2576" s="1">
        <v>27337</v>
      </c>
      <c r="D2576" t="s">
        <v>5089</v>
      </c>
      <c r="E2576" t="str">
        <f t="shared" si="128"/>
        <v>서울특별시</v>
      </c>
      <c r="F2576" t="str">
        <f t="shared" si="129"/>
        <v>서대문구</v>
      </c>
      <c r="G2576" t="str">
        <f t="shared" si="127"/>
        <v>창천동</v>
      </c>
      <c r="H2576" t="s">
        <v>5090</v>
      </c>
      <c r="I2576">
        <v>3779</v>
      </c>
    </row>
    <row r="2577" spans="1:9" x14ac:dyDescent="0.4">
      <c r="A2577">
        <v>3120000</v>
      </c>
      <c r="B2577" t="s">
        <v>4989</v>
      </c>
      <c r="C2577" s="1">
        <v>30443</v>
      </c>
      <c r="D2577" t="s">
        <v>4990</v>
      </c>
      <c r="E2577" t="str">
        <f t="shared" si="128"/>
        <v>서울특별시</v>
      </c>
      <c r="F2577" t="str">
        <f t="shared" si="129"/>
        <v>서대문구</v>
      </c>
      <c r="G2577" t="str">
        <f t="shared" si="127"/>
        <v>창천동</v>
      </c>
    </row>
    <row r="2578" spans="1:9" x14ac:dyDescent="0.4">
      <c r="A2578">
        <v>3120000</v>
      </c>
      <c r="B2578" t="s">
        <v>5019</v>
      </c>
      <c r="C2578" s="1">
        <v>31428</v>
      </c>
      <c r="D2578" t="s">
        <v>5020</v>
      </c>
      <c r="E2578" t="str">
        <f t="shared" si="128"/>
        <v>서울특별시</v>
      </c>
      <c r="F2578" t="str">
        <f t="shared" si="129"/>
        <v>서대문구</v>
      </c>
      <c r="G2578" t="str">
        <f t="shared" si="127"/>
        <v>창천동</v>
      </c>
    </row>
    <row r="2579" spans="1:9" x14ac:dyDescent="0.4">
      <c r="A2579">
        <v>3120000</v>
      </c>
      <c r="B2579" t="s">
        <v>5046</v>
      </c>
      <c r="C2579" s="1">
        <v>36873</v>
      </c>
      <c r="D2579" t="s">
        <v>5020</v>
      </c>
      <c r="E2579" t="str">
        <f t="shared" si="128"/>
        <v>서울특별시</v>
      </c>
      <c r="F2579" t="str">
        <f t="shared" si="129"/>
        <v>서대문구</v>
      </c>
      <c r="G2579" t="str">
        <f t="shared" si="127"/>
        <v>창천동</v>
      </c>
    </row>
    <row r="2580" spans="1:9" x14ac:dyDescent="0.4">
      <c r="A2580">
        <v>3120000</v>
      </c>
      <c r="B2580" t="s">
        <v>5058</v>
      </c>
      <c r="C2580" s="1">
        <v>37245</v>
      </c>
      <c r="D2580" t="s">
        <v>5020</v>
      </c>
      <c r="E2580" t="str">
        <f t="shared" si="128"/>
        <v>서울특별시</v>
      </c>
      <c r="F2580" t="str">
        <f t="shared" si="129"/>
        <v>서대문구</v>
      </c>
      <c r="G2580" t="str">
        <f t="shared" si="127"/>
        <v>창천동</v>
      </c>
    </row>
    <row r="2581" spans="1:9" x14ac:dyDescent="0.4">
      <c r="A2581">
        <v>3120000</v>
      </c>
      <c r="B2581" t="s">
        <v>5068</v>
      </c>
      <c r="C2581" s="1">
        <v>38813</v>
      </c>
      <c r="D2581" t="s">
        <v>5069</v>
      </c>
      <c r="E2581" t="str">
        <f t="shared" si="128"/>
        <v>서울특별시</v>
      </c>
      <c r="F2581" t="str">
        <f t="shared" si="129"/>
        <v>서대문구</v>
      </c>
      <c r="G2581" t="str">
        <f t="shared" si="127"/>
        <v>창천동</v>
      </c>
    </row>
    <row r="2582" spans="1:9" x14ac:dyDescent="0.4">
      <c r="A2582">
        <v>3120000</v>
      </c>
      <c r="B2582" t="s">
        <v>5091</v>
      </c>
      <c r="C2582" s="1">
        <v>27622</v>
      </c>
      <c r="D2582" t="s">
        <v>5092</v>
      </c>
      <c r="E2582" t="str">
        <f t="shared" si="128"/>
        <v>서울특별시</v>
      </c>
      <c r="F2582" t="str">
        <f t="shared" si="129"/>
        <v>서대문구</v>
      </c>
      <c r="G2582" t="str">
        <f t="shared" si="127"/>
        <v>창천동</v>
      </c>
    </row>
    <row r="2583" spans="1:9" x14ac:dyDescent="0.4">
      <c r="A2583">
        <v>3120000</v>
      </c>
      <c r="B2583" t="s">
        <v>4902</v>
      </c>
      <c r="C2583" s="1">
        <v>36300</v>
      </c>
      <c r="D2583" t="s">
        <v>4903</v>
      </c>
      <c r="E2583" t="str">
        <f t="shared" si="128"/>
        <v>서울특별시</v>
      </c>
      <c r="F2583" t="str">
        <f t="shared" si="129"/>
        <v>서대문구</v>
      </c>
      <c r="G2583" t="str">
        <f t="shared" si="127"/>
        <v>창천동</v>
      </c>
    </row>
    <row r="2584" spans="1:9" x14ac:dyDescent="0.4">
      <c r="A2584">
        <v>3120000</v>
      </c>
      <c r="B2584" t="s">
        <v>5110</v>
      </c>
      <c r="C2584" s="1">
        <v>32913</v>
      </c>
      <c r="D2584" t="s">
        <v>5111</v>
      </c>
      <c r="E2584" t="str">
        <f t="shared" si="128"/>
        <v>서울특별시</v>
      </c>
      <c r="F2584" t="str">
        <f t="shared" si="129"/>
        <v>서대문구</v>
      </c>
      <c r="G2584" t="str">
        <f t="shared" si="127"/>
        <v>창천동</v>
      </c>
    </row>
    <row r="2585" spans="1:9" x14ac:dyDescent="0.4">
      <c r="A2585">
        <v>3120000</v>
      </c>
      <c r="B2585" t="s">
        <v>4887</v>
      </c>
      <c r="C2585" s="1">
        <v>30333</v>
      </c>
      <c r="D2585" t="s">
        <v>4888</v>
      </c>
      <c r="E2585" t="str">
        <f t="shared" si="128"/>
        <v>서울특별시</v>
      </c>
      <c r="F2585" t="str">
        <f t="shared" si="129"/>
        <v>서대문구</v>
      </c>
      <c r="G2585" t="str">
        <f t="shared" ref="G2585:G2610" si="130">MID(SUBSTITUTE(D2585," ",""),10,3)</f>
        <v>창천동</v>
      </c>
    </row>
    <row r="2586" spans="1:9" x14ac:dyDescent="0.4">
      <c r="A2586">
        <v>3120000</v>
      </c>
      <c r="B2586" t="s">
        <v>4994</v>
      </c>
      <c r="C2586" s="1">
        <v>30763</v>
      </c>
      <c r="D2586" t="s">
        <v>4995</v>
      </c>
      <c r="E2586" t="str">
        <f t="shared" si="128"/>
        <v>서울특별시</v>
      </c>
      <c r="F2586" t="str">
        <f t="shared" si="129"/>
        <v>서대문구</v>
      </c>
      <c r="G2586" t="str">
        <f t="shared" si="130"/>
        <v>창천동</v>
      </c>
    </row>
    <row r="2587" spans="1:9" x14ac:dyDescent="0.4">
      <c r="A2587">
        <v>3120000</v>
      </c>
      <c r="B2587" t="s">
        <v>4912</v>
      </c>
      <c r="C2587" s="1">
        <v>26478</v>
      </c>
      <c r="D2587" t="s">
        <v>4913</v>
      </c>
      <c r="E2587" t="str">
        <f t="shared" si="128"/>
        <v>서울특별시</v>
      </c>
      <c r="F2587" t="str">
        <f t="shared" si="129"/>
        <v>서대문구</v>
      </c>
      <c r="G2587" t="str">
        <f t="shared" si="130"/>
        <v>창천동</v>
      </c>
      <c r="H2587" t="s">
        <v>4914</v>
      </c>
      <c r="I2587">
        <v>3779</v>
      </c>
    </row>
    <row r="2588" spans="1:9" x14ac:dyDescent="0.4">
      <c r="A2588">
        <v>3120000</v>
      </c>
      <c r="B2588" t="s">
        <v>5072</v>
      </c>
      <c r="C2588" s="1">
        <v>31509</v>
      </c>
      <c r="D2588" t="s">
        <v>5073</v>
      </c>
      <c r="E2588" t="str">
        <f t="shared" si="128"/>
        <v>서울특별시</v>
      </c>
      <c r="F2588" t="str">
        <f t="shared" si="129"/>
        <v>서대문구</v>
      </c>
      <c r="G2588" t="str">
        <f t="shared" si="130"/>
        <v>창천동</v>
      </c>
    </row>
    <row r="2589" spans="1:9" x14ac:dyDescent="0.4">
      <c r="A2589">
        <v>3120000</v>
      </c>
      <c r="B2589" t="s">
        <v>5112</v>
      </c>
      <c r="C2589" s="1">
        <v>33035</v>
      </c>
      <c r="D2589" t="s">
        <v>5073</v>
      </c>
      <c r="E2589" t="str">
        <f t="shared" si="128"/>
        <v>서울특별시</v>
      </c>
      <c r="F2589" t="str">
        <f t="shared" si="129"/>
        <v>서대문구</v>
      </c>
      <c r="G2589" t="str">
        <f t="shared" si="130"/>
        <v>창천동</v>
      </c>
    </row>
    <row r="2590" spans="1:9" x14ac:dyDescent="0.4">
      <c r="A2590">
        <v>3120000</v>
      </c>
      <c r="B2590" t="s">
        <v>5085</v>
      </c>
      <c r="C2590" s="1">
        <v>27268</v>
      </c>
      <c r="D2590" t="s">
        <v>5086</v>
      </c>
      <c r="E2590" t="str">
        <f t="shared" si="128"/>
        <v>서울특별시</v>
      </c>
      <c r="F2590" t="str">
        <f t="shared" si="129"/>
        <v>서대문구</v>
      </c>
      <c r="G2590" t="str">
        <f t="shared" si="130"/>
        <v>창천동</v>
      </c>
      <c r="H2590" t="s">
        <v>5087</v>
      </c>
      <c r="I2590">
        <v>3779</v>
      </c>
    </row>
    <row r="2591" spans="1:9" x14ac:dyDescent="0.4">
      <c r="A2591">
        <v>3120000</v>
      </c>
      <c r="B2591" t="s">
        <v>5093</v>
      </c>
      <c r="C2591" s="1">
        <v>27748</v>
      </c>
      <c r="D2591" t="s">
        <v>5094</v>
      </c>
      <c r="E2591" t="str">
        <f t="shared" si="128"/>
        <v>서울특별시</v>
      </c>
      <c r="F2591" t="str">
        <f t="shared" si="129"/>
        <v>서대문구</v>
      </c>
      <c r="G2591" t="str">
        <f t="shared" si="130"/>
        <v>창천동</v>
      </c>
    </row>
    <row r="2592" spans="1:9" x14ac:dyDescent="0.4">
      <c r="A2592">
        <v>3120000</v>
      </c>
      <c r="B2592" t="s">
        <v>5040</v>
      </c>
      <c r="C2592" s="1">
        <v>36502</v>
      </c>
      <c r="D2592" t="s">
        <v>5041</v>
      </c>
      <c r="E2592" t="str">
        <f t="shared" si="128"/>
        <v>서울특별시</v>
      </c>
      <c r="F2592" t="str">
        <f t="shared" si="129"/>
        <v>서대문구</v>
      </c>
      <c r="G2592" t="str">
        <f t="shared" si="130"/>
        <v>창천동</v>
      </c>
      <c r="H2592" t="s">
        <v>5042</v>
      </c>
      <c r="I2592">
        <v>3779</v>
      </c>
    </row>
    <row r="2593" spans="1:9" x14ac:dyDescent="0.4">
      <c r="A2593">
        <v>3120000</v>
      </c>
      <c r="B2593" t="s">
        <v>5115</v>
      </c>
      <c r="C2593" s="1">
        <v>28962</v>
      </c>
      <c r="D2593" t="s">
        <v>5116</v>
      </c>
      <c r="E2593" t="str">
        <f t="shared" si="128"/>
        <v>서울특별시</v>
      </c>
      <c r="F2593" t="str">
        <f t="shared" si="129"/>
        <v>서대문구</v>
      </c>
      <c r="G2593" t="str">
        <f t="shared" si="130"/>
        <v>창천동</v>
      </c>
    </row>
    <row r="2594" spans="1:9" x14ac:dyDescent="0.4">
      <c r="A2594">
        <v>3120000</v>
      </c>
      <c r="B2594" t="s">
        <v>5014</v>
      </c>
      <c r="C2594" s="1">
        <v>31287</v>
      </c>
      <c r="D2594" t="s">
        <v>5015</v>
      </c>
      <c r="E2594" t="str">
        <f t="shared" si="128"/>
        <v>서울특별시</v>
      </c>
      <c r="F2594" t="str">
        <f t="shared" si="129"/>
        <v>서대문구</v>
      </c>
      <c r="G2594" t="str">
        <f t="shared" si="130"/>
        <v>창천동</v>
      </c>
    </row>
    <row r="2595" spans="1:9" x14ac:dyDescent="0.4">
      <c r="A2595">
        <v>3120000</v>
      </c>
      <c r="B2595" t="s">
        <v>4972</v>
      </c>
      <c r="C2595" s="1">
        <v>39661</v>
      </c>
      <c r="D2595" t="s">
        <v>4973</v>
      </c>
      <c r="E2595" t="str">
        <f t="shared" si="128"/>
        <v>서울특별시</v>
      </c>
      <c r="F2595" t="str">
        <f t="shared" si="129"/>
        <v>서대문구</v>
      </c>
      <c r="G2595" t="str">
        <f t="shared" si="130"/>
        <v>창천동</v>
      </c>
      <c r="H2595" t="s">
        <v>4974</v>
      </c>
      <c r="I2595">
        <v>3789</v>
      </c>
    </row>
    <row r="2596" spans="1:9" x14ac:dyDescent="0.4">
      <c r="A2596">
        <v>3120000</v>
      </c>
      <c r="B2596" t="s">
        <v>5026</v>
      </c>
      <c r="C2596" s="1">
        <v>32037</v>
      </c>
      <c r="D2596" t="s">
        <v>5027</v>
      </c>
      <c r="E2596" t="str">
        <f t="shared" si="128"/>
        <v>서울특별시</v>
      </c>
      <c r="F2596" t="str">
        <f t="shared" si="129"/>
        <v>서대문구</v>
      </c>
      <c r="G2596" t="str">
        <f t="shared" si="130"/>
        <v>창천동</v>
      </c>
      <c r="H2596" t="s">
        <v>5028</v>
      </c>
      <c r="I2596">
        <v>3789</v>
      </c>
    </row>
    <row r="2597" spans="1:9" x14ac:dyDescent="0.4">
      <c r="A2597">
        <v>3120000</v>
      </c>
      <c r="B2597" t="s">
        <v>5103</v>
      </c>
      <c r="C2597" s="1">
        <v>32298</v>
      </c>
      <c r="D2597" t="s">
        <v>5027</v>
      </c>
      <c r="E2597" t="str">
        <f t="shared" si="128"/>
        <v>서울특별시</v>
      </c>
      <c r="F2597" t="str">
        <f t="shared" si="129"/>
        <v>서대문구</v>
      </c>
      <c r="G2597" t="str">
        <f t="shared" si="130"/>
        <v>창천동</v>
      </c>
      <c r="H2597" t="s">
        <v>5028</v>
      </c>
      <c r="I2597">
        <v>3789</v>
      </c>
    </row>
    <row r="2598" spans="1:9" x14ac:dyDescent="0.4">
      <c r="A2598">
        <v>3120000</v>
      </c>
      <c r="B2598" t="s">
        <v>5113</v>
      </c>
      <c r="C2598" s="1">
        <v>28788</v>
      </c>
      <c r="D2598" t="s">
        <v>5114</v>
      </c>
      <c r="E2598" t="str">
        <f t="shared" si="128"/>
        <v>서울특별시</v>
      </c>
      <c r="F2598" t="str">
        <f t="shared" si="129"/>
        <v>서대문구</v>
      </c>
      <c r="G2598" t="str">
        <f t="shared" si="130"/>
        <v>창천동</v>
      </c>
    </row>
    <row r="2599" spans="1:9" x14ac:dyDescent="0.4">
      <c r="A2599">
        <v>3120000</v>
      </c>
      <c r="B2599" t="s">
        <v>5033</v>
      </c>
      <c r="C2599" s="1">
        <v>25812</v>
      </c>
      <c r="D2599" t="s">
        <v>5034</v>
      </c>
      <c r="E2599" t="str">
        <f t="shared" si="128"/>
        <v>서울특별시</v>
      </c>
      <c r="F2599" t="str">
        <f t="shared" si="129"/>
        <v>서대문구</v>
      </c>
      <c r="G2599" t="str">
        <f t="shared" si="130"/>
        <v>창천동</v>
      </c>
    </row>
    <row r="2600" spans="1:9" x14ac:dyDescent="0.4">
      <c r="A2600">
        <v>3120000</v>
      </c>
      <c r="B2600" t="s">
        <v>4966</v>
      </c>
      <c r="C2600" s="1">
        <v>37168</v>
      </c>
      <c r="D2600" t="s">
        <v>4967</v>
      </c>
      <c r="E2600" t="str">
        <f t="shared" si="128"/>
        <v>서울특별시</v>
      </c>
      <c r="F2600" t="str">
        <f t="shared" si="129"/>
        <v>서대문구</v>
      </c>
      <c r="G2600" t="str">
        <f t="shared" si="130"/>
        <v>창천동</v>
      </c>
      <c r="H2600" t="s">
        <v>4968</v>
      </c>
      <c r="I2600">
        <v>3789</v>
      </c>
    </row>
    <row r="2601" spans="1:9" x14ac:dyDescent="0.4">
      <c r="A2601">
        <v>3120000</v>
      </c>
      <c r="B2601" t="s">
        <v>5050</v>
      </c>
      <c r="C2601" s="1">
        <v>36963</v>
      </c>
      <c r="D2601" t="s">
        <v>5051</v>
      </c>
      <c r="E2601" t="str">
        <f t="shared" si="128"/>
        <v>서울특별시</v>
      </c>
      <c r="F2601" t="str">
        <f t="shared" si="129"/>
        <v>서대문구</v>
      </c>
      <c r="G2601" t="str">
        <f t="shared" si="130"/>
        <v>창천동</v>
      </c>
    </row>
    <row r="2602" spans="1:9" x14ac:dyDescent="0.4">
      <c r="A2602">
        <v>3120000</v>
      </c>
      <c r="B2602" t="s">
        <v>4987</v>
      </c>
      <c r="C2602" s="1">
        <v>30391</v>
      </c>
      <c r="D2602" t="s">
        <v>4988</v>
      </c>
      <c r="E2602" t="str">
        <f t="shared" si="128"/>
        <v>서울특별시</v>
      </c>
      <c r="F2602" t="str">
        <f t="shared" si="129"/>
        <v>서대문구</v>
      </c>
      <c r="G2602" t="str">
        <f t="shared" si="130"/>
        <v>창천동</v>
      </c>
    </row>
    <row r="2603" spans="1:9" x14ac:dyDescent="0.4">
      <c r="A2603">
        <v>3120000</v>
      </c>
      <c r="B2603" t="s">
        <v>4909</v>
      </c>
      <c r="C2603" s="1">
        <v>26358</v>
      </c>
      <c r="D2603" t="s">
        <v>4910</v>
      </c>
      <c r="E2603" t="str">
        <f t="shared" si="128"/>
        <v>서울특별시</v>
      </c>
      <c r="F2603" t="str">
        <f t="shared" si="129"/>
        <v>서대문구</v>
      </c>
      <c r="G2603" t="str">
        <f t="shared" si="130"/>
        <v>창천동</v>
      </c>
      <c r="H2603" t="s">
        <v>4911</v>
      </c>
      <c r="I2603">
        <v>3785</v>
      </c>
    </row>
    <row r="2604" spans="1:9" x14ac:dyDescent="0.4">
      <c r="A2604">
        <v>3120000</v>
      </c>
      <c r="B2604" t="s">
        <v>5031</v>
      </c>
      <c r="C2604" s="1">
        <v>25700</v>
      </c>
      <c r="D2604" t="s">
        <v>5032</v>
      </c>
      <c r="E2604" t="str">
        <f t="shared" si="128"/>
        <v>서울특별시</v>
      </c>
      <c r="F2604" t="str">
        <f t="shared" si="129"/>
        <v>서대문구</v>
      </c>
      <c r="G2604" t="str">
        <f t="shared" si="130"/>
        <v>창천동</v>
      </c>
    </row>
    <row r="2605" spans="1:9" x14ac:dyDescent="0.4">
      <c r="A2605">
        <v>3120000</v>
      </c>
      <c r="B2605" t="s">
        <v>4930</v>
      </c>
      <c r="C2605" s="1">
        <v>32514</v>
      </c>
      <c r="D2605" t="s">
        <v>4931</v>
      </c>
      <c r="E2605" t="str">
        <f t="shared" si="128"/>
        <v>서울특별시</v>
      </c>
      <c r="F2605" t="str">
        <f t="shared" si="129"/>
        <v>서대문구</v>
      </c>
      <c r="G2605" t="str">
        <f t="shared" si="130"/>
        <v>홍은동</v>
      </c>
      <c r="H2605" t="s">
        <v>4932</v>
      </c>
      <c r="I2605">
        <v>3650</v>
      </c>
    </row>
    <row r="2606" spans="1:9" x14ac:dyDescent="0.4">
      <c r="A2606">
        <v>3120000</v>
      </c>
      <c r="B2606" t="s">
        <v>5078</v>
      </c>
      <c r="C2606" s="1">
        <v>26431</v>
      </c>
      <c r="D2606" t="s">
        <v>5079</v>
      </c>
      <c r="E2606" t="str">
        <f t="shared" si="128"/>
        <v>서울특별시</v>
      </c>
      <c r="F2606" t="str">
        <f t="shared" si="129"/>
        <v>서대문구</v>
      </c>
      <c r="G2606" t="str">
        <f t="shared" si="130"/>
        <v>홍제동</v>
      </c>
    </row>
    <row r="2607" spans="1:9" x14ac:dyDescent="0.4">
      <c r="A2607">
        <v>3120000</v>
      </c>
      <c r="B2607" t="s">
        <v>4906</v>
      </c>
      <c r="C2607" s="1">
        <v>30389</v>
      </c>
      <c r="D2607" t="s">
        <v>4907</v>
      </c>
      <c r="E2607" t="str">
        <f t="shared" si="128"/>
        <v>서울특별시</v>
      </c>
      <c r="F2607" t="str">
        <f t="shared" si="129"/>
        <v>서대문구</v>
      </c>
      <c r="G2607" t="str">
        <f t="shared" si="130"/>
        <v>홍제동</v>
      </c>
      <c r="H2607" t="s">
        <v>4908</v>
      </c>
      <c r="I2607">
        <v>3628</v>
      </c>
    </row>
    <row r="2608" spans="1:9" x14ac:dyDescent="0.4">
      <c r="A2608">
        <v>3120000</v>
      </c>
      <c r="B2608" t="s">
        <v>5010</v>
      </c>
      <c r="C2608" s="1">
        <v>31174</v>
      </c>
      <c r="D2608" t="s">
        <v>5011</v>
      </c>
      <c r="E2608" t="str">
        <f t="shared" si="128"/>
        <v>서울특별시</v>
      </c>
      <c r="F2608" t="str">
        <f t="shared" si="129"/>
        <v>서대문구</v>
      </c>
      <c r="G2608" t="str">
        <f t="shared" si="130"/>
        <v>홍제동</v>
      </c>
    </row>
    <row r="2609" spans="1:9" x14ac:dyDescent="0.4">
      <c r="A2609">
        <v>3120000</v>
      </c>
      <c r="B2609" t="s">
        <v>4915</v>
      </c>
      <c r="C2609" s="1">
        <v>26943</v>
      </c>
      <c r="D2609" t="s">
        <v>4916</v>
      </c>
      <c r="E2609" t="str">
        <f t="shared" si="128"/>
        <v>서울특별시</v>
      </c>
      <c r="F2609" t="str">
        <f t="shared" si="129"/>
        <v>서대문구</v>
      </c>
      <c r="G2609" t="str">
        <f t="shared" si="130"/>
        <v>홍제동</v>
      </c>
      <c r="H2609" t="s">
        <v>4917</v>
      </c>
      <c r="I2609">
        <v>3629</v>
      </c>
    </row>
    <row r="2610" spans="1:9" x14ac:dyDescent="0.4">
      <c r="A2610">
        <v>3120000</v>
      </c>
      <c r="B2610" t="s">
        <v>4975</v>
      </c>
      <c r="C2610" s="1">
        <v>37453</v>
      </c>
      <c r="D2610" t="s">
        <v>4976</v>
      </c>
      <c r="E2610" t="str">
        <f t="shared" si="128"/>
        <v>서울특별시</v>
      </c>
      <c r="F2610" t="str">
        <f t="shared" si="129"/>
        <v>서대문구</v>
      </c>
      <c r="G2610" t="str">
        <f t="shared" si="130"/>
        <v>홍제동</v>
      </c>
      <c r="H2610" t="s">
        <v>4977</v>
      </c>
      <c r="I2610">
        <v>3636</v>
      </c>
    </row>
    <row r="2611" spans="1:9" x14ac:dyDescent="0.4">
      <c r="A2611">
        <v>3210000</v>
      </c>
      <c r="B2611" t="s">
        <v>9298</v>
      </c>
      <c r="C2611" s="1">
        <v>31388</v>
      </c>
      <c r="D2611" t="s">
        <v>9299</v>
      </c>
      <c r="E2611" t="str">
        <f t="shared" si="128"/>
        <v>서울특별시</v>
      </c>
      <c r="F2611" t="str">
        <f t="shared" si="129"/>
        <v xml:space="preserve">서초구 </v>
      </c>
      <c r="G2611" t="str">
        <f t="shared" ref="G2611:G2626" si="131">MID(SUBSTITUTE(D2611," ",""),9,3)</f>
        <v>내곡동</v>
      </c>
    </row>
    <row r="2612" spans="1:9" x14ac:dyDescent="0.4">
      <c r="A2612">
        <v>3210000</v>
      </c>
      <c r="B2612" t="s">
        <v>9373</v>
      </c>
      <c r="C2612" s="1">
        <v>32617</v>
      </c>
      <c r="D2612" t="s">
        <v>9374</v>
      </c>
      <c r="E2612" t="str">
        <f t="shared" si="128"/>
        <v>서울특별시</v>
      </c>
      <c r="F2612" t="str">
        <f t="shared" si="129"/>
        <v xml:space="preserve">서초구 </v>
      </c>
      <c r="G2612" t="str">
        <f t="shared" si="131"/>
        <v>내곡동</v>
      </c>
    </row>
    <row r="2613" spans="1:9" x14ac:dyDescent="0.4">
      <c r="A2613">
        <v>3210000</v>
      </c>
      <c r="B2613" t="s">
        <v>9234</v>
      </c>
      <c r="C2613" s="1">
        <v>32048</v>
      </c>
      <c r="D2613" t="s">
        <v>9235</v>
      </c>
      <c r="E2613" t="str">
        <f t="shared" si="128"/>
        <v>서울특별시</v>
      </c>
      <c r="F2613" t="str">
        <f t="shared" si="129"/>
        <v xml:space="preserve">서초구 </v>
      </c>
      <c r="G2613" t="str">
        <f t="shared" si="131"/>
        <v>내곡동</v>
      </c>
    </row>
    <row r="2614" spans="1:9" x14ac:dyDescent="0.4">
      <c r="A2614">
        <v>3210000</v>
      </c>
      <c r="B2614" t="s">
        <v>9203</v>
      </c>
      <c r="C2614" s="1">
        <v>30434</v>
      </c>
      <c r="D2614" t="s">
        <v>9204</v>
      </c>
      <c r="E2614" t="str">
        <f t="shared" si="128"/>
        <v>서울특별시</v>
      </c>
      <c r="F2614" t="str">
        <f t="shared" si="129"/>
        <v xml:space="preserve">서초구 </v>
      </c>
      <c r="G2614" t="str">
        <f t="shared" si="131"/>
        <v>반포동</v>
      </c>
      <c r="H2614" t="s">
        <v>9205</v>
      </c>
      <c r="I2614">
        <v>6546</v>
      </c>
    </row>
    <row r="2615" spans="1:9" x14ac:dyDescent="0.4">
      <c r="A2615">
        <v>3210000</v>
      </c>
      <c r="B2615" t="s">
        <v>8958</v>
      </c>
      <c r="C2615" s="1">
        <v>36756</v>
      </c>
      <c r="D2615" t="s">
        <v>8959</v>
      </c>
      <c r="E2615" t="str">
        <f t="shared" si="128"/>
        <v>서울특별시</v>
      </c>
      <c r="F2615" t="str">
        <f t="shared" si="129"/>
        <v xml:space="preserve">서초구 </v>
      </c>
      <c r="G2615" t="str">
        <f t="shared" si="131"/>
        <v>반포동</v>
      </c>
    </row>
    <row r="2616" spans="1:9" x14ac:dyDescent="0.4">
      <c r="A2616">
        <v>3210000</v>
      </c>
      <c r="B2616" t="s">
        <v>9017</v>
      </c>
      <c r="C2616" s="1">
        <v>30571</v>
      </c>
      <c r="D2616" t="s">
        <v>9018</v>
      </c>
      <c r="E2616" t="str">
        <f t="shared" si="128"/>
        <v>서울특별시</v>
      </c>
      <c r="F2616" t="str">
        <f t="shared" si="129"/>
        <v xml:space="preserve">서초구 </v>
      </c>
      <c r="G2616" t="str">
        <f t="shared" si="131"/>
        <v>반포동</v>
      </c>
    </row>
    <row r="2617" spans="1:9" x14ac:dyDescent="0.4">
      <c r="A2617">
        <v>3210000</v>
      </c>
      <c r="B2617" t="s">
        <v>9313</v>
      </c>
      <c r="C2617" s="1">
        <v>38330</v>
      </c>
      <c r="D2617" t="s">
        <v>9314</v>
      </c>
      <c r="E2617" t="str">
        <f t="shared" si="128"/>
        <v>서울특별시</v>
      </c>
      <c r="F2617" t="str">
        <f t="shared" si="129"/>
        <v xml:space="preserve">서초구 </v>
      </c>
      <c r="G2617" t="str">
        <f t="shared" si="131"/>
        <v>반포동</v>
      </c>
    </row>
    <row r="2618" spans="1:9" x14ac:dyDescent="0.4">
      <c r="A2618">
        <v>3210000</v>
      </c>
      <c r="B2618" t="s">
        <v>9199</v>
      </c>
      <c r="C2618" s="1">
        <v>30132</v>
      </c>
      <c r="D2618" t="s">
        <v>9200</v>
      </c>
      <c r="E2618" t="str">
        <f t="shared" si="128"/>
        <v>서울특별시</v>
      </c>
      <c r="F2618" t="str">
        <f t="shared" si="129"/>
        <v xml:space="preserve">서초구 </v>
      </c>
      <c r="G2618" t="str">
        <f t="shared" si="131"/>
        <v>반포동</v>
      </c>
    </row>
    <row r="2619" spans="1:9" x14ac:dyDescent="0.4">
      <c r="A2619">
        <v>3210000</v>
      </c>
      <c r="B2619" t="s">
        <v>9100</v>
      </c>
      <c r="C2619" s="1">
        <v>29199</v>
      </c>
      <c r="D2619" t="s">
        <v>9101</v>
      </c>
      <c r="E2619" t="str">
        <f t="shared" si="128"/>
        <v>서울특별시</v>
      </c>
      <c r="F2619" t="str">
        <f t="shared" si="129"/>
        <v xml:space="preserve">서초구 </v>
      </c>
      <c r="G2619" t="str">
        <f t="shared" si="131"/>
        <v>반포동</v>
      </c>
    </row>
    <row r="2620" spans="1:9" x14ac:dyDescent="0.4">
      <c r="A2620">
        <v>3210000</v>
      </c>
      <c r="B2620" t="s">
        <v>9023</v>
      </c>
      <c r="C2620" s="1">
        <v>30802</v>
      </c>
      <c r="D2620" t="s">
        <v>9024</v>
      </c>
      <c r="E2620" t="str">
        <f t="shared" si="128"/>
        <v>서울특별시</v>
      </c>
      <c r="F2620" t="str">
        <f t="shared" si="129"/>
        <v xml:space="preserve">서초구 </v>
      </c>
      <c r="G2620" t="str">
        <f t="shared" si="131"/>
        <v>반포동</v>
      </c>
    </row>
    <row r="2621" spans="1:9" x14ac:dyDescent="0.4">
      <c r="A2621">
        <v>3210000</v>
      </c>
      <c r="B2621" t="s">
        <v>9083</v>
      </c>
      <c r="C2621" s="1">
        <v>28572</v>
      </c>
      <c r="D2621" t="s">
        <v>9084</v>
      </c>
      <c r="E2621" t="str">
        <f t="shared" si="128"/>
        <v>서울특별시</v>
      </c>
      <c r="F2621" t="str">
        <f t="shared" si="129"/>
        <v xml:space="preserve">서초구 </v>
      </c>
      <c r="G2621" t="str">
        <f t="shared" si="131"/>
        <v>반포동</v>
      </c>
    </row>
    <row r="2622" spans="1:9" x14ac:dyDescent="0.4">
      <c r="A2622">
        <v>3210000</v>
      </c>
      <c r="B2622" t="s">
        <v>9142</v>
      </c>
      <c r="C2622" s="1">
        <v>27699</v>
      </c>
      <c r="D2622" t="s">
        <v>9143</v>
      </c>
      <c r="E2622" t="str">
        <f t="shared" si="128"/>
        <v>서울특별시</v>
      </c>
      <c r="F2622" t="str">
        <f t="shared" si="129"/>
        <v xml:space="preserve">서초구 </v>
      </c>
      <c r="G2622" t="str">
        <f t="shared" si="131"/>
        <v>반포동</v>
      </c>
    </row>
    <row r="2623" spans="1:9" x14ac:dyDescent="0.4">
      <c r="A2623">
        <v>3210000</v>
      </c>
      <c r="B2623" t="s">
        <v>9194</v>
      </c>
      <c r="C2623" s="1">
        <v>36858</v>
      </c>
      <c r="D2623" t="s">
        <v>9143</v>
      </c>
      <c r="E2623" t="str">
        <f t="shared" si="128"/>
        <v>서울특별시</v>
      </c>
      <c r="F2623" t="str">
        <f t="shared" si="129"/>
        <v xml:space="preserve">서초구 </v>
      </c>
      <c r="G2623" t="str">
        <f t="shared" si="131"/>
        <v>반포동</v>
      </c>
    </row>
    <row r="2624" spans="1:9" x14ac:dyDescent="0.4">
      <c r="A2624">
        <v>3210000</v>
      </c>
      <c r="B2624" t="s">
        <v>204</v>
      </c>
      <c r="C2624" s="1">
        <v>30180</v>
      </c>
      <c r="D2624" t="s">
        <v>205</v>
      </c>
      <c r="E2624" t="str">
        <f t="shared" si="128"/>
        <v>서울특별시</v>
      </c>
      <c r="F2624" t="str">
        <f t="shared" si="129"/>
        <v xml:space="preserve">서초구 </v>
      </c>
      <c r="G2624" t="str">
        <f t="shared" si="131"/>
        <v>반포동</v>
      </c>
      <c r="H2624" t="s">
        <v>206</v>
      </c>
      <c r="I2624">
        <v>6536</v>
      </c>
    </row>
    <row r="2625" spans="1:9" x14ac:dyDescent="0.4">
      <c r="A2625">
        <v>3210000</v>
      </c>
      <c r="B2625" t="s">
        <v>9087</v>
      </c>
      <c r="C2625" s="1">
        <v>28906</v>
      </c>
      <c r="D2625" t="s">
        <v>9088</v>
      </c>
      <c r="E2625" t="str">
        <f t="shared" si="128"/>
        <v>서울특별시</v>
      </c>
      <c r="F2625" t="str">
        <f t="shared" si="129"/>
        <v xml:space="preserve">서초구 </v>
      </c>
      <c r="G2625" t="str">
        <f t="shared" si="131"/>
        <v>반포동</v>
      </c>
    </row>
    <row r="2626" spans="1:9" x14ac:dyDescent="0.4">
      <c r="A2626">
        <v>3210000</v>
      </c>
      <c r="B2626" t="s">
        <v>9117</v>
      </c>
      <c r="C2626" s="1">
        <v>29475</v>
      </c>
      <c r="D2626" t="s">
        <v>9118</v>
      </c>
      <c r="E2626" t="str">
        <f t="shared" si="128"/>
        <v>서울특별시</v>
      </c>
      <c r="F2626" t="str">
        <f t="shared" si="129"/>
        <v xml:space="preserve">서초구 </v>
      </c>
      <c r="G2626" t="str">
        <f t="shared" si="131"/>
        <v>반포동</v>
      </c>
      <c r="H2626" t="s">
        <v>9119</v>
      </c>
      <c r="I2626">
        <v>6536</v>
      </c>
    </row>
    <row r="2627" spans="1:9" x14ac:dyDescent="0.4">
      <c r="A2627">
        <v>3210000</v>
      </c>
      <c r="B2627" t="s">
        <v>9096</v>
      </c>
      <c r="C2627" s="1">
        <v>29139</v>
      </c>
      <c r="D2627" t="s">
        <v>9097</v>
      </c>
      <c r="E2627" t="str">
        <f t="shared" ref="E2627:E2690" si="132">LEFT(D2627,5)</f>
        <v>서울특별시</v>
      </c>
      <c r="F2627" t="str">
        <f t="shared" ref="F2627:F2690" si="133">MID(D2627,7,4)</f>
        <v xml:space="preserve">서초구 </v>
      </c>
      <c r="G2627" t="str">
        <f t="shared" ref="G2627:G2690" si="134">MID(SUBSTITUTE(D2627," ",""),9,3)</f>
        <v>반포동</v>
      </c>
    </row>
    <row r="2628" spans="1:9" x14ac:dyDescent="0.4">
      <c r="A2628">
        <v>3210000</v>
      </c>
      <c r="B2628" t="s">
        <v>9372</v>
      </c>
      <c r="C2628" s="1">
        <v>32524</v>
      </c>
      <c r="D2628" t="s">
        <v>9097</v>
      </c>
      <c r="E2628" t="str">
        <f t="shared" si="132"/>
        <v>서울특별시</v>
      </c>
      <c r="F2628" t="str">
        <f t="shared" si="133"/>
        <v xml:space="preserve">서초구 </v>
      </c>
      <c r="G2628" t="str">
        <f t="shared" si="134"/>
        <v>반포동</v>
      </c>
    </row>
    <row r="2629" spans="1:9" x14ac:dyDescent="0.4">
      <c r="A2629">
        <v>3210000</v>
      </c>
      <c r="B2629" t="s">
        <v>9036</v>
      </c>
      <c r="C2629" s="1">
        <v>36539</v>
      </c>
      <c r="D2629" t="s">
        <v>9037</v>
      </c>
      <c r="E2629" t="str">
        <f t="shared" si="132"/>
        <v>서울특별시</v>
      </c>
      <c r="F2629" t="str">
        <f t="shared" si="133"/>
        <v xml:space="preserve">서초구 </v>
      </c>
      <c r="G2629" t="str">
        <f t="shared" si="134"/>
        <v>반포동</v>
      </c>
    </row>
    <row r="2630" spans="1:9" x14ac:dyDescent="0.4">
      <c r="A2630">
        <v>3210000</v>
      </c>
      <c r="B2630" t="s">
        <v>9089</v>
      </c>
      <c r="C2630" s="1">
        <v>28921</v>
      </c>
      <c r="D2630" t="s">
        <v>9090</v>
      </c>
      <c r="E2630" t="str">
        <f t="shared" si="132"/>
        <v>서울특별시</v>
      </c>
      <c r="F2630" t="str">
        <f t="shared" si="133"/>
        <v xml:space="preserve">서초구 </v>
      </c>
      <c r="G2630" t="str">
        <f t="shared" si="134"/>
        <v>반포동</v>
      </c>
    </row>
    <row r="2631" spans="1:9" x14ac:dyDescent="0.4">
      <c r="A2631">
        <v>3210000</v>
      </c>
      <c r="B2631" t="s">
        <v>9419</v>
      </c>
      <c r="C2631" s="1">
        <v>28868</v>
      </c>
      <c r="D2631" t="s">
        <v>9420</v>
      </c>
      <c r="E2631" t="str">
        <f t="shared" si="132"/>
        <v>서울특별시</v>
      </c>
      <c r="F2631" t="str">
        <f t="shared" si="133"/>
        <v xml:space="preserve">서초구 </v>
      </c>
      <c r="G2631" t="str">
        <f t="shared" si="134"/>
        <v>반포동</v>
      </c>
      <c r="H2631" t="s">
        <v>9421</v>
      </c>
      <c r="I2631">
        <v>6542</v>
      </c>
    </row>
    <row r="2632" spans="1:9" x14ac:dyDescent="0.4">
      <c r="A2632">
        <v>3210000</v>
      </c>
      <c r="B2632" t="s">
        <v>9239</v>
      </c>
      <c r="C2632" s="1">
        <v>32898</v>
      </c>
      <c r="D2632" t="s">
        <v>9240</v>
      </c>
      <c r="E2632" t="str">
        <f t="shared" si="132"/>
        <v>서울특별시</v>
      </c>
      <c r="F2632" t="str">
        <f t="shared" si="133"/>
        <v xml:space="preserve">서초구 </v>
      </c>
      <c r="G2632" t="str">
        <f t="shared" si="134"/>
        <v>반포동</v>
      </c>
    </row>
    <row r="2633" spans="1:9" x14ac:dyDescent="0.4">
      <c r="A2633">
        <v>3210000</v>
      </c>
      <c r="B2633" t="s">
        <v>8856</v>
      </c>
      <c r="C2633" s="1">
        <v>29476</v>
      </c>
      <c r="D2633" t="s">
        <v>8857</v>
      </c>
      <c r="E2633" t="str">
        <f t="shared" si="132"/>
        <v>서울특별시</v>
      </c>
      <c r="F2633" t="str">
        <f t="shared" si="133"/>
        <v xml:space="preserve">서초구 </v>
      </c>
      <c r="G2633" t="str">
        <f t="shared" si="134"/>
        <v>반포동</v>
      </c>
      <c r="H2633" t="s">
        <v>8858</v>
      </c>
      <c r="I2633">
        <v>6541</v>
      </c>
    </row>
    <row r="2634" spans="1:9" x14ac:dyDescent="0.4">
      <c r="A2634">
        <v>3210000</v>
      </c>
      <c r="B2634" t="s">
        <v>9034</v>
      </c>
      <c r="C2634" s="1">
        <v>36538</v>
      </c>
      <c r="D2634" t="s">
        <v>9035</v>
      </c>
      <c r="E2634" t="str">
        <f t="shared" si="132"/>
        <v>서울특별시</v>
      </c>
      <c r="F2634" t="str">
        <f t="shared" si="133"/>
        <v xml:space="preserve">서초구 </v>
      </c>
      <c r="G2634" t="str">
        <f t="shared" si="134"/>
        <v>반포동</v>
      </c>
    </row>
    <row r="2635" spans="1:9" x14ac:dyDescent="0.4">
      <c r="A2635">
        <v>3210000</v>
      </c>
      <c r="B2635" t="s">
        <v>9426</v>
      </c>
      <c r="C2635" s="1">
        <v>30061</v>
      </c>
      <c r="D2635" t="s">
        <v>9035</v>
      </c>
      <c r="E2635" t="str">
        <f t="shared" si="132"/>
        <v>서울특별시</v>
      </c>
      <c r="F2635" t="str">
        <f t="shared" si="133"/>
        <v xml:space="preserve">서초구 </v>
      </c>
      <c r="G2635" t="str">
        <f t="shared" si="134"/>
        <v>반포동</v>
      </c>
    </row>
    <row r="2636" spans="1:9" x14ac:dyDescent="0.4">
      <c r="A2636">
        <v>3210000</v>
      </c>
      <c r="B2636" t="s">
        <v>9140</v>
      </c>
      <c r="C2636" s="1">
        <v>27694</v>
      </c>
      <c r="D2636" t="s">
        <v>9141</v>
      </c>
      <c r="E2636" t="str">
        <f t="shared" si="132"/>
        <v>서울특별시</v>
      </c>
      <c r="F2636" t="str">
        <f t="shared" si="133"/>
        <v xml:space="preserve">서초구 </v>
      </c>
      <c r="G2636" t="str">
        <f t="shared" si="134"/>
        <v>반포동</v>
      </c>
    </row>
    <row r="2637" spans="1:9" x14ac:dyDescent="0.4">
      <c r="A2637">
        <v>3210000</v>
      </c>
      <c r="B2637" t="s">
        <v>9290</v>
      </c>
      <c r="C2637" s="1">
        <v>31288</v>
      </c>
      <c r="D2637" t="s">
        <v>9291</v>
      </c>
      <c r="E2637" t="str">
        <f t="shared" si="132"/>
        <v>서울특별시</v>
      </c>
      <c r="F2637" t="str">
        <f t="shared" si="133"/>
        <v xml:space="preserve">서초구 </v>
      </c>
      <c r="G2637" t="str">
        <f t="shared" si="134"/>
        <v>반포동</v>
      </c>
    </row>
    <row r="2638" spans="1:9" x14ac:dyDescent="0.4">
      <c r="A2638">
        <v>3210000</v>
      </c>
      <c r="B2638" t="s">
        <v>9351</v>
      </c>
      <c r="C2638" s="1">
        <v>36425</v>
      </c>
      <c r="D2638" t="s">
        <v>9352</v>
      </c>
      <c r="E2638" t="str">
        <f t="shared" si="132"/>
        <v>서울특별시</v>
      </c>
      <c r="F2638" t="str">
        <f t="shared" si="133"/>
        <v xml:space="preserve">서초구 </v>
      </c>
      <c r="G2638" t="str">
        <f t="shared" si="134"/>
        <v>반포동</v>
      </c>
    </row>
    <row r="2639" spans="1:9" x14ac:dyDescent="0.4">
      <c r="A2639">
        <v>3210000</v>
      </c>
      <c r="B2639" t="s">
        <v>9029</v>
      </c>
      <c r="C2639" s="1">
        <v>36517</v>
      </c>
      <c r="D2639" t="s">
        <v>9030</v>
      </c>
      <c r="E2639" t="str">
        <f t="shared" si="132"/>
        <v>서울특별시</v>
      </c>
      <c r="F2639" t="str">
        <f t="shared" si="133"/>
        <v xml:space="preserve">서초구 </v>
      </c>
      <c r="G2639" t="str">
        <f t="shared" si="134"/>
        <v>방배동</v>
      </c>
      <c r="H2639" t="s">
        <v>9031</v>
      </c>
      <c r="I2639">
        <v>6693</v>
      </c>
    </row>
    <row r="2640" spans="1:9" x14ac:dyDescent="0.4">
      <c r="A2640">
        <v>3210000</v>
      </c>
      <c r="B2640" t="s">
        <v>9064</v>
      </c>
      <c r="C2640" s="1">
        <v>36539</v>
      </c>
      <c r="D2640" t="s">
        <v>9065</v>
      </c>
      <c r="E2640" t="str">
        <f t="shared" si="132"/>
        <v>서울특별시</v>
      </c>
      <c r="F2640" t="str">
        <f t="shared" si="133"/>
        <v xml:space="preserve">서초구 </v>
      </c>
      <c r="G2640" t="str">
        <f t="shared" si="134"/>
        <v>방배동</v>
      </c>
      <c r="H2640" t="s">
        <v>9066</v>
      </c>
      <c r="I2640">
        <v>6693</v>
      </c>
    </row>
    <row r="2641" spans="1:9" x14ac:dyDescent="0.4">
      <c r="A2641">
        <v>3210000</v>
      </c>
      <c r="B2641" t="s">
        <v>9172</v>
      </c>
      <c r="C2641" s="1">
        <v>36678</v>
      </c>
      <c r="D2641" t="s">
        <v>9173</v>
      </c>
      <c r="E2641" t="str">
        <f t="shared" si="132"/>
        <v>서울특별시</v>
      </c>
      <c r="F2641" t="str">
        <f t="shared" si="133"/>
        <v xml:space="preserve">서초구 </v>
      </c>
      <c r="G2641" t="str">
        <f t="shared" si="134"/>
        <v>방배동</v>
      </c>
    </row>
    <row r="2642" spans="1:9" x14ac:dyDescent="0.4">
      <c r="A2642">
        <v>3210000</v>
      </c>
      <c r="B2642" t="s">
        <v>8978</v>
      </c>
      <c r="C2642" s="1">
        <v>36149</v>
      </c>
      <c r="D2642" t="s">
        <v>8979</v>
      </c>
      <c r="E2642" t="str">
        <f t="shared" si="132"/>
        <v>서울특별시</v>
      </c>
      <c r="F2642" t="str">
        <f t="shared" si="133"/>
        <v xml:space="preserve">서초구 </v>
      </c>
      <c r="G2642" t="str">
        <f t="shared" si="134"/>
        <v>방배동</v>
      </c>
    </row>
    <row r="2643" spans="1:9" x14ac:dyDescent="0.4">
      <c r="A2643">
        <v>3210000</v>
      </c>
      <c r="B2643" t="s">
        <v>9098</v>
      </c>
      <c r="C2643" s="1">
        <v>29158</v>
      </c>
      <c r="D2643" t="s">
        <v>9099</v>
      </c>
      <c r="E2643" t="str">
        <f t="shared" si="132"/>
        <v>서울특별시</v>
      </c>
      <c r="F2643" t="str">
        <f t="shared" si="133"/>
        <v xml:space="preserve">서초구 </v>
      </c>
      <c r="G2643" t="str">
        <f t="shared" si="134"/>
        <v>방배동</v>
      </c>
    </row>
    <row r="2644" spans="1:9" x14ac:dyDescent="0.4">
      <c r="A2644">
        <v>3210000</v>
      </c>
      <c r="B2644" t="s">
        <v>9422</v>
      </c>
      <c r="C2644" s="1">
        <v>28880</v>
      </c>
      <c r="D2644" t="s">
        <v>9423</v>
      </c>
      <c r="E2644" t="str">
        <f t="shared" si="132"/>
        <v>서울특별시</v>
      </c>
      <c r="F2644" t="str">
        <f t="shared" si="133"/>
        <v xml:space="preserve">서초구 </v>
      </c>
      <c r="G2644" t="str">
        <f t="shared" si="134"/>
        <v>방배동</v>
      </c>
    </row>
    <row r="2645" spans="1:9" x14ac:dyDescent="0.4">
      <c r="A2645">
        <v>3210000</v>
      </c>
      <c r="B2645" t="s">
        <v>9414</v>
      </c>
      <c r="C2645" s="1">
        <v>28752</v>
      </c>
      <c r="D2645" t="s">
        <v>9415</v>
      </c>
      <c r="E2645" t="str">
        <f t="shared" si="132"/>
        <v>서울특별시</v>
      </c>
      <c r="F2645" t="str">
        <f t="shared" si="133"/>
        <v xml:space="preserve">서초구 </v>
      </c>
      <c r="G2645" t="str">
        <f t="shared" si="134"/>
        <v>방배동</v>
      </c>
    </row>
    <row r="2646" spans="1:9" x14ac:dyDescent="0.4">
      <c r="A2646">
        <v>3210000</v>
      </c>
      <c r="B2646" t="s">
        <v>9418</v>
      </c>
      <c r="C2646" s="1">
        <v>28854</v>
      </c>
      <c r="D2646" t="s">
        <v>9415</v>
      </c>
      <c r="E2646" t="str">
        <f t="shared" si="132"/>
        <v>서울특별시</v>
      </c>
      <c r="F2646" t="str">
        <f t="shared" si="133"/>
        <v xml:space="preserve">서초구 </v>
      </c>
      <c r="G2646" t="str">
        <f t="shared" si="134"/>
        <v>방배동</v>
      </c>
    </row>
    <row r="2647" spans="1:9" x14ac:dyDescent="0.4">
      <c r="A2647">
        <v>3210000</v>
      </c>
      <c r="B2647" t="s">
        <v>8838</v>
      </c>
      <c r="C2647" s="1">
        <v>30516</v>
      </c>
      <c r="D2647" t="s">
        <v>8839</v>
      </c>
      <c r="E2647" t="str">
        <f t="shared" si="132"/>
        <v>서울특별시</v>
      </c>
      <c r="F2647" t="str">
        <f t="shared" si="133"/>
        <v xml:space="preserve">서초구 </v>
      </c>
      <c r="G2647" t="str">
        <f t="shared" si="134"/>
        <v>방배동</v>
      </c>
      <c r="H2647" t="s">
        <v>8840</v>
      </c>
      <c r="I2647">
        <v>6555</v>
      </c>
    </row>
    <row r="2648" spans="1:9" x14ac:dyDescent="0.4">
      <c r="A2648">
        <v>3210000</v>
      </c>
      <c r="B2648" t="s">
        <v>9085</v>
      </c>
      <c r="C2648" s="1">
        <v>28636</v>
      </c>
      <c r="D2648" t="s">
        <v>9086</v>
      </c>
      <c r="E2648" t="str">
        <f t="shared" si="132"/>
        <v>서울특별시</v>
      </c>
      <c r="F2648" t="str">
        <f t="shared" si="133"/>
        <v xml:space="preserve">서초구 </v>
      </c>
      <c r="G2648" t="str">
        <f t="shared" si="134"/>
        <v>방배동</v>
      </c>
    </row>
    <row r="2649" spans="1:9" x14ac:dyDescent="0.4">
      <c r="A2649">
        <v>3210000</v>
      </c>
      <c r="B2649" t="s">
        <v>8877</v>
      </c>
      <c r="C2649" s="1">
        <v>28780</v>
      </c>
      <c r="D2649" t="s">
        <v>8878</v>
      </c>
      <c r="E2649" t="str">
        <f t="shared" si="132"/>
        <v>서울특별시</v>
      </c>
      <c r="F2649" t="str">
        <f t="shared" si="133"/>
        <v xml:space="preserve">서초구 </v>
      </c>
      <c r="G2649" t="str">
        <f t="shared" si="134"/>
        <v>방배동</v>
      </c>
      <c r="H2649" t="s">
        <v>8879</v>
      </c>
      <c r="I2649">
        <v>6585</v>
      </c>
    </row>
    <row r="2650" spans="1:9" x14ac:dyDescent="0.4">
      <c r="A2650">
        <v>3210000</v>
      </c>
      <c r="B2650" t="s">
        <v>8871</v>
      </c>
      <c r="C2650" s="1">
        <v>29392</v>
      </c>
      <c r="D2650" t="s">
        <v>8872</v>
      </c>
      <c r="E2650" t="str">
        <f t="shared" si="132"/>
        <v>서울특별시</v>
      </c>
      <c r="F2650" t="str">
        <f t="shared" si="133"/>
        <v xml:space="preserve">서초구 </v>
      </c>
      <c r="G2650" t="str">
        <f t="shared" si="134"/>
        <v>방배동</v>
      </c>
      <c r="H2650" t="s">
        <v>8873</v>
      </c>
      <c r="I2650">
        <v>6572</v>
      </c>
    </row>
    <row r="2651" spans="1:9" x14ac:dyDescent="0.4">
      <c r="A2651">
        <v>3210000</v>
      </c>
      <c r="B2651" t="s">
        <v>8886</v>
      </c>
      <c r="C2651" s="1">
        <v>28650</v>
      </c>
      <c r="D2651" t="s">
        <v>8887</v>
      </c>
      <c r="E2651" t="str">
        <f t="shared" si="132"/>
        <v>서울특별시</v>
      </c>
      <c r="F2651" t="str">
        <f t="shared" si="133"/>
        <v xml:space="preserve">서초구 </v>
      </c>
      <c r="G2651" t="str">
        <f t="shared" si="134"/>
        <v>방배동</v>
      </c>
      <c r="H2651" t="s">
        <v>8888</v>
      </c>
      <c r="I2651">
        <v>6588</v>
      </c>
    </row>
    <row r="2652" spans="1:9" x14ac:dyDescent="0.4">
      <c r="A2652">
        <v>3210000</v>
      </c>
      <c r="B2652" t="s">
        <v>9167</v>
      </c>
      <c r="C2652" s="1">
        <v>28734</v>
      </c>
      <c r="D2652" t="s">
        <v>9168</v>
      </c>
      <c r="E2652" t="str">
        <f t="shared" si="132"/>
        <v>서울특별시</v>
      </c>
      <c r="F2652" t="str">
        <f t="shared" si="133"/>
        <v xml:space="preserve">서초구 </v>
      </c>
      <c r="G2652" t="str">
        <f t="shared" si="134"/>
        <v>방배동</v>
      </c>
      <c r="H2652" t="s">
        <v>9169</v>
      </c>
    </row>
    <row r="2653" spans="1:9" x14ac:dyDescent="0.4">
      <c r="A2653">
        <v>3210000</v>
      </c>
      <c r="B2653" t="s">
        <v>9091</v>
      </c>
      <c r="C2653" s="1">
        <v>28968</v>
      </c>
      <c r="D2653" t="s">
        <v>9092</v>
      </c>
      <c r="E2653" t="str">
        <f t="shared" si="132"/>
        <v>서울특별시</v>
      </c>
      <c r="F2653" t="str">
        <f t="shared" si="133"/>
        <v xml:space="preserve">서초구 </v>
      </c>
      <c r="G2653" t="str">
        <f t="shared" si="134"/>
        <v>방배동</v>
      </c>
      <c r="H2653" t="s">
        <v>9093</v>
      </c>
      <c r="I2653">
        <v>6672</v>
      </c>
    </row>
    <row r="2654" spans="1:9" x14ac:dyDescent="0.4">
      <c r="A2654">
        <v>3210000</v>
      </c>
      <c r="B2654" t="s">
        <v>9416</v>
      </c>
      <c r="C2654" s="1">
        <v>28754</v>
      </c>
      <c r="D2654" t="s">
        <v>9417</v>
      </c>
      <c r="E2654" t="str">
        <f t="shared" si="132"/>
        <v>서울특별시</v>
      </c>
      <c r="F2654" t="str">
        <f t="shared" si="133"/>
        <v xml:space="preserve">서초구 </v>
      </c>
      <c r="G2654" t="str">
        <f t="shared" si="134"/>
        <v>서초동</v>
      </c>
    </row>
    <row r="2655" spans="1:9" x14ac:dyDescent="0.4">
      <c r="A2655">
        <v>3210000</v>
      </c>
      <c r="B2655" t="s">
        <v>9062</v>
      </c>
      <c r="C2655" s="1">
        <v>36669</v>
      </c>
      <c r="D2655" t="s">
        <v>9063</v>
      </c>
      <c r="E2655" t="str">
        <f t="shared" si="132"/>
        <v>서울특별시</v>
      </c>
      <c r="F2655" t="str">
        <f t="shared" si="133"/>
        <v xml:space="preserve">서초구 </v>
      </c>
      <c r="G2655" t="str">
        <f t="shared" si="134"/>
        <v>서초동</v>
      </c>
    </row>
    <row r="2656" spans="1:9" x14ac:dyDescent="0.4">
      <c r="A2656">
        <v>3210000</v>
      </c>
      <c r="B2656" t="s">
        <v>9094</v>
      </c>
      <c r="C2656" s="1">
        <v>29136</v>
      </c>
      <c r="D2656" t="s">
        <v>9095</v>
      </c>
      <c r="E2656" t="str">
        <f t="shared" si="132"/>
        <v>서울특별시</v>
      </c>
      <c r="F2656" t="str">
        <f t="shared" si="133"/>
        <v xml:space="preserve">서초구 </v>
      </c>
      <c r="G2656" t="str">
        <f t="shared" si="134"/>
        <v>서초동</v>
      </c>
    </row>
    <row r="2657" spans="1:9" x14ac:dyDescent="0.4">
      <c r="A2657">
        <v>3210000</v>
      </c>
      <c r="B2657" t="s">
        <v>8976</v>
      </c>
      <c r="C2657" s="1">
        <v>36043</v>
      </c>
      <c r="D2657" t="s">
        <v>8977</v>
      </c>
      <c r="E2657" t="str">
        <f t="shared" si="132"/>
        <v>서울특별시</v>
      </c>
      <c r="F2657" t="str">
        <f t="shared" si="133"/>
        <v xml:space="preserve">서초구 </v>
      </c>
      <c r="G2657" t="str">
        <f t="shared" si="134"/>
        <v>서초동</v>
      </c>
    </row>
    <row r="2658" spans="1:9" x14ac:dyDescent="0.4">
      <c r="A2658">
        <v>3210000</v>
      </c>
      <c r="B2658" t="s">
        <v>9355</v>
      </c>
      <c r="C2658" s="1">
        <v>36458</v>
      </c>
      <c r="D2658" t="s">
        <v>9356</v>
      </c>
      <c r="E2658" t="str">
        <f t="shared" si="132"/>
        <v>서울특별시</v>
      </c>
      <c r="F2658" t="str">
        <f t="shared" si="133"/>
        <v xml:space="preserve">서초구 </v>
      </c>
      <c r="G2658" t="str">
        <f t="shared" si="134"/>
        <v>서초동</v>
      </c>
      <c r="H2658" t="s">
        <v>9357</v>
      </c>
    </row>
    <row r="2659" spans="1:9" x14ac:dyDescent="0.4">
      <c r="A2659">
        <v>3210000</v>
      </c>
      <c r="B2659" t="s">
        <v>6803</v>
      </c>
      <c r="C2659" s="1">
        <v>36798</v>
      </c>
      <c r="D2659" t="s">
        <v>6804</v>
      </c>
      <c r="E2659" t="str">
        <f t="shared" si="132"/>
        <v>서울특별시</v>
      </c>
      <c r="F2659" t="str">
        <f t="shared" si="133"/>
        <v xml:space="preserve">서초구 </v>
      </c>
      <c r="G2659" t="str">
        <f t="shared" si="134"/>
        <v>서초동</v>
      </c>
    </row>
    <row r="2660" spans="1:9" x14ac:dyDescent="0.4">
      <c r="A2660">
        <v>3210000</v>
      </c>
      <c r="B2660" t="s">
        <v>8990</v>
      </c>
      <c r="C2660" s="1">
        <v>32452</v>
      </c>
      <c r="D2660" t="s">
        <v>6804</v>
      </c>
      <c r="E2660" t="str">
        <f t="shared" si="132"/>
        <v>서울특별시</v>
      </c>
      <c r="F2660" t="str">
        <f t="shared" si="133"/>
        <v xml:space="preserve">서초구 </v>
      </c>
      <c r="G2660" t="str">
        <f t="shared" si="134"/>
        <v>서초동</v>
      </c>
    </row>
    <row r="2661" spans="1:9" x14ac:dyDescent="0.4">
      <c r="A2661">
        <v>3210000</v>
      </c>
      <c r="B2661" t="s">
        <v>9236</v>
      </c>
      <c r="C2661" s="1">
        <v>32140</v>
      </c>
      <c r="D2661" t="s">
        <v>6804</v>
      </c>
      <c r="E2661" t="str">
        <f t="shared" si="132"/>
        <v>서울특별시</v>
      </c>
      <c r="F2661" t="str">
        <f t="shared" si="133"/>
        <v xml:space="preserve">서초구 </v>
      </c>
      <c r="G2661" t="str">
        <f t="shared" si="134"/>
        <v>서초동</v>
      </c>
    </row>
    <row r="2662" spans="1:9" x14ac:dyDescent="0.4">
      <c r="A2662">
        <v>3210000</v>
      </c>
      <c r="B2662" t="s">
        <v>9427</v>
      </c>
      <c r="C2662" s="1">
        <v>36482</v>
      </c>
      <c r="D2662" t="s">
        <v>9428</v>
      </c>
      <c r="E2662" t="str">
        <f t="shared" si="132"/>
        <v>서울특별시</v>
      </c>
      <c r="F2662" t="str">
        <f t="shared" si="133"/>
        <v xml:space="preserve">서초구 </v>
      </c>
      <c r="G2662" t="str">
        <f t="shared" si="134"/>
        <v>서초동</v>
      </c>
      <c r="H2662" t="s">
        <v>9429</v>
      </c>
      <c r="I2662">
        <v>6611</v>
      </c>
    </row>
    <row r="2663" spans="1:9" x14ac:dyDescent="0.4">
      <c r="A2663">
        <v>3210000</v>
      </c>
      <c r="B2663" t="s">
        <v>8853</v>
      </c>
      <c r="C2663" s="1">
        <v>41829</v>
      </c>
      <c r="D2663" t="s">
        <v>8854</v>
      </c>
      <c r="E2663" t="str">
        <f t="shared" si="132"/>
        <v>서울특별시</v>
      </c>
      <c r="F2663" t="str">
        <f t="shared" si="133"/>
        <v xml:space="preserve">서초구 </v>
      </c>
      <c r="G2663" t="str">
        <f t="shared" si="134"/>
        <v>서초동</v>
      </c>
      <c r="H2663" t="s">
        <v>8855</v>
      </c>
      <c r="I2663">
        <v>6611</v>
      </c>
    </row>
    <row r="2664" spans="1:9" x14ac:dyDescent="0.4">
      <c r="A2664">
        <v>3210000</v>
      </c>
      <c r="B2664" t="s">
        <v>8921</v>
      </c>
      <c r="C2664" s="1">
        <v>45272</v>
      </c>
      <c r="D2664" t="s">
        <v>8922</v>
      </c>
      <c r="E2664" t="str">
        <f t="shared" si="132"/>
        <v>서울특별시</v>
      </c>
      <c r="F2664" t="str">
        <f t="shared" si="133"/>
        <v xml:space="preserve">서초구 </v>
      </c>
      <c r="G2664" t="str">
        <f t="shared" si="134"/>
        <v>서초동</v>
      </c>
      <c r="H2664" t="s">
        <v>8923</v>
      </c>
      <c r="I2664">
        <v>6611</v>
      </c>
    </row>
    <row r="2665" spans="1:9" x14ac:dyDescent="0.4">
      <c r="A2665">
        <v>3210000</v>
      </c>
      <c r="B2665" t="s">
        <v>8924</v>
      </c>
      <c r="C2665" s="1">
        <v>45257</v>
      </c>
      <c r="D2665" t="s">
        <v>8925</v>
      </c>
      <c r="E2665" t="str">
        <f t="shared" si="132"/>
        <v>서울특별시</v>
      </c>
      <c r="F2665" t="str">
        <f t="shared" si="133"/>
        <v xml:space="preserve">서초구 </v>
      </c>
      <c r="G2665" t="str">
        <f t="shared" si="134"/>
        <v>서초동</v>
      </c>
      <c r="H2665" t="s">
        <v>8926</v>
      </c>
      <c r="I2665">
        <v>6611</v>
      </c>
    </row>
    <row r="2666" spans="1:9" x14ac:dyDescent="0.4">
      <c r="A2666">
        <v>3210000</v>
      </c>
      <c r="B2666" t="s">
        <v>8995</v>
      </c>
      <c r="C2666" s="1">
        <v>31152</v>
      </c>
      <c r="D2666" t="s">
        <v>8996</v>
      </c>
      <c r="E2666" t="str">
        <f t="shared" si="132"/>
        <v>서울특별시</v>
      </c>
      <c r="F2666" t="str">
        <f t="shared" si="133"/>
        <v xml:space="preserve">서초구 </v>
      </c>
      <c r="G2666" t="str">
        <f t="shared" si="134"/>
        <v>서초동</v>
      </c>
    </row>
    <row r="2667" spans="1:9" x14ac:dyDescent="0.4">
      <c r="A2667">
        <v>3210000</v>
      </c>
      <c r="B2667" t="s">
        <v>9249</v>
      </c>
      <c r="C2667" s="1">
        <v>36977</v>
      </c>
      <c r="D2667" t="s">
        <v>9250</v>
      </c>
      <c r="E2667" t="str">
        <f t="shared" si="132"/>
        <v>서울특별시</v>
      </c>
      <c r="F2667" t="str">
        <f t="shared" si="133"/>
        <v xml:space="preserve">서초구 </v>
      </c>
      <c r="G2667" t="str">
        <f t="shared" si="134"/>
        <v>서초동</v>
      </c>
    </row>
    <row r="2668" spans="1:9" x14ac:dyDescent="0.4">
      <c r="A2668">
        <v>3210000</v>
      </c>
      <c r="B2668" t="s">
        <v>9010</v>
      </c>
      <c r="C2668" s="1">
        <v>36976</v>
      </c>
      <c r="D2668" t="s">
        <v>9011</v>
      </c>
      <c r="E2668" t="str">
        <f t="shared" si="132"/>
        <v>서울특별시</v>
      </c>
      <c r="F2668" t="str">
        <f t="shared" si="133"/>
        <v xml:space="preserve">서초구 </v>
      </c>
      <c r="G2668" t="str">
        <f t="shared" si="134"/>
        <v>서초동</v>
      </c>
    </row>
    <row r="2669" spans="1:9" x14ac:dyDescent="0.4">
      <c r="A2669">
        <v>3210000</v>
      </c>
      <c r="B2669" t="s">
        <v>9251</v>
      </c>
      <c r="C2669" s="1">
        <v>37014</v>
      </c>
      <c r="D2669" t="s">
        <v>9252</v>
      </c>
      <c r="E2669" t="str">
        <f t="shared" si="132"/>
        <v>서울특별시</v>
      </c>
      <c r="F2669" t="str">
        <f t="shared" si="133"/>
        <v xml:space="preserve">서초구 </v>
      </c>
      <c r="G2669" t="str">
        <f t="shared" si="134"/>
        <v>서초동</v>
      </c>
    </row>
    <row r="2670" spans="1:9" x14ac:dyDescent="0.4">
      <c r="A2670">
        <v>3210000</v>
      </c>
      <c r="B2670" t="s">
        <v>9358</v>
      </c>
      <c r="C2670" s="1">
        <v>36460</v>
      </c>
      <c r="D2670" t="s">
        <v>9359</v>
      </c>
      <c r="E2670" t="str">
        <f t="shared" si="132"/>
        <v>서울특별시</v>
      </c>
      <c r="F2670" t="str">
        <f t="shared" si="133"/>
        <v xml:space="preserve">서초구 </v>
      </c>
      <c r="G2670" t="str">
        <f t="shared" si="134"/>
        <v>서초동</v>
      </c>
      <c r="H2670" t="s">
        <v>9360</v>
      </c>
    </row>
    <row r="2671" spans="1:9" x14ac:dyDescent="0.4">
      <c r="A2671">
        <v>3210000</v>
      </c>
      <c r="B2671" t="s">
        <v>9136</v>
      </c>
      <c r="C2671" s="1">
        <v>31100</v>
      </c>
      <c r="D2671" t="s">
        <v>9137</v>
      </c>
      <c r="E2671" t="str">
        <f t="shared" si="132"/>
        <v>서울특별시</v>
      </c>
      <c r="F2671" t="str">
        <f t="shared" si="133"/>
        <v xml:space="preserve">서초구 </v>
      </c>
      <c r="G2671" t="str">
        <f t="shared" si="134"/>
        <v>서초동</v>
      </c>
    </row>
    <row r="2672" spans="1:9" x14ac:dyDescent="0.4">
      <c r="A2672">
        <v>3210000</v>
      </c>
      <c r="B2672" t="s">
        <v>9165</v>
      </c>
      <c r="C2672" s="1">
        <v>37287</v>
      </c>
      <c r="D2672" t="s">
        <v>9166</v>
      </c>
      <c r="E2672" t="str">
        <f t="shared" si="132"/>
        <v>서울특별시</v>
      </c>
      <c r="F2672" t="str">
        <f t="shared" si="133"/>
        <v xml:space="preserve">서초구 </v>
      </c>
      <c r="G2672" t="str">
        <f t="shared" si="134"/>
        <v>서초동</v>
      </c>
    </row>
    <row r="2673" spans="1:9" x14ac:dyDescent="0.4">
      <c r="A2673">
        <v>3210000</v>
      </c>
      <c r="B2673" t="s">
        <v>8999</v>
      </c>
      <c r="C2673" s="1">
        <v>31286</v>
      </c>
      <c r="D2673" t="s">
        <v>9000</v>
      </c>
      <c r="E2673" t="str">
        <f t="shared" si="132"/>
        <v>서울특별시</v>
      </c>
      <c r="F2673" t="str">
        <f t="shared" si="133"/>
        <v xml:space="preserve">서초구 </v>
      </c>
      <c r="G2673" t="str">
        <f t="shared" si="134"/>
        <v>서초동</v>
      </c>
    </row>
    <row r="2674" spans="1:9" x14ac:dyDescent="0.4">
      <c r="A2674">
        <v>3210000</v>
      </c>
      <c r="B2674" t="s">
        <v>9289</v>
      </c>
      <c r="C2674" s="1">
        <v>30834</v>
      </c>
      <c r="D2674" t="s">
        <v>9000</v>
      </c>
      <c r="E2674" t="str">
        <f t="shared" si="132"/>
        <v>서울특별시</v>
      </c>
      <c r="F2674" t="str">
        <f t="shared" si="133"/>
        <v xml:space="preserve">서초구 </v>
      </c>
      <c r="G2674" t="str">
        <f t="shared" si="134"/>
        <v>서초동</v>
      </c>
    </row>
    <row r="2675" spans="1:9" x14ac:dyDescent="0.4">
      <c r="A2675">
        <v>3210000</v>
      </c>
      <c r="B2675" t="s">
        <v>2939</v>
      </c>
      <c r="C2675" s="1">
        <v>36757</v>
      </c>
      <c r="D2675" t="s">
        <v>2940</v>
      </c>
      <c r="E2675" t="str">
        <f t="shared" si="132"/>
        <v>서울특별시</v>
      </c>
      <c r="F2675" t="str">
        <f t="shared" si="133"/>
        <v xml:space="preserve">서초구 </v>
      </c>
      <c r="G2675" t="str">
        <f t="shared" si="134"/>
        <v>서초동</v>
      </c>
    </row>
    <row r="2676" spans="1:9" x14ac:dyDescent="0.4">
      <c r="A2676">
        <v>3210000</v>
      </c>
      <c r="B2676" t="s">
        <v>9367</v>
      </c>
      <c r="C2676" s="1">
        <v>39993</v>
      </c>
      <c r="D2676" t="s">
        <v>9368</v>
      </c>
      <c r="E2676" t="str">
        <f t="shared" si="132"/>
        <v>서울특별시</v>
      </c>
      <c r="F2676" t="str">
        <f t="shared" si="133"/>
        <v xml:space="preserve">서초구 </v>
      </c>
      <c r="G2676" t="str">
        <f t="shared" si="134"/>
        <v>서초동</v>
      </c>
    </row>
    <row r="2677" spans="1:9" x14ac:dyDescent="0.4">
      <c r="A2677">
        <v>3210000</v>
      </c>
      <c r="B2677" t="s">
        <v>9340</v>
      </c>
      <c r="C2677" s="1">
        <v>36378</v>
      </c>
      <c r="D2677" t="s">
        <v>9341</v>
      </c>
      <c r="E2677" t="str">
        <f t="shared" si="132"/>
        <v>서울특별시</v>
      </c>
      <c r="F2677" t="str">
        <f t="shared" si="133"/>
        <v xml:space="preserve">서초구 </v>
      </c>
      <c r="G2677" t="str">
        <f t="shared" si="134"/>
        <v>서초동</v>
      </c>
    </row>
    <row r="2678" spans="1:9" x14ac:dyDescent="0.4">
      <c r="A2678">
        <v>3210000</v>
      </c>
      <c r="B2678" t="s">
        <v>9073</v>
      </c>
      <c r="C2678" s="1">
        <v>40613</v>
      </c>
      <c r="D2678" t="s">
        <v>9074</v>
      </c>
      <c r="E2678" t="str">
        <f t="shared" si="132"/>
        <v>서울특별시</v>
      </c>
      <c r="F2678" t="str">
        <f t="shared" si="133"/>
        <v xml:space="preserve">서초구 </v>
      </c>
      <c r="G2678" t="str">
        <f t="shared" si="134"/>
        <v>서초동</v>
      </c>
      <c r="H2678" t="s">
        <v>9075</v>
      </c>
      <c r="I2678">
        <v>6614</v>
      </c>
    </row>
    <row r="2679" spans="1:9" x14ac:dyDescent="0.4">
      <c r="A2679">
        <v>3210000</v>
      </c>
      <c r="B2679" t="s">
        <v>9382</v>
      </c>
      <c r="C2679" s="1">
        <v>32718</v>
      </c>
      <c r="D2679" t="s">
        <v>9074</v>
      </c>
      <c r="E2679" t="str">
        <f t="shared" si="132"/>
        <v>서울특별시</v>
      </c>
      <c r="F2679" t="str">
        <f t="shared" si="133"/>
        <v xml:space="preserve">서초구 </v>
      </c>
      <c r="G2679" t="str">
        <f t="shared" si="134"/>
        <v>서초동</v>
      </c>
    </row>
    <row r="2680" spans="1:9" x14ac:dyDescent="0.4">
      <c r="A2680">
        <v>3210000</v>
      </c>
      <c r="B2680" t="s">
        <v>8904</v>
      </c>
      <c r="C2680" s="1">
        <v>39366</v>
      </c>
      <c r="D2680" t="s">
        <v>8905</v>
      </c>
      <c r="E2680" t="str">
        <f t="shared" si="132"/>
        <v>서울특별시</v>
      </c>
      <c r="F2680" t="str">
        <f t="shared" si="133"/>
        <v xml:space="preserve">서초구 </v>
      </c>
      <c r="G2680" t="str">
        <f t="shared" si="134"/>
        <v>서초동</v>
      </c>
      <c r="H2680" t="s">
        <v>8906</v>
      </c>
      <c r="I2680">
        <v>6614</v>
      </c>
    </row>
    <row r="2681" spans="1:9" x14ac:dyDescent="0.4">
      <c r="A2681">
        <v>3210000</v>
      </c>
      <c r="B2681" t="s">
        <v>9170</v>
      </c>
      <c r="C2681" s="1">
        <v>36673</v>
      </c>
      <c r="D2681" t="s">
        <v>9171</v>
      </c>
      <c r="E2681" t="str">
        <f t="shared" si="132"/>
        <v>서울특별시</v>
      </c>
      <c r="F2681" t="str">
        <f t="shared" si="133"/>
        <v xml:space="preserve">서초구 </v>
      </c>
      <c r="G2681" t="str">
        <f t="shared" si="134"/>
        <v>서초동</v>
      </c>
    </row>
    <row r="2682" spans="1:9" x14ac:dyDescent="0.4">
      <c r="A2682">
        <v>3210000</v>
      </c>
      <c r="B2682" t="s">
        <v>9390</v>
      </c>
      <c r="C2682" s="1">
        <v>32811</v>
      </c>
      <c r="D2682" t="s">
        <v>9171</v>
      </c>
      <c r="E2682" t="str">
        <f t="shared" si="132"/>
        <v>서울특별시</v>
      </c>
      <c r="F2682" t="str">
        <f t="shared" si="133"/>
        <v xml:space="preserve">서초구 </v>
      </c>
      <c r="G2682" t="str">
        <f t="shared" si="134"/>
        <v>서초동</v>
      </c>
    </row>
    <row r="2683" spans="1:9" x14ac:dyDescent="0.4">
      <c r="A2683">
        <v>3210000</v>
      </c>
      <c r="B2683" t="s">
        <v>9385</v>
      </c>
      <c r="C2683" s="1">
        <v>41723</v>
      </c>
      <c r="D2683" t="s">
        <v>9386</v>
      </c>
      <c r="E2683" t="str">
        <f t="shared" si="132"/>
        <v>서울특별시</v>
      </c>
      <c r="F2683" t="str">
        <f t="shared" si="133"/>
        <v xml:space="preserve">서초구 </v>
      </c>
      <c r="G2683" t="str">
        <f t="shared" si="134"/>
        <v>서초동</v>
      </c>
      <c r="H2683" t="s">
        <v>9075</v>
      </c>
      <c r="I2683">
        <v>6614</v>
      </c>
    </row>
    <row r="2684" spans="1:9" x14ac:dyDescent="0.4">
      <c r="A2684">
        <v>3210000</v>
      </c>
      <c r="B2684" t="s">
        <v>9395</v>
      </c>
      <c r="C2684" s="1">
        <v>42546</v>
      </c>
      <c r="D2684" t="s">
        <v>9396</v>
      </c>
      <c r="E2684" t="str">
        <f t="shared" si="132"/>
        <v>서울특별시</v>
      </c>
      <c r="F2684" t="str">
        <f t="shared" si="133"/>
        <v xml:space="preserve">서초구 </v>
      </c>
      <c r="G2684" t="str">
        <f t="shared" si="134"/>
        <v>서초동</v>
      </c>
      <c r="H2684" t="s">
        <v>9397</v>
      </c>
      <c r="I2684">
        <v>6614</v>
      </c>
    </row>
    <row r="2685" spans="1:9" x14ac:dyDescent="0.4">
      <c r="A2685">
        <v>3210000</v>
      </c>
      <c r="B2685" t="s">
        <v>9309</v>
      </c>
      <c r="C2685" s="1">
        <v>37792</v>
      </c>
      <c r="D2685" t="s">
        <v>9310</v>
      </c>
      <c r="E2685" t="str">
        <f t="shared" si="132"/>
        <v>서울특별시</v>
      </c>
      <c r="F2685" t="str">
        <f t="shared" si="133"/>
        <v xml:space="preserve">서초구 </v>
      </c>
      <c r="G2685" t="str">
        <f t="shared" si="134"/>
        <v>서초동</v>
      </c>
    </row>
    <row r="2686" spans="1:9" x14ac:dyDescent="0.4">
      <c r="A2686">
        <v>3210000</v>
      </c>
      <c r="B2686" t="s">
        <v>9208</v>
      </c>
      <c r="C2686" s="1">
        <v>30436</v>
      </c>
      <c r="D2686" t="s">
        <v>9209</v>
      </c>
      <c r="E2686" t="str">
        <f t="shared" si="132"/>
        <v>서울특별시</v>
      </c>
      <c r="F2686" t="str">
        <f t="shared" si="133"/>
        <v xml:space="preserve">서초구 </v>
      </c>
      <c r="G2686" t="str">
        <f t="shared" si="134"/>
        <v>서초동</v>
      </c>
    </row>
    <row r="2687" spans="1:9" x14ac:dyDescent="0.4">
      <c r="A2687">
        <v>3210000</v>
      </c>
      <c r="B2687" t="s">
        <v>9286</v>
      </c>
      <c r="C2687" s="1">
        <v>33429</v>
      </c>
      <c r="D2687" t="s">
        <v>9287</v>
      </c>
      <c r="E2687" t="str">
        <f t="shared" si="132"/>
        <v>서울특별시</v>
      </c>
      <c r="F2687" t="str">
        <f t="shared" si="133"/>
        <v xml:space="preserve">서초구 </v>
      </c>
      <c r="G2687" t="str">
        <f t="shared" si="134"/>
        <v>서초동</v>
      </c>
    </row>
    <row r="2688" spans="1:9" x14ac:dyDescent="0.4">
      <c r="A2688">
        <v>3210000</v>
      </c>
      <c r="B2688" t="s">
        <v>8915</v>
      </c>
      <c r="C2688" s="1">
        <v>30215</v>
      </c>
      <c r="D2688" t="s">
        <v>8916</v>
      </c>
      <c r="E2688" t="str">
        <f t="shared" si="132"/>
        <v>서울특별시</v>
      </c>
      <c r="F2688" t="str">
        <f t="shared" si="133"/>
        <v xml:space="preserve">서초구 </v>
      </c>
      <c r="G2688" t="str">
        <f t="shared" si="134"/>
        <v>서초동</v>
      </c>
      <c r="H2688" t="s">
        <v>8917</v>
      </c>
      <c r="I2688">
        <v>6612</v>
      </c>
    </row>
    <row r="2689" spans="1:9" x14ac:dyDescent="0.4">
      <c r="A2689">
        <v>3210000</v>
      </c>
      <c r="B2689" t="s">
        <v>12176</v>
      </c>
      <c r="C2689" s="1">
        <v>40163</v>
      </c>
      <c r="D2689" t="s">
        <v>12177</v>
      </c>
      <c r="E2689" t="str">
        <f t="shared" si="132"/>
        <v>서울특별시</v>
      </c>
      <c r="F2689" t="str">
        <f t="shared" si="133"/>
        <v xml:space="preserve">서초구 </v>
      </c>
      <c r="G2689" t="str">
        <f t="shared" si="134"/>
        <v>서초동</v>
      </c>
      <c r="H2689" t="s">
        <v>12178</v>
      </c>
      <c r="I2689">
        <v>6612</v>
      </c>
    </row>
    <row r="2690" spans="1:9" x14ac:dyDescent="0.4">
      <c r="A2690">
        <v>3210000</v>
      </c>
      <c r="B2690" t="s">
        <v>12149</v>
      </c>
      <c r="C2690" s="1">
        <v>41452</v>
      </c>
      <c r="D2690" t="s">
        <v>12150</v>
      </c>
      <c r="E2690" t="str">
        <f t="shared" si="132"/>
        <v>서울특별시</v>
      </c>
      <c r="F2690" t="str">
        <f t="shared" si="133"/>
        <v xml:space="preserve">서초구 </v>
      </c>
      <c r="G2690" t="str">
        <f t="shared" si="134"/>
        <v>서초동</v>
      </c>
      <c r="H2690" t="s">
        <v>12151</v>
      </c>
      <c r="I2690">
        <v>6612</v>
      </c>
    </row>
    <row r="2691" spans="1:9" x14ac:dyDescent="0.4">
      <c r="A2691">
        <v>3210000</v>
      </c>
      <c r="B2691" t="s">
        <v>9270</v>
      </c>
      <c r="C2691" s="1">
        <v>33339</v>
      </c>
      <c r="D2691" t="s">
        <v>9271</v>
      </c>
      <c r="E2691" t="str">
        <f t="shared" ref="E2691:E2754" si="135">LEFT(D2691,5)</f>
        <v>서울특별시</v>
      </c>
      <c r="F2691" t="str">
        <f t="shared" ref="F2691:F2754" si="136">MID(D2691,7,4)</f>
        <v xml:space="preserve">서초구 </v>
      </c>
      <c r="G2691" t="str">
        <f t="shared" ref="G2691:G2754" si="137">MID(SUBSTITUTE(D2691," ",""),9,3)</f>
        <v>서초동</v>
      </c>
    </row>
    <row r="2692" spans="1:9" x14ac:dyDescent="0.4">
      <c r="A2692">
        <v>3210000</v>
      </c>
      <c r="B2692" t="s">
        <v>9268</v>
      </c>
      <c r="C2692" s="1">
        <v>33336</v>
      </c>
      <c r="D2692" t="s">
        <v>9269</v>
      </c>
      <c r="E2692" t="str">
        <f t="shared" si="135"/>
        <v>서울특별시</v>
      </c>
      <c r="F2692" t="str">
        <f t="shared" si="136"/>
        <v xml:space="preserve">서초구 </v>
      </c>
      <c r="G2692" t="str">
        <f t="shared" si="137"/>
        <v>서초동</v>
      </c>
    </row>
    <row r="2693" spans="1:9" x14ac:dyDescent="0.4">
      <c r="A2693">
        <v>3210000</v>
      </c>
      <c r="B2693" t="s">
        <v>9435</v>
      </c>
      <c r="C2693" s="1">
        <v>36323</v>
      </c>
      <c r="D2693" t="s">
        <v>9269</v>
      </c>
      <c r="E2693" t="str">
        <f t="shared" si="135"/>
        <v>서울특별시</v>
      </c>
      <c r="F2693" t="str">
        <f t="shared" si="136"/>
        <v xml:space="preserve">서초구 </v>
      </c>
      <c r="G2693" t="str">
        <f t="shared" si="137"/>
        <v>서초동</v>
      </c>
    </row>
    <row r="2694" spans="1:9" x14ac:dyDescent="0.4">
      <c r="A2694">
        <v>3210000</v>
      </c>
      <c r="B2694" t="s">
        <v>8841</v>
      </c>
      <c r="C2694" s="1">
        <v>36743</v>
      </c>
      <c r="D2694" t="s">
        <v>8842</v>
      </c>
      <c r="E2694" t="str">
        <f t="shared" si="135"/>
        <v>서울특별시</v>
      </c>
      <c r="F2694" t="str">
        <f t="shared" si="136"/>
        <v xml:space="preserve">서초구 </v>
      </c>
      <c r="G2694" t="str">
        <f t="shared" si="137"/>
        <v>서초동</v>
      </c>
      <c r="H2694" t="s">
        <v>8843</v>
      </c>
      <c r="I2694">
        <v>6612</v>
      </c>
    </row>
    <row r="2695" spans="1:9" x14ac:dyDescent="0.4">
      <c r="A2695">
        <v>3210000</v>
      </c>
      <c r="B2695" t="s">
        <v>6671</v>
      </c>
      <c r="C2695" s="1">
        <v>36768</v>
      </c>
      <c r="D2695" t="s">
        <v>6672</v>
      </c>
      <c r="E2695" t="str">
        <f t="shared" si="135"/>
        <v>서울특별시</v>
      </c>
      <c r="F2695" t="str">
        <f t="shared" si="136"/>
        <v xml:space="preserve">서초구 </v>
      </c>
      <c r="G2695" t="str">
        <f t="shared" si="137"/>
        <v>서초동</v>
      </c>
      <c r="H2695" t="s">
        <v>6673</v>
      </c>
      <c r="I2695">
        <v>6612</v>
      </c>
    </row>
    <row r="2696" spans="1:9" x14ac:dyDescent="0.4">
      <c r="A2696">
        <v>3210000</v>
      </c>
      <c r="B2696" t="s">
        <v>8980</v>
      </c>
      <c r="C2696" s="1">
        <v>32209</v>
      </c>
      <c r="D2696" t="s">
        <v>6672</v>
      </c>
      <c r="E2696" t="str">
        <f t="shared" si="135"/>
        <v>서울특별시</v>
      </c>
      <c r="F2696" t="str">
        <f t="shared" si="136"/>
        <v xml:space="preserve">서초구 </v>
      </c>
      <c r="G2696" t="str">
        <f t="shared" si="137"/>
        <v>서초동</v>
      </c>
      <c r="H2696" t="s">
        <v>6673</v>
      </c>
      <c r="I2696">
        <v>6612</v>
      </c>
    </row>
    <row r="2697" spans="1:9" x14ac:dyDescent="0.4">
      <c r="A2697">
        <v>3210000</v>
      </c>
      <c r="B2697" t="s">
        <v>9247</v>
      </c>
      <c r="C2697" s="1">
        <v>33054</v>
      </c>
      <c r="D2697" t="s">
        <v>9248</v>
      </c>
      <c r="E2697" t="str">
        <f t="shared" si="135"/>
        <v>서울특별시</v>
      </c>
      <c r="F2697" t="str">
        <f t="shared" si="136"/>
        <v xml:space="preserve">서초구 </v>
      </c>
      <c r="G2697" t="str">
        <f t="shared" si="137"/>
        <v>서초동</v>
      </c>
    </row>
    <row r="2698" spans="1:9" x14ac:dyDescent="0.4">
      <c r="A2698">
        <v>3210000</v>
      </c>
      <c r="B2698" t="s">
        <v>30</v>
      </c>
      <c r="C2698" s="1">
        <v>32983</v>
      </c>
      <c r="D2698" t="s">
        <v>31</v>
      </c>
      <c r="E2698" t="str">
        <f t="shared" si="135"/>
        <v>서울특별시</v>
      </c>
      <c r="F2698" t="str">
        <f t="shared" si="136"/>
        <v xml:space="preserve">서초구 </v>
      </c>
      <c r="G2698" t="str">
        <f t="shared" si="137"/>
        <v>서초동</v>
      </c>
      <c r="H2698" t="s">
        <v>32</v>
      </c>
      <c r="I2698">
        <v>6612</v>
      </c>
    </row>
    <row r="2699" spans="1:9" x14ac:dyDescent="0.4">
      <c r="A2699">
        <v>3210000</v>
      </c>
      <c r="B2699" t="s">
        <v>9125</v>
      </c>
      <c r="C2699" s="1">
        <v>29911</v>
      </c>
      <c r="D2699" t="s">
        <v>9126</v>
      </c>
      <c r="E2699" t="str">
        <f t="shared" si="135"/>
        <v>서울특별시</v>
      </c>
      <c r="F2699" t="str">
        <f t="shared" si="136"/>
        <v xml:space="preserve">서초구 </v>
      </c>
      <c r="G2699" t="str">
        <f t="shared" si="137"/>
        <v>서초동</v>
      </c>
    </row>
    <row r="2700" spans="1:9" x14ac:dyDescent="0.4">
      <c r="A2700">
        <v>3210000</v>
      </c>
      <c r="B2700" t="s">
        <v>9188</v>
      </c>
      <c r="C2700" s="1">
        <v>36825</v>
      </c>
      <c r="D2700" t="s">
        <v>9189</v>
      </c>
      <c r="E2700" t="str">
        <f t="shared" si="135"/>
        <v>서울특별시</v>
      </c>
      <c r="F2700" t="str">
        <f t="shared" si="136"/>
        <v xml:space="preserve">서초구 </v>
      </c>
      <c r="G2700" t="str">
        <f t="shared" si="137"/>
        <v>서초동</v>
      </c>
    </row>
    <row r="2701" spans="1:9" x14ac:dyDescent="0.4">
      <c r="A2701">
        <v>3210000</v>
      </c>
      <c r="B2701" t="s">
        <v>9233</v>
      </c>
      <c r="C2701" s="1">
        <v>31972</v>
      </c>
      <c r="D2701" t="s">
        <v>9189</v>
      </c>
      <c r="E2701" t="str">
        <f t="shared" si="135"/>
        <v>서울특별시</v>
      </c>
      <c r="F2701" t="str">
        <f t="shared" si="136"/>
        <v xml:space="preserve">서초구 </v>
      </c>
      <c r="G2701" t="str">
        <f t="shared" si="137"/>
        <v>서초동</v>
      </c>
    </row>
    <row r="2702" spans="1:9" x14ac:dyDescent="0.4">
      <c r="A2702">
        <v>3210000</v>
      </c>
      <c r="B2702" t="s">
        <v>9282</v>
      </c>
      <c r="C2702" s="1">
        <v>33406</v>
      </c>
      <c r="D2702" t="s">
        <v>9283</v>
      </c>
      <c r="E2702" t="str">
        <f t="shared" si="135"/>
        <v>서울특별시</v>
      </c>
      <c r="F2702" t="str">
        <f t="shared" si="136"/>
        <v xml:space="preserve">서초구 </v>
      </c>
      <c r="G2702" t="str">
        <f t="shared" si="137"/>
        <v>서초동</v>
      </c>
    </row>
    <row r="2703" spans="1:9" x14ac:dyDescent="0.4">
      <c r="A2703">
        <v>3210000</v>
      </c>
      <c r="B2703" t="s">
        <v>8962</v>
      </c>
      <c r="C2703" s="1">
        <v>36491</v>
      </c>
      <c r="D2703" t="s">
        <v>8963</v>
      </c>
      <c r="E2703" t="str">
        <f t="shared" si="135"/>
        <v>서울특별시</v>
      </c>
      <c r="F2703" t="str">
        <f t="shared" si="136"/>
        <v xml:space="preserve">서초구 </v>
      </c>
      <c r="G2703" t="str">
        <f t="shared" si="137"/>
        <v>서초동</v>
      </c>
    </row>
    <row r="2704" spans="1:9" x14ac:dyDescent="0.4">
      <c r="A2704">
        <v>3210000</v>
      </c>
      <c r="B2704" t="s">
        <v>9288</v>
      </c>
      <c r="C2704" s="1">
        <v>33486</v>
      </c>
      <c r="D2704" t="s">
        <v>8963</v>
      </c>
      <c r="E2704" t="str">
        <f t="shared" si="135"/>
        <v>서울특별시</v>
      </c>
      <c r="F2704" t="str">
        <f t="shared" si="136"/>
        <v xml:space="preserve">서초구 </v>
      </c>
      <c r="G2704" t="str">
        <f t="shared" si="137"/>
        <v>서초동</v>
      </c>
    </row>
    <row r="2705" spans="1:9" x14ac:dyDescent="0.4">
      <c r="A2705">
        <v>3210000</v>
      </c>
      <c r="B2705" t="s">
        <v>9295</v>
      </c>
      <c r="C2705" s="1">
        <v>31294</v>
      </c>
      <c r="D2705" t="s">
        <v>8963</v>
      </c>
      <c r="E2705" t="str">
        <f t="shared" si="135"/>
        <v>서울특별시</v>
      </c>
      <c r="F2705" t="str">
        <f t="shared" si="136"/>
        <v xml:space="preserve">서초구 </v>
      </c>
      <c r="G2705" t="str">
        <f t="shared" si="137"/>
        <v>서초동</v>
      </c>
    </row>
    <row r="2706" spans="1:9" x14ac:dyDescent="0.4">
      <c r="A2706">
        <v>3210000</v>
      </c>
      <c r="B2706" t="s">
        <v>8960</v>
      </c>
      <c r="C2706" s="1">
        <v>36489</v>
      </c>
      <c r="D2706" t="s">
        <v>8961</v>
      </c>
      <c r="E2706" t="str">
        <f t="shared" si="135"/>
        <v>서울특별시</v>
      </c>
      <c r="F2706" t="str">
        <f t="shared" si="136"/>
        <v xml:space="preserve">서초구 </v>
      </c>
      <c r="G2706" t="str">
        <f t="shared" si="137"/>
        <v>서초동</v>
      </c>
    </row>
    <row r="2707" spans="1:9" x14ac:dyDescent="0.4">
      <c r="A2707">
        <v>3210000</v>
      </c>
      <c r="B2707" t="s">
        <v>9284</v>
      </c>
      <c r="C2707" s="1">
        <v>33425</v>
      </c>
      <c r="D2707" t="s">
        <v>9285</v>
      </c>
      <c r="E2707" t="str">
        <f t="shared" si="135"/>
        <v>서울특별시</v>
      </c>
      <c r="F2707" t="str">
        <f t="shared" si="136"/>
        <v xml:space="preserve">서초구 </v>
      </c>
      <c r="G2707" t="str">
        <f t="shared" si="137"/>
        <v>서초동</v>
      </c>
    </row>
    <row r="2708" spans="1:9" x14ac:dyDescent="0.4">
      <c r="A2708">
        <v>3210000</v>
      </c>
      <c r="B2708" t="s">
        <v>9328</v>
      </c>
      <c r="C2708" s="1">
        <v>34787</v>
      </c>
      <c r="D2708" t="s">
        <v>9285</v>
      </c>
      <c r="E2708" t="str">
        <f t="shared" si="135"/>
        <v>서울특별시</v>
      </c>
      <c r="F2708" t="str">
        <f t="shared" si="136"/>
        <v xml:space="preserve">서초구 </v>
      </c>
      <c r="G2708" t="str">
        <f t="shared" si="137"/>
        <v>서초동</v>
      </c>
    </row>
    <row r="2709" spans="1:9" x14ac:dyDescent="0.4">
      <c r="A2709">
        <v>3210000</v>
      </c>
      <c r="B2709" t="s">
        <v>9025</v>
      </c>
      <c r="C2709" s="1">
        <v>30833</v>
      </c>
      <c r="D2709" t="s">
        <v>9026</v>
      </c>
      <c r="E2709" t="str">
        <f t="shared" si="135"/>
        <v>서울특별시</v>
      </c>
      <c r="F2709" t="str">
        <f t="shared" si="136"/>
        <v xml:space="preserve">서초구 </v>
      </c>
      <c r="G2709" t="str">
        <f t="shared" si="137"/>
        <v>서초동</v>
      </c>
    </row>
    <row r="2710" spans="1:9" x14ac:dyDescent="0.4">
      <c r="A2710">
        <v>3210000</v>
      </c>
      <c r="B2710" t="s">
        <v>9381</v>
      </c>
      <c r="C2710" s="1">
        <v>32717</v>
      </c>
      <c r="D2710" t="s">
        <v>9026</v>
      </c>
      <c r="E2710" t="str">
        <f t="shared" si="135"/>
        <v>서울특별시</v>
      </c>
      <c r="F2710" t="str">
        <f t="shared" si="136"/>
        <v xml:space="preserve">서초구 </v>
      </c>
      <c r="G2710" t="str">
        <f t="shared" si="137"/>
        <v>서초동</v>
      </c>
    </row>
    <row r="2711" spans="1:9" x14ac:dyDescent="0.4">
      <c r="A2711">
        <v>3210000</v>
      </c>
      <c r="B2711" t="s">
        <v>8912</v>
      </c>
      <c r="C2711" s="1">
        <v>40294</v>
      </c>
      <c r="D2711" t="s">
        <v>8913</v>
      </c>
      <c r="E2711" t="str">
        <f t="shared" si="135"/>
        <v>서울특별시</v>
      </c>
      <c r="F2711" t="str">
        <f t="shared" si="136"/>
        <v xml:space="preserve">서초구 </v>
      </c>
      <c r="G2711" t="str">
        <f t="shared" si="137"/>
        <v>서초동</v>
      </c>
      <c r="H2711" t="s">
        <v>8914</v>
      </c>
      <c r="I2711">
        <v>6611</v>
      </c>
    </row>
    <row r="2712" spans="1:9" x14ac:dyDescent="0.4">
      <c r="A2712">
        <v>3210000</v>
      </c>
      <c r="B2712" t="s">
        <v>9272</v>
      </c>
      <c r="C2712" s="1">
        <v>33344</v>
      </c>
      <c r="D2712" t="s">
        <v>9273</v>
      </c>
      <c r="E2712" t="str">
        <f t="shared" si="135"/>
        <v>서울특별시</v>
      </c>
      <c r="F2712" t="str">
        <f t="shared" si="136"/>
        <v xml:space="preserve">서초구 </v>
      </c>
      <c r="G2712" t="str">
        <f t="shared" si="137"/>
        <v>서초동</v>
      </c>
    </row>
    <row r="2713" spans="1:9" x14ac:dyDescent="0.4">
      <c r="A2713">
        <v>3210000</v>
      </c>
      <c r="B2713" t="s">
        <v>9430</v>
      </c>
      <c r="C2713" s="1">
        <v>36257</v>
      </c>
      <c r="D2713" t="s">
        <v>9273</v>
      </c>
      <c r="E2713" t="str">
        <f t="shared" si="135"/>
        <v>서울특별시</v>
      </c>
      <c r="F2713" t="str">
        <f t="shared" si="136"/>
        <v xml:space="preserve">서초구 </v>
      </c>
      <c r="G2713" t="str">
        <f t="shared" si="137"/>
        <v>서초동</v>
      </c>
    </row>
    <row r="2714" spans="1:9" x14ac:dyDescent="0.4">
      <c r="A2714">
        <v>3210000</v>
      </c>
      <c r="B2714" t="s">
        <v>9014</v>
      </c>
      <c r="C2714" s="1">
        <v>30522</v>
      </c>
      <c r="D2714" t="s">
        <v>9015</v>
      </c>
      <c r="E2714" t="str">
        <f t="shared" si="135"/>
        <v>서울특별시</v>
      </c>
      <c r="F2714" t="str">
        <f t="shared" si="136"/>
        <v xml:space="preserve">서초구 </v>
      </c>
      <c r="G2714" t="str">
        <f t="shared" si="137"/>
        <v>서초동</v>
      </c>
      <c r="H2714" t="s">
        <v>9016</v>
      </c>
    </row>
    <row r="2715" spans="1:9" x14ac:dyDescent="0.4">
      <c r="A2715">
        <v>3210000</v>
      </c>
      <c r="B2715" t="s">
        <v>9398</v>
      </c>
      <c r="C2715" s="1">
        <v>42863</v>
      </c>
      <c r="D2715" t="s">
        <v>9399</v>
      </c>
      <c r="E2715" t="str">
        <f t="shared" si="135"/>
        <v>서울특별시</v>
      </c>
      <c r="F2715" t="str">
        <f t="shared" si="136"/>
        <v xml:space="preserve">서초구 </v>
      </c>
      <c r="G2715" t="str">
        <f t="shared" si="137"/>
        <v>서초동</v>
      </c>
      <c r="H2715" t="s">
        <v>9400</v>
      </c>
      <c r="I2715">
        <v>6611</v>
      </c>
    </row>
    <row r="2716" spans="1:9" x14ac:dyDescent="0.4">
      <c r="A2716">
        <v>3210000</v>
      </c>
      <c r="B2716" t="s">
        <v>9144</v>
      </c>
      <c r="C2716" s="1">
        <v>37099</v>
      </c>
      <c r="D2716" t="s">
        <v>9145</v>
      </c>
      <c r="E2716" t="str">
        <f t="shared" si="135"/>
        <v>서울특별시</v>
      </c>
      <c r="F2716" t="str">
        <f t="shared" si="136"/>
        <v xml:space="preserve">서초구 </v>
      </c>
      <c r="G2716" t="str">
        <f t="shared" si="137"/>
        <v>서초동</v>
      </c>
      <c r="H2716" t="s">
        <v>9146</v>
      </c>
      <c r="I2716">
        <v>6611</v>
      </c>
    </row>
    <row r="2717" spans="1:9" x14ac:dyDescent="0.4">
      <c r="A2717">
        <v>3210000</v>
      </c>
      <c r="B2717" t="s">
        <v>9195</v>
      </c>
      <c r="C2717" s="1">
        <v>30071</v>
      </c>
      <c r="D2717" t="s">
        <v>9145</v>
      </c>
      <c r="E2717" t="str">
        <f t="shared" si="135"/>
        <v>서울특별시</v>
      </c>
      <c r="F2717" t="str">
        <f t="shared" si="136"/>
        <v xml:space="preserve">서초구 </v>
      </c>
      <c r="G2717" t="str">
        <f t="shared" si="137"/>
        <v>서초동</v>
      </c>
    </row>
    <row r="2718" spans="1:9" x14ac:dyDescent="0.4">
      <c r="A2718">
        <v>3210000</v>
      </c>
      <c r="B2718" t="s">
        <v>9377</v>
      </c>
      <c r="C2718" s="1">
        <v>32686</v>
      </c>
      <c r="D2718" t="s">
        <v>9378</v>
      </c>
      <c r="E2718" t="str">
        <f t="shared" si="135"/>
        <v>서울특별시</v>
      </c>
      <c r="F2718" t="str">
        <f t="shared" si="136"/>
        <v xml:space="preserve">서초구 </v>
      </c>
      <c r="G2718" t="str">
        <f t="shared" si="137"/>
        <v>서초동</v>
      </c>
    </row>
    <row r="2719" spans="1:9" x14ac:dyDescent="0.4">
      <c r="A2719">
        <v>3210000</v>
      </c>
      <c r="B2719" t="s">
        <v>9320</v>
      </c>
      <c r="C2719" s="1">
        <v>34087</v>
      </c>
      <c r="D2719" t="s">
        <v>9321</v>
      </c>
      <c r="E2719" t="str">
        <f t="shared" si="135"/>
        <v>서울특별시</v>
      </c>
      <c r="F2719" t="str">
        <f t="shared" si="136"/>
        <v xml:space="preserve">서초구 </v>
      </c>
      <c r="G2719" t="str">
        <f t="shared" si="137"/>
        <v>서초동</v>
      </c>
    </row>
    <row r="2720" spans="1:9" x14ac:dyDescent="0.4">
      <c r="A2720">
        <v>3210000</v>
      </c>
      <c r="B2720" t="s">
        <v>9027</v>
      </c>
      <c r="C2720" s="1">
        <v>30834</v>
      </c>
      <c r="D2720" t="s">
        <v>9028</v>
      </c>
      <c r="E2720" t="str">
        <f t="shared" si="135"/>
        <v>서울특별시</v>
      </c>
      <c r="F2720" t="str">
        <f t="shared" si="136"/>
        <v xml:space="preserve">서초구 </v>
      </c>
      <c r="G2720" t="str">
        <f t="shared" si="137"/>
        <v>서초동</v>
      </c>
    </row>
    <row r="2721" spans="1:9" x14ac:dyDescent="0.4">
      <c r="A2721">
        <v>3210000</v>
      </c>
      <c r="B2721" t="s">
        <v>9245</v>
      </c>
      <c r="C2721" s="1">
        <v>33045</v>
      </c>
      <c r="D2721" t="s">
        <v>9246</v>
      </c>
      <c r="E2721" t="str">
        <f t="shared" si="135"/>
        <v>서울특별시</v>
      </c>
      <c r="F2721" t="str">
        <f t="shared" si="136"/>
        <v xml:space="preserve">서초구 </v>
      </c>
      <c r="G2721" t="str">
        <f t="shared" si="137"/>
        <v>서초동</v>
      </c>
    </row>
    <row r="2722" spans="1:9" x14ac:dyDescent="0.4">
      <c r="A2722">
        <v>3210000</v>
      </c>
      <c r="B2722" t="s">
        <v>9262</v>
      </c>
      <c r="C2722" s="1">
        <v>33212</v>
      </c>
      <c r="D2722" t="s">
        <v>9263</v>
      </c>
      <c r="E2722" t="str">
        <f t="shared" si="135"/>
        <v>서울특별시</v>
      </c>
      <c r="F2722" t="str">
        <f t="shared" si="136"/>
        <v xml:space="preserve">서초구 </v>
      </c>
      <c r="G2722" t="str">
        <f t="shared" si="137"/>
        <v>서초동</v>
      </c>
      <c r="H2722" t="s">
        <v>9264</v>
      </c>
      <c r="I2722">
        <v>6615</v>
      </c>
    </row>
    <row r="2723" spans="1:9" x14ac:dyDescent="0.4">
      <c r="A2723">
        <v>3210000</v>
      </c>
      <c r="B2723" t="s">
        <v>8997</v>
      </c>
      <c r="C2723" s="1">
        <v>31279</v>
      </c>
      <c r="D2723" t="s">
        <v>8998</v>
      </c>
      <c r="E2723" t="str">
        <f t="shared" si="135"/>
        <v>서울특별시</v>
      </c>
      <c r="F2723" t="str">
        <f t="shared" si="136"/>
        <v xml:space="preserve">서초구 </v>
      </c>
      <c r="G2723" t="str">
        <f t="shared" si="137"/>
        <v>서초동</v>
      </c>
    </row>
    <row r="2724" spans="1:9" x14ac:dyDescent="0.4">
      <c r="A2724">
        <v>3210000</v>
      </c>
      <c r="B2724" t="s">
        <v>9128</v>
      </c>
      <c r="C2724" s="1">
        <v>30835</v>
      </c>
      <c r="D2724" t="s">
        <v>9129</v>
      </c>
      <c r="E2724" t="str">
        <f t="shared" si="135"/>
        <v>서울특별시</v>
      </c>
      <c r="F2724" t="str">
        <f t="shared" si="136"/>
        <v xml:space="preserve">서초구 </v>
      </c>
      <c r="G2724" t="str">
        <f t="shared" si="137"/>
        <v>서초동</v>
      </c>
    </row>
    <row r="2725" spans="1:9" x14ac:dyDescent="0.4">
      <c r="A2725">
        <v>3210000</v>
      </c>
      <c r="B2725" t="s">
        <v>9114</v>
      </c>
      <c r="C2725" s="1">
        <v>41480</v>
      </c>
      <c r="D2725" t="s">
        <v>9115</v>
      </c>
      <c r="E2725" t="str">
        <f t="shared" si="135"/>
        <v>서울특별시</v>
      </c>
      <c r="F2725" t="str">
        <f t="shared" si="136"/>
        <v xml:space="preserve">서초구 </v>
      </c>
      <c r="G2725" t="str">
        <f t="shared" si="137"/>
        <v>서초동</v>
      </c>
      <c r="H2725" t="s">
        <v>9116</v>
      </c>
      <c r="I2725">
        <v>6615</v>
      </c>
    </row>
    <row r="2726" spans="1:9" x14ac:dyDescent="0.4">
      <c r="A2726">
        <v>3210000</v>
      </c>
      <c r="B2726" t="s">
        <v>9130</v>
      </c>
      <c r="C2726" s="1">
        <v>30923</v>
      </c>
      <c r="D2726" t="s">
        <v>9115</v>
      </c>
      <c r="E2726" t="str">
        <f t="shared" si="135"/>
        <v>서울특별시</v>
      </c>
      <c r="F2726" t="str">
        <f t="shared" si="136"/>
        <v xml:space="preserve">서초구 </v>
      </c>
      <c r="G2726" t="str">
        <f t="shared" si="137"/>
        <v>서초동</v>
      </c>
    </row>
    <row r="2727" spans="1:9" x14ac:dyDescent="0.4">
      <c r="A2727">
        <v>3210000</v>
      </c>
      <c r="B2727" t="s">
        <v>8943</v>
      </c>
      <c r="C2727" s="1">
        <v>36890</v>
      </c>
      <c r="D2727" t="s">
        <v>8944</v>
      </c>
      <c r="E2727" t="str">
        <f t="shared" si="135"/>
        <v>서울특별시</v>
      </c>
      <c r="F2727" t="str">
        <f t="shared" si="136"/>
        <v xml:space="preserve">서초구 </v>
      </c>
      <c r="G2727" t="str">
        <f t="shared" si="137"/>
        <v>서초동</v>
      </c>
    </row>
    <row r="2728" spans="1:9" x14ac:dyDescent="0.4">
      <c r="A2728">
        <v>3210000</v>
      </c>
      <c r="B2728" t="s">
        <v>9300</v>
      </c>
      <c r="C2728" s="1">
        <v>39416</v>
      </c>
      <c r="D2728" t="s">
        <v>9301</v>
      </c>
      <c r="E2728" t="str">
        <f t="shared" si="135"/>
        <v>서울특별시</v>
      </c>
      <c r="F2728" t="str">
        <f t="shared" si="136"/>
        <v xml:space="preserve">서초구 </v>
      </c>
      <c r="G2728" t="str">
        <f t="shared" si="137"/>
        <v>서초동</v>
      </c>
      <c r="H2728" t="s">
        <v>9302</v>
      </c>
      <c r="I2728">
        <v>6615</v>
      </c>
    </row>
    <row r="2729" spans="1:9" x14ac:dyDescent="0.4">
      <c r="A2729">
        <v>3210000</v>
      </c>
      <c r="B2729" t="s">
        <v>9003</v>
      </c>
      <c r="C2729" s="1">
        <v>36948</v>
      </c>
      <c r="D2729" t="s">
        <v>9004</v>
      </c>
      <c r="E2729" t="str">
        <f t="shared" si="135"/>
        <v>서울특별시</v>
      </c>
      <c r="F2729" t="str">
        <f t="shared" si="136"/>
        <v xml:space="preserve">서초구 </v>
      </c>
      <c r="G2729" t="str">
        <f t="shared" si="137"/>
        <v>서초동</v>
      </c>
    </row>
    <row r="2730" spans="1:9" x14ac:dyDescent="0.4">
      <c r="A2730">
        <v>3210000</v>
      </c>
      <c r="B2730" t="s">
        <v>9190</v>
      </c>
      <c r="C2730" s="1">
        <v>36837</v>
      </c>
      <c r="D2730" t="s">
        <v>9191</v>
      </c>
      <c r="E2730" t="str">
        <f t="shared" si="135"/>
        <v>서울특별시</v>
      </c>
      <c r="F2730" t="str">
        <f t="shared" si="136"/>
        <v xml:space="preserve">서초구 </v>
      </c>
      <c r="G2730" t="str">
        <f t="shared" si="137"/>
        <v>서초동</v>
      </c>
    </row>
    <row r="2731" spans="1:9" x14ac:dyDescent="0.4">
      <c r="A2731">
        <v>3210000</v>
      </c>
      <c r="B2731" t="s">
        <v>9005</v>
      </c>
      <c r="C2731" s="1">
        <v>36953</v>
      </c>
      <c r="D2731" t="s">
        <v>9006</v>
      </c>
      <c r="E2731" t="str">
        <f t="shared" si="135"/>
        <v>서울특별시</v>
      </c>
      <c r="F2731" t="str">
        <f t="shared" si="136"/>
        <v xml:space="preserve">서초구 </v>
      </c>
      <c r="G2731" t="str">
        <f t="shared" si="137"/>
        <v>서초동</v>
      </c>
    </row>
    <row r="2732" spans="1:9" x14ac:dyDescent="0.4">
      <c r="A2732">
        <v>3210000</v>
      </c>
      <c r="B2732" t="s">
        <v>9055</v>
      </c>
      <c r="C2732" s="1">
        <v>36648</v>
      </c>
      <c r="D2732" t="s">
        <v>9056</v>
      </c>
      <c r="E2732" t="str">
        <f t="shared" si="135"/>
        <v>서울특별시</v>
      </c>
      <c r="F2732" t="str">
        <f t="shared" si="136"/>
        <v xml:space="preserve">서초구 </v>
      </c>
      <c r="G2732" t="str">
        <f t="shared" si="137"/>
        <v>서초동</v>
      </c>
      <c r="H2732" t="s">
        <v>9057</v>
      </c>
    </row>
    <row r="2733" spans="1:9" x14ac:dyDescent="0.4">
      <c r="A2733">
        <v>3210000</v>
      </c>
      <c r="B2733" t="s">
        <v>9237</v>
      </c>
      <c r="C2733" s="1">
        <v>32189</v>
      </c>
      <c r="D2733" t="s">
        <v>9238</v>
      </c>
      <c r="E2733" t="str">
        <f t="shared" si="135"/>
        <v>서울특별시</v>
      </c>
      <c r="F2733" t="str">
        <f t="shared" si="136"/>
        <v xml:space="preserve">서초구 </v>
      </c>
      <c r="G2733" t="str">
        <f t="shared" si="137"/>
        <v>서초동</v>
      </c>
    </row>
    <row r="2734" spans="1:9" x14ac:dyDescent="0.4">
      <c r="A2734">
        <v>3210000</v>
      </c>
      <c r="B2734" t="s">
        <v>9441</v>
      </c>
      <c r="C2734" s="1">
        <v>36342</v>
      </c>
      <c r="D2734" t="s">
        <v>9442</v>
      </c>
      <c r="E2734" t="str">
        <f t="shared" si="135"/>
        <v>서울특별시</v>
      </c>
      <c r="F2734" t="str">
        <f t="shared" si="136"/>
        <v xml:space="preserve">서초구 </v>
      </c>
      <c r="G2734" t="str">
        <f t="shared" si="137"/>
        <v>서초동</v>
      </c>
    </row>
    <row r="2735" spans="1:9" x14ac:dyDescent="0.4">
      <c r="A2735">
        <v>3210000</v>
      </c>
      <c r="B2735" t="s">
        <v>9274</v>
      </c>
      <c r="C2735" s="1">
        <v>33366</v>
      </c>
      <c r="D2735" t="s">
        <v>9275</v>
      </c>
      <c r="E2735" t="str">
        <f t="shared" si="135"/>
        <v>서울특별시</v>
      </c>
      <c r="F2735" t="str">
        <f t="shared" si="136"/>
        <v xml:space="preserve">서초구 </v>
      </c>
      <c r="G2735" t="str">
        <f t="shared" si="137"/>
        <v>서초동</v>
      </c>
    </row>
    <row r="2736" spans="1:9" x14ac:dyDescent="0.4">
      <c r="A2736">
        <v>3210000</v>
      </c>
      <c r="B2736" t="s">
        <v>9365</v>
      </c>
      <c r="C2736" s="1">
        <v>39969</v>
      </c>
      <c r="D2736" t="s">
        <v>9366</v>
      </c>
      <c r="E2736" t="str">
        <f t="shared" si="135"/>
        <v>서울특별시</v>
      </c>
      <c r="F2736" t="str">
        <f t="shared" si="136"/>
        <v xml:space="preserve">서초구 </v>
      </c>
      <c r="G2736" t="str">
        <f t="shared" si="137"/>
        <v>서초동</v>
      </c>
    </row>
    <row r="2737" spans="1:9" x14ac:dyDescent="0.4">
      <c r="A2737">
        <v>3210000</v>
      </c>
      <c r="B2737" t="s">
        <v>9383</v>
      </c>
      <c r="C2737" s="1">
        <v>32746</v>
      </c>
      <c r="D2737" t="s">
        <v>9366</v>
      </c>
      <c r="E2737" t="str">
        <f t="shared" si="135"/>
        <v>서울특별시</v>
      </c>
      <c r="F2737" t="str">
        <f t="shared" si="136"/>
        <v xml:space="preserve">서초구 </v>
      </c>
      <c r="G2737" t="str">
        <f t="shared" si="137"/>
        <v>서초동</v>
      </c>
    </row>
    <row r="2738" spans="1:9" x14ac:dyDescent="0.4">
      <c r="A2738">
        <v>3210000</v>
      </c>
      <c r="B2738" t="s">
        <v>9228</v>
      </c>
      <c r="C2738" s="1">
        <v>31775</v>
      </c>
      <c r="D2738" t="s">
        <v>9229</v>
      </c>
      <c r="E2738" t="str">
        <f t="shared" si="135"/>
        <v>서울특별시</v>
      </c>
      <c r="F2738" t="str">
        <f t="shared" si="136"/>
        <v xml:space="preserve">서초구 </v>
      </c>
      <c r="G2738" t="str">
        <f t="shared" si="137"/>
        <v>서초동</v>
      </c>
    </row>
    <row r="2739" spans="1:9" x14ac:dyDescent="0.4">
      <c r="A2739">
        <v>3210000</v>
      </c>
      <c r="B2739" t="s">
        <v>9338</v>
      </c>
      <c r="C2739" s="1">
        <v>36369</v>
      </c>
      <c r="D2739" t="s">
        <v>9339</v>
      </c>
      <c r="E2739" t="str">
        <f t="shared" si="135"/>
        <v>서울특별시</v>
      </c>
      <c r="F2739" t="str">
        <f t="shared" si="136"/>
        <v xml:space="preserve">서초구 </v>
      </c>
      <c r="G2739" t="str">
        <f t="shared" si="137"/>
        <v>서초동</v>
      </c>
    </row>
    <row r="2740" spans="1:9" x14ac:dyDescent="0.4">
      <c r="A2740">
        <v>3210000</v>
      </c>
      <c r="B2740" t="s">
        <v>8970</v>
      </c>
      <c r="C2740" s="1">
        <v>33072</v>
      </c>
      <c r="D2740" t="s">
        <v>8971</v>
      </c>
      <c r="E2740" t="str">
        <f t="shared" si="135"/>
        <v>서울특별시</v>
      </c>
      <c r="F2740" t="str">
        <f t="shared" si="136"/>
        <v xml:space="preserve">서초구 </v>
      </c>
      <c r="G2740" t="str">
        <f t="shared" si="137"/>
        <v>서초동</v>
      </c>
    </row>
    <row r="2741" spans="1:9" x14ac:dyDescent="0.4">
      <c r="A2741">
        <v>3210000</v>
      </c>
      <c r="B2741" t="s">
        <v>9206</v>
      </c>
      <c r="C2741" s="1">
        <v>30436</v>
      </c>
      <c r="D2741" t="s">
        <v>8971</v>
      </c>
      <c r="E2741" t="str">
        <f t="shared" si="135"/>
        <v>서울특별시</v>
      </c>
      <c r="F2741" t="str">
        <f t="shared" si="136"/>
        <v xml:space="preserve">서초구 </v>
      </c>
      <c r="G2741" t="str">
        <f t="shared" si="137"/>
        <v>서초동</v>
      </c>
      <c r="H2741" t="s">
        <v>9207</v>
      </c>
      <c r="I2741">
        <v>6626</v>
      </c>
    </row>
    <row r="2742" spans="1:9" x14ac:dyDescent="0.4">
      <c r="A2742">
        <v>3210000</v>
      </c>
      <c r="B2742" t="s">
        <v>8850</v>
      </c>
      <c r="C2742" s="1">
        <v>41243</v>
      </c>
      <c r="D2742" t="s">
        <v>8851</v>
      </c>
      <c r="E2742" t="str">
        <f t="shared" si="135"/>
        <v>서울특별시</v>
      </c>
      <c r="F2742" t="str">
        <f t="shared" si="136"/>
        <v xml:space="preserve">서초구 </v>
      </c>
      <c r="G2742" t="str">
        <f t="shared" si="137"/>
        <v>서초동</v>
      </c>
      <c r="H2742" t="s">
        <v>8852</v>
      </c>
    </row>
    <row r="2743" spans="1:9" x14ac:dyDescent="0.4">
      <c r="A2743">
        <v>3210000</v>
      </c>
      <c r="B2743" t="s">
        <v>8993</v>
      </c>
      <c r="C2743" s="1">
        <v>31119</v>
      </c>
      <c r="D2743" t="s">
        <v>8994</v>
      </c>
      <c r="E2743" t="str">
        <f t="shared" si="135"/>
        <v>서울특별시</v>
      </c>
      <c r="F2743" t="str">
        <f t="shared" si="136"/>
        <v xml:space="preserve">서초구 </v>
      </c>
      <c r="G2743" t="str">
        <f t="shared" si="137"/>
        <v>서초동</v>
      </c>
    </row>
    <row r="2744" spans="1:9" x14ac:dyDescent="0.4">
      <c r="A2744">
        <v>3210000</v>
      </c>
      <c r="B2744" t="s">
        <v>9152</v>
      </c>
      <c r="C2744" s="1">
        <v>37194</v>
      </c>
      <c r="D2744" t="s">
        <v>8994</v>
      </c>
      <c r="E2744" t="str">
        <f t="shared" si="135"/>
        <v>서울특별시</v>
      </c>
      <c r="F2744" t="str">
        <f t="shared" si="136"/>
        <v xml:space="preserve">서초구 </v>
      </c>
      <c r="G2744" t="str">
        <f t="shared" si="137"/>
        <v>서초동</v>
      </c>
    </row>
    <row r="2745" spans="1:9" x14ac:dyDescent="0.4">
      <c r="A2745">
        <v>3210000</v>
      </c>
      <c r="B2745" t="s">
        <v>9183</v>
      </c>
      <c r="C2745" s="1">
        <v>36811</v>
      </c>
      <c r="D2745" t="s">
        <v>9184</v>
      </c>
      <c r="E2745" t="str">
        <f t="shared" si="135"/>
        <v>서울특별시</v>
      </c>
      <c r="F2745" t="str">
        <f t="shared" si="136"/>
        <v xml:space="preserve">서초구 </v>
      </c>
      <c r="G2745" t="str">
        <f t="shared" si="137"/>
        <v>서초동</v>
      </c>
      <c r="H2745" t="s">
        <v>9185</v>
      </c>
      <c r="I2745">
        <v>6626</v>
      </c>
    </row>
    <row r="2746" spans="1:9" x14ac:dyDescent="0.4">
      <c r="A2746">
        <v>3210000</v>
      </c>
      <c r="B2746" t="s">
        <v>8953</v>
      </c>
      <c r="C2746" s="1">
        <v>36710</v>
      </c>
      <c r="D2746" t="s">
        <v>8954</v>
      </c>
      <c r="E2746" t="str">
        <f t="shared" si="135"/>
        <v>서울특별시</v>
      </c>
      <c r="F2746" t="str">
        <f t="shared" si="136"/>
        <v xml:space="preserve">서초구 </v>
      </c>
      <c r="G2746" t="str">
        <f t="shared" si="137"/>
        <v>서초동</v>
      </c>
      <c r="H2746" t="s">
        <v>8955</v>
      </c>
      <c r="I2746">
        <v>6626</v>
      </c>
    </row>
    <row r="2747" spans="1:9" x14ac:dyDescent="0.4">
      <c r="A2747">
        <v>3210000</v>
      </c>
      <c r="B2747" t="s">
        <v>9319</v>
      </c>
      <c r="C2747" s="1">
        <v>33633</v>
      </c>
      <c r="D2747" t="s">
        <v>8954</v>
      </c>
      <c r="E2747" t="str">
        <f t="shared" si="135"/>
        <v>서울특별시</v>
      </c>
      <c r="F2747" t="str">
        <f t="shared" si="136"/>
        <v xml:space="preserve">서초구 </v>
      </c>
      <c r="G2747" t="str">
        <f t="shared" si="137"/>
        <v>서초동</v>
      </c>
    </row>
    <row r="2748" spans="1:9" x14ac:dyDescent="0.4">
      <c r="A2748">
        <v>3210000</v>
      </c>
      <c r="B2748" t="s">
        <v>9384</v>
      </c>
      <c r="C2748" s="1">
        <v>33165</v>
      </c>
      <c r="D2748" t="s">
        <v>8954</v>
      </c>
      <c r="E2748" t="str">
        <f t="shared" si="135"/>
        <v>서울특별시</v>
      </c>
      <c r="F2748" t="str">
        <f t="shared" si="136"/>
        <v xml:space="preserve">서초구 </v>
      </c>
      <c r="G2748" t="str">
        <f t="shared" si="137"/>
        <v>서초동</v>
      </c>
      <c r="H2748" t="s">
        <v>8955</v>
      </c>
      <c r="I2748">
        <v>6626</v>
      </c>
    </row>
    <row r="2749" spans="1:9" x14ac:dyDescent="0.4">
      <c r="A2749">
        <v>3210000</v>
      </c>
      <c r="B2749" t="s">
        <v>60</v>
      </c>
      <c r="C2749" s="1">
        <v>33633</v>
      </c>
      <c r="D2749" t="s">
        <v>61</v>
      </c>
      <c r="E2749" t="str">
        <f t="shared" si="135"/>
        <v>서울특별시</v>
      </c>
      <c r="F2749" t="str">
        <f t="shared" si="136"/>
        <v xml:space="preserve">서초구 </v>
      </c>
      <c r="G2749" t="str">
        <f t="shared" si="137"/>
        <v>서초동</v>
      </c>
      <c r="H2749" t="s">
        <v>62</v>
      </c>
      <c r="I2749">
        <v>6626</v>
      </c>
    </row>
    <row r="2750" spans="1:9" x14ac:dyDescent="0.4">
      <c r="A2750">
        <v>3210000</v>
      </c>
      <c r="B2750" t="s">
        <v>9012</v>
      </c>
      <c r="C2750" s="1">
        <v>30457</v>
      </c>
      <c r="D2750" t="s">
        <v>9013</v>
      </c>
      <c r="E2750" t="str">
        <f t="shared" si="135"/>
        <v>서울특별시</v>
      </c>
      <c r="F2750" t="str">
        <f t="shared" si="136"/>
        <v xml:space="preserve">서초구 </v>
      </c>
      <c r="G2750" t="str">
        <f t="shared" si="137"/>
        <v>서초동</v>
      </c>
    </row>
    <row r="2751" spans="1:9" x14ac:dyDescent="0.4">
      <c r="A2751">
        <v>3210000</v>
      </c>
      <c r="B2751" t="s">
        <v>9259</v>
      </c>
      <c r="C2751" s="1">
        <v>33056</v>
      </c>
      <c r="D2751" t="s">
        <v>9260</v>
      </c>
      <c r="E2751" t="str">
        <f t="shared" si="135"/>
        <v>서울특별시</v>
      </c>
      <c r="F2751" t="str">
        <f t="shared" si="136"/>
        <v xml:space="preserve">서초구 </v>
      </c>
      <c r="G2751" t="str">
        <f t="shared" si="137"/>
        <v>서초동</v>
      </c>
      <c r="H2751" t="s">
        <v>9261</v>
      </c>
      <c r="I2751">
        <v>6626</v>
      </c>
    </row>
    <row r="2752" spans="1:9" x14ac:dyDescent="0.4">
      <c r="A2752">
        <v>3210000</v>
      </c>
      <c r="B2752" t="s">
        <v>9276</v>
      </c>
      <c r="C2752" s="1">
        <v>33374</v>
      </c>
      <c r="D2752" t="s">
        <v>9277</v>
      </c>
      <c r="E2752" t="str">
        <f t="shared" si="135"/>
        <v>서울특별시</v>
      </c>
      <c r="F2752" t="str">
        <f t="shared" si="136"/>
        <v xml:space="preserve">서초구 </v>
      </c>
      <c r="G2752" t="str">
        <f t="shared" si="137"/>
        <v>서초동</v>
      </c>
      <c r="H2752" t="s">
        <v>9278</v>
      </c>
      <c r="I2752">
        <v>6626</v>
      </c>
    </row>
    <row r="2753" spans="1:9" x14ac:dyDescent="0.4">
      <c r="A2753">
        <v>3210000</v>
      </c>
      <c r="B2753" t="s">
        <v>9215</v>
      </c>
      <c r="C2753" s="1">
        <v>31390</v>
      </c>
      <c r="D2753" t="s">
        <v>9216</v>
      </c>
      <c r="E2753" t="str">
        <f t="shared" si="135"/>
        <v>서울특별시</v>
      </c>
      <c r="F2753" t="str">
        <f t="shared" si="136"/>
        <v xml:space="preserve">서초구 </v>
      </c>
      <c r="G2753" t="str">
        <f t="shared" si="137"/>
        <v>서초동</v>
      </c>
    </row>
    <row r="2754" spans="1:9" x14ac:dyDescent="0.4">
      <c r="A2754">
        <v>3210000</v>
      </c>
      <c r="B2754" t="s">
        <v>9232</v>
      </c>
      <c r="C2754" s="1">
        <v>31852</v>
      </c>
      <c r="D2754" t="s">
        <v>9216</v>
      </c>
      <c r="E2754" t="str">
        <f t="shared" si="135"/>
        <v>서울특별시</v>
      </c>
      <c r="F2754" t="str">
        <f t="shared" si="136"/>
        <v xml:space="preserve">서초구 </v>
      </c>
      <c r="G2754" t="str">
        <f t="shared" si="137"/>
        <v>서초동</v>
      </c>
    </row>
    <row r="2755" spans="1:9" x14ac:dyDescent="0.4">
      <c r="A2755">
        <v>3210000</v>
      </c>
      <c r="B2755" t="s">
        <v>9292</v>
      </c>
      <c r="C2755" s="1">
        <v>31288</v>
      </c>
      <c r="D2755" t="s">
        <v>9216</v>
      </c>
      <c r="E2755" t="str">
        <f t="shared" ref="E2755:E2818" si="138">LEFT(D2755,5)</f>
        <v>서울특별시</v>
      </c>
      <c r="F2755" t="str">
        <f t="shared" ref="F2755:F2818" si="139">MID(D2755,7,4)</f>
        <v xml:space="preserve">서초구 </v>
      </c>
      <c r="G2755" t="str">
        <f t="shared" ref="G2755:G2818" si="140">MID(SUBSTITUTE(D2755," ",""),9,3)</f>
        <v>서초동</v>
      </c>
    </row>
    <row r="2756" spans="1:9" x14ac:dyDescent="0.4">
      <c r="A2756">
        <v>3210000</v>
      </c>
      <c r="B2756" t="s">
        <v>9210</v>
      </c>
      <c r="C2756" s="1">
        <v>30437</v>
      </c>
      <c r="D2756" t="s">
        <v>9211</v>
      </c>
      <c r="E2756" t="str">
        <f t="shared" si="138"/>
        <v>서울특별시</v>
      </c>
      <c r="F2756" t="str">
        <f t="shared" si="139"/>
        <v xml:space="preserve">서초구 </v>
      </c>
      <c r="G2756" t="str">
        <f t="shared" si="140"/>
        <v>서초동</v>
      </c>
    </row>
    <row r="2757" spans="1:9" x14ac:dyDescent="0.4">
      <c r="A2757">
        <v>3210000</v>
      </c>
      <c r="B2757" t="s">
        <v>9041</v>
      </c>
      <c r="C2757" s="1">
        <v>36564</v>
      </c>
      <c r="D2757" t="s">
        <v>9042</v>
      </c>
      <c r="E2757" t="str">
        <f t="shared" si="138"/>
        <v>서울특별시</v>
      </c>
      <c r="F2757" t="str">
        <f t="shared" si="139"/>
        <v xml:space="preserve">서초구 </v>
      </c>
      <c r="G2757" t="str">
        <f t="shared" si="140"/>
        <v>서초동</v>
      </c>
    </row>
    <row r="2758" spans="1:9" x14ac:dyDescent="0.4">
      <c r="A2758">
        <v>3210000</v>
      </c>
      <c r="B2758" t="s">
        <v>9265</v>
      </c>
      <c r="C2758" s="1">
        <v>33252</v>
      </c>
      <c r="D2758" t="s">
        <v>9266</v>
      </c>
      <c r="E2758" t="str">
        <f t="shared" si="138"/>
        <v>서울특별시</v>
      </c>
      <c r="F2758" t="str">
        <f t="shared" si="139"/>
        <v xml:space="preserve">서초구 </v>
      </c>
      <c r="G2758" t="str">
        <f t="shared" si="140"/>
        <v>서초동</v>
      </c>
      <c r="H2758" t="s">
        <v>9267</v>
      </c>
      <c r="I2758">
        <v>6627</v>
      </c>
    </row>
    <row r="2759" spans="1:9" x14ac:dyDescent="0.4">
      <c r="A2759">
        <v>3210000</v>
      </c>
      <c r="B2759" t="s">
        <v>9218</v>
      </c>
      <c r="C2759" s="1">
        <v>31420</v>
      </c>
      <c r="D2759" t="s">
        <v>9219</v>
      </c>
      <c r="E2759" t="str">
        <f t="shared" si="138"/>
        <v>서울특별시</v>
      </c>
      <c r="F2759" t="str">
        <f t="shared" si="139"/>
        <v xml:space="preserve">서초구 </v>
      </c>
      <c r="G2759" t="str">
        <f t="shared" si="140"/>
        <v>서초동</v>
      </c>
    </row>
    <row r="2760" spans="1:9" x14ac:dyDescent="0.4">
      <c r="A2760">
        <v>3210000</v>
      </c>
      <c r="B2760" t="s">
        <v>9353</v>
      </c>
      <c r="C2760" s="1">
        <v>36452</v>
      </c>
      <c r="D2760" t="s">
        <v>9354</v>
      </c>
      <c r="E2760" t="str">
        <f t="shared" si="138"/>
        <v>서울특별시</v>
      </c>
      <c r="F2760" t="str">
        <f t="shared" si="139"/>
        <v xml:space="preserve">서초구 </v>
      </c>
      <c r="G2760" t="str">
        <f t="shared" si="140"/>
        <v>서초동</v>
      </c>
    </row>
    <row r="2761" spans="1:9" x14ac:dyDescent="0.4">
      <c r="A2761">
        <v>3210000</v>
      </c>
      <c r="B2761" t="s">
        <v>8988</v>
      </c>
      <c r="C2761" s="1">
        <v>32445</v>
      </c>
      <c r="D2761" t="s">
        <v>8989</v>
      </c>
      <c r="E2761" t="str">
        <f t="shared" si="138"/>
        <v>서울특별시</v>
      </c>
      <c r="F2761" t="str">
        <f t="shared" si="139"/>
        <v xml:space="preserve">서초구 </v>
      </c>
      <c r="G2761" t="str">
        <f t="shared" si="140"/>
        <v>서초동</v>
      </c>
    </row>
    <row r="2762" spans="1:9" x14ac:dyDescent="0.4">
      <c r="A2762">
        <v>3210000</v>
      </c>
      <c r="B2762" t="s">
        <v>9279</v>
      </c>
      <c r="C2762" s="1">
        <v>33392</v>
      </c>
      <c r="D2762" t="s">
        <v>9280</v>
      </c>
      <c r="E2762" t="str">
        <f t="shared" si="138"/>
        <v>서울특별시</v>
      </c>
      <c r="F2762" t="str">
        <f t="shared" si="139"/>
        <v xml:space="preserve">서초구 </v>
      </c>
      <c r="G2762" t="str">
        <f t="shared" si="140"/>
        <v>서초동</v>
      </c>
      <c r="H2762" t="s">
        <v>9281</v>
      </c>
      <c r="I2762">
        <v>6627</v>
      </c>
    </row>
    <row r="2763" spans="1:9" x14ac:dyDescent="0.4">
      <c r="A2763">
        <v>3210000</v>
      </c>
      <c r="B2763" t="s">
        <v>9370</v>
      </c>
      <c r="C2763" s="1">
        <v>32514</v>
      </c>
      <c r="D2763" t="s">
        <v>9371</v>
      </c>
      <c r="E2763" t="str">
        <f t="shared" si="138"/>
        <v>서울특별시</v>
      </c>
      <c r="F2763" t="str">
        <f t="shared" si="139"/>
        <v xml:space="preserve">서초구 </v>
      </c>
      <c r="G2763" t="str">
        <f t="shared" si="140"/>
        <v>서초동</v>
      </c>
    </row>
    <row r="2764" spans="1:9" x14ac:dyDescent="0.4">
      <c r="A2764">
        <v>3210000</v>
      </c>
      <c r="B2764" t="s">
        <v>8964</v>
      </c>
      <c r="C2764" s="1">
        <v>36516</v>
      </c>
      <c r="D2764" t="s">
        <v>8965</v>
      </c>
      <c r="E2764" t="str">
        <f t="shared" si="138"/>
        <v>서울특별시</v>
      </c>
      <c r="F2764" t="str">
        <f t="shared" si="139"/>
        <v xml:space="preserve">서초구 </v>
      </c>
      <c r="G2764" t="str">
        <f t="shared" si="140"/>
        <v>서초동</v>
      </c>
    </row>
    <row r="2765" spans="1:9" x14ac:dyDescent="0.4">
      <c r="A2765">
        <v>3210000</v>
      </c>
      <c r="B2765" t="s">
        <v>9404</v>
      </c>
      <c r="C2765" s="1">
        <v>43235</v>
      </c>
      <c r="D2765" t="s">
        <v>9405</v>
      </c>
      <c r="E2765" t="str">
        <f t="shared" si="138"/>
        <v>서울특별시</v>
      </c>
      <c r="F2765" t="str">
        <f t="shared" si="139"/>
        <v xml:space="preserve">서초구 </v>
      </c>
      <c r="G2765" t="str">
        <f t="shared" si="140"/>
        <v>서초동</v>
      </c>
      <c r="H2765" t="s">
        <v>9406</v>
      </c>
      <c r="I2765">
        <v>6627</v>
      </c>
    </row>
    <row r="2766" spans="1:9" x14ac:dyDescent="0.4">
      <c r="A2766">
        <v>3210000</v>
      </c>
      <c r="B2766" t="s">
        <v>9401</v>
      </c>
      <c r="C2766" s="1">
        <v>43222</v>
      </c>
      <c r="D2766" t="s">
        <v>9402</v>
      </c>
      <c r="E2766" t="str">
        <f t="shared" si="138"/>
        <v>서울특별시</v>
      </c>
      <c r="F2766" t="str">
        <f t="shared" si="139"/>
        <v xml:space="preserve">서초구 </v>
      </c>
      <c r="G2766" t="str">
        <f t="shared" si="140"/>
        <v>서초동</v>
      </c>
      <c r="H2766" t="s">
        <v>9403</v>
      </c>
      <c r="I2766">
        <v>6627</v>
      </c>
    </row>
    <row r="2767" spans="1:9" x14ac:dyDescent="0.4">
      <c r="A2767">
        <v>3210000</v>
      </c>
      <c r="B2767" t="s">
        <v>9102</v>
      </c>
      <c r="C2767" s="1">
        <v>40640</v>
      </c>
      <c r="D2767" t="s">
        <v>9103</v>
      </c>
      <c r="E2767" t="str">
        <f t="shared" si="138"/>
        <v>서울특별시</v>
      </c>
      <c r="F2767" t="str">
        <f t="shared" si="139"/>
        <v xml:space="preserve">서초구 </v>
      </c>
      <c r="G2767" t="str">
        <f t="shared" si="140"/>
        <v>서초동</v>
      </c>
      <c r="H2767" t="s">
        <v>9104</v>
      </c>
      <c r="I2767">
        <v>6627</v>
      </c>
    </row>
    <row r="2768" spans="1:9" x14ac:dyDescent="0.4">
      <c r="A2768">
        <v>3210000</v>
      </c>
      <c r="B2768" t="s">
        <v>9322</v>
      </c>
      <c r="C2768" s="1">
        <v>34115</v>
      </c>
      <c r="D2768" t="s">
        <v>9103</v>
      </c>
      <c r="E2768" t="str">
        <f t="shared" si="138"/>
        <v>서울특별시</v>
      </c>
      <c r="F2768" t="str">
        <f t="shared" si="139"/>
        <v xml:space="preserve">서초구 </v>
      </c>
      <c r="G2768" t="str">
        <f t="shared" si="140"/>
        <v>서초동</v>
      </c>
    </row>
    <row r="2769" spans="1:9" x14ac:dyDescent="0.4">
      <c r="A2769">
        <v>3210000</v>
      </c>
      <c r="B2769" t="s">
        <v>9331</v>
      </c>
      <c r="C2769" s="1">
        <v>37618</v>
      </c>
      <c r="D2769" t="s">
        <v>9103</v>
      </c>
      <c r="E2769" t="str">
        <f t="shared" si="138"/>
        <v>서울특별시</v>
      </c>
      <c r="F2769" t="str">
        <f t="shared" si="139"/>
        <v xml:space="preserve">서초구 </v>
      </c>
      <c r="G2769" t="str">
        <f t="shared" si="140"/>
        <v>서초동</v>
      </c>
      <c r="H2769" t="s">
        <v>9104</v>
      </c>
      <c r="I2769">
        <v>6627</v>
      </c>
    </row>
    <row r="2770" spans="1:9" x14ac:dyDescent="0.4">
      <c r="A2770">
        <v>3210000</v>
      </c>
      <c r="B2770" t="s">
        <v>9369</v>
      </c>
      <c r="C2770" s="1">
        <v>40262</v>
      </c>
      <c r="D2770" t="s">
        <v>9103</v>
      </c>
      <c r="E2770" t="str">
        <f t="shared" si="138"/>
        <v>서울특별시</v>
      </c>
      <c r="F2770" t="str">
        <f t="shared" si="139"/>
        <v xml:space="preserve">서초구 </v>
      </c>
      <c r="G2770" t="str">
        <f t="shared" si="140"/>
        <v>서초동</v>
      </c>
    </row>
    <row r="2771" spans="1:9" x14ac:dyDescent="0.4">
      <c r="A2771">
        <v>3210000</v>
      </c>
      <c r="B2771" t="s">
        <v>8981</v>
      </c>
      <c r="C2771" s="1">
        <v>32225</v>
      </c>
      <c r="D2771" t="s">
        <v>8982</v>
      </c>
      <c r="E2771" t="str">
        <f t="shared" si="138"/>
        <v>서울특별시</v>
      </c>
      <c r="F2771" t="str">
        <f t="shared" si="139"/>
        <v xml:space="preserve">서초구 </v>
      </c>
      <c r="G2771" t="str">
        <f t="shared" si="140"/>
        <v>서초동</v>
      </c>
    </row>
    <row r="2772" spans="1:9" x14ac:dyDescent="0.4">
      <c r="A2772">
        <v>3210000</v>
      </c>
      <c r="B2772" t="s">
        <v>8983</v>
      </c>
      <c r="C2772" s="1">
        <v>32384</v>
      </c>
      <c r="D2772" t="s">
        <v>8984</v>
      </c>
      <c r="E2772" t="str">
        <f t="shared" si="138"/>
        <v>서울특별시</v>
      </c>
      <c r="F2772" t="str">
        <f t="shared" si="139"/>
        <v xml:space="preserve">서초구 </v>
      </c>
      <c r="G2772" t="str">
        <f t="shared" si="140"/>
        <v>서초동</v>
      </c>
      <c r="H2772" t="s">
        <v>8985</v>
      </c>
      <c r="I2772">
        <v>6627</v>
      </c>
    </row>
    <row r="2773" spans="1:9" x14ac:dyDescent="0.4">
      <c r="A2773">
        <v>3210000</v>
      </c>
      <c r="B2773" t="s">
        <v>8991</v>
      </c>
      <c r="C2773" s="1">
        <v>32484</v>
      </c>
      <c r="D2773" t="s">
        <v>8992</v>
      </c>
      <c r="E2773" t="str">
        <f t="shared" si="138"/>
        <v>서울특별시</v>
      </c>
      <c r="F2773" t="str">
        <f t="shared" si="139"/>
        <v xml:space="preserve">서초구 </v>
      </c>
      <c r="G2773" t="str">
        <f t="shared" si="140"/>
        <v>서초동</v>
      </c>
      <c r="H2773" t="s">
        <v>8985</v>
      </c>
      <c r="I2773">
        <v>6627</v>
      </c>
    </row>
    <row r="2774" spans="1:9" x14ac:dyDescent="0.4">
      <c r="A2774">
        <v>3210000</v>
      </c>
      <c r="B2774" t="s">
        <v>9213</v>
      </c>
      <c r="C2774" s="1">
        <v>31390</v>
      </c>
      <c r="D2774" t="s">
        <v>9214</v>
      </c>
      <c r="E2774" t="str">
        <f t="shared" si="138"/>
        <v>서울특별시</v>
      </c>
      <c r="F2774" t="str">
        <f t="shared" si="139"/>
        <v xml:space="preserve">서초구 </v>
      </c>
      <c r="G2774" t="str">
        <f t="shared" si="140"/>
        <v>서초동</v>
      </c>
    </row>
    <row r="2775" spans="1:9" x14ac:dyDescent="0.4">
      <c r="A2775">
        <v>3210000</v>
      </c>
      <c r="B2775" t="s">
        <v>9217</v>
      </c>
      <c r="C2775" s="1">
        <v>31411</v>
      </c>
      <c r="D2775" t="s">
        <v>9214</v>
      </c>
      <c r="E2775" t="str">
        <f t="shared" si="138"/>
        <v>서울특별시</v>
      </c>
      <c r="F2775" t="str">
        <f t="shared" si="139"/>
        <v xml:space="preserve">서초구 </v>
      </c>
      <c r="G2775" t="str">
        <f t="shared" si="140"/>
        <v>서초동</v>
      </c>
    </row>
    <row r="2776" spans="1:9" x14ac:dyDescent="0.4">
      <c r="A2776">
        <v>3210000</v>
      </c>
      <c r="B2776" t="s">
        <v>9230</v>
      </c>
      <c r="C2776" s="1">
        <v>31777</v>
      </c>
      <c r="D2776" t="s">
        <v>9214</v>
      </c>
      <c r="E2776" t="str">
        <f t="shared" si="138"/>
        <v>서울특별시</v>
      </c>
      <c r="F2776" t="str">
        <f t="shared" si="139"/>
        <v xml:space="preserve">서초구 </v>
      </c>
      <c r="G2776" t="str">
        <f t="shared" si="140"/>
        <v>서초동</v>
      </c>
    </row>
    <row r="2777" spans="1:9" x14ac:dyDescent="0.4">
      <c r="A2777">
        <v>3210000</v>
      </c>
      <c r="B2777" t="s">
        <v>9337</v>
      </c>
      <c r="C2777" s="1">
        <v>36357</v>
      </c>
      <c r="D2777" t="s">
        <v>9214</v>
      </c>
      <c r="E2777" t="str">
        <f t="shared" si="138"/>
        <v>서울특별시</v>
      </c>
      <c r="F2777" t="str">
        <f t="shared" si="139"/>
        <v xml:space="preserve">서초구 </v>
      </c>
      <c r="G2777" t="str">
        <f t="shared" si="140"/>
        <v>서초동</v>
      </c>
    </row>
    <row r="2778" spans="1:9" x14ac:dyDescent="0.4">
      <c r="A2778">
        <v>3210000</v>
      </c>
      <c r="B2778" t="s">
        <v>8945</v>
      </c>
      <c r="C2778" s="1">
        <v>36937</v>
      </c>
      <c r="D2778" t="s">
        <v>8946</v>
      </c>
      <c r="E2778" t="str">
        <f t="shared" si="138"/>
        <v>서울특별시</v>
      </c>
      <c r="F2778" t="str">
        <f t="shared" si="139"/>
        <v xml:space="preserve">서초구 </v>
      </c>
      <c r="G2778" t="str">
        <f t="shared" si="140"/>
        <v>서초동</v>
      </c>
    </row>
    <row r="2779" spans="1:9" x14ac:dyDescent="0.4">
      <c r="A2779">
        <v>3210000</v>
      </c>
      <c r="B2779" t="s">
        <v>8949</v>
      </c>
      <c r="C2779" s="1">
        <v>36937</v>
      </c>
      <c r="D2779" t="s">
        <v>8950</v>
      </c>
      <c r="E2779" t="str">
        <f t="shared" si="138"/>
        <v>서울특별시</v>
      </c>
      <c r="F2779" t="str">
        <f t="shared" si="139"/>
        <v xml:space="preserve">서초구 </v>
      </c>
      <c r="G2779" t="str">
        <f t="shared" si="140"/>
        <v>서초동</v>
      </c>
    </row>
    <row r="2780" spans="1:9" x14ac:dyDescent="0.4">
      <c r="A2780">
        <v>3210000</v>
      </c>
      <c r="B2780" t="s">
        <v>8947</v>
      </c>
      <c r="C2780" s="1">
        <v>36937</v>
      </c>
      <c r="D2780" t="s">
        <v>8948</v>
      </c>
      <c r="E2780" t="str">
        <f t="shared" si="138"/>
        <v>서울특별시</v>
      </c>
      <c r="F2780" t="str">
        <f t="shared" si="139"/>
        <v xml:space="preserve">서초구 </v>
      </c>
      <c r="G2780" t="str">
        <f t="shared" si="140"/>
        <v>서초동</v>
      </c>
    </row>
    <row r="2781" spans="1:9" x14ac:dyDescent="0.4">
      <c r="A2781">
        <v>3210000</v>
      </c>
      <c r="B2781" t="s">
        <v>8974</v>
      </c>
      <c r="C2781" s="1">
        <v>33142</v>
      </c>
      <c r="D2781" t="s">
        <v>8975</v>
      </c>
      <c r="E2781" t="str">
        <f t="shared" si="138"/>
        <v>서울특별시</v>
      </c>
      <c r="F2781" t="str">
        <f t="shared" si="139"/>
        <v xml:space="preserve">서초구 </v>
      </c>
      <c r="G2781" t="str">
        <f t="shared" si="140"/>
        <v>서초동</v>
      </c>
    </row>
    <row r="2782" spans="1:9" x14ac:dyDescent="0.4">
      <c r="A2782">
        <v>3210000</v>
      </c>
      <c r="B2782" t="s">
        <v>9082</v>
      </c>
      <c r="C2782" s="1">
        <v>28116</v>
      </c>
      <c r="D2782" t="s">
        <v>8975</v>
      </c>
      <c r="E2782" t="str">
        <f t="shared" si="138"/>
        <v>서울특별시</v>
      </c>
      <c r="F2782" t="str">
        <f t="shared" si="139"/>
        <v xml:space="preserve">서초구 </v>
      </c>
      <c r="G2782" t="str">
        <f t="shared" si="140"/>
        <v>서초동</v>
      </c>
    </row>
    <row r="2783" spans="1:9" x14ac:dyDescent="0.4">
      <c r="A2783">
        <v>3210000</v>
      </c>
      <c r="B2783" t="s">
        <v>9375</v>
      </c>
      <c r="C2783" s="1">
        <v>32625</v>
      </c>
      <c r="D2783" t="s">
        <v>9376</v>
      </c>
      <c r="E2783" t="str">
        <f t="shared" si="138"/>
        <v>서울특별시</v>
      </c>
      <c r="F2783" t="str">
        <f t="shared" si="139"/>
        <v xml:space="preserve">서초구 </v>
      </c>
      <c r="G2783" t="str">
        <f t="shared" si="140"/>
        <v>서초동</v>
      </c>
    </row>
    <row r="2784" spans="1:9" x14ac:dyDescent="0.4">
      <c r="A2784">
        <v>3210000</v>
      </c>
      <c r="B2784" t="s">
        <v>9335</v>
      </c>
      <c r="C2784" s="1">
        <v>36348</v>
      </c>
      <c r="D2784" t="s">
        <v>9336</v>
      </c>
      <c r="E2784" t="str">
        <f t="shared" si="138"/>
        <v>서울특별시</v>
      </c>
      <c r="F2784" t="str">
        <f t="shared" si="139"/>
        <v xml:space="preserve">서초구 </v>
      </c>
      <c r="G2784" t="str">
        <f t="shared" si="140"/>
        <v>서초동</v>
      </c>
    </row>
    <row r="2785" spans="1:9" x14ac:dyDescent="0.4">
      <c r="A2785">
        <v>3210000</v>
      </c>
      <c r="B2785" t="s">
        <v>8933</v>
      </c>
      <c r="C2785" s="1">
        <v>36876</v>
      </c>
      <c r="D2785" t="s">
        <v>8934</v>
      </c>
      <c r="E2785" t="str">
        <f t="shared" si="138"/>
        <v>서울특별시</v>
      </c>
      <c r="F2785" t="str">
        <f t="shared" si="139"/>
        <v xml:space="preserve">서초구 </v>
      </c>
      <c r="G2785" t="str">
        <f t="shared" si="140"/>
        <v>서초동</v>
      </c>
    </row>
    <row r="2786" spans="1:9" x14ac:dyDescent="0.4">
      <c r="A2786">
        <v>3210000</v>
      </c>
      <c r="B2786" t="s">
        <v>9122</v>
      </c>
      <c r="C2786" s="1">
        <v>29612</v>
      </c>
      <c r="D2786" t="s">
        <v>8934</v>
      </c>
      <c r="E2786" t="str">
        <f t="shared" si="138"/>
        <v>서울특별시</v>
      </c>
      <c r="F2786" t="str">
        <f t="shared" si="139"/>
        <v xml:space="preserve">서초구 </v>
      </c>
      <c r="G2786" t="str">
        <f t="shared" si="140"/>
        <v>서초동</v>
      </c>
    </row>
    <row r="2787" spans="1:9" x14ac:dyDescent="0.4">
      <c r="A2787">
        <v>3210000</v>
      </c>
      <c r="B2787" t="s">
        <v>9231</v>
      </c>
      <c r="C2787" s="1">
        <v>31797</v>
      </c>
      <c r="D2787" t="s">
        <v>8934</v>
      </c>
      <c r="E2787" t="str">
        <f t="shared" si="138"/>
        <v>서울특별시</v>
      </c>
      <c r="F2787" t="str">
        <f t="shared" si="139"/>
        <v xml:space="preserve">서초구 </v>
      </c>
      <c r="G2787" t="str">
        <f t="shared" si="140"/>
        <v>서초동</v>
      </c>
    </row>
    <row r="2788" spans="1:9" x14ac:dyDescent="0.4">
      <c r="A2788">
        <v>3210000</v>
      </c>
      <c r="B2788" t="s">
        <v>9007</v>
      </c>
      <c r="C2788" s="1">
        <v>36972</v>
      </c>
      <c r="D2788" t="s">
        <v>9008</v>
      </c>
      <c r="E2788" t="str">
        <f t="shared" si="138"/>
        <v>서울특별시</v>
      </c>
      <c r="F2788" t="str">
        <f t="shared" si="139"/>
        <v xml:space="preserve">서초구 </v>
      </c>
      <c r="G2788" t="str">
        <f t="shared" si="140"/>
        <v>서초동</v>
      </c>
      <c r="H2788" t="s">
        <v>9009</v>
      </c>
      <c r="I2788">
        <v>6628</v>
      </c>
    </row>
    <row r="2789" spans="1:9" x14ac:dyDescent="0.4">
      <c r="A2789">
        <v>3210000</v>
      </c>
      <c r="B2789" t="s">
        <v>9176</v>
      </c>
      <c r="C2789" s="1">
        <v>36696</v>
      </c>
      <c r="D2789" t="s">
        <v>9177</v>
      </c>
      <c r="E2789" t="str">
        <f t="shared" si="138"/>
        <v>서울특별시</v>
      </c>
      <c r="F2789" t="str">
        <f t="shared" si="139"/>
        <v xml:space="preserve">서초구 </v>
      </c>
      <c r="G2789" t="str">
        <f t="shared" si="140"/>
        <v>서초동</v>
      </c>
    </row>
    <row r="2790" spans="1:9" x14ac:dyDescent="0.4">
      <c r="A2790">
        <v>3210000</v>
      </c>
      <c r="B2790" t="s">
        <v>9436</v>
      </c>
      <c r="C2790" s="1">
        <v>36326</v>
      </c>
      <c r="D2790" t="s">
        <v>9437</v>
      </c>
      <c r="E2790" t="str">
        <f t="shared" si="138"/>
        <v>서울특별시</v>
      </c>
      <c r="F2790" t="str">
        <f t="shared" si="139"/>
        <v xml:space="preserve">서초구 </v>
      </c>
      <c r="G2790" t="str">
        <f t="shared" si="140"/>
        <v>서초동</v>
      </c>
    </row>
    <row r="2791" spans="1:9" x14ac:dyDescent="0.4">
      <c r="A2791">
        <v>3210000</v>
      </c>
      <c r="B2791" t="s">
        <v>9221</v>
      </c>
      <c r="C2791" s="1">
        <v>31570</v>
      </c>
      <c r="D2791" t="s">
        <v>9222</v>
      </c>
      <c r="E2791" t="str">
        <f t="shared" si="138"/>
        <v>서울특별시</v>
      </c>
      <c r="F2791" t="str">
        <f t="shared" si="139"/>
        <v xml:space="preserve">서초구 </v>
      </c>
      <c r="G2791" t="str">
        <f t="shared" si="140"/>
        <v>서초동</v>
      </c>
    </row>
    <row r="2792" spans="1:9" x14ac:dyDescent="0.4">
      <c r="A2792">
        <v>3210000</v>
      </c>
      <c r="B2792" t="s">
        <v>9346</v>
      </c>
      <c r="C2792" s="1">
        <v>36419</v>
      </c>
      <c r="D2792" t="s">
        <v>9347</v>
      </c>
      <c r="E2792" t="str">
        <f t="shared" si="138"/>
        <v>서울특별시</v>
      </c>
      <c r="F2792" t="str">
        <f t="shared" si="139"/>
        <v xml:space="preserve">서초구 </v>
      </c>
      <c r="G2792" t="str">
        <f t="shared" si="140"/>
        <v>서초동</v>
      </c>
    </row>
    <row r="2793" spans="1:9" x14ac:dyDescent="0.4">
      <c r="A2793">
        <v>3210000</v>
      </c>
      <c r="B2793" t="s">
        <v>9201</v>
      </c>
      <c r="C2793" s="1">
        <v>30247</v>
      </c>
      <c r="D2793" t="s">
        <v>9202</v>
      </c>
      <c r="E2793" t="str">
        <f t="shared" si="138"/>
        <v>서울특별시</v>
      </c>
      <c r="F2793" t="str">
        <f t="shared" si="139"/>
        <v xml:space="preserve">서초구 </v>
      </c>
      <c r="G2793" t="str">
        <f t="shared" si="140"/>
        <v>서초동</v>
      </c>
    </row>
    <row r="2794" spans="1:9" x14ac:dyDescent="0.4">
      <c r="A2794">
        <v>3210000</v>
      </c>
      <c r="B2794" t="s">
        <v>9409</v>
      </c>
      <c r="C2794" s="1">
        <v>41661</v>
      </c>
      <c r="D2794" t="s">
        <v>9410</v>
      </c>
      <c r="E2794" t="str">
        <f t="shared" si="138"/>
        <v>서울특별시</v>
      </c>
      <c r="F2794" t="str">
        <f t="shared" si="139"/>
        <v xml:space="preserve">서초구 </v>
      </c>
      <c r="G2794" t="str">
        <f t="shared" si="140"/>
        <v>서초동</v>
      </c>
      <c r="H2794" t="s">
        <v>9411</v>
      </c>
      <c r="I2794">
        <v>6628</v>
      </c>
    </row>
    <row r="2795" spans="1:9" x14ac:dyDescent="0.4">
      <c r="A2795">
        <v>3210000</v>
      </c>
      <c r="B2795" t="s">
        <v>9387</v>
      </c>
      <c r="C2795" s="1">
        <v>32769</v>
      </c>
      <c r="D2795" t="s">
        <v>9388</v>
      </c>
      <c r="E2795" t="str">
        <f t="shared" si="138"/>
        <v>서울특별시</v>
      </c>
      <c r="F2795" t="str">
        <f t="shared" si="139"/>
        <v xml:space="preserve">서초구 </v>
      </c>
      <c r="G2795" t="str">
        <f t="shared" si="140"/>
        <v>서초동</v>
      </c>
      <c r="H2795" t="s">
        <v>9389</v>
      </c>
      <c r="I2795">
        <v>6628</v>
      </c>
    </row>
    <row r="2796" spans="1:9" x14ac:dyDescent="0.4">
      <c r="A2796">
        <v>3210000</v>
      </c>
      <c r="B2796" t="s">
        <v>9180</v>
      </c>
      <c r="C2796" s="1">
        <v>36699</v>
      </c>
      <c r="D2796" t="s">
        <v>9181</v>
      </c>
      <c r="E2796" t="str">
        <f t="shared" si="138"/>
        <v>서울특별시</v>
      </c>
      <c r="F2796" t="str">
        <f t="shared" si="139"/>
        <v xml:space="preserve">서초구 </v>
      </c>
      <c r="G2796" t="str">
        <f t="shared" si="140"/>
        <v>서초동</v>
      </c>
      <c r="H2796" t="s">
        <v>9182</v>
      </c>
      <c r="I2796">
        <v>6628</v>
      </c>
    </row>
    <row r="2797" spans="1:9" x14ac:dyDescent="0.4">
      <c r="A2797">
        <v>3210000</v>
      </c>
      <c r="B2797" t="s">
        <v>8972</v>
      </c>
      <c r="C2797" s="1">
        <v>33121</v>
      </c>
      <c r="D2797" t="s">
        <v>8973</v>
      </c>
      <c r="E2797" t="str">
        <f t="shared" si="138"/>
        <v>서울특별시</v>
      </c>
      <c r="F2797" t="str">
        <f t="shared" si="139"/>
        <v xml:space="preserve">서초구 </v>
      </c>
      <c r="G2797" t="str">
        <f t="shared" si="140"/>
        <v>서초동</v>
      </c>
    </row>
    <row r="2798" spans="1:9" x14ac:dyDescent="0.4">
      <c r="A2798">
        <v>3210000</v>
      </c>
      <c r="B2798" t="s">
        <v>9329</v>
      </c>
      <c r="C2798" s="1">
        <v>37488</v>
      </c>
      <c r="D2798" t="s">
        <v>9330</v>
      </c>
      <c r="E2798" t="str">
        <f t="shared" si="138"/>
        <v>서울특별시</v>
      </c>
      <c r="F2798" t="str">
        <f t="shared" si="139"/>
        <v xml:space="preserve">서초구 </v>
      </c>
      <c r="G2798" t="str">
        <f t="shared" si="140"/>
        <v>서초동</v>
      </c>
    </row>
    <row r="2799" spans="1:9" x14ac:dyDescent="0.4">
      <c r="A2799">
        <v>3210000</v>
      </c>
      <c r="B2799" t="s">
        <v>8951</v>
      </c>
      <c r="C2799" s="1">
        <v>36941</v>
      </c>
      <c r="D2799" t="s">
        <v>8952</v>
      </c>
      <c r="E2799" t="str">
        <f t="shared" si="138"/>
        <v>서울특별시</v>
      </c>
      <c r="F2799" t="str">
        <f t="shared" si="139"/>
        <v xml:space="preserve">서초구 </v>
      </c>
      <c r="G2799" t="str">
        <f t="shared" si="140"/>
        <v>서초동</v>
      </c>
    </row>
    <row r="2800" spans="1:9" x14ac:dyDescent="0.4">
      <c r="A2800">
        <v>3210000</v>
      </c>
      <c r="B2800" t="s">
        <v>9051</v>
      </c>
      <c r="C2800" s="1">
        <v>36617</v>
      </c>
      <c r="D2800" t="s">
        <v>9052</v>
      </c>
      <c r="E2800" t="str">
        <f t="shared" si="138"/>
        <v>서울특별시</v>
      </c>
      <c r="F2800" t="str">
        <f t="shared" si="139"/>
        <v xml:space="preserve">서초구 </v>
      </c>
      <c r="G2800" t="str">
        <f t="shared" si="140"/>
        <v>서초동</v>
      </c>
    </row>
    <row r="2801" spans="1:9" x14ac:dyDescent="0.4">
      <c r="A2801">
        <v>3210000</v>
      </c>
      <c r="B2801" t="s">
        <v>9163</v>
      </c>
      <c r="C2801" s="1">
        <v>37253</v>
      </c>
      <c r="D2801" t="s">
        <v>9164</v>
      </c>
      <c r="E2801" t="str">
        <f t="shared" si="138"/>
        <v>서울특별시</v>
      </c>
      <c r="F2801" t="str">
        <f t="shared" si="139"/>
        <v xml:space="preserve">서초구 </v>
      </c>
      <c r="G2801" t="str">
        <f t="shared" si="140"/>
        <v>서초동</v>
      </c>
    </row>
    <row r="2802" spans="1:9" x14ac:dyDescent="0.4">
      <c r="A2802">
        <v>3210000</v>
      </c>
      <c r="B2802" t="s">
        <v>9318</v>
      </c>
      <c r="C2802" s="1">
        <v>39035</v>
      </c>
      <c r="D2802" t="s">
        <v>9164</v>
      </c>
      <c r="E2802" t="str">
        <f t="shared" si="138"/>
        <v>서울특별시</v>
      </c>
      <c r="F2802" t="str">
        <f t="shared" si="139"/>
        <v xml:space="preserve">서초구 </v>
      </c>
      <c r="G2802" t="str">
        <f t="shared" si="140"/>
        <v>서초동</v>
      </c>
    </row>
    <row r="2803" spans="1:9" x14ac:dyDescent="0.4">
      <c r="A2803">
        <v>3210000</v>
      </c>
      <c r="B2803" t="s">
        <v>8935</v>
      </c>
      <c r="C2803" s="1">
        <v>36876</v>
      </c>
      <c r="D2803" t="s">
        <v>8936</v>
      </c>
      <c r="E2803" t="str">
        <f t="shared" si="138"/>
        <v>서울특별시</v>
      </c>
      <c r="F2803" t="str">
        <f t="shared" si="139"/>
        <v xml:space="preserve">서초구 </v>
      </c>
      <c r="G2803" t="str">
        <f t="shared" si="140"/>
        <v>서초동</v>
      </c>
      <c r="H2803" t="s">
        <v>8937</v>
      </c>
    </row>
    <row r="2804" spans="1:9" x14ac:dyDescent="0.4">
      <c r="A2804">
        <v>3210000</v>
      </c>
      <c r="B2804" t="s">
        <v>8938</v>
      </c>
      <c r="C2804" s="1">
        <v>36878</v>
      </c>
      <c r="D2804" t="s">
        <v>8939</v>
      </c>
      <c r="E2804" t="str">
        <f t="shared" si="138"/>
        <v>서울특별시</v>
      </c>
      <c r="F2804" t="str">
        <f t="shared" si="139"/>
        <v xml:space="preserve">서초구 </v>
      </c>
      <c r="G2804" t="str">
        <f t="shared" si="140"/>
        <v>서초동</v>
      </c>
      <c r="H2804" t="s">
        <v>8940</v>
      </c>
    </row>
    <row r="2805" spans="1:9" x14ac:dyDescent="0.4">
      <c r="A2805">
        <v>3210000</v>
      </c>
      <c r="B2805" t="s">
        <v>8930</v>
      </c>
      <c r="C2805" s="1">
        <v>36869</v>
      </c>
      <c r="D2805" t="s">
        <v>8931</v>
      </c>
      <c r="E2805" t="str">
        <f t="shared" si="138"/>
        <v>서울특별시</v>
      </c>
      <c r="F2805" t="str">
        <f t="shared" si="139"/>
        <v xml:space="preserve">서초구 </v>
      </c>
      <c r="G2805" t="str">
        <f t="shared" si="140"/>
        <v>서초동</v>
      </c>
      <c r="H2805" t="s">
        <v>8932</v>
      </c>
      <c r="I2805">
        <v>6644</v>
      </c>
    </row>
    <row r="2806" spans="1:9" x14ac:dyDescent="0.4">
      <c r="A2806">
        <v>3210000</v>
      </c>
      <c r="B2806" t="s">
        <v>8901</v>
      </c>
      <c r="C2806" s="1">
        <v>40399</v>
      </c>
      <c r="D2806" t="s">
        <v>8902</v>
      </c>
      <c r="E2806" t="str">
        <f t="shared" si="138"/>
        <v>서울특별시</v>
      </c>
      <c r="F2806" t="str">
        <f t="shared" si="139"/>
        <v xml:space="preserve">서초구 </v>
      </c>
      <c r="G2806" t="str">
        <f t="shared" si="140"/>
        <v>서초동</v>
      </c>
      <c r="H2806" t="s">
        <v>8903</v>
      </c>
      <c r="I2806">
        <v>6644</v>
      </c>
    </row>
    <row r="2807" spans="1:9" x14ac:dyDescent="0.4">
      <c r="A2807">
        <v>3210000</v>
      </c>
      <c r="B2807" t="s">
        <v>9156</v>
      </c>
      <c r="C2807" s="1">
        <v>37214</v>
      </c>
      <c r="D2807" t="s">
        <v>9157</v>
      </c>
      <c r="E2807" t="str">
        <f t="shared" si="138"/>
        <v>서울특별시</v>
      </c>
      <c r="F2807" t="str">
        <f t="shared" si="139"/>
        <v xml:space="preserve">서초구 </v>
      </c>
      <c r="G2807" t="str">
        <f t="shared" si="140"/>
        <v>서초동</v>
      </c>
    </row>
    <row r="2808" spans="1:9" x14ac:dyDescent="0.4">
      <c r="A2808">
        <v>3210000</v>
      </c>
      <c r="B2808" t="s">
        <v>9043</v>
      </c>
      <c r="C2808" s="1">
        <v>36577</v>
      </c>
      <c r="D2808" t="s">
        <v>9044</v>
      </c>
      <c r="E2808" t="str">
        <f t="shared" si="138"/>
        <v>서울특별시</v>
      </c>
      <c r="F2808" t="str">
        <f t="shared" si="139"/>
        <v xml:space="preserve">서초구 </v>
      </c>
      <c r="G2808" t="str">
        <f t="shared" si="140"/>
        <v>서초동</v>
      </c>
      <c r="H2808" t="s">
        <v>9045</v>
      </c>
      <c r="I2808">
        <v>6644</v>
      </c>
    </row>
    <row r="2809" spans="1:9" x14ac:dyDescent="0.4">
      <c r="A2809">
        <v>3210000</v>
      </c>
      <c r="B2809" t="s">
        <v>9153</v>
      </c>
      <c r="C2809" s="1">
        <v>37210</v>
      </c>
      <c r="D2809" t="s">
        <v>9154</v>
      </c>
      <c r="E2809" t="str">
        <f t="shared" si="138"/>
        <v>서울특별시</v>
      </c>
      <c r="F2809" t="str">
        <f t="shared" si="139"/>
        <v xml:space="preserve">서초구 </v>
      </c>
      <c r="G2809" t="str">
        <f t="shared" si="140"/>
        <v>서초동</v>
      </c>
      <c r="H2809" t="s">
        <v>9155</v>
      </c>
      <c r="I2809">
        <v>6644</v>
      </c>
    </row>
    <row r="2810" spans="1:9" x14ac:dyDescent="0.4">
      <c r="A2810">
        <v>3210000</v>
      </c>
      <c r="B2810" t="s">
        <v>8874</v>
      </c>
      <c r="C2810" s="1">
        <v>37174</v>
      </c>
      <c r="D2810" t="s">
        <v>8875</v>
      </c>
      <c r="E2810" t="str">
        <f t="shared" si="138"/>
        <v>서울특별시</v>
      </c>
      <c r="F2810" t="str">
        <f t="shared" si="139"/>
        <v xml:space="preserve">서초구 </v>
      </c>
      <c r="G2810" t="str">
        <f t="shared" si="140"/>
        <v>서초동</v>
      </c>
      <c r="H2810" t="s">
        <v>8876</v>
      </c>
      <c r="I2810">
        <v>6644</v>
      </c>
    </row>
    <row r="2811" spans="1:9" x14ac:dyDescent="0.4">
      <c r="A2811">
        <v>3210000</v>
      </c>
      <c r="B2811" t="s">
        <v>9361</v>
      </c>
      <c r="C2811" s="1">
        <v>36476</v>
      </c>
      <c r="D2811" t="s">
        <v>9362</v>
      </c>
      <c r="E2811" t="str">
        <f t="shared" si="138"/>
        <v>서울특별시</v>
      </c>
      <c r="F2811" t="str">
        <f t="shared" si="139"/>
        <v xml:space="preserve">서초구 </v>
      </c>
      <c r="G2811" t="str">
        <f t="shared" si="140"/>
        <v>서초동</v>
      </c>
    </row>
    <row r="2812" spans="1:9" x14ac:dyDescent="0.4">
      <c r="A2812">
        <v>3210000</v>
      </c>
      <c r="B2812" t="s">
        <v>9296</v>
      </c>
      <c r="C2812" s="1">
        <v>31377</v>
      </c>
      <c r="D2812" t="s">
        <v>9297</v>
      </c>
      <c r="E2812" t="str">
        <f t="shared" si="138"/>
        <v>서울특별시</v>
      </c>
      <c r="F2812" t="str">
        <f t="shared" si="139"/>
        <v xml:space="preserve">서초구 </v>
      </c>
      <c r="G2812" t="str">
        <f t="shared" si="140"/>
        <v>서초동</v>
      </c>
    </row>
    <row r="2813" spans="1:9" x14ac:dyDescent="0.4">
      <c r="A2813">
        <v>3210000</v>
      </c>
      <c r="B2813" t="s">
        <v>9323</v>
      </c>
      <c r="C2813" s="1">
        <v>34275</v>
      </c>
      <c r="D2813" t="s">
        <v>9324</v>
      </c>
      <c r="E2813" t="str">
        <f t="shared" si="138"/>
        <v>서울특별시</v>
      </c>
      <c r="F2813" t="str">
        <f t="shared" si="139"/>
        <v xml:space="preserve">서초구 </v>
      </c>
      <c r="G2813" t="str">
        <f t="shared" si="140"/>
        <v>서초동</v>
      </c>
      <c r="H2813" t="s">
        <v>9325</v>
      </c>
      <c r="I2813">
        <v>6653</v>
      </c>
    </row>
    <row r="2814" spans="1:9" x14ac:dyDescent="0.4">
      <c r="A2814">
        <v>3210000</v>
      </c>
      <c r="B2814" t="s">
        <v>126</v>
      </c>
      <c r="C2814" s="1">
        <v>38187</v>
      </c>
      <c r="D2814" t="s">
        <v>127</v>
      </c>
      <c r="E2814" t="str">
        <f t="shared" si="138"/>
        <v>서울특별시</v>
      </c>
      <c r="F2814" t="str">
        <f t="shared" si="139"/>
        <v xml:space="preserve">서초구 </v>
      </c>
      <c r="G2814" t="str">
        <f t="shared" si="140"/>
        <v>서초동</v>
      </c>
      <c r="H2814" t="s">
        <v>128</v>
      </c>
      <c r="I2814">
        <v>6654</v>
      </c>
    </row>
    <row r="2815" spans="1:9" x14ac:dyDescent="0.4">
      <c r="A2815">
        <v>3210000</v>
      </c>
      <c r="B2815" t="s">
        <v>9407</v>
      </c>
      <c r="C2815" s="1">
        <v>43775</v>
      </c>
      <c r="D2815" t="s">
        <v>9408</v>
      </c>
      <c r="E2815" t="str">
        <f t="shared" si="138"/>
        <v>서울특별시</v>
      </c>
      <c r="F2815" t="str">
        <f t="shared" si="139"/>
        <v xml:space="preserve">서초구 </v>
      </c>
      <c r="G2815" t="str">
        <f t="shared" si="140"/>
        <v>서초동</v>
      </c>
      <c r="H2815" t="s">
        <v>9317</v>
      </c>
      <c r="I2815">
        <v>6654</v>
      </c>
    </row>
    <row r="2816" spans="1:9" x14ac:dyDescent="0.4">
      <c r="A2816">
        <v>3210000</v>
      </c>
      <c r="B2816" t="s">
        <v>8865</v>
      </c>
      <c r="C2816" s="1">
        <v>37103</v>
      </c>
      <c r="D2816" t="s">
        <v>8866</v>
      </c>
      <c r="E2816" t="str">
        <f t="shared" si="138"/>
        <v>서울특별시</v>
      </c>
      <c r="F2816" t="str">
        <f t="shared" si="139"/>
        <v xml:space="preserve">서초구 </v>
      </c>
      <c r="G2816" t="str">
        <f t="shared" si="140"/>
        <v>서초동</v>
      </c>
      <c r="H2816" t="s">
        <v>8867</v>
      </c>
      <c r="I2816">
        <v>6654</v>
      </c>
    </row>
    <row r="2817" spans="1:9" x14ac:dyDescent="0.4">
      <c r="A2817">
        <v>3210000</v>
      </c>
      <c r="B2817" t="s">
        <v>9344</v>
      </c>
      <c r="C2817" s="1">
        <v>36382</v>
      </c>
      <c r="D2817" t="s">
        <v>9345</v>
      </c>
      <c r="E2817" t="str">
        <f t="shared" si="138"/>
        <v>서울특별시</v>
      </c>
      <c r="F2817" t="str">
        <f t="shared" si="139"/>
        <v xml:space="preserve">서초구 </v>
      </c>
      <c r="G2817" t="str">
        <f t="shared" si="140"/>
        <v>서초동</v>
      </c>
    </row>
    <row r="2818" spans="1:9" x14ac:dyDescent="0.4">
      <c r="A2818">
        <v>3210000</v>
      </c>
      <c r="B2818" t="s">
        <v>9192</v>
      </c>
      <c r="C2818" s="1">
        <v>36841</v>
      </c>
      <c r="D2818" t="s">
        <v>9193</v>
      </c>
      <c r="E2818" t="str">
        <f t="shared" si="138"/>
        <v>서울특별시</v>
      </c>
      <c r="F2818" t="str">
        <f t="shared" si="139"/>
        <v xml:space="preserve">서초구 </v>
      </c>
      <c r="G2818" t="str">
        <f t="shared" si="140"/>
        <v>서초동</v>
      </c>
    </row>
    <row r="2819" spans="1:9" x14ac:dyDescent="0.4">
      <c r="A2819">
        <v>3210000</v>
      </c>
      <c r="B2819" t="s">
        <v>9315</v>
      </c>
      <c r="C2819" s="1">
        <v>38344</v>
      </c>
      <c r="D2819" t="s">
        <v>9316</v>
      </c>
      <c r="E2819" t="str">
        <f t="shared" ref="E2819:E2882" si="141">LEFT(D2819,5)</f>
        <v>서울특별시</v>
      </c>
      <c r="F2819" t="str">
        <f t="shared" ref="F2819:F2882" si="142">MID(D2819,7,4)</f>
        <v xml:space="preserve">서초구 </v>
      </c>
      <c r="G2819" t="str">
        <f t="shared" ref="G2819:G2882" si="143">MID(SUBSTITUTE(D2819," ",""),9,3)</f>
        <v>서초동</v>
      </c>
      <c r="H2819" t="s">
        <v>9317</v>
      </c>
      <c r="I2819">
        <v>6654</v>
      </c>
    </row>
    <row r="2820" spans="1:9" x14ac:dyDescent="0.4">
      <c r="A2820">
        <v>3210000</v>
      </c>
      <c r="B2820" t="s">
        <v>9363</v>
      </c>
      <c r="C2820" s="1">
        <v>37774</v>
      </c>
      <c r="D2820" t="s">
        <v>9364</v>
      </c>
      <c r="E2820" t="str">
        <f t="shared" si="141"/>
        <v>서울특별시</v>
      </c>
      <c r="F2820" t="str">
        <f t="shared" si="142"/>
        <v xml:space="preserve">서초구 </v>
      </c>
      <c r="G2820" t="str">
        <f t="shared" si="143"/>
        <v>서초동</v>
      </c>
    </row>
    <row r="2821" spans="1:9" x14ac:dyDescent="0.4">
      <c r="A2821">
        <v>3210000</v>
      </c>
      <c r="B2821" t="s">
        <v>9332</v>
      </c>
      <c r="C2821" s="1">
        <v>37620</v>
      </c>
      <c r="D2821" t="s">
        <v>9333</v>
      </c>
      <c r="E2821" t="str">
        <f t="shared" si="141"/>
        <v>서울특별시</v>
      </c>
      <c r="F2821" t="str">
        <f t="shared" si="142"/>
        <v xml:space="preserve">서초구 </v>
      </c>
      <c r="G2821" t="str">
        <f t="shared" si="143"/>
        <v>서초동</v>
      </c>
      <c r="H2821" t="s">
        <v>9334</v>
      </c>
      <c r="I2821">
        <v>6654</v>
      </c>
    </row>
    <row r="2822" spans="1:9" x14ac:dyDescent="0.4">
      <c r="A2822">
        <v>3210000</v>
      </c>
      <c r="B2822" t="s">
        <v>8898</v>
      </c>
      <c r="C2822" s="1">
        <v>40368</v>
      </c>
      <c r="D2822" t="s">
        <v>8899</v>
      </c>
      <c r="E2822" t="str">
        <f t="shared" si="141"/>
        <v>서울특별시</v>
      </c>
      <c r="F2822" t="str">
        <f t="shared" si="142"/>
        <v xml:space="preserve">서초구 </v>
      </c>
      <c r="G2822" t="str">
        <f t="shared" si="143"/>
        <v>서초동</v>
      </c>
      <c r="H2822" t="s">
        <v>8900</v>
      </c>
      <c r="I2822">
        <v>6654</v>
      </c>
    </row>
    <row r="2823" spans="1:9" x14ac:dyDescent="0.4">
      <c r="A2823">
        <v>3210000</v>
      </c>
      <c r="B2823" t="s">
        <v>9412</v>
      </c>
      <c r="C2823" s="1">
        <v>32193</v>
      </c>
      <c r="D2823" t="s">
        <v>9413</v>
      </c>
      <c r="E2823" t="str">
        <f t="shared" si="141"/>
        <v>서울특별시</v>
      </c>
      <c r="F2823" t="str">
        <f t="shared" si="142"/>
        <v xml:space="preserve">서초구 </v>
      </c>
      <c r="G2823" t="str">
        <f t="shared" si="143"/>
        <v>서초동</v>
      </c>
    </row>
    <row r="2824" spans="1:9" x14ac:dyDescent="0.4">
      <c r="A2824">
        <v>3210000</v>
      </c>
      <c r="B2824" t="s">
        <v>8883</v>
      </c>
      <c r="C2824" s="1">
        <v>37026</v>
      </c>
      <c r="D2824" t="s">
        <v>8884</v>
      </c>
      <c r="E2824" t="str">
        <f t="shared" si="141"/>
        <v>서울특별시</v>
      </c>
      <c r="F2824" t="str">
        <f t="shared" si="142"/>
        <v xml:space="preserve">서초구 </v>
      </c>
      <c r="G2824" t="str">
        <f t="shared" si="143"/>
        <v>서초동</v>
      </c>
      <c r="H2824" t="s">
        <v>8885</v>
      </c>
      <c r="I2824">
        <v>6654</v>
      </c>
    </row>
    <row r="2825" spans="1:9" x14ac:dyDescent="0.4">
      <c r="A2825">
        <v>3210000</v>
      </c>
      <c r="B2825" t="s">
        <v>8835</v>
      </c>
      <c r="C2825" s="1">
        <v>36864</v>
      </c>
      <c r="D2825" t="s">
        <v>8836</v>
      </c>
      <c r="E2825" t="str">
        <f t="shared" si="141"/>
        <v>서울특별시</v>
      </c>
      <c r="F2825" t="str">
        <f t="shared" si="142"/>
        <v xml:space="preserve">서초구 </v>
      </c>
      <c r="G2825" t="str">
        <f t="shared" si="143"/>
        <v>서초동</v>
      </c>
      <c r="H2825" t="s">
        <v>8837</v>
      </c>
      <c r="I2825">
        <v>6654</v>
      </c>
    </row>
    <row r="2826" spans="1:9" x14ac:dyDescent="0.4">
      <c r="A2826">
        <v>3210000</v>
      </c>
      <c r="B2826" t="s">
        <v>8966</v>
      </c>
      <c r="C2826" s="1">
        <v>36516</v>
      </c>
      <c r="D2826" t="s">
        <v>8967</v>
      </c>
      <c r="E2826" t="str">
        <f t="shared" si="141"/>
        <v>서울특별시</v>
      </c>
      <c r="F2826" t="str">
        <f t="shared" si="142"/>
        <v xml:space="preserve">서초구 </v>
      </c>
      <c r="G2826" t="str">
        <f t="shared" si="143"/>
        <v>서초동</v>
      </c>
    </row>
    <row r="2827" spans="1:9" x14ac:dyDescent="0.4">
      <c r="A2827">
        <v>3210000</v>
      </c>
      <c r="B2827" t="s">
        <v>9379</v>
      </c>
      <c r="C2827" s="1">
        <v>32717</v>
      </c>
      <c r="D2827" t="s">
        <v>9380</v>
      </c>
      <c r="E2827" t="str">
        <f t="shared" si="141"/>
        <v>서울특별시</v>
      </c>
      <c r="F2827" t="str">
        <f t="shared" si="142"/>
        <v xml:space="preserve">서초구 </v>
      </c>
      <c r="G2827" t="str">
        <f t="shared" si="143"/>
        <v>서초동</v>
      </c>
    </row>
    <row r="2828" spans="1:9" x14ac:dyDescent="0.4">
      <c r="A2828">
        <v>3210000</v>
      </c>
      <c r="B2828" t="s">
        <v>9108</v>
      </c>
      <c r="C2828" s="1">
        <v>41044</v>
      </c>
      <c r="D2828" t="s">
        <v>9109</v>
      </c>
      <c r="E2828" t="str">
        <f t="shared" si="141"/>
        <v>서울특별시</v>
      </c>
      <c r="F2828" t="str">
        <f t="shared" si="142"/>
        <v xml:space="preserve">서초구 </v>
      </c>
      <c r="G2828" t="str">
        <f t="shared" si="143"/>
        <v>서초동</v>
      </c>
      <c r="H2828" t="s">
        <v>9110</v>
      </c>
    </row>
    <row r="2829" spans="1:9" x14ac:dyDescent="0.4">
      <c r="A2829">
        <v>3210000</v>
      </c>
      <c r="B2829" t="s">
        <v>9393</v>
      </c>
      <c r="C2829" s="1">
        <v>42094</v>
      </c>
      <c r="D2829" t="s">
        <v>9394</v>
      </c>
      <c r="E2829" t="str">
        <f t="shared" si="141"/>
        <v>서울특별시</v>
      </c>
      <c r="F2829" t="str">
        <f t="shared" si="142"/>
        <v xml:space="preserve">서초구 </v>
      </c>
      <c r="G2829" t="str">
        <f t="shared" si="143"/>
        <v>서초동</v>
      </c>
      <c r="H2829" t="s">
        <v>9048</v>
      </c>
      <c r="I2829">
        <v>6653</v>
      </c>
    </row>
    <row r="2830" spans="1:9" x14ac:dyDescent="0.4">
      <c r="A2830">
        <v>3210000</v>
      </c>
      <c r="B2830" t="s">
        <v>9046</v>
      </c>
      <c r="C2830" s="1">
        <v>36606</v>
      </c>
      <c r="D2830" t="s">
        <v>9047</v>
      </c>
      <c r="E2830" t="str">
        <f t="shared" si="141"/>
        <v>서울특별시</v>
      </c>
      <c r="F2830" t="str">
        <f t="shared" si="142"/>
        <v xml:space="preserve">서초구 </v>
      </c>
      <c r="G2830" t="str">
        <f t="shared" si="143"/>
        <v>서초동</v>
      </c>
      <c r="H2830" t="s">
        <v>9048</v>
      </c>
      <c r="I2830">
        <v>6653</v>
      </c>
    </row>
    <row r="2831" spans="1:9" x14ac:dyDescent="0.4">
      <c r="A2831">
        <v>3210000</v>
      </c>
      <c r="B2831" t="s">
        <v>9058</v>
      </c>
      <c r="C2831" s="1">
        <v>36649</v>
      </c>
      <c r="D2831" t="s">
        <v>9059</v>
      </c>
      <c r="E2831" t="str">
        <f t="shared" si="141"/>
        <v>서울특별시</v>
      </c>
      <c r="F2831" t="str">
        <f t="shared" si="142"/>
        <v xml:space="preserve">서초구 </v>
      </c>
      <c r="G2831" t="str">
        <f t="shared" si="143"/>
        <v>서초동</v>
      </c>
    </row>
    <row r="2832" spans="1:9" x14ac:dyDescent="0.4">
      <c r="A2832">
        <v>3210000</v>
      </c>
      <c r="B2832" t="s">
        <v>8918</v>
      </c>
      <c r="C2832" s="1">
        <v>33679</v>
      </c>
      <c r="D2832" t="s">
        <v>8919</v>
      </c>
      <c r="E2832" t="str">
        <f t="shared" si="141"/>
        <v>서울특별시</v>
      </c>
      <c r="F2832" t="str">
        <f t="shared" si="142"/>
        <v xml:space="preserve">서초구 </v>
      </c>
      <c r="G2832" t="str">
        <f t="shared" si="143"/>
        <v>서초동</v>
      </c>
      <c r="H2832" t="s">
        <v>8920</v>
      </c>
      <c r="I2832">
        <v>6653</v>
      </c>
    </row>
    <row r="2833" spans="1:9" x14ac:dyDescent="0.4">
      <c r="A2833">
        <v>3210000</v>
      </c>
      <c r="B2833" t="s">
        <v>8847</v>
      </c>
      <c r="C2833" s="1">
        <v>40862</v>
      </c>
      <c r="D2833" t="s">
        <v>8848</v>
      </c>
      <c r="E2833" t="str">
        <f t="shared" si="141"/>
        <v>서울특별시</v>
      </c>
      <c r="F2833" t="str">
        <f t="shared" si="142"/>
        <v xml:space="preserve">서초구 </v>
      </c>
      <c r="G2833" t="str">
        <f t="shared" si="143"/>
        <v>서초동</v>
      </c>
      <c r="H2833" t="s">
        <v>8849</v>
      </c>
      <c r="I2833">
        <v>6653</v>
      </c>
    </row>
    <row r="2834" spans="1:9" x14ac:dyDescent="0.4">
      <c r="A2834">
        <v>3210000</v>
      </c>
      <c r="B2834" t="s">
        <v>8880</v>
      </c>
      <c r="C2834" s="1">
        <v>31558</v>
      </c>
      <c r="D2834" t="s">
        <v>8881</v>
      </c>
      <c r="E2834" t="str">
        <f t="shared" si="141"/>
        <v>서울특별시</v>
      </c>
      <c r="F2834" t="str">
        <f t="shared" si="142"/>
        <v xml:space="preserve">서초구 </v>
      </c>
      <c r="G2834" t="str">
        <f t="shared" si="143"/>
        <v>서초동</v>
      </c>
      <c r="H2834" t="s">
        <v>8882</v>
      </c>
      <c r="I2834">
        <v>6653</v>
      </c>
    </row>
    <row r="2835" spans="1:9" x14ac:dyDescent="0.4">
      <c r="A2835">
        <v>3210000</v>
      </c>
      <c r="B2835" t="s">
        <v>9438</v>
      </c>
      <c r="C2835" s="1">
        <v>36327</v>
      </c>
      <c r="D2835" t="s">
        <v>9439</v>
      </c>
      <c r="E2835" t="str">
        <f t="shared" si="141"/>
        <v>서울특별시</v>
      </c>
      <c r="F2835" t="str">
        <f t="shared" si="142"/>
        <v xml:space="preserve">서초구 </v>
      </c>
      <c r="G2835" t="str">
        <f t="shared" si="143"/>
        <v>서초동</v>
      </c>
    </row>
    <row r="2836" spans="1:9" x14ac:dyDescent="0.4">
      <c r="A2836">
        <v>3210000</v>
      </c>
      <c r="B2836" t="s">
        <v>9111</v>
      </c>
      <c r="C2836" s="1">
        <v>41234</v>
      </c>
      <c r="D2836" t="s">
        <v>9112</v>
      </c>
      <c r="E2836" t="str">
        <f t="shared" si="141"/>
        <v>서울특별시</v>
      </c>
      <c r="F2836" t="str">
        <f t="shared" si="142"/>
        <v xml:space="preserve">서초구 </v>
      </c>
      <c r="G2836" t="str">
        <f t="shared" si="143"/>
        <v>서초동</v>
      </c>
      <c r="H2836" t="s">
        <v>9113</v>
      </c>
      <c r="I2836">
        <v>6652</v>
      </c>
    </row>
    <row r="2837" spans="1:9" x14ac:dyDescent="0.4">
      <c r="A2837">
        <v>3210000</v>
      </c>
      <c r="B2837" t="s">
        <v>9433</v>
      </c>
      <c r="C2837" s="1">
        <v>36304</v>
      </c>
      <c r="D2837" t="s">
        <v>9434</v>
      </c>
      <c r="E2837" t="str">
        <f t="shared" si="141"/>
        <v>서울특별시</v>
      </c>
      <c r="F2837" t="str">
        <f t="shared" si="142"/>
        <v xml:space="preserve">서초구 </v>
      </c>
      <c r="G2837" t="str">
        <f t="shared" si="143"/>
        <v>서초동</v>
      </c>
    </row>
    <row r="2838" spans="1:9" x14ac:dyDescent="0.4">
      <c r="A2838">
        <v>3210000</v>
      </c>
      <c r="B2838" t="s">
        <v>8986</v>
      </c>
      <c r="C2838" s="1">
        <v>32440</v>
      </c>
      <c r="D2838" t="s">
        <v>8987</v>
      </c>
      <c r="E2838" t="str">
        <f t="shared" si="141"/>
        <v>서울특별시</v>
      </c>
      <c r="F2838" t="str">
        <f t="shared" si="142"/>
        <v xml:space="preserve">서초구 </v>
      </c>
      <c r="G2838" t="str">
        <f t="shared" si="143"/>
        <v>서초동</v>
      </c>
    </row>
    <row r="2839" spans="1:9" x14ac:dyDescent="0.4">
      <c r="A2839">
        <v>3210000</v>
      </c>
      <c r="B2839" t="s">
        <v>9348</v>
      </c>
      <c r="C2839" s="1">
        <v>36425</v>
      </c>
      <c r="D2839" t="s">
        <v>9349</v>
      </c>
      <c r="E2839" t="str">
        <f t="shared" si="141"/>
        <v>서울특별시</v>
      </c>
      <c r="F2839" t="str">
        <f t="shared" si="142"/>
        <v xml:space="preserve">서초구 </v>
      </c>
      <c r="G2839" t="str">
        <f t="shared" si="143"/>
        <v>서초동</v>
      </c>
      <c r="H2839" t="s">
        <v>9350</v>
      </c>
      <c r="I2839">
        <v>6651</v>
      </c>
    </row>
    <row r="2840" spans="1:9" x14ac:dyDescent="0.4">
      <c r="A2840">
        <v>3210000</v>
      </c>
      <c r="B2840" t="s">
        <v>8844</v>
      </c>
      <c r="C2840" s="1">
        <v>39267</v>
      </c>
      <c r="D2840" t="s">
        <v>8845</v>
      </c>
      <c r="E2840" t="str">
        <f t="shared" si="141"/>
        <v>서울특별시</v>
      </c>
      <c r="F2840" t="str">
        <f t="shared" si="142"/>
        <v xml:space="preserve">서초구 </v>
      </c>
      <c r="G2840" t="str">
        <f t="shared" si="143"/>
        <v>서초동</v>
      </c>
      <c r="H2840" t="s">
        <v>8846</v>
      </c>
      <c r="I2840">
        <v>6651</v>
      </c>
    </row>
    <row r="2841" spans="1:9" x14ac:dyDescent="0.4">
      <c r="A2841">
        <v>3210000</v>
      </c>
      <c r="B2841" t="s">
        <v>9049</v>
      </c>
      <c r="C2841" s="1">
        <v>36606</v>
      </c>
      <c r="D2841" t="s">
        <v>9050</v>
      </c>
      <c r="E2841" t="str">
        <f t="shared" si="141"/>
        <v>서울특별시</v>
      </c>
      <c r="F2841" t="str">
        <f t="shared" si="142"/>
        <v xml:space="preserve">서초구 </v>
      </c>
      <c r="G2841" t="str">
        <f t="shared" si="143"/>
        <v>서초동</v>
      </c>
    </row>
    <row r="2842" spans="1:9" x14ac:dyDescent="0.4">
      <c r="A2842">
        <v>3210000</v>
      </c>
      <c r="B2842" t="s">
        <v>9305</v>
      </c>
      <c r="C2842" s="1">
        <v>39764</v>
      </c>
      <c r="D2842" t="s">
        <v>9050</v>
      </c>
      <c r="E2842" t="str">
        <f t="shared" si="141"/>
        <v>서울특별시</v>
      </c>
      <c r="F2842" t="str">
        <f t="shared" si="142"/>
        <v xml:space="preserve">서초구 </v>
      </c>
      <c r="G2842" t="str">
        <f t="shared" si="143"/>
        <v>서초동</v>
      </c>
      <c r="H2842" t="s">
        <v>9306</v>
      </c>
      <c r="I2842">
        <v>6651</v>
      </c>
    </row>
    <row r="2843" spans="1:9" x14ac:dyDescent="0.4">
      <c r="A2843">
        <v>3210000</v>
      </c>
      <c r="B2843" t="s">
        <v>9440</v>
      </c>
      <c r="C2843" s="1">
        <v>36335</v>
      </c>
      <c r="D2843" t="s">
        <v>9050</v>
      </c>
      <c r="E2843" t="str">
        <f t="shared" si="141"/>
        <v>서울특별시</v>
      </c>
      <c r="F2843" t="str">
        <f t="shared" si="142"/>
        <v xml:space="preserve">서초구 </v>
      </c>
      <c r="G2843" t="str">
        <f t="shared" si="143"/>
        <v>서초동</v>
      </c>
    </row>
    <row r="2844" spans="1:9" x14ac:dyDescent="0.4">
      <c r="A2844">
        <v>3210000</v>
      </c>
      <c r="B2844" t="s">
        <v>9131</v>
      </c>
      <c r="C2844" s="1">
        <v>31017</v>
      </c>
      <c r="D2844" t="s">
        <v>9132</v>
      </c>
      <c r="E2844" t="str">
        <f t="shared" si="141"/>
        <v>서울특별시</v>
      </c>
      <c r="F2844" t="str">
        <f t="shared" si="142"/>
        <v xml:space="preserve">서초구 </v>
      </c>
      <c r="G2844" t="str">
        <f t="shared" si="143"/>
        <v>서초동</v>
      </c>
      <c r="H2844" t="s">
        <v>9133</v>
      </c>
    </row>
    <row r="2845" spans="1:9" x14ac:dyDescent="0.4">
      <c r="A2845">
        <v>3210000</v>
      </c>
      <c r="B2845" t="s">
        <v>9196</v>
      </c>
      <c r="C2845" s="1">
        <v>30132</v>
      </c>
      <c r="D2845" t="s">
        <v>9197</v>
      </c>
      <c r="E2845" t="str">
        <f t="shared" si="141"/>
        <v>서울특별시</v>
      </c>
      <c r="F2845" t="str">
        <f t="shared" si="142"/>
        <v xml:space="preserve">서초구 </v>
      </c>
      <c r="G2845" t="str">
        <f t="shared" si="143"/>
        <v>서초동</v>
      </c>
      <c r="H2845" t="s">
        <v>9198</v>
      </c>
      <c r="I2845">
        <v>6651</v>
      </c>
    </row>
    <row r="2846" spans="1:9" x14ac:dyDescent="0.4">
      <c r="A2846">
        <v>3210000</v>
      </c>
      <c r="B2846" t="s">
        <v>8868</v>
      </c>
      <c r="C2846" s="1">
        <v>37155</v>
      </c>
      <c r="D2846" t="s">
        <v>8869</v>
      </c>
      <c r="E2846" t="str">
        <f t="shared" si="141"/>
        <v>서울특별시</v>
      </c>
      <c r="F2846" t="str">
        <f t="shared" si="142"/>
        <v xml:space="preserve">서초구 </v>
      </c>
      <c r="G2846" t="str">
        <f t="shared" si="143"/>
        <v>서초동</v>
      </c>
      <c r="H2846" t="s">
        <v>8870</v>
      </c>
      <c r="I2846">
        <v>6654</v>
      </c>
    </row>
    <row r="2847" spans="1:9" x14ac:dyDescent="0.4">
      <c r="A2847">
        <v>3210000</v>
      </c>
      <c r="B2847" t="s">
        <v>105</v>
      </c>
      <c r="C2847" s="1">
        <v>37831</v>
      </c>
      <c r="D2847" t="s">
        <v>106</v>
      </c>
      <c r="E2847" t="str">
        <f t="shared" si="141"/>
        <v>서울특별시</v>
      </c>
      <c r="F2847" t="str">
        <f t="shared" si="142"/>
        <v xml:space="preserve">서초구 </v>
      </c>
      <c r="G2847" t="str">
        <f t="shared" si="143"/>
        <v>서초동</v>
      </c>
      <c r="H2847" t="s">
        <v>107</v>
      </c>
      <c r="I2847">
        <v>6654</v>
      </c>
    </row>
    <row r="2848" spans="1:9" x14ac:dyDescent="0.4">
      <c r="A2848">
        <v>3210000</v>
      </c>
      <c r="B2848" t="s">
        <v>9293</v>
      </c>
      <c r="C2848" s="1">
        <v>31289</v>
      </c>
      <c r="D2848" t="s">
        <v>9294</v>
      </c>
      <c r="E2848" t="str">
        <f t="shared" si="141"/>
        <v>서울특별시</v>
      </c>
      <c r="F2848" t="str">
        <f t="shared" si="142"/>
        <v xml:space="preserve">서초구 </v>
      </c>
      <c r="G2848" t="str">
        <f t="shared" si="143"/>
        <v>서초동</v>
      </c>
    </row>
    <row r="2849" spans="1:9" x14ac:dyDescent="0.4">
      <c r="A2849">
        <v>3210000</v>
      </c>
      <c r="B2849" t="s">
        <v>9105</v>
      </c>
      <c r="C2849" s="1">
        <v>40872</v>
      </c>
      <c r="D2849" t="s">
        <v>9106</v>
      </c>
      <c r="E2849" t="str">
        <f t="shared" si="141"/>
        <v>서울특별시</v>
      </c>
      <c r="F2849" t="str">
        <f t="shared" si="142"/>
        <v xml:space="preserve">서초구 </v>
      </c>
      <c r="G2849" t="str">
        <f t="shared" si="143"/>
        <v>서초동</v>
      </c>
      <c r="H2849" t="s">
        <v>9107</v>
      </c>
      <c r="I2849">
        <v>6654</v>
      </c>
    </row>
    <row r="2850" spans="1:9" x14ac:dyDescent="0.4">
      <c r="A2850">
        <v>3210000</v>
      </c>
      <c r="B2850" t="s">
        <v>9307</v>
      </c>
      <c r="C2850" s="1">
        <v>39771</v>
      </c>
      <c r="D2850" t="s">
        <v>9308</v>
      </c>
      <c r="E2850" t="str">
        <f t="shared" si="141"/>
        <v>서울특별시</v>
      </c>
      <c r="F2850" t="str">
        <f t="shared" si="142"/>
        <v xml:space="preserve">서초구 </v>
      </c>
      <c r="G2850" t="str">
        <f t="shared" si="143"/>
        <v>서초동</v>
      </c>
    </row>
    <row r="2851" spans="1:9" x14ac:dyDescent="0.4">
      <c r="A2851">
        <v>3210000</v>
      </c>
      <c r="B2851" t="s">
        <v>9242</v>
      </c>
      <c r="C2851" s="1">
        <v>32962</v>
      </c>
      <c r="D2851" t="s">
        <v>9243</v>
      </c>
      <c r="E2851" t="str">
        <f t="shared" si="141"/>
        <v>서울특별시</v>
      </c>
      <c r="F2851" t="str">
        <f t="shared" si="142"/>
        <v xml:space="preserve">서초구 </v>
      </c>
      <c r="G2851" t="str">
        <f t="shared" si="143"/>
        <v>서초동</v>
      </c>
      <c r="H2851" t="s">
        <v>9244</v>
      </c>
    </row>
    <row r="2852" spans="1:9" x14ac:dyDescent="0.4">
      <c r="A2852">
        <v>3210000</v>
      </c>
      <c r="B2852" t="s">
        <v>9303</v>
      </c>
      <c r="C2852" s="1">
        <v>39527</v>
      </c>
      <c r="D2852" t="s">
        <v>9304</v>
      </c>
      <c r="E2852" t="str">
        <f t="shared" si="141"/>
        <v>서울특별시</v>
      </c>
      <c r="F2852" t="str">
        <f t="shared" si="142"/>
        <v xml:space="preserve">서초구 </v>
      </c>
      <c r="G2852" t="str">
        <f t="shared" si="143"/>
        <v>서초동</v>
      </c>
    </row>
    <row r="2853" spans="1:9" x14ac:dyDescent="0.4">
      <c r="A2853">
        <v>3210000</v>
      </c>
      <c r="B2853" t="s">
        <v>8941</v>
      </c>
      <c r="C2853" s="1">
        <v>36881</v>
      </c>
      <c r="D2853" t="s">
        <v>8942</v>
      </c>
      <c r="E2853" t="str">
        <f t="shared" si="141"/>
        <v>서울특별시</v>
      </c>
      <c r="F2853" t="str">
        <f t="shared" si="142"/>
        <v xml:space="preserve">서초구 </v>
      </c>
      <c r="G2853" t="str">
        <f t="shared" si="143"/>
        <v>서초동</v>
      </c>
    </row>
    <row r="2854" spans="1:9" x14ac:dyDescent="0.4">
      <c r="A2854">
        <v>3210000</v>
      </c>
      <c r="B2854" t="s">
        <v>9067</v>
      </c>
      <c r="C2854" s="1">
        <v>37296</v>
      </c>
      <c r="D2854" t="s">
        <v>9068</v>
      </c>
      <c r="E2854" t="str">
        <f t="shared" si="141"/>
        <v>서울특별시</v>
      </c>
      <c r="F2854" t="str">
        <f t="shared" si="142"/>
        <v xml:space="preserve">서초구 </v>
      </c>
      <c r="G2854" t="str">
        <f t="shared" si="143"/>
        <v>서초동</v>
      </c>
    </row>
    <row r="2855" spans="1:9" x14ac:dyDescent="0.4">
      <c r="A2855">
        <v>3210000</v>
      </c>
      <c r="B2855" t="s">
        <v>9225</v>
      </c>
      <c r="C2855" s="1">
        <v>31762</v>
      </c>
      <c r="D2855" t="s">
        <v>9226</v>
      </c>
      <c r="E2855" t="str">
        <f t="shared" si="141"/>
        <v>서울특별시</v>
      </c>
      <c r="F2855" t="str">
        <f t="shared" si="142"/>
        <v xml:space="preserve">서초구 </v>
      </c>
      <c r="G2855" t="str">
        <f t="shared" si="143"/>
        <v>서초동</v>
      </c>
      <c r="H2855" t="s">
        <v>9227</v>
      </c>
      <c r="I2855">
        <v>6654</v>
      </c>
    </row>
    <row r="2856" spans="1:9" x14ac:dyDescent="0.4">
      <c r="A2856">
        <v>3210000</v>
      </c>
      <c r="B2856" t="s">
        <v>9391</v>
      </c>
      <c r="C2856" s="1">
        <v>32847</v>
      </c>
      <c r="D2856" t="s">
        <v>9392</v>
      </c>
      <c r="E2856" t="str">
        <f t="shared" si="141"/>
        <v>서울특별시</v>
      </c>
      <c r="F2856" t="str">
        <f t="shared" si="142"/>
        <v xml:space="preserve">서초구 </v>
      </c>
      <c r="G2856" t="str">
        <f t="shared" si="143"/>
        <v>서초동</v>
      </c>
    </row>
    <row r="2857" spans="1:9" x14ac:dyDescent="0.4">
      <c r="A2857">
        <v>3210000</v>
      </c>
      <c r="B2857" t="s">
        <v>9038</v>
      </c>
      <c r="C2857" s="1">
        <v>36552</v>
      </c>
      <c r="D2857" t="s">
        <v>9039</v>
      </c>
      <c r="E2857" t="str">
        <f t="shared" si="141"/>
        <v>서울특별시</v>
      </c>
      <c r="F2857" t="str">
        <f t="shared" si="142"/>
        <v xml:space="preserve">서초구 </v>
      </c>
      <c r="G2857" t="str">
        <f t="shared" si="143"/>
        <v>서초동</v>
      </c>
      <c r="H2857" t="s">
        <v>9040</v>
      </c>
      <c r="I2857">
        <v>6643</v>
      </c>
    </row>
    <row r="2858" spans="1:9" x14ac:dyDescent="0.4">
      <c r="A2858">
        <v>3210000</v>
      </c>
      <c r="B2858" t="s">
        <v>9147</v>
      </c>
      <c r="C2858" s="1">
        <v>37128</v>
      </c>
      <c r="D2858" t="s">
        <v>9148</v>
      </c>
      <c r="E2858" t="str">
        <f t="shared" si="141"/>
        <v>서울특별시</v>
      </c>
      <c r="F2858" t="str">
        <f t="shared" si="142"/>
        <v xml:space="preserve">서초구 </v>
      </c>
      <c r="G2858" t="str">
        <f t="shared" si="143"/>
        <v>서초동</v>
      </c>
      <c r="H2858" t="s">
        <v>9149</v>
      </c>
      <c r="I2858">
        <v>6634</v>
      </c>
    </row>
    <row r="2859" spans="1:9" x14ac:dyDescent="0.4">
      <c r="A2859">
        <v>3210000</v>
      </c>
      <c r="B2859" t="s">
        <v>9253</v>
      </c>
      <c r="C2859" s="1">
        <v>37018</v>
      </c>
      <c r="D2859" t="s">
        <v>9254</v>
      </c>
      <c r="E2859" t="str">
        <f t="shared" si="141"/>
        <v>서울특별시</v>
      </c>
      <c r="F2859" t="str">
        <f t="shared" si="142"/>
        <v xml:space="preserve">서초구 </v>
      </c>
      <c r="G2859" t="str">
        <f t="shared" si="143"/>
        <v>서초동</v>
      </c>
      <c r="H2859" t="s">
        <v>9255</v>
      </c>
    </row>
    <row r="2860" spans="1:9" x14ac:dyDescent="0.4">
      <c r="A2860">
        <v>3210000</v>
      </c>
      <c r="B2860" t="s">
        <v>9032</v>
      </c>
      <c r="C2860" s="1">
        <v>36536</v>
      </c>
      <c r="D2860" t="s">
        <v>9033</v>
      </c>
      <c r="E2860" t="str">
        <f t="shared" si="141"/>
        <v>서울특별시</v>
      </c>
      <c r="F2860" t="str">
        <f t="shared" si="142"/>
        <v xml:space="preserve">서초구 </v>
      </c>
      <c r="G2860" t="str">
        <f t="shared" si="143"/>
        <v>서초동</v>
      </c>
    </row>
    <row r="2861" spans="1:9" x14ac:dyDescent="0.4">
      <c r="A2861">
        <v>3210000</v>
      </c>
      <c r="B2861" t="s">
        <v>9342</v>
      </c>
      <c r="C2861" s="1">
        <v>36382</v>
      </c>
      <c r="D2861" t="s">
        <v>9343</v>
      </c>
      <c r="E2861" t="str">
        <f t="shared" si="141"/>
        <v>서울특별시</v>
      </c>
      <c r="F2861" t="str">
        <f t="shared" si="142"/>
        <v xml:space="preserve">서초구 </v>
      </c>
      <c r="G2861" t="str">
        <f t="shared" si="143"/>
        <v>서초동</v>
      </c>
    </row>
    <row r="2862" spans="1:9" x14ac:dyDescent="0.4">
      <c r="A2862">
        <v>3210000</v>
      </c>
      <c r="B2862" t="s">
        <v>9311</v>
      </c>
      <c r="C2862" s="1">
        <v>38126</v>
      </c>
      <c r="D2862" t="s">
        <v>9312</v>
      </c>
      <c r="E2862" t="str">
        <f t="shared" si="141"/>
        <v>서울특별시</v>
      </c>
      <c r="F2862" t="str">
        <f t="shared" si="142"/>
        <v xml:space="preserve">서초구 </v>
      </c>
      <c r="G2862" t="str">
        <f t="shared" si="143"/>
        <v>서초동</v>
      </c>
    </row>
    <row r="2863" spans="1:9" x14ac:dyDescent="0.4">
      <c r="A2863">
        <v>3210000</v>
      </c>
      <c r="B2863" t="s">
        <v>9060</v>
      </c>
      <c r="C2863" s="1">
        <v>36654</v>
      </c>
      <c r="D2863" t="s">
        <v>9061</v>
      </c>
      <c r="E2863" t="str">
        <f t="shared" si="141"/>
        <v>서울특별시</v>
      </c>
      <c r="F2863" t="str">
        <f t="shared" si="142"/>
        <v xml:space="preserve">서초구 </v>
      </c>
      <c r="G2863" t="str">
        <f t="shared" si="143"/>
        <v>서초동</v>
      </c>
    </row>
    <row r="2864" spans="1:9" x14ac:dyDescent="0.4">
      <c r="A2864">
        <v>3210000</v>
      </c>
      <c r="B2864" t="s">
        <v>8892</v>
      </c>
      <c r="C2864" s="1">
        <v>36371</v>
      </c>
      <c r="D2864" t="s">
        <v>8893</v>
      </c>
      <c r="E2864" t="str">
        <f t="shared" si="141"/>
        <v>서울특별시</v>
      </c>
      <c r="F2864" t="str">
        <f t="shared" si="142"/>
        <v xml:space="preserve">서초구 </v>
      </c>
      <c r="G2864" t="str">
        <f t="shared" si="143"/>
        <v>서초동</v>
      </c>
      <c r="H2864" t="s">
        <v>8894</v>
      </c>
      <c r="I2864">
        <v>6606</v>
      </c>
    </row>
    <row r="2865" spans="1:9" x14ac:dyDescent="0.4">
      <c r="A2865">
        <v>3210000</v>
      </c>
      <c r="B2865" t="s">
        <v>8895</v>
      </c>
      <c r="C2865" s="1">
        <v>36467</v>
      </c>
      <c r="D2865" t="s">
        <v>8896</v>
      </c>
      <c r="E2865" t="str">
        <f t="shared" si="141"/>
        <v>서울특별시</v>
      </c>
      <c r="F2865" t="str">
        <f t="shared" si="142"/>
        <v xml:space="preserve">서초구 </v>
      </c>
      <c r="G2865" t="str">
        <f t="shared" si="143"/>
        <v>서초동</v>
      </c>
      <c r="H2865" t="s">
        <v>8897</v>
      </c>
      <c r="I2865">
        <v>6606</v>
      </c>
    </row>
    <row r="2866" spans="1:9" x14ac:dyDescent="0.4">
      <c r="A2866">
        <v>3210000</v>
      </c>
      <c r="B2866" t="s">
        <v>9053</v>
      </c>
      <c r="C2866" s="1">
        <v>36642</v>
      </c>
      <c r="D2866" t="s">
        <v>9054</v>
      </c>
      <c r="E2866" t="str">
        <f t="shared" si="141"/>
        <v>서울특별시</v>
      </c>
      <c r="F2866" t="str">
        <f t="shared" si="142"/>
        <v xml:space="preserve">서초구 </v>
      </c>
      <c r="G2866" t="str">
        <f t="shared" si="143"/>
        <v>서초동</v>
      </c>
    </row>
    <row r="2867" spans="1:9" x14ac:dyDescent="0.4">
      <c r="A2867">
        <v>3210000</v>
      </c>
      <c r="B2867" t="s">
        <v>8927</v>
      </c>
      <c r="C2867" s="1">
        <v>36867</v>
      </c>
      <c r="D2867" t="s">
        <v>8928</v>
      </c>
      <c r="E2867" t="str">
        <f t="shared" si="141"/>
        <v>서울특별시</v>
      </c>
      <c r="F2867" t="str">
        <f t="shared" si="142"/>
        <v xml:space="preserve">서초구 </v>
      </c>
      <c r="G2867" t="str">
        <f t="shared" si="143"/>
        <v>서초동</v>
      </c>
      <c r="H2867" t="s">
        <v>8929</v>
      </c>
      <c r="I2867">
        <v>6605</v>
      </c>
    </row>
    <row r="2868" spans="1:9" x14ac:dyDescent="0.4">
      <c r="A2868">
        <v>3210000</v>
      </c>
      <c r="B2868" t="s">
        <v>9021</v>
      </c>
      <c r="C2868" s="1">
        <v>30797</v>
      </c>
      <c r="D2868" t="s">
        <v>9022</v>
      </c>
      <c r="E2868" t="str">
        <f t="shared" si="141"/>
        <v>서울특별시</v>
      </c>
      <c r="F2868" t="str">
        <f t="shared" si="142"/>
        <v xml:space="preserve">서초구 </v>
      </c>
      <c r="G2868" t="str">
        <f t="shared" si="143"/>
        <v>서초동</v>
      </c>
    </row>
    <row r="2869" spans="1:9" x14ac:dyDescent="0.4">
      <c r="A2869">
        <v>3210000</v>
      </c>
      <c r="B2869" t="s">
        <v>9256</v>
      </c>
      <c r="C2869" s="1">
        <v>37063</v>
      </c>
      <c r="D2869" t="s">
        <v>9257</v>
      </c>
      <c r="E2869" t="str">
        <f t="shared" si="141"/>
        <v>서울특별시</v>
      </c>
      <c r="F2869" t="str">
        <f t="shared" si="142"/>
        <v xml:space="preserve">서초구 </v>
      </c>
      <c r="G2869" t="str">
        <f t="shared" si="143"/>
        <v>양재동</v>
      </c>
    </row>
    <row r="2870" spans="1:9" x14ac:dyDescent="0.4">
      <c r="A2870">
        <v>3210000</v>
      </c>
      <c r="B2870" t="s">
        <v>9150</v>
      </c>
      <c r="C2870" s="1">
        <v>37175</v>
      </c>
      <c r="D2870" t="s">
        <v>9151</v>
      </c>
      <c r="E2870" t="str">
        <f t="shared" si="141"/>
        <v>서울특별시</v>
      </c>
      <c r="F2870" t="str">
        <f t="shared" si="142"/>
        <v xml:space="preserve">서초구 </v>
      </c>
      <c r="G2870" t="str">
        <f t="shared" si="143"/>
        <v>양재동</v>
      </c>
    </row>
    <row r="2871" spans="1:9" x14ac:dyDescent="0.4">
      <c r="A2871">
        <v>3210000</v>
      </c>
      <c r="B2871" t="s">
        <v>9158</v>
      </c>
      <c r="C2871" s="1">
        <v>37214</v>
      </c>
      <c r="D2871" t="s">
        <v>9159</v>
      </c>
      <c r="E2871" t="str">
        <f t="shared" si="141"/>
        <v>서울특별시</v>
      </c>
      <c r="F2871" t="str">
        <f t="shared" si="142"/>
        <v xml:space="preserve">서초구 </v>
      </c>
      <c r="G2871" t="str">
        <f t="shared" si="143"/>
        <v>양재동</v>
      </c>
    </row>
    <row r="2872" spans="1:9" x14ac:dyDescent="0.4">
      <c r="A2872">
        <v>3210000</v>
      </c>
      <c r="B2872" t="s">
        <v>8956</v>
      </c>
      <c r="C2872" s="1">
        <v>36740</v>
      </c>
      <c r="D2872" t="s">
        <v>8957</v>
      </c>
      <c r="E2872" t="str">
        <f t="shared" si="141"/>
        <v>서울특별시</v>
      </c>
      <c r="F2872" t="str">
        <f t="shared" si="142"/>
        <v xml:space="preserve">서초구 </v>
      </c>
      <c r="G2872" t="str">
        <f t="shared" si="143"/>
        <v>양재동</v>
      </c>
    </row>
    <row r="2873" spans="1:9" x14ac:dyDescent="0.4">
      <c r="A2873">
        <v>3210000</v>
      </c>
      <c r="B2873" t="s">
        <v>9186</v>
      </c>
      <c r="C2873" s="1">
        <v>36817</v>
      </c>
      <c r="D2873" t="s">
        <v>9187</v>
      </c>
      <c r="E2873" t="str">
        <f t="shared" si="141"/>
        <v>서울특별시</v>
      </c>
      <c r="F2873" t="str">
        <f t="shared" si="142"/>
        <v xml:space="preserve">서초구 </v>
      </c>
      <c r="G2873" t="str">
        <f t="shared" si="143"/>
        <v>양재동</v>
      </c>
    </row>
    <row r="2874" spans="1:9" x14ac:dyDescent="0.4">
      <c r="A2874">
        <v>3210000</v>
      </c>
      <c r="B2874" t="s">
        <v>8862</v>
      </c>
      <c r="C2874" s="1">
        <v>29988</v>
      </c>
      <c r="D2874" t="s">
        <v>8863</v>
      </c>
      <c r="E2874" t="str">
        <f t="shared" si="141"/>
        <v>서울특별시</v>
      </c>
      <c r="F2874" t="str">
        <f t="shared" si="142"/>
        <v xml:space="preserve">서초구 </v>
      </c>
      <c r="G2874" t="str">
        <f t="shared" si="143"/>
        <v>잠원동</v>
      </c>
      <c r="H2874" t="s">
        <v>8864</v>
      </c>
      <c r="I2874">
        <v>6524</v>
      </c>
    </row>
    <row r="2875" spans="1:9" x14ac:dyDescent="0.4">
      <c r="A2875">
        <v>3210000</v>
      </c>
      <c r="B2875" t="s">
        <v>9223</v>
      </c>
      <c r="C2875" s="1">
        <v>31696</v>
      </c>
      <c r="D2875" t="s">
        <v>9224</v>
      </c>
      <c r="E2875" t="str">
        <f t="shared" si="141"/>
        <v>서울특별시</v>
      </c>
      <c r="F2875" t="str">
        <f t="shared" si="142"/>
        <v xml:space="preserve">서초구 </v>
      </c>
      <c r="G2875" t="str">
        <f t="shared" si="143"/>
        <v>잠원동</v>
      </c>
    </row>
    <row r="2876" spans="1:9" x14ac:dyDescent="0.4">
      <c r="A2876">
        <v>3210000</v>
      </c>
      <c r="B2876" t="s">
        <v>9138</v>
      </c>
      <c r="C2876" s="1">
        <v>27292</v>
      </c>
      <c r="D2876" t="s">
        <v>9139</v>
      </c>
      <c r="E2876" t="str">
        <f t="shared" si="141"/>
        <v>서울특별시</v>
      </c>
      <c r="F2876" t="str">
        <f t="shared" si="142"/>
        <v xml:space="preserve">서초구 </v>
      </c>
      <c r="G2876" t="str">
        <f t="shared" si="143"/>
        <v>잠원동</v>
      </c>
    </row>
    <row r="2877" spans="1:9" x14ac:dyDescent="0.4">
      <c r="A2877">
        <v>3210000</v>
      </c>
      <c r="B2877" t="s">
        <v>9258</v>
      </c>
      <c r="C2877" s="1">
        <v>37090</v>
      </c>
      <c r="D2877" t="s">
        <v>9139</v>
      </c>
      <c r="E2877" t="str">
        <f t="shared" si="141"/>
        <v>서울특별시</v>
      </c>
      <c r="F2877" t="str">
        <f t="shared" si="142"/>
        <v xml:space="preserve">서초구 </v>
      </c>
      <c r="G2877" t="str">
        <f t="shared" si="143"/>
        <v>잠원동</v>
      </c>
    </row>
    <row r="2878" spans="1:9" x14ac:dyDescent="0.4">
      <c r="A2878">
        <v>3210000</v>
      </c>
      <c r="B2878" t="s">
        <v>9326</v>
      </c>
      <c r="C2878" s="1">
        <v>34765</v>
      </c>
      <c r="D2878" t="s">
        <v>9327</v>
      </c>
      <c r="E2878" t="str">
        <f t="shared" si="141"/>
        <v>서울특별시</v>
      </c>
      <c r="F2878" t="str">
        <f t="shared" si="142"/>
        <v xml:space="preserve">서초구 </v>
      </c>
      <c r="G2878" t="str">
        <f t="shared" si="143"/>
        <v>잠원동</v>
      </c>
    </row>
    <row r="2879" spans="1:9" x14ac:dyDescent="0.4">
      <c r="A2879">
        <v>3210000</v>
      </c>
      <c r="B2879" t="s">
        <v>9431</v>
      </c>
      <c r="C2879" s="1">
        <v>36264</v>
      </c>
      <c r="D2879" t="s">
        <v>9432</v>
      </c>
      <c r="E2879" t="str">
        <f t="shared" si="141"/>
        <v>서울특별시</v>
      </c>
      <c r="F2879" t="str">
        <f t="shared" si="142"/>
        <v xml:space="preserve">서초구 </v>
      </c>
      <c r="G2879" t="str">
        <f t="shared" si="143"/>
        <v>잠원동</v>
      </c>
    </row>
    <row r="2880" spans="1:9" x14ac:dyDescent="0.4">
      <c r="A2880">
        <v>3210000</v>
      </c>
      <c r="B2880" t="s">
        <v>9078</v>
      </c>
      <c r="C2880" s="1">
        <v>27837</v>
      </c>
      <c r="D2880" t="s">
        <v>9079</v>
      </c>
      <c r="E2880" t="str">
        <f t="shared" si="141"/>
        <v>서울특별시</v>
      </c>
      <c r="F2880" t="str">
        <f t="shared" si="142"/>
        <v xml:space="preserve">서초구 </v>
      </c>
      <c r="G2880" t="str">
        <f t="shared" si="143"/>
        <v>잠원동</v>
      </c>
    </row>
    <row r="2881" spans="1:9" x14ac:dyDescent="0.4">
      <c r="A2881">
        <v>3210000</v>
      </c>
      <c r="B2881" t="s">
        <v>9019</v>
      </c>
      <c r="C2881" s="1">
        <v>30782</v>
      </c>
      <c r="D2881" t="s">
        <v>9020</v>
      </c>
      <c r="E2881" t="str">
        <f t="shared" si="141"/>
        <v>서울특별시</v>
      </c>
      <c r="F2881" t="str">
        <f t="shared" si="142"/>
        <v xml:space="preserve">서초구 </v>
      </c>
      <c r="G2881" t="str">
        <f t="shared" si="143"/>
        <v>잠원동</v>
      </c>
    </row>
    <row r="2882" spans="1:9" x14ac:dyDescent="0.4">
      <c r="A2882">
        <v>3210000</v>
      </c>
      <c r="B2882" t="s">
        <v>8909</v>
      </c>
      <c r="C2882" s="1">
        <v>39925</v>
      </c>
      <c r="D2882" t="s">
        <v>8910</v>
      </c>
      <c r="E2882" t="str">
        <f t="shared" si="141"/>
        <v>서울특별시</v>
      </c>
      <c r="F2882" t="str">
        <f t="shared" si="142"/>
        <v xml:space="preserve">서초구 </v>
      </c>
      <c r="G2882" t="str">
        <f t="shared" si="143"/>
        <v>잠원동</v>
      </c>
      <c r="H2882" t="s">
        <v>8911</v>
      </c>
      <c r="I2882">
        <v>6527</v>
      </c>
    </row>
    <row r="2883" spans="1:9" x14ac:dyDescent="0.4">
      <c r="A2883">
        <v>3210000</v>
      </c>
      <c r="B2883" t="s">
        <v>9120</v>
      </c>
      <c r="C2883" s="1">
        <v>29512</v>
      </c>
      <c r="D2883" t="s">
        <v>9121</v>
      </c>
      <c r="E2883" t="str">
        <f t="shared" ref="E2883:E2946" si="144">LEFT(D2883,5)</f>
        <v>서울특별시</v>
      </c>
      <c r="F2883" t="str">
        <f t="shared" ref="F2883:F2946" si="145">MID(D2883,7,4)</f>
        <v xml:space="preserve">서초구 </v>
      </c>
      <c r="G2883" t="str">
        <f t="shared" ref="G2883:G2946" si="146">MID(SUBSTITUTE(D2883," ",""),9,3)</f>
        <v>잠원동</v>
      </c>
    </row>
    <row r="2884" spans="1:9" x14ac:dyDescent="0.4">
      <c r="A2884">
        <v>3210000</v>
      </c>
      <c r="B2884" t="s">
        <v>9069</v>
      </c>
      <c r="C2884" s="1">
        <v>37312</v>
      </c>
      <c r="D2884" t="s">
        <v>9070</v>
      </c>
      <c r="E2884" t="str">
        <f t="shared" si="144"/>
        <v>서울특별시</v>
      </c>
      <c r="F2884" t="str">
        <f t="shared" si="145"/>
        <v xml:space="preserve">서초구 </v>
      </c>
      <c r="G2884" t="str">
        <f t="shared" si="146"/>
        <v>잠원동</v>
      </c>
    </row>
    <row r="2885" spans="1:9" x14ac:dyDescent="0.4">
      <c r="A2885">
        <v>3210000</v>
      </c>
      <c r="B2885" t="s">
        <v>9076</v>
      </c>
      <c r="C2885" s="1">
        <v>27768</v>
      </c>
      <c r="D2885" t="s">
        <v>9077</v>
      </c>
      <c r="E2885" t="str">
        <f t="shared" si="144"/>
        <v>서울특별시</v>
      </c>
      <c r="F2885" t="str">
        <f t="shared" si="145"/>
        <v xml:space="preserve">서초구 </v>
      </c>
      <c r="G2885" t="str">
        <f t="shared" si="146"/>
        <v>잠원동</v>
      </c>
    </row>
    <row r="2886" spans="1:9" x14ac:dyDescent="0.4">
      <c r="A2886">
        <v>3210000</v>
      </c>
      <c r="B2886" t="s">
        <v>7607</v>
      </c>
      <c r="C2886" s="1">
        <v>36803</v>
      </c>
      <c r="D2886" t="s">
        <v>7608</v>
      </c>
      <c r="E2886" t="str">
        <f t="shared" si="144"/>
        <v>서울특별시</v>
      </c>
      <c r="F2886" t="str">
        <f t="shared" si="145"/>
        <v xml:space="preserve">서초구 </v>
      </c>
      <c r="G2886" t="str">
        <f t="shared" si="146"/>
        <v>잠원동</v>
      </c>
      <c r="H2886" t="s">
        <v>7609</v>
      </c>
      <c r="I2886">
        <v>6526</v>
      </c>
    </row>
    <row r="2887" spans="1:9" x14ac:dyDescent="0.4">
      <c r="A2887">
        <v>3210000</v>
      </c>
      <c r="B2887" t="s">
        <v>9212</v>
      </c>
      <c r="C2887" s="1">
        <v>30445</v>
      </c>
      <c r="D2887" t="s">
        <v>7608</v>
      </c>
      <c r="E2887" t="str">
        <f t="shared" si="144"/>
        <v>서울특별시</v>
      </c>
      <c r="F2887" t="str">
        <f t="shared" si="145"/>
        <v xml:space="preserve">서초구 </v>
      </c>
      <c r="G2887" t="str">
        <f t="shared" si="146"/>
        <v>잠원동</v>
      </c>
    </row>
    <row r="2888" spans="1:9" x14ac:dyDescent="0.4">
      <c r="A2888">
        <v>3210000</v>
      </c>
      <c r="B2888" t="s">
        <v>9220</v>
      </c>
      <c r="C2888" s="1">
        <v>31441</v>
      </c>
      <c r="D2888" t="s">
        <v>7608</v>
      </c>
      <c r="E2888" t="str">
        <f t="shared" si="144"/>
        <v>서울특별시</v>
      </c>
      <c r="F2888" t="str">
        <f t="shared" si="145"/>
        <v xml:space="preserve">서초구 </v>
      </c>
      <c r="G2888" t="str">
        <f t="shared" si="146"/>
        <v>잠원동</v>
      </c>
    </row>
    <row r="2889" spans="1:9" x14ac:dyDescent="0.4">
      <c r="A2889">
        <v>3210000</v>
      </c>
      <c r="B2889" t="s">
        <v>8889</v>
      </c>
      <c r="C2889" s="1">
        <v>34292</v>
      </c>
      <c r="D2889" t="s">
        <v>8890</v>
      </c>
      <c r="E2889" t="str">
        <f t="shared" si="144"/>
        <v>서울특별시</v>
      </c>
      <c r="F2889" t="str">
        <f t="shared" si="145"/>
        <v xml:space="preserve">서초구 </v>
      </c>
      <c r="G2889" t="str">
        <f t="shared" si="146"/>
        <v>잠원동</v>
      </c>
      <c r="H2889" t="s">
        <v>8891</v>
      </c>
      <c r="I2889">
        <v>6526</v>
      </c>
    </row>
    <row r="2890" spans="1:9" x14ac:dyDescent="0.4">
      <c r="A2890">
        <v>3210000</v>
      </c>
      <c r="B2890" t="s">
        <v>9424</v>
      </c>
      <c r="C2890" s="1">
        <v>28899</v>
      </c>
      <c r="D2890" t="s">
        <v>9425</v>
      </c>
      <c r="E2890" t="str">
        <f t="shared" si="144"/>
        <v>서울특별시</v>
      </c>
      <c r="F2890" t="str">
        <f t="shared" si="145"/>
        <v xml:space="preserve">서초구 </v>
      </c>
      <c r="G2890" t="str">
        <f t="shared" si="146"/>
        <v>잠원동</v>
      </c>
    </row>
    <row r="2891" spans="1:9" x14ac:dyDescent="0.4">
      <c r="A2891">
        <v>3210000</v>
      </c>
      <c r="B2891" t="s">
        <v>9080</v>
      </c>
      <c r="C2891" s="1">
        <v>27974</v>
      </c>
      <c r="D2891" t="s">
        <v>9081</v>
      </c>
      <c r="E2891" t="str">
        <f t="shared" si="144"/>
        <v>서울특별시</v>
      </c>
      <c r="F2891" t="str">
        <f t="shared" si="145"/>
        <v xml:space="preserve">서초구 </v>
      </c>
      <c r="G2891" t="str">
        <f t="shared" si="146"/>
        <v>잠원동</v>
      </c>
    </row>
    <row r="2892" spans="1:9" x14ac:dyDescent="0.4">
      <c r="A2892">
        <v>3210000</v>
      </c>
      <c r="B2892" t="s">
        <v>9134</v>
      </c>
      <c r="C2892" s="1">
        <v>31085</v>
      </c>
      <c r="D2892" t="s">
        <v>9135</v>
      </c>
      <c r="E2892" t="str">
        <f t="shared" si="144"/>
        <v>서울특별시</v>
      </c>
      <c r="F2892" t="str">
        <f t="shared" si="145"/>
        <v xml:space="preserve">서초구 </v>
      </c>
      <c r="G2892" t="str">
        <f t="shared" si="146"/>
        <v>잠원동</v>
      </c>
    </row>
    <row r="2893" spans="1:9" x14ac:dyDescent="0.4">
      <c r="A2893">
        <v>3210000</v>
      </c>
      <c r="B2893" t="s">
        <v>8859</v>
      </c>
      <c r="C2893" s="1">
        <v>29963</v>
      </c>
      <c r="D2893" t="s">
        <v>8860</v>
      </c>
      <c r="E2893" t="str">
        <f t="shared" si="144"/>
        <v>서울특별시</v>
      </c>
      <c r="F2893" t="str">
        <f t="shared" si="145"/>
        <v xml:space="preserve">서초구 </v>
      </c>
      <c r="G2893" t="str">
        <f t="shared" si="146"/>
        <v>잠원동</v>
      </c>
      <c r="H2893" t="s">
        <v>8861</v>
      </c>
      <c r="I2893">
        <v>6524</v>
      </c>
    </row>
    <row r="2894" spans="1:9" x14ac:dyDescent="0.4">
      <c r="A2894">
        <v>3210000</v>
      </c>
      <c r="B2894" t="s">
        <v>8968</v>
      </c>
      <c r="C2894" s="1">
        <v>33060</v>
      </c>
      <c r="D2894" t="s">
        <v>8969</v>
      </c>
      <c r="E2894" t="str">
        <f t="shared" si="144"/>
        <v>서울특별시</v>
      </c>
      <c r="F2894" t="str">
        <f t="shared" si="145"/>
        <v xml:space="preserve">서초구 </v>
      </c>
      <c r="G2894" t="str">
        <f t="shared" si="146"/>
        <v>잠원동</v>
      </c>
    </row>
    <row r="2895" spans="1:9" x14ac:dyDescent="0.4">
      <c r="A2895">
        <v>3210000</v>
      </c>
      <c r="B2895" t="s">
        <v>9127</v>
      </c>
      <c r="C2895" s="1">
        <v>29963</v>
      </c>
      <c r="D2895" t="s">
        <v>8969</v>
      </c>
      <c r="E2895" t="str">
        <f t="shared" si="144"/>
        <v>서울특별시</v>
      </c>
      <c r="F2895" t="str">
        <f t="shared" si="145"/>
        <v xml:space="preserve">서초구 </v>
      </c>
      <c r="G2895" t="str">
        <f t="shared" si="146"/>
        <v>잠원동</v>
      </c>
    </row>
    <row r="2896" spans="1:9" x14ac:dyDescent="0.4">
      <c r="A2896">
        <v>3210000</v>
      </c>
      <c r="B2896" t="s">
        <v>9160</v>
      </c>
      <c r="C2896" s="1">
        <v>37231</v>
      </c>
      <c r="D2896" t="s">
        <v>8969</v>
      </c>
      <c r="E2896" t="str">
        <f t="shared" si="144"/>
        <v>서울특별시</v>
      </c>
      <c r="F2896" t="str">
        <f t="shared" si="145"/>
        <v xml:space="preserve">서초구 </v>
      </c>
      <c r="G2896" t="str">
        <f t="shared" si="146"/>
        <v>잠원동</v>
      </c>
    </row>
    <row r="2897" spans="1:9" x14ac:dyDescent="0.4">
      <c r="A2897">
        <v>3210000</v>
      </c>
      <c r="B2897" t="s">
        <v>9241</v>
      </c>
      <c r="C2897" s="1">
        <v>32920</v>
      </c>
      <c r="D2897" t="s">
        <v>8969</v>
      </c>
      <c r="E2897" t="str">
        <f t="shared" si="144"/>
        <v>서울특별시</v>
      </c>
      <c r="F2897" t="str">
        <f t="shared" si="145"/>
        <v xml:space="preserve">서초구 </v>
      </c>
      <c r="G2897" t="str">
        <f t="shared" si="146"/>
        <v>잠원동</v>
      </c>
    </row>
    <row r="2898" spans="1:9" x14ac:dyDescent="0.4">
      <c r="A2898">
        <v>3210000</v>
      </c>
      <c r="B2898" t="s">
        <v>9071</v>
      </c>
      <c r="C2898" s="1">
        <v>37488</v>
      </c>
      <c r="D2898" t="s">
        <v>9072</v>
      </c>
      <c r="E2898" t="str">
        <f t="shared" si="144"/>
        <v>서울특별시</v>
      </c>
      <c r="F2898" t="str">
        <f t="shared" si="145"/>
        <v xml:space="preserve">서초구 </v>
      </c>
      <c r="G2898" t="str">
        <f t="shared" si="146"/>
        <v>잠원동</v>
      </c>
    </row>
    <row r="2899" spans="1:9" x14ac:dyDescent="0.4">
      <c r="A2899">
        <v>3210000</v>
      </c>
      <c r="B2899" t="s">
        <v>9178</v>
      </c>
      <c r="C2899" s="1">
        <v>36697</v>
      </c>
      <c r="D2899" t="s">
        <v>9179</v>
      </c>
      <c r="E2899" t="str">
        <f t="shared" si="144"/>
        <v>서울특별시</v>
      </c>
      <c r="F2899" t="str">
        <f t="shared" si="145"/>
        <v xml:space="preserve">서초구 </v>
      </c>
      <c r="G2899" t="str">
        <f t="shared" si="146"/>
        <v>잠원동</v>
      </c>
    </row>
    <row r="2900" spans="1:9" x14ac:dyDescent="0.4">
      <c r="A2900">
        <v>3210000</v>
      </c>
      <c r="B2900" t="s">
        <v>9001</v>
      </c>
      <c r="C2900" s="1">
        <v>36946</v>
      </c>
      <c r="D2900" t="s">
        <v>9002</v>
      </c>
      <c r="E2900" t="str">
        <f t="shared" si="144"/>
        <v>서울특별시</v>
      </c>
      <c r="F2900" t="str">
        <f t="shared" si="145"/>
        <v xml:space="preserve">서초구 </v>
      </c>
      <c r="G2900" t="str">
        <f t="shared" si="146"/>
        <v>잠원동</v>
      </c>
    </row>
    <row r="2901" spans="1:9" x14ac:dyDescent="0.4">
      <c r="A2901">
        <v>3210000</v>
      </c>
      <c r="B2901" t="s">
        <v>9174</v>
      </c>
      <c r="C2901" s="1">
        <v>36689</v>
      </c>
      <c r="D2901" t="s">
        <v>9175</v>
      </c>
      <c r="E2901" t="str">
        <f t="shared" si="144"/>
        <v>서울특별시</v>
      </c>
      <c r="F2901" t="str">
        <f t="shared" si="145"/>
        <v xml:space="preserve">서초구 </v>
      </c>
      <c r="G2901" t="str">
        <f t="shared" si="146"/>
        <v>잠원동</v>
      </c>
    </row>
    <row r="2902" spans="1:9" x14ac:dyDescent="0.4">
      <c r="A2902">
        <v>3210000</v>
      </c>
      <c r="B2902" t="s">
        <v>9161</v>
      </c>
      <c r="C2902" s="1">
        <v>37232</v>
      </c>
      <c r="D2902" t="s">
        <v>9162</v>
      </c>
      <c r="E2902" t="str">
        <f t="shared" si="144"/>
        <v>서울특별시</v>
      </c>
      <c r="F2902" t="str">
        <f t="shared" si="145"/>
        <v xml:space="preserve">서초구 </v>
      </c>
      <c r="G2902" t="str">
        <f t="shared" si="146"/>
        <v>잠원동</v>
      </c>
    </row>
    <row r="2903" spans="1:9" x14ac:dyDescent="0.4">
      <c r="A2903">
        <v>3210000</v>
      </c>
      <c r="B2903" t="s">
        <v>9123</v>
      </c>
      <c r="C2903" s="1">
        <v>29888</v>
      </c>
      <c r="D2903" t="s">
        <v>9124</v>
      </c>
      <c r="E2903" t="str">
        <f t="shared" si="144"/>
        <v>서울특별시</v>
      </c>
      <c r="F2903" t="str">
        <f t="shared" si="145"/>
        <v xml:space="preserve">서초구 </v>
      </c>
      <c r="G2903" t="str">
        <f t="shared" si="146"/>
        <v>잠원동</v>
      </c>
    </row>
    <row r="2904" spans="1:9" x14ac:dyDescent="0.4">
      <c r="A2904">
        <v>3030000</v>
      </c>
      <c r="B2904" t="s">
        <v>3142</v>
      </c>
      <c r="C2904" s="1">
        <v>36537</v>
      </c>
      <c r="D2904" t="s">
        <v>3143</v>
      </c>
      <c r="E2904" t="str">
        <f t="shared" si="144"/>
        <v>서울특별시</v>
      </c>
      <c r="F2904" t="str">
        <f t="shared" si="145"/>
        <v xml:space="preserve">성동구 </v>
      </c>
      <c r="G2904" t="str">
        <f t="shared" si="146"/>
        <v>도선동</v>
      </c>
      <c r="H2904" t="s">
        <v>3144</v>
      </c>
      <c r="I2904">
        <v>4709</v>
      </c>
    </row>
    <row r="2905" spans="1:9" x14ac:dyDescent="0.4">
      <c r="A2905">
        <v>3030000</v>
      </c>
      <c r="B2905" t="s">
        <v>3163</v>
      </c>
      <c r="C2905" s="1">
        <v>37971</v>
      </c>
      <c r="D2905" t="s">
        <v>3164</v>
      </c>
      <c r="E2905" t="str">
        <f t="shared" si="144"/>
        <v>서울특별시</v>
      </c>
      <c r="F2905" t="str">
        <f t="shared" si="145"/>
        <v xml:space="preserve">성동구 </v>
      </c>
      <c r="G2905" t="str">
        <f t="shared" si="146"/>
        <v>도선동</v>
      </c>
      <c r="H2905" t="s">
        <v>3165</v>
      </c>
      <c r="I2905">
        <v>4709</v>
      </c>
    </row>
    <row r="2906" spans="1:9" x14ac:dyDescent="0.4">
      <c r="A2906">
        <v>3030000</v>
      </c>
      <c r="B2906" t="s">
        <v>3121</v>
      </c>
      <c r="C2906" s="1">
        <v>37152</v>
      </c>
      <c r="D2906" t="s">
        <v>3122</v>
      </c>
      <c r="E2906" t="str">
        <f t="shared" si="144"/>
        <v>서울특별시</v>
      </c>
      <c r="F2906" t="str">
        <f t="shared" si="145"/>
        <v xml:space="preserve">성동구 </v>
      </c>
      <c r="G2906" t="str">
        <f t="shared" si="146"/>
        <v>도선동</v>
      </c>
    </row>
    <row r="2907" spans="1:9" x14ac:dyDescent="0.4">
      <c r="A2907">
        <v>3030000</v>
      </c>
      <c r="B2907" t="s">
        <v>3148</v>
      </c>
      <c r="C2907" s="1">
        <v>36999</v>
      </c>
      <c r="D2907" t="s">
        <v>3149</v>
      </c>
      <c r="E2907" t="str">
        <f t="shared" si="144"/>
        <v>서울특별시</v>
      </c>
      <c r="F2907" t="str">
        <f t="shared" si="145"/>
        <v xml:space="preserve">성동구 </v>
      </c>
      <c r="G2907" t="str">
        <f t="shared" si="146"/>
        <v>도선동</v>
      </c>
      <c r="H2907" t="s">
        <v>3150</v>
      </c>
      <c r="I2907">
        <v>4709</v>
      </c>
    </row>
    <row r="2908" spans="1:9" x14ac:dyDescent="0.4">
      <c r="A2908">
        <v>3030000</v>
      </c>
      <c r="B2908" t="s">
        <v>3160</v>
      </c>
      <c r="C2908" s="1">
        <v>37183</v>
      </c>
      <c r="D2908" t="s">
        <v>3161</v>
      </c>
      <c r="E2908" t="str">
        <f t="shared" si="144"/>
        <v>서울특별시</v>
      </c>
      <c r="F2908" t="str">
        <f t="shared" si="145"/>
        <v xml:space="preserve">성동구 </v>
      </c>
      <c r="G2908" t="str">
        <f t="shared" si="146"/>
        <v>도선동</v>
      </c>
      <c r="H2908" t="s">
        <v>3162</v>
      </c>
      <c r="I2908">
        <v>4709</v>
      </c>
    </row>
    <row r="2909" spans="1:9" x14ac:dyDescent="0.4">
      <c r="A2909">
        <v>3030000</v>
      </c>
      <c r="B2909" t="s">
        <v>3103</v>
      </c>
      <c r="C2909" s="1">
        <v>31174</v>
      </c>
      <c r="D2909" t="s">
        <v>3104</v>
      </c>
      <c r="E2909" t="str">
        <f t="shared" si="144"/>
        <v>서울특별시</v>
      </c>
      <c r="F2909" t="str">
        <f t="shared" si="145"/>
        <v xml:space="preserve">성동구 </v>
      </c>
      <c r="G2909" t="str">
        <f t="shared" si="146"/>
        <v>도선동</v>
      </c>
      <c r="H2909" t="s">
        <v>3105</v>
      </c>
      <c r="I2909">
        <v>4707</v>
      </c>
    </row>
    <row r="2910" spans="1:9" x14ac:dyDescent="0.4">
      <c r="A2910">
        <v>3030000</v>
      </c>
      <c r="B2910" t="s">
        <v>3157</v>
      </c>
      <c r="C2910" s="1">
        <v>37117</v>
      </c>
      <c r="D2910" t="s">
        <v>3158</v>
      </c>
      <c r="E2910" t="str">
        <f t="shared" si="144"/>
        <v>서울특별시</v>
      </c>
      <c r="F2910" t="str">
        <f t="shared" si="145"/>
        <v xml:space="preserve">성동구 </v>
      </c>
      <c r="G2910" t="str">
        <f t="shared" si="146"/>
        <v>도선동</v>
      </c>
      <c r="H2910" t="s">
        <v>3159</v>
      </c>
      <c r="I2910">
        <v>4709</v>
      </c>
    </row>
    <row r="2911" spans="1:9" x14ac:dyDescent="0.4">
      <c r="A2911">
        <v>3030000</v>
      </c>
      <c r="B2911" t="s">
        <v>3106</v>
      </c>
      <c r="C2911" s="1">
        <v>42716</v>
      </c>
      <c r="D2911" t="s">
        <v>3107</v>
      </c>
      <c r="E2911" t="str">
        <f t="shared" si="144"/>
        <v>서울특별시</v>
      </c>
      <c r="F2911" t="str">
        <f t="shared" si="145"/>
        <v xml:space="preserve">성동구 </v>
      </c>
      <c r="G2911" t="str">
        <f t="shared" si="146"/>
        <v>도선동</v>
      </c>
      <c r="H2911" t="s">
        <v>3108</v>
      </c>
      <c r="I2911">
        <v>4709</v>
      </c>
    </row>
    <row r="2912" spans="1:9" x14ac:dyDescent="0.4">
      <c r="A2912">
        <v>3030000</v>
      </c>
      <c r="B2912" t="s">
        <v>3131</v>
      </c>
      <c r="C2912" s="1">
        <v>41267</v>
      </c>
      <c r="D2912" t="s">
        <v>3132</v>
      </c>
      <c r="E2912" t="str">
        <f t="shared" si="144"/>
        <v>서울특별시</v>
      </c>
      <c r="F2912" t="str">
        <f t="shared" si="145"/>
        <v xml:space="preserve">성동구 </v>
      </c>
      <c r="G2912" t="str">
        <f t="shared" si="146"/>
        <v>도선동</v>
      </c>
      <c r="H2912" t="s">
        <v>3133</v>
      </c>
      <c r="I2912">
        <v>4709</v>
      </c>
    </row>
    <row r="2913" spans="1:9" x14ac:dyDescent="0.4">
      <c r="A2913">
        <v>3030000</v>
      </c>
      <c r="B2913" t="s">
        <v>3175</v>
      </c>
      <c r="C2913" s="1">
        <v>41631</v>
      </c>
      <c r="D2913" t="s">
        <v>3176</v>
      </c>
      <c r="E2913" t="str">
        <f t="shared" si="144"/>
        <v>서울특별시</v>
      </c>
      <c r="F2913" t="str">
        <f t="shared" si="145"/>
        <v xml:space="preserve">성동구 </v>
      </c>
      <c r="G2913" t="str">
        <f t="shared" si="146"/>
        <v>도선동</v>
      </c>
      <c r="H2913" t="s">
        <v>3177</v>
      </c>
      <c r="I2913">
        <v>4709</v>
      </c>
    </row>
    <row r="2914" spans="1:9" x14ac:dyDescent="0.4">
      <c r="A2914">
        <v>3030000</v>
      </c>
      <c r="B2914" t="s">
        <v>3128</v>
      </c>
      <c r="C2914" s="1">
        <v>40059</v>
      </c>
      <c r="D2914" t="s">
        <v>3129</v>
      </c>
      <c r="E2914" t="str">
        <f t="shared" si="144"/>
        <v>서울특별시</v>
      </c>
      <c r="F2914" t="str">
        <f t="shared" si="145"/>
        <v xml:space="preserve">성동구 </v>
      </c>
      <c r="G2914" t="str">
        <f t="shared" si="146"/>
        <v>도선동</v>
      </c>
      <c r="H2914" t="s">
        <v>3130</v>
      </c>
    </row>
    <row r="2915" spans="1:9" x14ac:dyDescent="0.4">
      <c r="A2915">
        <v>3030000</v>
      </c>
      <c r="B2915" t="s">
        <v>3169</v>
      </c>
      <c r="C2915" s="1">
        <v>40122</v>
      </c>
      <c r="D2915" t="s">
        <v>3170</v>
      </c>
      <c r="E2915" t="str">
        <f t="shared" si="144"/>
        <v>서울특별시</v>
      </c>
      <c r="F2915" t="str">
        <f t="shared" si="145"/>
        <v xml:space="preserve">성동구 </v>
      </c>
      <c r="G2915" t="str">
        <f t="shared" si="146"/>
        <v>도선동</v>
      </c>
      <c r="H2915" t="s">
        <v>3171</v>
      </c>
      <c r="I2915">
        <v>4709</v>
      </c>
    </row>
    <row r="2916" spans="1:9" x14ac:dyDescent="0.4">
      <c r="A2916">
        <v>3030000</v>
      </c>
      <c r="B2916" t="s">
        <v>3123</v>
      </c>
      <c r="C2916" s="1">
        <v>37194</v>
      </c>
      <c r="D2916" t="s">
        <v>3124</v>
      </c>
      <c r="E2916" t="str">
        <f t="shared" si="144"/>
        <v>서울특별시</v>
      </c>
      <c r="F2916" t="str">
        <f t="shared" si="145"/>
        <v xml:space="preserve">성동구 </v>
      </c>
      <c r="G2916" t="str">
        <f t="shared" si="146"/>
        <v>도선동</v>
      </c>
    </row>
    <row r="2917" spans="1:9" x14ac:dyDescent="0.4">
      <c r="A2917">
        <v>3030000</v>
      </c>
      <c r="B2917" t="s">
        <v>3111</v>
      </c>
      <c r="C2917" s="1">
        <v>33593</v>
      </c>
      <c r="D2917" t="s">
        <v>3112</v>
      </c>
      <c r="E2917" t="str">
        <f t="shared" si="144"/>
        <v>서울특별시</v>
      </c>
      <c r="F2917" t="str">
        <f t="shared" si="145"/>
        <v xml:space="preserve">성동구 </v>
      </c>
      <c r="G2917" t="str">
        <f t="shared" si="146"/>
        <v>도선동</v>
      </c>
    </row>
    <row r="2918" spans="1:9" x14ac:dyDescent="0.4">
      <c r="A2918">
        <v>3030000</v>
      </c>
      <c r="B2918" t="s">
        <v>3113</v>
      </c>
      <c r="C2918" s="1">
        <v>28562</v>
      </c>
      <c r="D2918" t="s">
        <v>3114</v>
      </c>
      <c r="E2918" t="str">
        <f t="shared" si="144"/>
        <v>서울특별시</v>
      </c>
      <c r="F2918" t="str">
        <f t="shared" si="145"/>
        <v xml:space="preserve">성동구 </v>
      </c>
      <c r="G2918" t="str">
        <f t="shared" si="146"/>
        <v>도선동</v>
      </c>
    </row>
    <row r="2919" spans="1:9" x14ac:dyDescent="0.4">
      <c r="A2919">
        <v>3030000</v>
      </c>
      <c r="B2919" t="s">
        <v>3166</v>
      </c>
      <c r="C2919" s="1">
        <v>38590</v>
      </c>
      <c r="D2919" t="s">
        <v>3167</v>
      </c>
      <c r="E2919" t="str">
        <f t="shared" si="144"/>
        <v>서울특별시</v>
      </c>
      <c r="F2919" t="str">
        <f t="shared" si="145"/>
        <v xml:space="preserve">성동구 </v>
      </c>
      <c r="G2919" t="str">
        <f t="shared" si="146"/>
        <v>도선동</v>
      </c>
      <c r="H2919" t="s">
        <v>3168</v>
      </c>
      <c r="I2919">
        <v>4709</v>
      </c>
    </row>
    <row r="2920" spans="1:9" x14ac:dyDescent="0.4">
      <c r="A2920">
        <v>3030000</v>
      </c>
      <c r="B2920" t="s">
        <v>3154</v>
      </c>
      <c r="C2920" s="1">
        <v>37053</v>
      </c>
      <c r="D2920" t="s">
        <v>3155</v>
      </c>
      <c r="E2920" t="str">
        <f t="shared" si="144"/>
        <v>서울특별시</v>
      </c>
      <c r="F2920" t="str">
        <f t="shared" si="145"/>
        <v xml:space="preserve">성동구 </v>
      </c>
      <c r="G2920" t="str">
        <f t="shared" si="146"/>
        <v>도선동</v>
      </c>
      <c r="H2920" t="s">
        <v>3156</v>
      </c>
      <c r="I2920">
        <v>4709</v>
      </c>
    </row>
    <row r="2921" spans="1:9" x14ac:dyDescent="0.4">
      <c r="A2921">
        <v>3030000</v>
      </c>
      <c r="B2921" t="s">
        <v>3178</v>
      </c>
      <c r="C2921" s="1">
        <v>41731</v>
      </c>
      <c r="D2921" t="s">
        <v>3179</v>
      </c>
      <c r="E2921" t="str">
        <f t="shared" si="144"/>
        <v>서울특별시</v>
      </c>
      <c r="F2921" t="str">
        <f t="shared" si="145"/>
        <v xml:space="preserve">성동구 </v>
      </c>
      <c r="G2921" t="str">
        <f t="shared" si="146"/>
        <v>도선동</v>
      </c>
      <c r="H2921" t="s">
        <v>3180</v>
      </c>
      <c r="I2921">
        <v>4709</v>
      </c>
    </row>
    <row r="2922" spans="1:9" x14ac:dyDescent="0.4">
      <c r="A2922">
        <v>3030000</v>
      </c>
      <c r="B2922" t="s">
        <v>3125</v>
      </c>
      <c r="C2922" s="1">
        <v>39455</v>
      </c>
      <c r="D2922" t="s">
        <v>3126</v>
      </c>
      <c r="E2922" t="str">
        <f t="shared" si="144"/>
        <v>서울특별시</v>
      </c>
      <c r="F2922" t="str">
        <f t="shared" si="145"/>
        <v xml:space="preserve">성동구 </v>
      </c>
      <c r="G2922" t="str">
        <f t="shared" si="146"/>
        <v>도선동</v>
      </c>
      <c r="H2922" t="s">
        <v>3127</v>
      </c>
      <c r="I2922">
        <v>4709</v>
      </c>
    </row>
    <row r="2923" spans="1:9" x14ac:dyDescent="0.4">
      <c r="A2923">
        <v>3030000</v>
      </c>
      <c r="B2923" t="s">
        <v>3194</v>
      </c>
      <c r="C2923" s="1">
        <v>40407</v>
      </c>
      <c r="D2923" t="s">
        <v>3195</v>
      </c>
      <c r="E2923" t="str">
        <f t="shared" si="144"/>
        <v>서울특별시</v>
      </c>
      <c r="F2923" t="str">
        <f t="shared" si="145"/>
        <v xml:space="preserve">성동구 </v>
      </c>
      <c r="G2923" t="str">
        <f t="shared" si="146"/>
        <v>도선동</v>
      </c>
      <c r="H2923" t="s">
        <v>3196</v>
      </c>
      <c r="I2923">
        <v>4709</v>
      </c>
    </row>
    <row r="2924" spans="1:9" x14ac:dyDescent="0.4">
      <c r="A2924">
        <v>3030000</v>
      </c>
      <c r="B2924" t="s">
        <v>3172</v>
      </c>
      <c r="C2924" s="1">
        <v>40585</v>
      </c>
      <c r="D2924" t="s">
        <v>3173</v>
      </c>
      <c r="E2924" t="str">
        <f t="shared" si="144"/>
        <v>서울특별시</v>
      </c>
      <c r="F2924" t="str">
        <f t="shared" si="145"/>
        <v xml:space="preserve">성동구 </v>
      </c>
      <c r="G2924" t="str">
        <f t="shared" si="146"/>
        <v>도선동</v>
      </c>
      <c r="H2924" t="s">
        <v>3174</v>
      </c>
      <c r="I2924">
        <v>4709</v>
      </c>
    </row>
    <row r="2925" spans="1:9" x14ac:dyDescent="0.4">
      <c r="A2925">
        <v>3030000</v>
      </c>
      <c r="B2925" t="s">
        <v>3118</v>
      </c>
      <c r="C2925" s="1">
        <v>29039</v>
      </c>
      <c r="D2925" t="s">
        <v>3119</v>
      </c>
      <c r="E2925" t="str">
        <f t="shared" si="144"/>
        <v>서울특별시</v>
      </c>
      <c r="F2925" t="str">
        <f t="shared" si="145"/>
        <v xml:space="preserve">성동구 </v>
      </c>
      <c r="G2925" t="str">
        <f t="shared" si="146"/>
        <v>마장동</v>
      </c>
      <c r="H2925" t="s">
        <v>3120</v>
      </c>
      <c r="I2925">
        <v>4704</v>
      </c>
    </row>
    <row r="2926" spans="1:9" x14ac:dyDescent="0.4">
      <c r="A2926">
        <v>3030000</v>
      </c>
      <c r="B2926" t="s">
        <v>3181</v>
      </c>
      <c r="C2926" s="1">
        <v>31491</v>
      </c>
      <c r="D2926" t="s">
        <v>3182</v>
      </c>
      <c r="E2926" t="str">
        <f t="shared" si="144"/>
        <v>서울특별시</v>
      </c>
      <c r="F2926" t="str">
        <f t="shared" si="145"/>
        <v xml:space="preserve">성동구 </v>
      </c>
      <c r="G2926" t="str">
        <f>MID(SUBSTITUTE(D2926," ",""),9,4)</f>
        <v>상왕십리</v>
      </c>
    </row>
    <row r="2927" spans="1:9" x14ac:dyDescent="0.4">
      <c r="A2927">
        <v>3030000</v>
      </c>
      <c r="B2927" t="s">
        <v>3109</v>
      </c>
      <c r="C2927" s="1">
        <v>33393</v>
      </c>
      <c r="D2927" t="s">
        <v>3110</v>
      </c>
      <c r="E2927" t="str">
        <f t="shared" si="144"/>
        <v>서울특별시</v>
      </c>
      <c r="F2927" t="str">
        <f t="shared" si="145"/>
        <v xml:space="preserve">성동구 </v>
      </c>
      <c r="G2927" t="str">
        <f>MID(SUBSTITUTE(D2927," ",""),9,4)</f>
        <v>상왕십리</v>
      </c>
    </row>
    <row r="2928" spans="1:9" x14ac:dyDescent="0.4">
      <c r="A2928">
        <v>3030000</v>
      </c>
      <c r="B2928" t="s">
        <v>3134</v>
      </c>
      <c r="C2928" s="1">
        <v>29062</v>
      </c>
      <c r="D2928" t="s">
        <v>3135</v>
      </c>
      <c r="E2928" t="str">
        <f t="shared" si="144"/>
        <v>서울특별시</v>
      </c>
      <c r="F2928" t="str">
        <f t="shared" si="145"/>
        <v xml:space="preserve">성동구 </v>
      </c>
      <c r="G2928" t="str">
        <f t="shared" si="146"/>
        <v>성수동</v>
      </c>
    </row>
    <row r="2929" spans="1:9" x14ac:dyDescent="0.4">
      <c r="A2929">
        <v>3030000</v>
      </c>
      <c r="B2929" t="s">
        <v>3115</v>
      </c>
      <c r="C2929" s="1">
        <v>28697</v>
      </c>
      <c r="D2929" t="s">
        <v>3116</v>
      </c>
      <c r="E2929" t="str">
        <f t="shared" si="144"/>
        <v>서울특별시</v>
      </c>
      <c r="F2929" t="str">
        <f t="shared" si="145"/>
        <v xml:space="preserve">성동구 </v>
      </c>
      <c r="G2929" t="str">
        <f t="shared" si="146"/>
        <v>성수동</v>
      </c>
      <c r="H2929" t="s">
        <v>3117</v>
      </c>
      <c r="I2929">
        <v>4799</v>
      </c>
    </row>
    <row r="2930" spans="1:9" x14ac:dyDescent="0.4">
      <c r="A2930">
        <v>3030000</v>
      </c>
      <c r="B2930" t="s">
        <v>3191</v>
      </c>
      <c r="C2930" s="1">
        <v>29322</v>
      </c>
      <c r="D2930" t="s">
        <v>3192</v>
      </c>
      <c r="E2930" t="str">
        <f t="shared" si="144"/>
        <v>서울특별시</v>
      </c>
      <c r="F2930" t="str">
        <f t="shared" si="145"/>
        <v xml:space="preserve">성동구 </v>
      </c>
      <c r="G2930" t="str">
        <f t="shared" si="146"/>
        <v>송정동</v>
      </c>
      <c r="H2930" t="s">
        <v>3193</v>
      </c>
      <c r="I2930">
        <v>4801</v>
      </c>
    </row>
    <row r="2931" spans="1:9" x14ac:dyDescent="0.4">
      <c r="A2931">
        <v>3030000</v>
      </c>
      <c r="B2931" t="s">
        <v>3197</v>
      </c>
      <c r="C2931" s="1">
        <v>29491</v>
      </c>
      <c r="D2931" t="s">
        <v>3198</v>
      </c>
      <c r="E2931" t="str">
        <f t="shared" si="144"/>
        <v>서울특별시</v>
      </c>
      <c r="F2931" t="str">
        <f t="shared" si="145"/>
        <v xml:space="preserve">성동구 </v>
      </c>
      <c r="G2931" t="str">
        <f t="shared" si="146"/>
        <v>송정동</v>
      </c>
      <c r="H2931" t="s">
        <v>3199</v>
      </c>
      <c r="I2931">
        <v>4801</v>
      </c>
    </row>
    <row r="2932" spans="1:9" x14ac:dyDescent="0.4">
      <c r="A2932">
        <v>3030000</v>
      </c>
      <c r="B2932" t="s">
        <v>3151</v>
      </c>
      <c r="C2932" s="1">
        <v>37035</v>
      </c>
      <c r="D2932" t="s">
        <v>3152</v>
      </c>
      <c r="E2932" t="str">
        <f t="shared" si="144"/>
        <v>서울특별시</v>
      </c>
      <c r="F2932" t="str">
        <f t="shared" si="145"/>
        <v xml:space="preserve">성동구 </v>
      </c>
      <c r="G2932" t="str">
        <f t="shared" si="146"/>
        <v>용답동</v>
      </c>
      <c r="H2932" t="s">
        <v>3153</v>
      </c>
      <c r="I2932">
        <v>4808</v>
      </c>
    </row>
    <row r="2933" spans="1:9" x14ac:dyDescent="0.4">
      <c r="A2933">
        <v>3030000</v>
      </c>
      <c r="B2933" t="s">
        <v>3145</v>
      </c>
      <c r="C2933" s="1">
        <v>36669</v>
      </c>
      <c r="D2933" t="s">
        <v>3146</v>
      </c>
      <c r="E2933" t="str">
        <f t="shared" si="144"/>
        <v>서울특별시</v>
      </c>
      <c r="F2933" t="str">
        <f t="shared" si="145"/>
        <v xml:space="preserve">성동구 </v>
      </c>
      <c r="G2933" t="str">
        <f t="shared" si="146"/>
        <v>용답동</v>
      </c>
      <c r="H2933" t="s">
        <v>3147</v>
      </c>
      <c r="I2933">
        <v>4808</v>
      </c>
    </row>
    <row r="2934" spans="1:9" x14ac:dyDescent="0.4">
      <c r="A2934">
        <v>3030000</v>
      </c>
      <c r="B2934" t="s">
        <v>243</v>
      </c>
      <c r="C2934" s="1">
        <v>28263</v>
      </c>
      <c r="D2934" t="s">
        <v>244</v>
      </c>
      <c r="E2934" t="str">
        <f t="shared" si="144"/>
        <v>서울특별시</v>
      </c>
      <c r="F2934" t="str">
        <f t="shared" si="145"/>
        <v xml:space="preserve">성동구 </v>
      </c>
      <c r="G2934" t="str">
        <f t="shared" si="146"/>
        <v>행당동</v>
      </c>
      <c r="H2934" t="s">
        <v>245</v>
      </c>
      <c r="I2934">
        <v>4751</v>
      </c>
    </row>
    <row r="2935" spans="1:9" x14ac:dyDescent="0.4">
      <c r="A2935">
        <v>3030000</v>
      </c>
      <c r="B2935" t="s">
        <v>3139</v>
      </c>
      <c r="C2935" s="1">
        <v>28249</v>
      </c>
      <c r="D2935" t="s">
        <v>3140</v>
      </c>
      <c r="E2935" t="str">
        <f t="shared" si="144"/>
        <v>서울특별시</v>
      </c>
      <c r="F2935" t="str">
        <f t="shared" si="145"/>
        <v xml:space="preserve">성동구 </v>
      </c>
      <c r="G2935" t="str">
        <f t="shared" si="146"/>
        <v>행당동</v>
      </c>
      <c r="H2935" t="s">
        <v>3141</v>
      </c>
      <c r="I2935">
        <v>4744</v>
      </c>
    </row>
    <row r="2936" spans="1:9" x14ac:dyDescent="0.4">
      <c r="A2936">
        <v>3030000</v>
      </c>
      <c r="B2936" t="s">
        <v>3136</v>
      </c>
      <c r="C2936" s="1">
        <v>29879</v>
      </c>
      <c r="D2936" t="s">
        <v>3137</v>
      </c>
      <c r="E2936" t="str">
        <f t="shared" si="144"/>
        <v>서울특별시</v>
      </c>
      <c r="F2936" t="str">
        <f t="shared" si="145"/>
        <v xml:space="preserve">성동구 </v>
      </c>
      <c r="G2936" t="str">
        <f t="shared" si="146"/>
        <v>홍익동</v>
      </c>
      <c r="H2936" t="s">
        <v>3138</v>
      </c>
      <c r="I2936">
        <v>4708</v>
      </c>
    </row>
    <row r="2937" spans="1:9" x14ac:dyDescent="0.4">
      <c r="A2937">
        <v>3070000</v>
      </c>
      <c r="B2937" t="s">
        <v>3898</v>
      </c>
      <c r="C2937" s="1">
        <v>36983</v>
      </c>
      <c r="D2937" t="s">
        <v>3899</v>
      </c>
      <c r="E2937" t="str">
        <f t="shared" si="144"/>
        <v>서울특별시</v>
      </c>
      <c r="F2937" t="str">
        <f t="shared" si="145"/>
        <v xml:space="preserve">성북구 </v>
      </c>
      <c r="G2937" t="str">
        <f t="shared" si="146"/>
        <v>길음동</v>
      </c>
    </row>
    <row r="2938" spans="1:9" x14ac:dyDescent="0.4">
      <c r="A2938">
        <v>3070000</v>
      </c>
      <c r="B2938" t="s">
        <v>3882</v>
      </c>
      <c r="C2938" s="1">
        <v>27449</v>
      </c>
      <c r="D2938" t="s">
        <v>3883</v>
      </c>
      <c r="E2938" t="str">
        <f t="shared" si="144"/>
        <v>서울특별시</v>
      </c>
      <c r="F2938" t="str">
        <f t="shared" si="145"/>
        <v xml:space="preserve">성북구 </v>
      </c>
      <c r="G2938" t="str">
        <f t="shared" si="146"/>
        <v>길음동</v>
      </c>
    </row>
    <row r="2939" spans="1:9" x14ac:dyDescent="0.4">
      <c r="A2939">
        <v>3070000</v>
      </c>
      <c r="B2939" t="s">
        <v>3933</v>
      </c>
      <c r="C2939" s="1">
        <v>26968</v>
      </c>
      <c r="D2939" t="s">
        <v>3934</v>
      </c>
      <c r="E2939" t="str">
        <f t="shared" si="144"/>
        <v>서울특별시</v>
      </c>
      <c r="F2939" t="str">
        <f t="shared" si="145"/>
        <v xml:space="preserve">성북구 </v>
      </c>
      <c r="G2939" t="str">
        <f t="shared" si="146"/>
        <v>길음동</v>
      </c>
      <c r="H2939" t="s">
        <v>3935</v>
      </c>
      <c r="I2939">
        <v>2721</v>
      </c>
    </row>
    <row r="2940" spans="1:9" x14ac:dyDescent="0.4">
      <c r="A2940">
        <v>3070000</v>
      </c>
      <c r="B2940" t="s">
        <v>3891</v>
      </c>
      <c r="C2940" s="1">
        <v>36699</v>
      </c>
      <c r="D2940" t="s">
        <v>3892</v>
      </c>
      <c r="E2940" t="str">
        <f t="shared" si="144"/>
        <v>서울특별시</v>
      </c>
      <c r="F2940" t="str">
        <f t="shared" si="145"/>
        <v xml:space="preserve">성북구 </v>
      </c>
      <c r="G2940" t="str">
        <f t="shared" si="146"/>
        <v>동선동</v>
      </c>
    </row>
    <row r="2941" spans="1:9" x14ac:dyDescent="0.4">
      <c r="A2941">
        <v>3070000</v>
      </c>
      <c r="B2941" t="s">
        <v>3927</v>
      </c>
      <c r="C2941" s="1">
        <v>38489</v>
      </c>
      <c r="D2941" t="s">
        <v>3928</v>
      </c>
      <c r="E2941" t="str">
        <f t="shared" si="144"/>
        <v>서울특별시</v>
      </c>
      <c r="F2941" t="str">
        <f t="shared" si="145"/>
        <v xml:space="preserve">성북구 </v>
      </c>
      <c r="G2941" t="str">
        <f t="shared" si="146"/>
        <v>동선동</v>
      </c>
      <c r="H2941" t="s">
        <v>3929</v>
      </c>
      <c r="I2941">
        <v>2845</v>
      </c>
    </row>
    <row r="2942" spans="1:9" x14ac:dyDescent="0.4">
      <c r="A2942">
        <v>3070000</v>
      </c>
      <c r="B2942" t="s">
        <v>3921</v>
      </c>
      <c r="C2942" s="1">
        <v>38159</v>
      </c>
      <c r="D2942" t="s">
        <v>3922</v>
      </c>
      <c r="E2942" t="str">
        <f t="shared" si="144"/>
        <v>서울특별시</v>
      </c>
      <c r="F2942" t="str">
        <f t="shared" si="145"/>
        <v xml:space="preserve">성북구 </v>
      </c>
      <c r="G2942" t="str">
        <f t="shared" si="146"/>
        <v>동선동</v>
      </c>
      <c r="H2942" t="s">
        <v>3923</v>
      </c>
      <c r="I2942">
        <v>2829</v>
      </c>
    </row>
    <row r="2943" spans="1:9" x14ac:dyDescent="0.4">
      <c r="A2943">
        <v>3070000</v>
      </c>
      <c r="B2943" t="s">
        <v>3924</v>
      </c>
      <c r="C2943" s="1">
        <v>38460</v>
      </c>
      <c r="D2943" t="s">
        <v>3925</v>
      </c>
      <c r="E2943" t="str">
        <f t="shared" si="144"/>
        <v>서울특별시</v>
      </c>
      <c r="F2943" t="str">
        <f t="shared" si="145"/>
        <v xml:space="preserve">성북구 </v>
      </c>
      <c r="G2943" t="str">
        <f t="shared" si="146"/>
        <v>동소문</v>
      </c>
      <c r="H2943" t="s">
        <v>3926</v>
      </c>
      <c r="I2943">
        <v>2846</v>
      </c>
    </row>
    <row r="2944" spans="1:9" x14ac:dyDescent="0.4">
      <c r="A2944">
        <v>3070000</v>
      </c>
      <c r="B2944" t="s">
        <v>3893</v>
      </c>
      <c r="C2944" s="1">
        <v>36703</v>
      </c>
      <c r="D2944" t="s">
        <v>3894</v>
      </c>
      <c r="E2944" t="str">
        <f t="shared" si="144"/>
        <v>서울특별시</v>
      </c>
      <c r="F2944" t="str">
        <f t="shared" si="145"/>
        <v xml:space="preserve">성북구 </v>
      </c>
      <c r="G2944" t="str">
        <f t="shared" si="146"/>
        <v>동소문</v>
      </c>
      <c r="H2944" t="s">
        <v>3895</v>
      </c>
      <c r="I2944">
        <v>2830</v>
      </c>
    </row>
    <row r="2945" spans="1:9" x14ac:dyDescent="0.4">
      <c r="A2945">
        <v>3070000</v>
      </c>
      <c r="B2945" t="s">
        <v>3918</v>
      </c>
      <c r="C2945" s="1">
        <v>37069</v>
      </c>
      <c r="D2945" t="s">
        <v>3919</v>
      </c>
      <c r="E2945" t="str">
        <f t="shared" si="144"/>
        <v>서울특별시</v>
      </c>
      <c r="F2945" t="str">
        <f t="shared" si="145"/>
        <v xml:space="preserve">성북구 </v>
      </c>
      <c r="G2945" t="str">
        <f t="shared" si="146"/>
        <v>동소문</v>
      </c>
      <c r="H2945" t="s">
        <v>3920</v>
      </c>
      <c r="I2945">
        <v>2830</v>
      </c>
    </row>
    <row r="2946" spans="1:9" x14ac:dyDescent="0.4">
      <c r="A2946">
        <v>3070000</v>
      </c>
      <c r="B2946" t="s">
        <v>3930</v>
      </c>
      <c r="C2946" s="1">
        <v>40717</v>
      </c>
      <c r="D2946" t="s">
        <v>3931</v>
      </c>
      <c r="E2946" t="str">
        <f t="shared" si="144"/>
        <v>서울특별시</v>
      </c>
      <c r="F2946" t="str">
        <f t="shared" si="145"/>
        <v xml:space="preserve">성북구 </v>
      </c>
      <c r="G2946" t="str">
        <f t="shared" si="146"/>
        <v>보문동</v>
      </c>
      <c r="H2946" t="s">
        <v>3932</v>
      </c>
      <c r="I2946">
        <v>2852</v>
      </c>
    </row>
    <row r="2947" spans="1:9" x14ac:dyDescent="0.4">
      <c r="A2947">
        <v>3070000</v>
      </c>
      <c r="B2947" t="s">
        <v>3884</v>
      </c>
      <c r="C2947" s="1">
        <v>27088</v>
      </c>
      <c r="D2947" t="s">
        <v>3885</v>
      </c>
      <c r="E2947" t="str">
        <f t="shared" ref="E2947:E3010" si="147">LEFT(D2947,5)</f>
        <v>서울특별시</v>
      </c>
      <c r="F2947" t="str">
        <f t="shared" ref="F2947:F3010" si="148">MID(D2947,7,4)</f>
        <v xml:space="preserve">성북구 </v>
      </c>
      <c r="G2947" t="str">
        <f t="shared" ref="G2947:G3010" si="149">MID(SUBSTITUTE(D2947," ",""),9,3)</f>
        <v>보문동</v>
      </c>
      <c r="H2947" t="s">
        <v>3886</v>
      </c>
      <c r="I2947">
        <v>2852</v>
      </c>
    </row>
    <row r="2948" spans="1:9" x14ac:dyDescent="0.4">
      <c r="A2948">
        <v>3070000</v>
      </c>
      <c r="B2948" t="s">
        <v>3889</v>
      </c>
      <c r="C2948" s="1">
        <v>36693</v>
      </c>
      <c r="D2948" t="s">
        <v>3890</v>
      </c>
      <c r="E2948" t="str">
        <f t="shared" si="147"/>
        <v>서울특별시</v>
      </c>
      <c r="F2948" t="str">
        <f t="shared" si="148"/>
        <v xml:space="preserve">성북구 </v>
      </c>
      <c r="G2948" t="str">
        <f t="shared" si="149"/>
        <v>석관동</v>
      </c>
    </row>
    <row r="2949" spans="1:9" x14ac:dyDescent="0.4">
      <c r="A2949">
        <v>3070000</v>
      </c>
      <c r="B2949" t="s">
        <v>3900</v>
      </c>
      <c r="C2949" s="1">
        <v>37496</v>
      </c>
      <c r="D2949" t="s">
        <v>3890</v>
      </c>
      <c r="E2949" t="str">
        <f t="shared" si="147"/>
        <v>서울특별시</v>
      </c>
      <c r="F2949" t="str">
        <f t="shared" si="148"/>
        <v xml:space="preserve">성북구 </v>
      </c>
      <c r="G2949" t="str">
        <f t="shared" si="149"/>
        <v>석관동</v>
      </c>
    </row>
    <row r="2950" spans="1:9" x14ac:dyDescent="0.4">
      <c r="A2950">
        <v>3070000</v>
      </c>
      <c r="B2950" t="s">
        <v>3913</v>
      </c>
      <c r="C2950" s="1">
        <v>24883</v>
      </c>
      <c r="D2950" t="s">
        <v>3914</v>
      </c>
      <c r="E2950" t="str">
        <f t="shared" si="147"/>
        <v>서울특별시</v>
      </c>
      <c r="F2950" t="str">
        <f t="shared" si="148"/>
        <v xml:space="preserve">성북구 </v>
      </c>
      <c r="G2950" t="str">
        <f t="shared" si="149"/>
        <v>성북동</v>
      </c>
    </row>
    <row r="2951" spans="1:9" x14ac:dyDescent="0.4">
      <c r="A2951">
        <v>3070000</v>
      </c>
      <c r="B2951" t="s">
        <v>3909</v>
      </c>
      <c r="C2951" s="1">
        <v>26642</v>
      </c>
      <c r="D2951" t="s">
        <v>3910</v>
      </c>
      <c r="E2951" t="str">
        <f t="shared" si="147"/>
        <v>서울특별시</v>
      </c>
      <c r="F2951" t="str">
        <f t="shared" si="148"/>
        <v xml:space="preserve">성북구 </v>
      </c>
      <c r="G2951" t="str">
        <f t="shared" si="149"/>
        <v>성북동</v>
      </c>
    </row>
    <row r="2952" spans="1:9" x14ac:dyDescent="0.4">
      <c r="A2952">
        <v>3070000</v>
      </c>
      <c r="B2952" t="s">
        <v>3911</v>
      </c>
      <c r="C2952" s="1">
        <v>26908</v>
      </c>
      <c r="D2952" t="s">
        <v>3912</v>
      </c>
      <c r="E2952" t="str">
        <f t="shared" si="147"/>
        <v>서울특별시</v>
      </c>
      <c r="F2952" t="str">
        <f t="shared" si="148"/>
        <v xml:space="preserve">성북구 </v>
      </c>
      <c r="G2952" t="str">
        <f t="shared" si="149"/>
        <v>안암동</v>
      </c>
    </row>
    <row r="2953" spans="1:9" x14ac:dyDescent="0.4">
      <c r="A2953">
        <v>3070000</v>
      </c>
      <c r="B2953" t="s">
        <v>3896</v>
      </c>
      <c r="C2953" s="1">
        <v>36731</v>
      </c>
      <c r="D2953" t="s">
        <v>3897</v>
      </c>
      <c r="E2953" t="str">
        <f t="shared" si="147"/>
        <v>서울특별시</v>
      </c>
      <c r="F2953" t="str">
        <f t="shared" si="148"/>
        <v xml:space="preserve">성북구 </v>
      </c>
      <c r="G2953" t="str">
        <f t="shared" si="149"/>
        <v>장위동</v>
      </c>
    </row>
    <row r="2954" spans="1:9" x14ac:dyDescent="0.4">
      <c r="A2954">
        <v>3070000</v>
      </c>
      <c r="B2954" t="s">
        <v>3901</v>
      </c>
      <c r="C2954" s="1">
        <v>37861</v>
      </c>
      <c r="D2954" t="s">
        <v>3902</v>
      </c>
      <c r="E2954" t="str">
        <f t="shared" si="147"/>
        <v>서울특별시</v>
      </c>
      <c r="F2954" t="str">
        <f t="shared" si="148"/>
        <v xml:space="preserve">성북구 </v>
      </c>
      <c r="G2954" t="str">
        <f t="shared" si="149"/>
        <v>장위동</v>
      </c>
    </row>
    <row r="2955" spans="1:9" x14ac:dyDescent="0.4">
      <c r="A2955">
        <v>3070000</v>
      </c>
      <c r="B2955" t="s">
        <v>3907</v>
      </c>
      <c r="C2955" s="1">
        <v>26239</v>
      </c>
      <c r="D2955" t="s">
        <v>3908</v>
      </c>
      <c r="E2955" t="str">
        <f t="shared" si="147"/>
        <v>서울특별시</v>
      </c>
      <c r="F2955" t="str">
        <f t="shared" si="148"/>
        <v xml:space="preserve">성북구 </v>
      </c>
      <c r="G2955" t="str">
        <f t="shared" si="149"/>
        <v>종암동</v>
      </c>
    </row>
    <row r="2956" spans="1:9" x14ac:dyDescent="0.4">
      <c r="A2956">
        <v>3070000</v>
      </c>
      <c r="B2956" t="s">
        <v>3915</v>
      </c>
      <c r="C2956" s="1">
        <v>27120</v>
      </c>
      <c r="D2956" t="s">
        <v>3916</v>
      </c>
      <c r="E2956" t="str">
        <f t="shared" si="147"/>
        <v>서울특별시</v>
      </c>
      <c r="F2956" t="str">
        <f t="shared" si="148"/>
        <v xml:space="preserve">성북구 </v>
      </c>
      <c r="G2956" t="str">
        <f t="shared" si="149"/>
        <v>종암동</v>
      </c>
      <c r="H2956" t="s">
        <v>3917</v>
      </c>
      <c r="I2956">
        <v>2797</v>
      </c>
    </row>
    <row r="2957" spans="1:9" x14ac:dyDescent="0.4">
      <c r="A2957">
        <v>3070000</v>
      </c>
      <c r="B2957" t="s">
        <v>3936</v>
      </c>
      <c r="C2957" s="1">
        <v>32973</v>
      </c>
      <c r="D2957" t="s">
        <v>3937</v>
      </c>
      <c r="E2957" t="str">
        <f t="shared" si="147"/>
        <v>서울특별시</v>
      </c>
      <c r="F2957" t="str">
        <f t="shared" si="148"/>
        <v xml:space="preserve">성북구 </v>
      </c>
      <c r="G2957" t="str">
        <f t="shared" si="149"/>
        <v>종암동</v>
      </c>
    </row>
    <row r="2958" spans="1:9" x14ac:dyDescent="0.4">
      <c r="A2958">
        <v>3070000</v>
      </c>
      <c r="B2958" t="s">
        <v>3905</v>
      </c>
      <c r="C2958" s="1">
        <v>25729</v>
      </c>
      <c r="D2958" t="s">
        <v>3906</v>
      </c>
      <c r="E2958" t="str">
        <f t="shared" si="147"/>
        <v>서울특별시</v>
      </c>
      <c r="F2958" t="str">
        <f t="shared" si="148"/>
        <v xml:space="preserve">성북구 </v>
      </c>
      <c r="G2958" t="str">
        <f t="shared" si="149"/>
        <v>종암동</v>
      </c>
    </row>
    <row r="2959" spans="1:9" x14ac:dyDescent="0.4">
      <c r="A2959">
        <v>3070000</v>
      </c>
      <c r="B2959" t="s">
        <v>3887</v>
      </c>
      <c r="C2959" s="1">
        <v>36655</v>
      </c>
      <c r="D2959" t="s">
        <v>3888</v>
      </c>
      <c r="E2959" t="str">
        <f t="shared" si="147"/>
        <v>서울특별시</v>
      </c>
      <c r="F2959" t="str">
        <f t="shared" si="148"/>
        <v xml:space="preserve">성북구 </v>
      </c>
      <c r="G2959" t="str">
        <f>MID(SUBSTITUTE(D2959," ",""),9,4)</f>
        <v>하월곡동</v>
      </c>
    </row>
    <row r="2960" spans="1:9" x14ac:dyDescent="0.4">
      <c r="A2960">
        <v>3070000</v>
      </c>
      <c r="B2960" t="s">
        <v>3903</v>
      </c>
      <c r="C2960" s="1">
        <v>25462</v>
      </c>
      <c r="D2960" t="s">
        <v>3904</v>
      </c>
      <c r="E2960" t="str">
        <f t="shared" si="147"/>
        <v>서울특별시</v>
      </c>
      <c r="F2960" t="str">
        <f t="shared" si="148"/>
        <v xml:space="preserve">성북구 </v>
      </c>
      <c r="G2960" t="str">
        <f>MID(SUBSTITUTE(D2960," ",""),9,4)</f>
        <v>하월곡동</v>
      </c>
    </row>
    <row r="2961" spans="1:9" x14ac:dyDescent="0.4">
      <c r="A2961">
        <v>3230000</v>
      </c>
      <c r="B2961" t="s">
        <v>207</v>
      </c>
      <c r="C2961" s="1">
        <v>42611</v>
      </c>
      <c r="D2961" t="s">
        <v>208</v>
      </c>
      <c r="E2961" t="str">
        <f t="shared" si="147"/>
        <v>서울특별시</v>
      </c>
      <c r="F2961" t="str">
        <f t="shared" si="148"/>
        <v xml:space="preserve">송파구 </v>
      </c>
      <c r="G2961" t="str">
        <f t="shared" si="149"/>
        <v>가락동</v>
      </c>
      <c r="H2961" t="s">
        <v>209</v>
      </c>
      <c r="I2961">
        <v>5718</v>
      </c>
    </row>
    <row r="2962" spans="1:9" x14ac:dyDescent="0.4">
      <c r="A2962">
        <v>3230000</v>
      </c>
      <c r="B2962" t="s">
        <v>11250</v>
      </c>
      <c r="C2962" s="1">
        <v>42830</v>
      </c>
      <c r="D2962" t="s">
        <v>11251</v>
      </c>
      <c r="E2962" t="str">
        <f t="shared" si="147"/>
        <v>서울특별시</v>
      </c>
      <c r="F2962" t="str">
        <f t="shared" si="148"/>
        <v xml:space="preserve">송파구 </v>
      </c>
      <c r="G2962" t="str">
        <f t="shared" si="149"/>
        <v>가락동</v>
      </c>
      <c r="H2962" t="s">
        <v>11252</v>
      </c>
      <c r="I2962">
        <v>5718</v>
      </c>
    </row>
    <row r="2963" spans="1:9" x14ac:dyDescent="0.4">
      <c r="A2963">
        <v>3230000</v>
      </c>
      <c r="B2963" t="s">
        <v>11253</v>
      </c>
      <c r="C2963" s="1">
        <v>42853</v>
      </c>
      <c r="D2963" t="s">
        <v>11251</v>
      </c>
      <c r="E2963" t="str">
        <f t="shared" si="147"/>
        <v>서울특별시</v>
      </c>
      <c r="F2963" t="str">
        <f t="shared" si="148"/>
        <v xml:space="preserve">송파구 </v>
      </c>
      <c r="G2963" t="str">
        <f t="shared" si="149"/>
        <v>가락동</v>
      </c>
      <c r="H2963" t="s">
        <v>11254</v>
      </c>
      <c r="I2963">
        <v>5718</v>
      </c>
    </row>
    <row r="2964" spans="1:9" x14ac:dyDescent="0.4">
      <c r="A2964">
        <v>3230000</v>
      </c>
      <c r="B2964" t="s">
        <v>255</v>
      </c>
      <c r="C2964" s="1">
        <v>41984</v>
      </c>
      <c r="D2964" t="s">
        <v>256</v>
      </c>
      <c r="E2964" t="str">
        <f t="shared" si="147"/>
        <v>서울특별시</v>
      </c>
      <c r="F2964" t="str">
        <f t="shared" si="148"/>
        <v xml:space="preserve">송파구 </v>
      </c>
      <c r="G2964" t="str">
        <f t="shared" si="149"/>
        <v>가락동</v>
      </c>
      <c r="H2964" t="s">
        <v>257</v>
      </c>
      <c r="I2964">
        <v>5718</v>
      </c>
    </row>
    <row r="2965" spans="1:9" x14ac:dyDescent="0.4">
      <c r="A2965">
        <v>3230000</v>
      </c>
      <c r="B2965" t="s">
        <v>11079</v>
      </c>
      <c r="C2965" s="1">
        <v>41991</v>
      </c>
      <c r="D2965" t="s">
        <v>11080</v>
      </c>
      <c r="E2965" t="str">
        <f t="shared" si="147"/>
        <v>서울특별시</v>
      </c>
      <c r="F2965" t="str">
        <f t="shared" si="148"/>
        <v xml:space="preserve">송파구 </v>
      </c>
      <c r="G2965" t="str">
        <f t="shared" si="149"/>
        <v>가락동</v>
      </c>
      <c r="H2965" t="s">
        <v>11081</v>
      </c>
      <c r="I2965">
        <v>5718</v>
      </c>
    </row>
    <row r="2966" spans="1:9" x14ac:dyDescent="0.4">
      <c r="A2966">
        <v>3230000</v>
      </c>
      <c r="B2966" t="s">
        <v>9</v>
      </c>
      <c r="C2966" s="1">
        <v>42094</v>
      </c>
      <c r="D2966" t="s">
        <v>10</v>
      </c>
      <c r="E2966" t="str">
        <f t="shared" si="147"/>
        <v>서울특별시</v>
      </c>
      <c r="F2966" t="str">
        <f t="shared" si="148"/>
        <v xml:space="preserve">송파구 </v>
      </c>
      <c r="G2966" t="str">
        <f t="shared" si="149"/>
        <v>가락동</v>
      </c>
      <c r="H2966" t="s">
        <v>11</v>
      </c>
      <c r="I2966">
        <v>5718</v>
      </c>
    </row>
    <row r="2967" spans="1:9" x14ac:dyDescent="0.4">
      <c r="A2967">
        <v>3230000</v>
      </c>
      <c r="B2967" t="s">
        <v>11263</v>
      </c>
      <c r="C2967" s="1">
        <v>42271</v>
      </c>
      <c r="D2967" t="s">
        <v>10</v>
      </c>
      <c r="E2967" t="str">
        <f t="shared" si="147"/>
        <v>서울특별시</v>
      </c>
      <c r="F2967" t="str">
        <f t="shared" si="148"/>
        <v xml:space="preserve">송파구 </v>
      </c>
      <c r="G2967" t="str">
        <f t="shared" si="149"/>
        <v>가락동</v>
      </c>
      <c r="H2967" t="s">
        <v>11264</v>
      </c>
      <c r="I2967">
        <v>5718</v>
      </c>
    </row>
    <row r="2968" spans="1:9" x14ac:dyDescent="0.4">
      <c r="A2968">
        <v>3230000</v>
      </c>
      <c r="B2968" t="s">
        <v>11268</v>
      </c>
      <c r="C2968" s="1">
        <v>43280</v>
      </c>
      <c r="D2968" t="s">
        <v>10</v>
      </c>
      <c r="E2968" t="str">
        <f t="shared" si="147"/>
        <v>서울특별시</v>
      </c>
      <c r="F2968" t="str">
        <f t="shared" si="148"/>
        <v xml:space="preserve">송파구 </v>
      </c>
      <c r="G2968" t="str">
        <f t="shared" si="149"/>
        <v>가락동</v>
      </c>
      <c r="H2968" t="s">
        <v>11269</v>
      </c>
      <c r="I2968">
        <v>5718</v>
      </c>
    </row>
    <row r="2969" spans="1:9" x14ac:dyDescent="0.4">
      <c r="A2969">
        <v>3230000</v>
      </c>
      <c r="B2969" t="s">
        <v>11091</v>
      </c>
      <c r="C2969" s="1">
        <v>42160</v>
      </c>
      <c r="D2969" t="s">
        <v>11092</v>
      </c>
      <c r="E2969" t="str">
        <f t="shared" si="147"/>
        <v>서울특별시</v>
      </c>
      <c r="F2969" t="str">
        <f t="shared" si="148"/>
        <v xml:space="preserve">송파구 </v>
      </c>
      <c r="G2969" t="str">
        <f t="shared" si="149"/>
        <v>가락동</v>
      </c>
      <c r="H2969" t="s">
        <v>11093</v>
      </c>
      <c r="I2969">
        <v>5718</v>
      </c>
    </row>
    <row r="2970" spans="1:9" x14ac:dyDescent="0.4">
      <c r="A2970">
        <v>3230000</v>
      </c>
      <c r="B2970" t="s">
        <v>11231</v>
      </c>
      <c r="C2970" s="1">
        <v>42215</v>
      </c>
      <c r="D2970" t="s">
        <v>11092</v>
      </c>
      <c r="E2970" t="str">
        <f t="shared" si="147"/>
        <v>서울특별시</v>
      </c>
      <c r="F2970" t="str">
        <f t="shared" si="148"/>
        <v xml:space="preserve">송파구 </v>
      </c>
      <c r="G2970" t="str">
        <f t="shared" si="149"/>
        <v>가락동</v>
      </c>
      <c r="H2970" t="s">
        <v>11232</v>
      </c>
      <c r="I2970">
        <v>5718</v>
      </c>
    </row>
    <row r="2971" spans="1:9" x14ac:dyDescent="0.4">
      <c r="A2971">
        <v>3230000</v>
      </c>
      <c r="B2971" t="s">
        <v>11174</v>
      </c>
      <c r="C2971" s="1">
        <v>44377</v>
      </c>
      <c r="D2971" t="s">
        <v>11175</v>
      </c>
      <c r="E2971" t="str">
        <f t="shared" si="147"/>
        <v>서울특별시</v>
      </c>
      <c r="F2971" t="str">
        <f t="shared" si="148"/>
        <v xml:space="preserve">송파구 </v>
      </c>
      <c r="G2971" t="str">
        <f t="shared" si="149"/>
        <v>가락동</v>
      </c>
      <c r="H2971" t="s">
        <v>11176</v>
      </c>
      <c r="I2971">
        <v>5718</v>
      </c>
    </row>
    <row r="2972" spans="1:9" x14ac:dyDescent="0.4">
      <c r="A2972">
        <v>3230000</v>
      </c>
      <c r="B2972" t="s">
        <v>11431</v>
      </c>
      <c r="C2972" s="1">
        <v>37126</v>
      </c>
      <c r="D2972" t="s">
        <v>11432</v>
      </c>
      <c r="E2972" t="str">
        <f t="shared" si="147"/>
        <v>서울특별시</v>
      </c>
      <c r="F2972" t="str">
        <f t="shared" si="148"/>
        <v xml:space="preserve">송파구 </v>
      </c>
      <c r="G2972" t="str">
        <f t="shared" si="149"/>
        <v>가락동</v>
      </c>
      <c r="H2972" t="s">
        <v>11433</v>
      </c>
      <c r="I2972">
        <v>5718</v>
      </c>
    </row>
    <row r="2973" spans="1:9" x14ac:dyDescent="0.4">
      <c r="A2973">
        <v>3230000</v>
      </c>
      <c r="B2973" t="s">
        <v>11405</v>
      </c>
      <c r="C2973" s="1">
        <v>42094</v>
      </c>
      <c r="D2973" t="s">
        <v>11406</v>
      </c>
      <c r="E2973" t="str">
        <f t="shared" si="147"/>
        <v>서울특별시</v>
      </c>
      <c r="F2973" t="str">
        <f t="shared" si="148"/>
        <v xml:space="preserve">송파구 </v>
      </c>
      <c r="G2973" t="str">
        <f t="shared" si="149"/>
        <v>가락동</v>
      </c>
      <c r="H2973" t="s">
        <v>11407</v>
      </c>
      <c r="I2973">
        <v>5718</v>
      </c>
    </row>
    <row r="2974" spans="1:9" x14ac:dyDescent="0.4">
      <c r="A2974">
        <v>3230000</v>
      </c>
      <c r="B2974" t="s">
        <v>11063</v>
      </c>
      <c r="C2974" s="1">
        <v>41551</v>
      </c>
      <c r="D2974" t="s">
        <v>11064</v>
      </c>
      <c r="E2974" t="str">
        <f t="shared" si="147"/>
        <v>서울특별시</v>
      </c>
      <c r="F2974" t="str">
        <f t="shared" si="148"/>
        <v xml:space="preserve">송파구 </v>
      </c>
      <c r="G2974" t="str">
        <f t="shared" si="149"/>
        <v>가락동</v>
      </c>
      <c r="H2974" t="s">
        <v>11065</v>
      </c>
      <c r="I2974">
        <v>5718</v>
      </c>
    </row>
    <row r="2975" spans="1:9" x14ac:dyDescent="0.4">
      <c r="A2975">
        <v>3230000</v>
      </c>
      <c r="B2975" t="s">
        <v>11547</v>
      </c>
      <c r="C2975" s="1">
        <v>37007</v>
      </c>
      <c r="D2975" t="s">
        <v>11548</v>
      </c>
      <c r="E2975" t="str">
        <f t="shared" si="147"/>
        <v>서울특별시</v>
      </c>
      <c r="F2975" t="str">
        <f t="shared" si="148"/>
        <v xml:space="preserve">송파구 </v>
      </c>
      <c r="G2975" t="str">
        <f t="shared" si="149"/>
        <v>가락동</v>
      </c>
      <c r="H2975" t="s">
        <v>11549</v>
      </c>
      <c r="I2975">
        <v>5718</v>
      </c>
    </row>
    <row r="2976" spans="1:9" x14ac:dyDescent="0.4">
      <c r="A2976">
        <v>3230000</v>
      </c>
      <c r="B2976" t="s">
        <v>11296</v>
      </c>
      <c r="C2976" s="1">
        <v>36610</v>
      </c>
      <c r="D2976" t="s">
        <v>11297</v>
      </c>
      <c r="E2976" t="str">
        <f t="shared" si="147"/>
        <v>서울특별시</v>
      </c>
      <c r="F2976" t="str">
        <f t="shared" si="148"/>
        <v xml:space="preserve">송파구 </v>
      </c>
      <c r="G2976" t="str">
        <f t="shared" si="149"/>
        <v>가락동</v>
      </c>
    </row>
    <row r="2977" spans="1:9" x14ac:dyDescent="0.4">
      <c r="A2977">
        <v>3230000</v>
      </c>
      <c r="B2977" t="s">
        <v>11384</v>
      </c>
      <c r="C2977" s="1">
        <v>41828</v>
      </c>
      <c r="D2977" t="s">
        <v>11385</v>
      </c>
      <c r="E2977" t="str">
        <f t="shared" si="147"/>
        <v>서울특별시</v>
      </c>
      <c r="F2977" t="str">
        <f t="shared" si="148"/>
        <v xml:space="preserve">송파구 </v>
      </c>
      <c r="G2977" t="str">
        <f t="shared" si="149"/>
        <v>가락동</v>
      </c>
      <c r="H2977" t="s">
        <v>11386</v>
      </c>
    </row>
    <row r="2978" spans="1:9" x14ac:dyDescent="0.4">
      <c r="A2978">
        <v>3230000</v>
      </c>
      <c r="B2978" t="s">
        <v>11188</v>
      </c>
      <c r="C2978" s="1">
        <v>44267</v>
      </c>
      <c r="D2978" t="s">
        <v>11189</v>
      </c>
      <c r="E2978" t="str">
        <f t="shared" si="147"/>
        <v>서울특별시</v>
      </c>
      <c r="F2978" t="str">
        <f t="shared" si="148"/>
        <v xml:space="preserve">송파구 </v>
      </c>
      <c r="G2978" t="str">
        <f t="shared" si="149"/>
        <v>가락동</v>
      </c>
      <c r="H2978" t="s">
        <v>11190</v>
      </c>
      <c r="I2978">
        <v>5718</v>
      </c>
    </row>
    <row r="2979" spans="1:9" x14ac:dyDescent="0.4">
      <c r="A2979">
        <v>3230000</v>
      </c>
      <c r="B2979" t="s">
        <v>11326</v>
      </c>
      <c r="C2979" s="1">
        <v>38197</v>
      </c>
      <c r="D2979" t="s">
        <v>11327</v>
      </c>
      <c r="E2979" t="str">
        <f t="shared" si="147"/>
        <v>서울특별시</v>
      </c>
      <c r="F2979" t="str">
        <f t="shared" si="148"/>
        <v xml:space="preserve">송파구 </v>
      </c>
      <c r="G2979" t="str">
        <f t="shared" si="149"/>
        <v>가락동</v>
      </c>
      <c r="H2979" t="s">
        <v>11328</v>
      </c>
      <c r="I2979">
        <v>5718</v>
      </c>
    </row>
    <row r="2980" spans="1:9" x14ac:dyDescent="0.4">
      <c r="A2980">
        <v>3230000</v>
      </c>
      <c r="B2980" t="s">
        <v>11082</v>
      </c>
      <c r="C2980" s="1">
        <v>37386</v>
      </c>
      <c r="D2980" t="s">
        <v>11083</v>
      </c>
      <c r="E2980" t="str">
        <f t="shared" si="147"/>
        <v>서울특별시</v>
      </c>
      <c r="F2980" t="str">
        <f t="shared" si="148"/>
        <v xml:space="preserve">송파구 </v>
      </c>
      <c r="G2980" t="str">
        <f t="shared" si="149"/>
        <v>가락동</v>
      </c>
      <c r="H2980" t="s">
        <v>11084</v>
      </c>
      <c r="I2980">
        <v>5718</v>
      </c>
    </row>
    <row r="2981" spans="1:9" x14ac:dyDescent="0.4">
      <c r="A2981">
        <v>3230000</v>
      </c>
      <c r="B2981" t="s">
        <v>11242</v>
      </c>
      <c r="C2981" s="1">
        <v>42590</v>
      </c>
      <c r="D2981" t="s">
        <v>11243</v>
      </c>
      <c r="E2981" t="str">
        <f t="shared" si="147"/>
        <v>서울특별시</v>
      </c>
      <c r="F2981" t="str">
        <f t="shared" si="148"/>
        <v xml:space="preserve">송파구 </v>
      </c>
      <c r="G2981" t="str">
        <f t="shared" si="149"/>
        <v>가락동</v>
      </c>
      <c r="H2981" t="s">
        <v>11244</v>
      </c>
      <c r="I2981">
        <v>5718</v>
      </c>
    </row>
    <row r="2982" spans="1:9" x14ac:dyDescent="0.4">
      <c r="A2982">
        <v>3230000</v>
      </c>
      <c r="B2982" t="s">
        <v>11236</v>
      </c>
      <c r="C2982" s="1">
        <v>42247</v>
      </c>
      <c r="D2982" t="s">
        <v>11237</v>
      </c>
      <c r="E2982" t="str">
        <f t="shared" si="147"/>
        <v>서울특별시</v>
      </c>
      <c r="F2982" t="str">
        <f t="shared" si="148"/>
        <v xml:space="preserve">송파구 </v>
      </c>
      <c r="G2982" t="str">
        <f t="shared" si="149"/>
        <v>가락동</v>
      </c>
      <c r="H2982" t="s">
        <v>11238</v>
      </c>
      <c r="I2982">
        <v>5718</v>
      </c>
    </row>
    <row r="2983" spans="1:9" x14ac:dyDescent="0.4">
      <c r="A2983">
        <v>3230000</v>
      </c>
      <c r="B2983" t="s">
        <v>11233</v>
      </c>
      <c r="C2983" s="1">
        <v>42234</v>
      </c>
      <c r="D2983" t="s">
        <v>11234</v>
      </c>
      <c r="E2983" t="str">
        <f t="shared" si="147"/>
        <v>서울특별시</v>
      </c>
      <c r="F2983" t="str">
        <f t="shared" si="148"/>
        <v xml:space="preserve">송파구 </v>
      </c>
      <c r="G2983" t="str">
        <f t="shared" si="149"/>
        <v>가락동</v>
      </c>
      <c r="H2983" t="s">
        <v>11235</v>
      </c>
      <c r="I2983">
        <v>5718</v>
      </c>
    </row>
    <row r="2984" spans="1:9" x14ac:dyDescent="0.4">
      <c r="A2984">
        <v>3230000</v>
      </c>
      <c r="B2984" t="s">
        <v>11390</v>
      </c>
      <c r="C2984" s="1">
        <v>36432</v>
      </c>
      <c r="D2984" t="s">
        <v>11391</v>
      </c>
      <c r="E2984" t="str">
        <f t="shared" si="147"/>
        <v>서울특별시</v>
      </c>
      <c r="F2984" t="str">
        <f t="shared" si="148"/>
        <v xml:space="preserve">송파구 </v>
      </c>
      <c r="G2984" t="str">
        <f t="shared" si="149"/>
        <v>가락동</v>
      </c>
      <c r="H2984" t="s">
        <v>11392</v>
      </c>
      <c r="I2984">
        <v>5719</v>
      </c>
    </row>
    <row r="2985" spans="1:9" x14ac:dyDescent="0.4">
      <c r="A2985">
        <v>3230000</v>
      </c>
      <c r="B2985" t="s">
        <v>11129</v>
      </c>
      <c r="C2985" s="1">
        <v>36679</v>
      </c>
      <c r="D2985" t="s">
        <v>11130</v>
      </c>
      <c r="E2985" t="str">
        <f t="shared" si="147"/>
        <v>서울특별시</v>
      </c>
      <c r="F2985" t="str">
        <f t="shared" si="148"/>
        <v xml:space="preserve">송파구 </v>
      </c>
      <c r="G2985" t="str">
        <f t="shared" si="149"/>
        <v>가락동</v>
      </c>
      <c r="H2985" t="s">
        <v>11131</v>
      </c>
      <c r="I2985">
        <v>5719</v>
      </c>
    </row>
    <row r="2986" spans="1:9" x14ac:dyDescent="0.4">
      <c r="A2986">
        <v>3230000</v>
      </c>
      <c r="B2986" t="s">
        <v>216</v>
      </c>
      <c r="C2986" s="1">
        <v>45621</v>
      </c>
      <c r="D2986" t="s">
        <v>217</v>
      </c>
      <c r="E2986" t="str">
        <f t="shared" si="147"/>
        <v>서울특별시</v>
      </c>
      <c r="F2986" t="str">
        <f t="shared" si="148"/>
        <v xml:space="preserve">송파구 </v>
      </c>
      <c r="G2986" t="str">
        <f t="shared" si="149"/>
        <v>가락동</v>
      </c>
      <c r="H2986" t="s">
        <v>218</v>
      </c>
      <c r="I2986">
        <v>5719</v>
      </c>
    </row>
    <row r="2987" spans="1:9" x14ac:dyDescent="0.4">
      <c r="A2987">
        <v>3230000</v>
      </c>
      <c r="B2987" t="s">
        <v>11219</v>
      </c>
      <c r="C2987" s="1">
        <v>37512</v>
      </c>
      <c r="D2987" t="s">
        <v>11220</v>
      </c>
      <c r="E2987" t="str">
        <f t="shared" si="147"/>
        <v>서울특별시</v>
      </c>
      <c r="F2987" t="str">
        <f t="shared" si="148"/>
        <v xml:space="preserve">송파구 </v>
      </c>
      <c r="G2987" t="str">
        <f t="shared" si="149"/>
        <v>가락동</v>
      </c>
      <c r="H2987" t="s">
        <v>11221</v>
      </c>
      <c r="I2987">
        <v>5719</v>
      </c>
    </row>
    <row r="2988" spans="1:9" x14ac:dyDescent="0.4">
      <c r="A2988">
        <v>3230000</v>
      </c>
      <c r="B2988" t="s">
        <v>11197</v>
      </c>
      <c r="C2988" s="1">
        <v>45635</v>
      </c>
      <c r="D2988" t="s">
        <v>11198</v>
      </c>
      <c r="E2988" t="str">
        <f t="shared" si="147"/>
        <v>서울특별시</v>
      </c>
      <c r="F2988" t="str">
        <f t="shared" si="148"/>
        <v xml:space="preserve">송파구 </v>
      </c>
      <c r="G2988" t="str">
        <f t="shared" si="149"/>
        <v>가락동</v>
      </c>
      <c r="H2988" t="s">
        <v>11199</v>
      </c>
      <c r="I2988">
        <v>5719</v>
      </c>
    </row>
    <row r="2989" spans="1:9" x14ac:dyDescent="0.4">
      <c r="A2989">
        <v>3230000</v>
      </c>
      <c r="B2989" t="s">
        <v>11200</v>
      </c>
      <c r="C2989" s="1">
        <v>45635</v>
      </c>
      <c r="D2989" t="s">
        <v>11198</v>
      </c>
      <c r="E2989" t="str">
        <f t="shared" si="147"/>
        <v>서울특별시</v>
      </c>
      <c r="F2989" t="str">
        <f t="shared" si="148"/>
        <v xml:space="preserve">송파구 </v>
      </c>
      <c r="G2989" t="str">
        <f t="shared" si="149"/>
        <v>가락동</v>
      </c>
      <c r="H2989" t="s">
        <v>11201</v>
      </c>
      <c r="I2989">
        <v>5719</v>
      </c>
    </row>
    <row r="2990" spans="1:9" x14ac:dyDescent="0.4">
      <c r="A2990">
        <v>3230000</v>
      </c>
      <c r="B2990" t="s">
        <v>11225</v>
      </c>
      <c r="C2990" s="1">
        <v>45660</v>
      </c>
      <c r="D2990" t="s">
        <v>11226</v>
      </c>
      <c r="E2990" t="str">
        <f t="shared" si="147"/>
        <v>서울특별시</v>
      </c>
      <c r="F2990" t="str">
        <f t="shared" si="148"/>
        <v xml:space="preserve">송파구 </v>
      </c>
      <c r="G2990" t="str">
        <f t="shared" si="149"/>
        <v>가락동</v>
      </c>
      <c r="H2990" t="s">
        <v>11227</v>
      </c>
      <c r="I2990">
        <v>5719</v>
      </c>
    </row>
    <row r="2991" spans="1:9" x14ac:dyDescent="0.4">
      <c r="A2991">
        <v>3230000</v>
      </c>
      <c r="B2991" t="s">
        <v>11487</v>
      </c>
      <c r="C2991" s="1">
        <v>33560</v>
      </c>
      <c r="D2991" t="s">
        <v>11488</v>
      </c>
      <c r="E2991" t="str">
        <f t="shared" si="147"/>
        <v>서울특별시</v>
      </c>
      <c r="F2991" t="str">
        <f t="shared" si="148"/>
        <v xml:space="preserve">송파구 </v>
      </c>
      <c r="G2991" t="str">
        <f t="shared" si="149"/>
        <v>가락동</v>
      </c>
      <c r="H2991" t="s">
        <v>11489</v>
      </c>
      <c r="I2991">
        <v>5719</v>
      </c>
    </row>
    <row r="2992" spans="1:9" x14ac:dyDescent="0.4">
      <c r="A2992">
        <v>3230000</v>
      </c>
      <c r="B2992" t="s">
        <v>11216</v>
      </c>
      <c r="C2992" s="1">
        <v>37901</v>
      </c>
      <c r="D2992" t="s">
        <v>11217</v>
      </c>
      <c r="E2992" t="str">
        <f t="shared" si="147"/>
        <v>서울특별시</v>
      </c>
      <c r="F2992" t="str">
        <f t="shared" si="148"/>
        <v xml:space="preserve">송파구 </v>
      </c>
      <c r="G2992" t="str">
        <f t="shared" si="149"/>
        <v>가락동</v>
      </c>
      <c r="H2992" t="s">
        <v>11218</v>
      </c>
      <c r="I2992">
        <v>5719</v>
      </c>
    </row>
    <row r="2993" spans="1:9" x14ac:dyDescent="0.4">
      <c r="A2993">
        <v>3230000</v>
      </c>
      <c r="B2993" t="s">
        <v>11071</v>
      </c>
      <c r="C2993" s="1">
        <v>40424</v>
      </c>
      <c r="D2993" t="s">
        <v>11072</v>
      </c>
      <c r="E2993" t="str">
        <f t="shared" si="147"/>
        <v>서울특별시</v>
      </c>
      <c r="F2993" t="str">
        <f t="shared" si="148"/>
        <v xml:space="preserve">송파구 </v>
      </c>
      <c r="G2993" t="str">
        <f t="shared" si="149"/>
        <v>가락동</v>
      </c>
      <c r="H2993" t="s">
        <v>11073</v>
      </c>
      <c r="I2993">
        <v>5719</v>
      </c>
    </row>
    <row r="2994" spans="1:9" x14ac:dyDescent="0.4">
      <c r="A2994">
        <v>3230000</v>
      </c>
      <c r="B2994" t="s">
        <v>11211</v>
      </c>
      <c r="C2994" s="1">
        <v>38252</v>
      </c>
      <c r="D2994" t="s">
        <v>11212</v>
      </c>
      <c r="E2994" t="str">
        <f t="shared" si="147"/>
        <v>서울특별시</v>
      </c>
      <c r="F2994" t="str">
        <f t="shared" si="148"/>
        <v xml:space="preserve">송파구 </v>
      </c>
      <c r="G2994" t="str">
        <f t="shared" si="149"/>
        <v>가락동</v>
      </c>
      <c r="H2994" t="s">
        <v>11213</v>
      </c>
      <c r="I2994">
        <v>5719</v>
      </c>
    </row>
    <row r="2995" spans="1:9" x14ac:dyDescent="0.4">
      <c r="A2995">
        <v>3230000</v>
      </c>
      <c r="B2995" t="s">
        <v>11255</v>
      </c>
      <c r="C2995" s="1">
        <v>42886</v>
      </c>
      <c r="D2995" t="s">
        <v>11256</v>
      </c>
      <c r="E2995" t="str">
        <f t="shared" si="147"/>
        <v>서울특별시</v>
      </c>
      <c r="F2995" t="str">
        <f t="shared" si="148"/>
        <v xml:space="preserve">송파구 </v>
      </c>
      <c r="G2995" t="str">
        <f t="shared" si="149"/>
        <v>가락동</v>
      </c>
      <c r="H2995" t="s">
        <v>11257</v>
      </c>
      <c r="I2995">
        <v>5719</v>
      </c>
    </row>
    <row r="2996" spans="1:9" x14ac:dyDescent="0.4">
      <c r="A2996">
        <v>3230000</v>
      </c>
      <c r="B2996" t="s">
        <v>11258</v>
      </c>
      <c r="C2996" s="1">
        <v>42886</v>
      </c>
      <c r="D2996" t="s">
        <v>11256</v>
      </c>
      <c r="E2996" t="str">
        <f t="shared" si="147"/>
        <v>서울특별시</v>
      </c>
      <c r="F2996" t="str">
        <f t="shared" si="148"/>
        <v xml:space="preserve">송파구 </v>
      </c>
      <c r="G2996" t="str">
        <f t="shared" si="149"/>
        <v>가락동</v>
      </c>
      <c r="H2996" t="s">
        <v>11259</v>
      </c>
      <c r="I2996">
        <v>5719</v>
      </c>
    </row>
    <row r="2997" spans="1:9" x14ac:dyDescent="0.4">
      <c r="A2997">
        <v>3230000</v>
      </c>
      <c r="B2997" t="s">
        <v>51</v>
      </c>
      <c r="C2997" s="1">
        <v>41248</v>
      </c>
      <c r="D2997" t="s">
        <v>52</v>
      </c>
      <c r="E2997" t="str">
        <f t="shared" si="147"/>
        <v>서울특별시</v>
      </c>
      <c r="F2997" t="str">
        <f t="shared" si="148"/>
        <v xml:space="preserve">송파구 </v>
      </c>
      <c r="G2997" t="str">
        <f t="shared" si="149"/>
        <v>가락동</v>
      </c>
      <c r="H2997" t="s">
        <v>53</v>
      </c>
      <c r="I2997">
        <v>5719</v>
      </c>
    </row>
    <row r="2998" spans="1:9" x14ac:dyDescent="0.4">
      <c r="A2998">
        <v>3230000</v>
      </c>
      <c r="B2998" t="s">
        <v>11194</v>
      </c>
      <c r="C2998" s="1">
        <v>45209</v>
      </c>
      <c r="D2998" t="s">
        <v>11195</v>
      </c>
      <c r="E2998" t="str">
        <f t="shared" si="147"/>
        <v>서울특별시</v>
      </c>
      <c r="F2998" t="str">
        <f t="shared" si="148"/>
        <v xml:space="preserve">송파구 </v>
      </c>
      <c r="G2998" t="str">
        <f t="shared" si="149"/>
        <v>가락동</v>
      </c>
      <c r="H2998" t="s">
        <v>11196</v>
      </c>
      <c r="I2998">
        <v>5719</v>
      </c>
    </row>
    <row r="2999" spans="1:9" x14ac:dyDescent="0.4">
      <c r="A2999">
        <v>3230000</v>
      </c>
      <c r="B2999" t="s">
        <v>180</v>
      </c>
      <c r="C2999" s="1">
        <v>42548</v>
      </c>
      <c r="D2999" t="s">
        <v>181</v>
      </c>
      <c r="E2999" t="str">
        <f t="shared" si="147"/>
        <v>서울특별시</v>
      </c>
      <c r="F2999" t="str">
        <f t="shared" si="148"/>
        <v xml:space="preserve">송파구 </v>
      </c>
      <c r="G2999" t="str">
        <f t="shared" si="149"/>
        <v>가락동</v>
      </c>
      <c r="H2999" t="s">
        <v>182</v>
      </c>
      <c r="I2999">
        <v>5719</v>
      </c>
    </row>
    <row r="3000" spans="1:9" x14ac:dyDescent="0.4">
      <c r="A3000">
        <v>3230000</v>
      </c>
      <c r="B3000" t="s">
        <v>11239</v>
      </c>
      <c r="C3000" s="1">
        <v>42548</v>
      </c>
      <c r="D3000" t="s">
        <v>11240</v>
      </c>
      <c r="E3000" t="str">
        <f t="shared" si="147"/>
        <v>서울특별시</v>
      </c>
      <c r="F3000" t="str">
        <f t="shared" si="148"/>
        <v xml:space="preserve">송파구 </v>
      </c>
      <c r="G3000" t="str">
        <f t="shared" si="149"/>
        <v>가락동</v>
      </c>
      <c r="H3000" t="s">
        <v>11241</v>
      </c>
      <c r="I3000">
        <v>5719</v>
      </c>
    </row>
    <row r="3001" spans="1:9" x14ac:dyDescent="0.4">
      <c r="A3001">
        <v>3230000</v>
      </c>
      <c r="B3001" t="s">
        <v>11245</v>
      </c>
      <c r="C3001" s="1">
        <v>42608</v>
      </c>
      <c r="D3001" t="s">
        <v>11246</v>
      </c>
      <c r="E3001" t="str">
        <f t="shared" si="147"/>
        <v>서울특별시</v>
      </c>
      <c r="F3001" t="str">
        <f t="shared" si="148"/>
        <v xml:space="preserve">송파구 </v>
      </c>
      <c r="G3001" t="str">
        <f t="shared" si="149"/>
        <v>가락동</v>
      </c>
      <c r="H3001" t="s">
        <v>11247</v>
      </c>
      <c r="I3001">
        <v>5719</v>
      </c>
    </row>
    <row r="3002" spans="1:9" x14ac:dyDescent="0.4">
      <c r="A3002">
        <v>3230000</v>
      </c>
      <c r="B3002" t="s">
        <v>11525</v>
      </c>
      <c r="C3002" s="1">
        <v>40780</v>
      </c>
      <c r="D3002" t="s">
        <v>11526</v>
      </c>
      <c r="E3002" t="str">
        <f t="shared" si="147"/>
        <v>서울특별시</v>
      </c>
      <c r="F3002" t="str">
        <f t="shared" si="148"/>
        <v xml:space="preserve">송파구 </v>
      </c>
      <c r="G3002" t="str">
        <f t="shared" si="149"/>
        <v>가락동</v>
      </c>
    </row>
    <row r="3003" spans="1:9" x14ac:dyDescent="0.4">
      <c r="A3003">
        <v>3230000</v>
      </c>
      <c r="B3003" t="s">
        <v>11141</v>
      </c>
      <c r="C3003" s="1">
        <v>36840</v>
      </c>
      <c r="D3003" t="s">
        <v>11142</v>
      </c>
      <c r="E3003" t="str">
        <f t="shared" si="147"/>
        <v>서울특별시</v>
      </c>
      <c r="F3003" t="str">
        <f t="shared" si="148"/>
        <v xml:space="preserve">송파구 </v>
      </c>
      <c r="G3003" t="str">
        <f t="shared" si="149"/>
        <v>가락동</v>
      </c>
      <c r="H3003" t="s">
        <v>11143</v>
      </c>
      <c r="I3003">
        <v>5719</v>
      </c>
    </row>
    <row r="3004" spans="1:9" x14ac:dyDescent="0.4">
      <c r="A3004">
        <v>3230000</v>
      </c>
      <c r="B3004" t="s">
        <v>11248</v>
      </c>
      <c r="C3004" s="1">
        <v>42641</v>
      </c>
      <c r="D3004" t="s">
        <v>11142</v>
      </c>
      <c r="E3004" t="str">
        <f t="shared" si="147"/>
        <v>서울특별시</v>
      </c>
      <c r="F3004" t="str">
        <f t="shared" si="148"/>
        <v xml:space="preserve">송파구 </v>
      </c>
      <c r="G3004" t="str">
        <f t="shared" si="149"/>
        <v>가락동</v>
      </c>
      <c r="H3004" t="s">
        <v>11249</v>
      </c>
      <c r="I3004">
        <v>5719</v>
      </c>
    </row>
    <row r="3005" spans="1:9" x14ac:dyDescent="0.4">
      <c r="A3005">
        <v>3230000</v>
      </c>
      <c r="B3005" t="s">
        <v>11185</v>
      </c>
      <c r="C3005" s="1">
        <v>41043</v>
      </c>
      <c r="D3005" t="s">
        <v>11186</v>
      </c>
      <c r="E3005" t="str">
        <f t="shared" si="147"/>
        <v>서울특별시</v>
      </c>
      <c r="F3005" t="str">
        <f t="shared" si="148"/>
        <v xml:space="preserve">송파구 </v>
      </c>
      <c r="G3005" t="str">
        <f t="shared" si="149"/>
        <v>가락동</v>
      </c>
      <c r="H3005" t="s">
        <v>11187</v>
      </c>
      <c r="I3005">
        <v>5719</v>
      </c>
    </row>
    <row r="3006" spans="1:9" x14ac:dyDescent="0.4">
      <c r="A3006">
        <v>3230000</v>
      </c>
      <c r="B3006" t="s">
        <v>11265</v>
      </c>
      <c r="C3006" s="1">
        <v>42279</v>
      </c>
      <c r="D3006" t="s">
        <v>11266</v>
      </c>
      <c r="E3006" t="str">
        <f t="shared" si="147"/>
        <v>서울특별시</v>
      </c>
      <c r="F3006" t="str">
        <f t="shared" si="148"/>
        <v xml:space="preserve">송파구 </v>
      </c>
      <c r="G3006" t="str">
        <f t="shared" si="149"/>
        <v>가락동</v>
      </c>
      <c r="H3006" t="s">
        <v>11267</v>
      </c>
      <c r="I3006">
        <v>5719</v>
      </c>
    </row>
    <row r="3007" spans="1:9" x14ac:dyDescent="0.4">
      <c r="A3007">
        <v>3230000</v>
      </c>
      <c r="B3007" t="s">
        <v>15</v>
      </c>
      <c r="C3007" s="1">
        <v>41971</v>
      </c>
      <c r="D3007" t="s">
        <v>16</v>
      </c>
      <c r="E3007" t="str">
        <f t="shared" si="147"/>
        <v>서울특별시</v>
      </c>
      <c r="F3007" t="str">
        <f t="shared" si="148"/>
        <v xml:space="preserve">송파구 </v>
      </c>
      <c r="G3007" t="str">
        <f t="shared" si="149"/>
        <v>가락동</v>
      </c>
      <c r="H3007" t="s">
        <v>17</v>
      </c>
      <c r="I3007">
        <v>5719</v>
      </c>
    </row>
    <row r="3008" spans="1:9" x14ac:dyDescent="0.4">
      <c r="A3008">
        <v>3230000</v>
      </c>
      <c r="B3008" t="s">
        <v>11127</v>
      </c>
      <c r="C3008" s="1">
        <v>40623</v>
      </c>
      <c r="D3008" t="s">
        <v>11128</v>
      </c>
      <c r="E3008" t="str">
        <f t="shared" si="147"/>
        <v>서울특별시</v>
      </c>
      <c r="F3008" t="str">
        <f t="shared" si="148"/>
        <v xml:space="preserve">송파구 </v>
      </c>
      <c r="G3008" t="str">
        <f t="shared" si="149"/>
        <v>가락동</v>
      </c>
      <c r="H3008" t="s">
        <v>17</v>
      </c>
      <c r="I3008">
        <v>5719</v>
      </c>
    </row>
    <row r="3009" spans="1:9" x14ac:dyDescent="0.4">
      <c r="A3009">
        <v>3230000</v>
      </c>
      <c r="B3009" t="s">
        <v>11069</v>
      </c>
      <c r="C3009" s="1">
        <v>41939</v>
      </c>
      <c r="D3009" t="s">
        <v>11070</v>
      </c>
      <c r="E3009" t="str">
        <f t="shared" si="147"/>
        <v>서울특별시</v>
      </c>
      <c r="F3009" t="str">
        <f t="shared" si="148"/>
        <v xml:space="preserve">송파구 </v>
      </c>
      <c r="G3009" t="str">
        <f t="shared" si="149"/>
        <v>가락동</v>
      </c>
      <c r="H3009" t="s">
        <v>11068</v>
      </c>
      <c r="I3009">
        <v>5719</v>
      </c>
    </row>
    <row r="3010" spans="1:9" x14ac:dyDescent="0.4">
      <c r="A3010">
        <v>3230000</v>
      </c>
      <c r="B3010" t="s">
        <v>11214</v>
      </c>
      <c r="C3010" s="1">
        <v>37750</v>
      </c>
      <c r="D3010" t="s">
        <v>11070</v>
      </c>
      <c r="E3010" t="str">
        <f t="shared" si="147"/>
        <v>서울특별시</v>
      </c>
      <c r="F3010" t="str">
        <f t="shared" si="148"/>
        <v xml:space="preserve">송파구 </v>
      </c>
      <c r="G3010" t="str">
        <f t="shared" si="149"/>
        <v>가락동</v>
      </c>
      <c r="H3010" t="s">
        <v>11215</v>
      </c>
      <c r="I3010">
        <v>5719</v>
      </c>
    </row>
    <row r="3011" spans="1:9" x14ac:dyDescent="0.4">
      <c r="A3011">
        <v>3230000</v>
      </c>
      <c r="B3011" t="s">
        <v>11066</v>
      </c>
      <c r="C3011" s="1">
        <v>41912</v>
      </c>
      <c r="D3011" t="s">
        <v>11067</v>
      </c>
      <c r="E3011" t="str">
        <f t="shared" ref="E3011:E3074" si="150">LEFT(D3011,5)</f>
        <v>서울특별시</v>
      </c>
      <c r="F3011" t="str">
        <f t="shared" ref="F3011:F3074" si="151">MID(D3011,7,4)</f>
        <v xml:space="preserve">송파구 </v>
      </c>
      <c r="G3011" t="str">
        <f t="shared" ref="G3011:G3074" si="152">MID(SUBSTITUTE(D3011," ",""),9,3)</f>
        <v>가락동</v>
      </c>
      <c r="H3011" t="s">
        <v>11068</v>
      </c>
      <c r="I3011">
        <v>5719</v>
      </c>
    </row>
    <row r="3012" spans="1:9" x14ac:dyDescent="0.4">
      <c r="A3012">
        <v>3230000</v>
      </c>
      <c r="B3012" t="s">
        <v>11159</v>
      </c>
      <c r="C3012" s="1">
        <v>39387</v>
      </c>
      <c r="D3012" t="s">
        <v>11160</v>
      </c>
      <c r="E3012" t="str">
        <f t="shared" si="150"/>
        <v>서울특별시</v>
      </c>
      <c r="F3012" t="str">
        <f t="shared" si="151"/>
        <v xml:space="preserve">송파구 </v>
      </c>
      <c r="G3012" t="str">
        <f t="shared" si="152"/>
        <v>가락동</v>
      </c>
      <c r="H3012" t="s">
        <v>11161</v>
      </c>
      <c r="I3012">
        <v>5719</v>
      </c>
    </row>
    <row r="3013" spans="1:9" x14ac:dyDescent="0.4">
      <c r="A3013">
        <v>3230000</v>
      </c>
      <c r="B3013" t="s">
        <v>11228</v>
      </c>
      <c r="C3013" s="1">
        <v>38475</v>
      </c>
      <c r="D3013" t="s">
        <v>11229</v>
      </c>
      <c r="E3013" t="str">
        <f t="shared" si="150"/>
        <v>서울특별시</v>
      </c>
      <c r="F3013" t="str">
        <f t="shared" si="151"/>
        <v xml:space="preserve">송파구 </v>
      </c>
      <c r="G3013" t="str">
        <f t="shared" si="152"/>
        <v>가락동</v>
      </c>
      <c r="H3013" t="s">
        <v>11230</v>
      </c>
      <c r="I3013">
        <v>5719</v>
      </c>
    </row>
    <row r="3014" spans="1:9" x14ac:dyDescent="0.4">
      <c r="A3014">
        <v>3230000</v>
      </c>
      <c r="B3014" t="s">
        <v>11162</v>
      </c>
      <c r="C3014" s="1">
        <v>40043</v>
      </c>
      <c r="D3014" t="s">
        <v>11163</v>
      </c>
      <c r="E3014" t="str">
        <f t="shared" si="150"/>
        <v>서울특별시</v>
      </c>
      <c r="F3014" t="str">
        <f t="shared" si="151"/>
        <v xml:space="preserve">송파구 </v>
      </c>
      <c r="G3014" t="str">
        <f t="shared" si="152"/>
        <v>가락동</v>
      </c>
      <c r="H3014" t="s">
        <v>11164</v>
      </c>
      <c r="I3014">
        <v>5719</v>
      </c>
    </row>
    <row r="3015" spans="1:9" x14ac:dyDescent="0.4">
      <c r="A3015">
        <v>3230000</v>
      </c>
      <c r="B3015" t="s">
        <v>11552</v>
      </c>
      <c r="C3015" s="1">
        <v>36469</v>
      </c>
      <c r="D3015" t="s">
        <v>11553</v>
      </c>
      <c r="E3015" t="str">
        <f t="shared" si="150"/>
        <v>서울특별시</v>
      </c>
      <c r="F3015" t="str">
        <f t="shared" si="151"/>
        <v xml:space="preserve">송파구 </v>
      </c>
      <c r="G3015" t="str">
        <f t="shared" si="152"/>
        <v>가락동</v>
      </c>
    </row>
    <row r="3016" spans="1:9" x14ac:dyDescent="0.4">
      <c r="A3016">
        <v>3230000</v>
      </c>
      <c r="B3016" t="s">
        <v>11334</v>
      </c>
      <c r="C3016" s="1">
        <v>38692</v>
      </c>
      <c r="D3016" t="s">
        <v>11335</v>
      </c>
      <c r="E3016" t="str">
        <f t="shared" si="150"/>
        <v>서울특별시</v>
      </c>
      <c r="F3016" t="str">
        <f t="shared" si="151"/>
        <v xml:space="preserve">송파구 </v>
      </c>
      <c r="G3016" t="str">
        <f t="shared" si="152"/>
        <v>가락동</v>
      </c>
      <c r="H3016" t="s">
        <v>11336</v>
      </c>
      <c r="I3016">
        <v>5719</v>
      </c>
    </row>
    <row r="3017" spans="1:9" x14ac:dyDescent="0.4">
      <c r="A3017">
        <v>3230000</v>
      </c>
      <c r="B3017" t="s">
        <v>11461</v>
      </c>
      <c r="C3017" s="1">
        <v>31147</v>
      </c>
      <c r="D3017" t="s">
        <v>11335</v>
      </c>
      <c r="E3017" t="str">
        <f t="shared" si="150"/>
        <v>서울특별시</v>
      </c>
      <c r="F3017" t="str">
        <f t="shared" si="151"/>
        <v xml:space="preserve">송파구 </v>
      </c>
      <c r="G3017" t="str">
        <f t="shared" si="152"/>
        <v>가락동</v>
      </c>
    </row>
    <row r="3018" spans="1:9" x14ac:dyDescent="0.4">
      <c r="A3018">
        <v>3230000</v>
      </c>
      <c r="B3018" t="s">
        <v>11504</v>
      </c>
      <c r="C3018" s="1">
        <v>39058</v>
      </c>
      <c r="D3018" t="s">
        <v>11335</v>
      </c>
      <c r="E3018" t="str">
        <f t="shared" si="150"/>
        <v>서울특별시</v>
      </c>
      <c r="F3018" t="str">
        <f t="shared" si="151"/>
        <v xml:space="preserve">송파구 </v>
      </c>
      <c r="G3018" t="str">
        <f t="shared" si="152"/>
        <v>가락동</v>
      </c>
      <c r="H3018" t="s">
        <v>11505</v>
      </c>
      <c r="I3018">
        <v>5719</v>
      </c>
    </row>
    <row r="3019" spans="1:9" x14ac:dyDescent="0.4">
      <c r="A3019">
        <v>3230000</v>
      </c>
      <c r="B3019" t="s">
        <v>11475</v>
      </c>
      <c r="C3019" s="1">
        <v>32679</v>
      </c>
      <c r="D3019" t="s">
        <v>11476</v>
      </c>
      <c r="E3019" t="str">
        <f t="shared" si="150"/>
        <v>서울특별시</v>
      </c>
      <c r="F3019" t="str">
        <f t="shared" si="151"/>
        <v xml:space="preserve">송파구 </v>
      </c>
      <c r="G3019" t="str">
        <f t="shared" si="152"/>
        <v>가락동</v>
      </c>
    </row>
    <row r="3020" spans="1:9" x14ac:dyDescent="0.4">
      <c r="A3020">
        <v>3230000</v>
      </c>
      <c r="B3020" t="s">
        <v>11416</v>
      </c>
      <c r="C3020" s="1">
        <v>32911</v>
      </c>
      <c r="D3020" t="s">
        <v>11417</v>
      </c>
      <c r="E3020" t="str">
        <f t="shared" si="150"/>
        <v>서울특별시</v>
      </c>
      <c r="F3020" t="str">
        <f t="shared" si="151"/>
        <v xml:space="preserve">송파구 </v>
      </c>
      <c r="G3020" t="str">
        <f t="shared" si="152"/>
        <v>방이동</v>
      </c>
      <c r="H3020" t="s">
        <v>11418</v>
      </c>
      <c r="I3020">
        <v>5542</v>
      </c>
    </row>
    <row r="3021" spans="1:9" x14ac:dyDescent="0.4">
      <c r="A3021">
        <v>3230000</v>
      </c>
      <c r="B3021" t="s">
        <v>11171</v>
      </c>
      <c r="C3021" s="1">
        <v>37202</v>
      </c>
      <c r="D3021" t="s">
        <v>11172</v>
      </c>
      <c r="E3021" t="str">
        <f t="shared" si="150"/>
        <v>서울특별시</v>
      </c>
      <c r="F3021" t="str">
        <f t="shared" si="151"/>
        <v xml:space="preserve">송파구 </v>
      </c>
      <c r="G3021" t="str">
        <f t="shared" si="152"/>
        <v>방이동</v>
      </c>
      <c r="H3021" t="s">
        <v>11173</v>
      </c>
      <c r="I3021">
        <v>5542</v>
      </c>
    </row>
    <row r="3022" spans="1:9" x14ac:dyDescent="0.4">
      <c r="A3022">
        <v>3230000</v>
      </c>
      <c r="B3022" t="s">
        <v>261</v>
      </c>
      <c r="C3022" s="1">
        <v>38181</v>
      </c>
      <c r="D3022" t="s">
        <v>262</v>
      </c>
      <c r="E3022" t="str">
        <f t="shared" si="150"/>
        <v>서울특별시</v>
      </c>
      <c r="F3022" t="str">
        <f t="shared" si="151"/>
        <v xml:space="preserve">송파구 </v>
      </c>
      <c r="G3022" t="str">
        <f t="shared" si="152"/>
        <v>방이동</v>
      </c>
      <c r="H3022" t="s">
        <v>263</v>
      </c>
      <c r="I3022">
        <v>5542</v>
      </c>
    </row>
    <row r="3023" spans="1:9" x14ac:dyDescent="0.4">
      <c r="A3023">
        <v>3230000</v>
      </c>
      <c r="B3023" t="s">
        <v>11202</v>
      </c>
      <c r="C3023" s="1">
        <v>38761</v>
      </c>
      <c r="D3023" t="s">
        <v>11203</v>
      </c>
      <c r="E3023" t="str">
        <f t="shared" si="150"/>
        <v>서울특별시</v>
      </c>
      <c r="F3023" t="str">
        <f t="shared" si="151"/>
        <v xml:space="preserve">송파구 </v>
      </c>
      <c r="G3023" t="str">
        <f t="shared" si="152"/>
        <v>방이동</v>
      </c>
      <c r="H3023" t="s">
        <v>11204</v>
      </c>
      <c r="I3023">
        <v>5542</v>
      </c>
    </row>
    <row r="3024" spans="1:9" x14ac:dyDescent="0.4">
      <c r="A3024">
        <v>3230000</v>
      </c>
      <c r="B3024" t="s">
        <v>11118</v>
      </c>
      <c r="C3024" s="1">
        <v>36517</v>
      </c>
      <c r="D3024" t="s">
        <v>11119</v>
      </c>
      <c r="E3024" t="str">
        <f t="shared" si="150"/>
        <v>서울특별시</v>
      </c>
      <c r="F3024" t="str">
        <f t="shared" si="151"/>
        <v xml:space="preserve">송파구 </v>
      </c>
      <c r="G3024" t="str">
        <f t="shared" si="152"/>
        <v>방이동</v>
      </c>
      <c r="H3024" t="s">
        <v>11120</v>
      </c>
      <c r="I3024">
        <v>5542</v>
      </c>
    </row>
    <row r="3025" spans="1:9" x14ac:dyDescent="0.4">
      <c r="A3025">
        <v>3230000</v>
      </c>
      <c r="B3025" t="s">
        <v>11074</v>
      </c>
      <c r="C3025" s="1">
        <v>42157</v>
      </c>
      <c r="D3025" t="s">
        <v>11075</v>
      </c>
      <c r="E3025" t="str">
        <f t="shared" si="150"/>
        <v>서울특별시</v>
      </c>
      <c r="F3025" t="str">
        <f t="shared" si="151"/>
        <v xml:space="preserve">송파구 </v>
      </c>
      <c r="G3025" t="str">
        <f t="shared" si="152"/>
        <v>방이동</v>
      </c>
      <c r="H3025" t="s">
        <v>11076</v>
      </c>
      <c r="I3025">
        <v>5542</v>
      </c>
    </row>
    <row r="3026" spans="1:9" x14ac:dyDescent="0.4">
      <c r="A3026">
        <v>3230000</v>
      </c>
      <c r="B3026" t="s">
        <v>11550</v>
      </c>
      <c r="C3026" s="1">
        <v>36461</v>
      </c>
      <c r="D3026" t="s">
        <v>11551</v>
      </c>
      <c r="E3026" t="str">
        <f t="shared" si="150"/>
        <v>서울특별시</v>
      </c>
      <c r="F3026" t="str">
        <f t="shared" si="151"/>
        <v xml:space="preserve">송파구 </v>
      </c>
      <c r="G3026" t="str">
        <f t="shared" si="152"/>
        <v>방이동</v>
      </c>
    </row>
    <row r="3027" spans="1:9" x14ac:dyDescent="0.4">
      <c r="A3027">
        <v>3230000</v>
      </c>
      <c r="B3027" t="s">
        <v>11340</v>
      </c>
      <c r="C3027" s="1">
        <v>37764</v>
      </c>
      <c r="D3027" t="s">
        <v>11341</v>
      </c>
      <c r="E3027" t="str">
        <f t="shared" si="150"/>
        <v>서울특별시</v>
      </c>
      <c r="F3027" t="str">
        <f t="shared" si="151"/>
        <v xml:space="preserve">송파구 </v>
      </c>
      <c r="G3027" t="str">
        <f t="shared" si="152"/>
        <v>방이동</v>
      </c>
    </row>
    <row r="3028" spans="1:9" x14ac:dyDescent="0.4">
      <c r="A3028">
        <v>3230000</v>
      </c>
      <c r="B3028" t="s">
        <v>11519</v>
      </c>
      <c r="C3028" s="1">
        <v>36385</v>
      </c>
      <c r="D3028" t="s">
        <v>11341</v>
      </c>
      <c r="E3028" t="str">
        <f t="shared" si="150"/>
        <v>서울특별시</v>
      </c>
      <c r="F3028" t="str">
        <f t="shared" si="151"/>
        <v xml:space="preserve">송파구 </v>
      </c>
      <c r="G3028" t="str">
        <f t="shared" si="152"/>
        <v>방이동</v>
      </c>
    </row>
    <row r="3029" spans="1:9" x14ac:dyDescent="0.4">
      <c r="A3029">
        <v>3230000</v>
      </c>
      <c r="B3029" t="s">
        <v>11542</v>
      </c>
      <c r="C3029" s="1">
        <v>36930</v>
      </c>
      <c r="D3029" t="s">
        <v>11543</v>
      </c>
      <c r="E3029" t="str">
        <f t="shared" si="150"/>
        <v>서울특별시</v>
      </c>
      <c r="F3029" t="str">
        <f t="shared" si="151"/>
        <v xml:space="preserve">송파구 </v>
      </c>
      <c r="G3029" t="str">
        <f t="shared" si="152"/>
        <v>방이동</v>
      </c>
    </row>
    <row r="3030" spans="1:9" x14ac:dyDescent="0.4">
      <c r="A3030">
        <v>3230000</v>
      </c>
      <c r="B3030" t="s">
        <v>11100</v>
      </c>
      <c r="C3030" s="1">
        <v>32864</v>
      </c>
      <c r="D3030" t="s">
        <v>11101</v>
      </c>
      <c r="E3030" t="str">
        <f t="shared" si="150"/>
        <v>서울특별시</v>
      </c>
      <c r="F3030" t="str">
        <f t="shared" si="151"/>
        <v xml:space="preserve">송파구 </v>
      </c>
      <c r="G3030" t="str">
        <f t="shared" si="152"/>
        <v>방이동</v>
      </c>
      <c r="H3030" t="s">
        <v>11102</v>
      </c>
      <c r="I3030">
        <v>5542</v>
      </c>
    </row>
    <row r="3031" spans="1:9" x14ac:dyDescent="0.4">
      <c r="A3031">
        <v>3230000</v>
      </c>
      <c r="B3031" t="s">
        <v>11381</v>
      </c>
      <c r="C3031" s="1">
        <v>41719</v>
      </c>
      <c r="D3031" t="s">
        <v>11382</v>
      </c>
      <c r="E3031" t="str">
        <f t="shared" si="150"/>
        <v>서울특별시</v>
      </c>
      <c r="F3031" t="str">
        <f t="shared" si="151"/>
        <v xml:space="preserve">송파구 </v>
      </c>
      <c r="G3031" t="str">
        <f t="shared" si="152"/>
        <v>방이동</v>
      </c>
      <c r="H3031" t="s">
        <v>11383</v>
      </c>
      <c r="I3031">
        <v>5542</v>
      </c>
    </row>
    <row r="3032" spans="1:9" x14ac:dyDescent="0.4">
      <c r="A3032">
        <v>3230000</v>
      </c>
      <c r="B3032" t="s">
        <v>11317</v>
      </c>
      <c r="C3032" s="1">
        <v>43507</v>
      </c>
      <c r="D3032" t="s">
        <v>11318</v>
      </c>
      <c r="E3032" t="str">
        <f t="shared" si="150"/>
        <v>서울특별시</v>
      </c>
      <c r="F3032" t="str">
        <f t="shared" si="151"/>
        <v xml:space="preserve">송파구 </v>
      </c>
      <c r="G3032" t="str">
        <f t="shared" si="152"/>
        <v>방이동</v>
      </c>
      <c r="H3032" t="s">
        <v>11319</v>
      </c>
      <c r="I3032">
        <v>5542</v>
      </c>
    </row>
    <row r="3033" spans="1:9" x14ac:dyDescent="0.4">
      <c r="A3033">
        <v>3230000</v>
      </c>
      <c r="B3033" t="s">
        <v>11324</v>
      </c>
      <c r="C3033" s="1">
        <v>38036</v>
      </c>
      <c r="D3033" t="s">
        <v>11325</v>
      </c>
      <c r="E3033" t="str">
        <f t="shared" si="150"/>
        <v>서울특별시</v>
      </c>
      <c r="F3033" t="str">
        <f t="shared" si="151"/>
        <v xml:space="preserve">송파구 </v>
      </c>
      <c r="G3033" t="str">
        <f t="shared" si="152"/>
        <v>방이동</v>
      </c>
    </row>
    <row r="3034" spans="1:9" x14ac:dyDescent="0.4">
      <c r="A3034">
        <v>3230000</v>
      </c>
      <c r="B3034" t="s">
        <v>11515</v>
      </c>
      <c r="C3034" s="1">
        <v>36368</v>
      </c>
      <c r="D3034" t="s">
        <v>11325</v>
      </c>
      <c r="E3034" t="str">
        <f t="shared" si="150"/>
        <v>서울특별시</v>
      </c>
      <c r="F3034" t="str">
        <f t="shared" si="151"/>
        <v xml:space="preserve">송파구 </v>
      </c>
      <c r="G3034" t="str">
        <f t="shared" si="152"/>
        <v>방이동</v>
      </c>
    </row>
    <row r="3035" spans="1:9" x14ac:dyDescent="0.4">
      <c r="A3035">
        <v>3230000</v>
      </c>
      <c r="B3035" t="s">
        <v>11540</v>
      </c>
      <c r="C3035" s="1">
        <v>36896</v>
      </c>
      <c r="D3035" t="s">
        <v>11325</v>
      </c>
      <c r="E3035" t="str">
        <f t="shared" si="150"/>
        <v>서울특별시</v>
      </c>
      <c r="F3035" t="str">
        <f t="shared" si="151"/>
        <v xml:space="preserve">송파구 </v>
      </c>
      <c r="G3035" t="str">
        <f t="shared" si="152"/>
        <v>방이동</v>
      </c>
    </row>
    <row r="3036" spans="1:9" x14ac:dyDescent="0.4">
      <c r="A3036">
        <v>3230000</v>
      </c>
      <c r="B3036" t="s">
        <v>11288</v>
      </c>
      <c r="C3036" s="1">
        <v>36869</v>
      </c>
      <c r="D3036" t="s">
        <v>11289</v>
      </c>
      <c r="E3036" t="str">
        <f t="shared" si="150"/>
        <v>서울특별시</v>
      </c>
      <c r="F3036" t="str">
        <f t="shared" si="151"/>
        <v xml:space="preserve">송파구 </v>
      </c>
      <c r="G3036" t="str">
        <f t="shared" si="152"/>
        <v>방이동</v>
      </c>
    </row>
    <row r="3037" spans="1:9" x14ac:dyDescent="0.4">
      <c r="A3037">
        <v>3230000</v>
      </c>
      <c r="B3037" t="s">
        <v>11377</v>
      </c>
      <c r="C3037" s="1">
        <v>37343</v>
      </c>
      <c r="D3037" t="s">
        <v>11289</v>
      </c>
      <c r="E3037" t="str">
        <f t="shared" si="150"/>
        <v>서울특별시</v>
      </c>
      <c r="F3037" t="str">
        <f t="shared" si="151"/>
        <v xml:space="preserve">송파구 </v>
      </c>
      <c r="G3037" t="str">
        <f t="shared" si="152"/>
        <v>방이동</v>
      </c>
    </row>
    <row r="3038" spans="1:9" x14ac:dyDescent="0.4">
      <c r="A3038">
        <v>3230000</v>
      </c>
      <c r="B3038" t="s">
        <v>11449</v>
      </c>
      <c r="C3038" s="1">
        <v>39451</v>
      </c>
      <c r="D3038" t="s">
        <v>11450</v>
      </c>
      <c r="E3038" t="str">
        <f t="shared" si="150"/>
        <v>서울특별시</v>
      </c>
      <c r="F3038" t="str">
        <f t="shared" si="151"/>
        <v xml:space="preserve">송파구 </v>
      </c>
      <c r="G3038" t="str">
        <f t="shared" si="152"/>
        <v>방이동</v>
      </c>
    </row>
    <row r="3039" spans="1:9" x14ac:dyDescent="0.4">
      <c r="A3039">
        <v>3230000</v>
      </c>
      <c r="B3039" t="s">
        <v>11165</v>
      </c>
      <c r="C3039" s="1">
        <v>40372</v>
      </c>
      <c r="D3039" t="s">
        <v>11166</v>
      </c>
      <c r="E3039" t="str">
        <f t="shared" si="150"/>
        <v>서울특별시</v>
      </c>
      <c r="F3039" t="str">
        <f t="shared" si="151"/>
        <v xml:space="preserve">송파구 </v>
      </c>
      <c r="G3039" t="str">
        <f t="shared" si="152"/>
        <v>방이동</v>
      </c>
      <c r="H3039" t="s">
        <v>11167</v>
      </c>
      <c r="I3039">
        <v>5542</v>
      </c>
    </row>
    <row r="3040" spans="1:9" x14ac:dyDescent="0.4">
      <c r="A3040">
        <v>3230000</v>
      </c>
      <c r="B3040" t="s">
        <v>11541</v>
      </c>
      <c r="C3040" s="1">
        <v>36909</v>
      </c>
      <c r="D3040" t="s">
        <v>11166</v>
      </c>
      <c r="E3040" t="str">
        <f t="shared" si="150"/>
        <v>서울특별시</v>
      </c>
      <c r="F3040" t="str">
        <f t="shared" si="151"/>
        <v xml:space="preserve">송파구 </v>
      </c>
      <c r="G3040" t="str">
        <f t="shared" si="152"/>
        <v>방이동</v>
      </c>
    </row>
    <row r="3041" spans="1:9" x14ac:dyDescent="0.4">
      <c r="A3041">
        <v>3230000</v>
      </c>
      <c r="B3041" t="s">
        <v>11147</v>
      </c>
      <c r="C3041" s="1">
        <v>37011</v>
      </c>
      <c r="D3041" t="s">
        <v>11148</v>
      </c>
      <c r="E3041" t="str">
        <f t="shared" si="150"/>
        <v>서울특별시</v>
      </c>
      <c r="F3041" t="str">
        <f t="shared" si="151"/>
        <v xml:space="preserve">송파구 </v>
      </c>
      <c r="G3041" t="str">
        <f t="shared" si="152"/>
        <v>방이동</v>
      </c>
      <c r="H3041" t="s">
        <v>11149</v>
      </c>
      <c r="I3041">
        <v>5542</v>
      </c>
    </row>
    <row r="3042" spans="1:9" x14ac:dyDescent="0.4">
      <c r="A3042">
        <v>3230000</v>
      </c>
      <c r="B3042" t="s">
        <v>11156</v>
      </c>
      <c r="C3042" s="1">
        <v>37186</v>
      </c>
      <c r="D3042" t="s">
        <v>11157</v>
      </c>
      <c r="E3042" t="str">
        <f t="shared" si="150"/>
        <v>서울특별시</v>
      </c>
      <c r="F3042" t="str">
        <f t="shared" si="151"/>
        <v xml:space="preserve">송파구 </v>
      </c>
      <c r="G3042" t="str">
        <f t="shared" si="152"/>
        <v>방이동</v>
      </c>
      <c r="H3042" t="s">
        <v>11158</v>
      </c>
      <c r="I3042">
        <v>5542</v>
      </c>
    </row>
    <row r="3043" spans="1:9" x14ac:dyDescent="0.4">
      <c r="A3043">
        <v>3230000</v>
      </c>
      <c r="B3043" t="s">
        <v>11112</v>
      </c>
      <c r="C3043" s="1">
        <v>36715</v>
      </c>
      <c r="D3043" t="s">
        <v>11113</v>
      </c>
      <c r="E3043" t="str">
        <f t="shared" si="150"/>
        <v>서울특별시</v>
      </c>
      <c r="F3043" t="str">
        <f t="shared" si="151"/>
        <v xml:space="preserve">송파구 </v>
      </c>
      <c r="G3043" t="str">
        <f t="shared" si="152"/>
        <v>방이동</v>
      </c>
      <c r="H3043" t="s">
        <v>11114</v>
      </c>
      <c r="I3043">
        <v>5542</v>
      </c>
    </row>
    <row r="3044" spans="1:9" x14ac:dyDescent="0.4">
      <c r="A3044">
        <v>3230000</v>
      </c>
      <c r="B3044" t="s">
        <v>11182</v>
      </c>
      <c r="C3044" s="1">
        <v>36861</v>
      </c>
      <c r="D3044" t="s">
        <v>11183</v>
      </c>
      <c r="E3044" t="str">
        <f t="shared" si="150"/>
        <v>서울특별시</v>
      </c>
      <c r="F3044" t="str">
        <f t="shared" si="151"/>
        <v xml:space="preserve">송파구 </v>
      </c>
      <c r="G3044" t="str">
        <f t="shared" si="152"/>
        <v>방이동</v>
      </c>
      <c r="H3044" t="s">
        <v>11184</v>
      </c>
      <c r="I3044">
        <v>5542</v>
      </c>
    </row>
    <row r="3045" spans="1:9" x14ac:dyDescent="0.4">
      <c r="A3045">
        <v>3230000</v>
      </c>
      <c r="B3045" t="s">
        <v>11150</v>
      </c>
      <c r="C3045" s="1">
        <v>37146</v>
      </c>
      <c r="D3045" t="s">
        <v>11151</v>
      </c>
      <c r="E3045" t="str">
        <f t="shared" si="150"/>
        <v>서울특별시</v>
      </c>
      <c r="F3045" t="str">
        <f t="shared" si="151"/>
        <v xml:space="preserve">송파구 </v>
      </c>
      <c r="G3045" t="str">
        <f t="shared" si="152"/>
        <v>방이동</v>
      </c>
      <c r="H3045" t="s">
        <v>11152</v>
      </c>
      <c r="I3045">
        <v>5542</v>
      </c>
    </row>
    <row r="3046" spans="1:9" x14ac:dyDescent="0.4">
      <c r="A3046">
        <v>3230000</v>
      </c>
      <c r="B3046" t="s">
        <v>11315</v>
      </c>
      <c r="C3046" s="1">
        <v>37023</v>
      </c>
      <c r="D3046" t="s">
        <v>11316</v>
      </c>
      <c r="E3046" t="str">
        <f t="shared" si="150"/>
        <v>서울특별시</v>
      </c>
      <c r="F3046" t="str">
        <f t="shared" si="151"/>
        <v xml:space="preserve">송파구 </v>
      </c>
      <c r="G3046" t="str">
        <f t="shared" si="152"/>
        <v>방이동</v>
      </c>
    </row>
    <row r="3047" spans="1:9" x14ac:dyDescent="0.4">
      <c r="A3047">
        <v>3230000</v>
      </c>
      <c r="B3047" t="s">
        <v>11191</v>
      </c>
      <c r="C3047" s="1">
        <v>44733</v>
      </c>
      <c r="D3047" t="s">
        <v>11192</v>
      </c>
      <c r="E3047" t="str">
        <f t="shared" si="150"/>
        <v>서울특별시</v>
      </c>
      <c r="F3047" t="str">
        <f t="shared" si="151"/>
        <v xml:space="preserve">송파구 </v>
      </c>
      <c r="G3047" t="str">
        <f t="shared" si="152"/>
        <v>방이동</v>
      </c>
      <c r="H3047" t="s">
        <v>11193</v>
      </c>
      <c r="I3047">
        <v>5542</v>
      </c>
    </row>
    <row r="3048" spans="1:9" x14ac:dyDescent="0.4">
      <c r="A3048">
        <v>3230000</v>
      </c>
      <c r="B3048" t="s">
        <v>11278</v>
      </c>
      <c r="C3048" s="1">
        <v>36498</v>
      </c>
      <c r="D3048" t="s">
        <v>11279</v>
      </c>
      <c r="E3048" t="str">
        <f t="shared" si="150"/>
        <v>서울특별시</v>
      </c>
      <c r="F3048" t="str">
        <f t="shared" si="151"/>
        <v xml:space="preserve">송파구 </v>
      </c>
      <c r="G3048" t="str">
        <f t="shared" si="152"/>
        <v>방이동</v>
      </c>
      <c r="H3048" t="s">
        <v>11280</v>
      </c>
      <c r="I3048">
        <v>5542</v>
      </c>
    </row>
    <row r="3049" spans="1:9" x14ac:dyDescent="0.4">
      <c r="A3049">
        <v>3230000</v>
      </c>
      <c r="B3049" t="s">
        <v>11347</v>
      </c>
      <c r="C3049" s="1">
        <v>37669</v>
      </c>
      <c r="D3049" t="s">
        <v>11348</v>
      </c>
      <c r="E3049" t="str">
        <f t="shared" si="150"/>
        <v>서울특별시</v>
      </c>
      <c r="F3049" t="str">
        <f t="shared" si="151"/>
        <v xml:space="preserve">송파구 </v>
      </c>
      <c r="G3049" t="str">
        <f t="shared" si="152"/>
        <v>방이동</v>
      </c>
    </row>
    <row r="3050" spans="1:9" x14ac:dyDescent="0.4">
      <c r="A3050">
        <v>3230000</v>
      </c>
      <c r="B3050" t="s">
        <v>11135</v>
      </c>
      <c r="C3050" s="1">
        <v>40707</v>
      </c>
      <c r="D3050" t="s">
        <v>11136</v>
      </c>
      <c r="E3050" t="str">
        <f t="shared" si="150"/>
        <v>서울특별시</v>
      </c>
      <c r="F3050" t="str">
        <f t="shared" si="151"/>
        <v xml:space="preserve">송파구 </v>
      </c>
      <c r="G3050" t="str">
        <f t="shared" si="152"/>
        <v>방이동</v>
      </c>
      <c r="H3050" t="s">
        <v>11137</v>
      </c>
      <c r="I3050">
        <v>5543</v>
      </c>
    </row>
    <row r="3051" spans="1:9" x14ac:dyDescent="0.4">
      <c r="A3051">
        <v>3230000</v>
      </c>
      <c r="B3051" t="s">
        <v>11124</v>
      </c>
      <c r="C3051" s="1">
        <v>40611</v>
      </c>
      <c r="D3051" t="s">
        <v>11125</v>
      </c>
      <c r="E3051" t="str">
        <f t="shared" si="150"/>
        <v>서울특별시</v>
      </c>
      <c r="F3051" t="str">
        <f t="shared" si="151"/>
        <v xml:space="preserve">송파구 </v>
      </c>
      <c r="G3051" t="str">
        <f t="shared" si="152"/>
        <v>방이동</v>
      </c>
      <c r="H3051" t="s">
        <v>11126</v>
      </c>
      <c r="I3051">
        <v>5543</v>
      </c>
    </row>
    <row r="3052" spans="1:9" x14ac:dyDescent="0.4">
      <c r="A3052">
        <v>3230000</v>
      </c>
      <c r="B3052" t="s">
        <v>11401</v>
      </c>
      <c r="C3052" s="1">
        <v>36571</v>
      </c>
      <c r="D3052" t="s">
        <v>11402</v>
      </c>
      <c r="E3052" t="str">
        <f t="shared" si="150"/>
        <v>서울특별시</v>
      </c>
      <c r="F3052" t="str">
        <f t="shared" si="151"/>
        <v xml:space="preserve">송파구 </v>
      </c>
      <c r="G3052" t="str">
        <f t="shared" si="152"/>
        <v>방이동</v>
      </c>
    </row>
    <row r="3053" spans="1:9" x14ac:dyDescent="0.4">
      <c r="A3053">
        <v>3230000</v>
      </c>
      <c r="B3053" t="s">
        <v>11434</v>
      </c>
      <c r="C3053" s="1">
        <v>37126</v>
      </c>
      <c r="D3053" t="s">
        <v>11402</v>
      </c>
      <c r="E3053" t="str">
        <f t="shared" si="150"/>
        <v>서울특별시</v>
      </c>
      <c r="F3053" t="str">
        <f t="shared" si="151"/>
        <v xml:space="preserve">송파구 </v>
      </c>
      <c r="G3053" t="str">
        <f t="shared" si="152"/>
        <v>방이동</v>
      </c>
    </row>
    <row r="3054" spans="1:9" x14ac:dyDescent="0.4">
      <c r="A3054">
        <v>3230000</v>
      </c>
      <c r="B3054" t="s">
        <v>11462</v>
      </c>
      <c r="C3054" s="1">
        <v>36600</v>
      </c>
      <c r="D3054" t="s">
        <v>11402</v>
      </c>
      <c r="E3054" t="str">
        <f t="shared" si="150"/>
        <v>서울특별시</v>
      </c>
      <c r="F3054" t="str">
        <f t="shared" si="151"/>
        <v xml:space="preserve">송파구 </v>
      </c>
      <c r="G3054" t="str">
        <f t="shared" si="152"/>
        <v>방이동</v>
      </c>
    </row>
    <row r="3055" spans="1:9" x14ac:dyDescent="0.4">
      <c r="A3055">
        <v>3230000</v>
      </c>
      <c r="B3055" t="s">
        <v>11144</v>
      </c>
      <c r="C3055" s="1">
        <v>36843</v>
      </c>
      <c r="D3055" t="s">
        <v>11145</v>
      </c>
      <c r="E3055" t="str">
        <f t="shared" si="150"/>
        <v>서울특별시</v>
      </c>
      <c r="F3055" t="str">
        <f t="shared" si="151"/>
        <v xml:space="preserve">송파구 </v>
      </c>
      <c r="G3055" t="str">
        <f t="shared" si="152"/>
        <v>방이동</v>
      </c>
      <c r="H3055" t="s">
        <v>11146</v>
      </c>
      <c r="I3055">
        <v>5543</v>
      </c>
    </row>
    <row r="3056" spans="1:9" x14ac:dyDescent="0.4">
      <c r="A3056">
        <v>3230000</v>
      </c>
      <c r="B3056" t="s">
        <v>11329</v>
      </c>
      <c r="C3056" s="1">
        <v>38408</v>
      </c>
      <c r="D3056" t="s">
        <v>11330</v>
      </c>
      <c r="E3056" t="str">
        <f t="shared" si="150"/>
        <v>서울특별시</v>
      </c>
      <c r="F3056" t="str">
        <f t="shared" si="151"/>
        <v xml:space="preserve">송파구 </v>
      </c>
      <c r="G3056" t="str">
        <f t="shared" si="152"/>
        <v>방이동</v>
      </c>
    </row>
    <row r="3057" spans="1:9" x14ac:dyDescent="0.4">
      <c r="A3057">
        <v>3230000</v>
      </c>
      <c r="B3057" t="s">
        <v>11363</v>
      </c>
      <c r="C3057" s="1">
        <v>36449</v>
      </c>
      <c r="D3057" t="s">
        <v>11330</v>
      </c>
      <c r="E3057" t="str">
        <f t="shared" si="150"/>
        <v>서울특별시</v>
      </c>
      <c r="F3057" t="str">
        <f t="shared" si="151"/>
        <v xml:space="preserve">송파구 </v>
      </c>
      <c r="G3057" t="str">
        <f t="shared" si="152"/>
        <v>방이동</v>
      </c>
    </row>
    <row r="3058" spans="1:9" x14ac:dyDescent="0.4">
      <c r="A3058">
        <v>3230000</v>
      </c>
      <c r="B3058" t="s">
        <v>11457</v>
      </c>
      <c r="C3058" s="1">
        <v>40351</v>
      </c>
      <c r="D3058" t="s">
        <v>11330</v>
      </c>
      <c r="E3058" t="str">
        <f t="shared" si="150"/>
        <v>서울특별시</v>
      </c>
      <c r="F3058" t="str">
        <f t="shared" si="151"/>
        <v xml:space="preserve">송파구 </v>
      </c>
      <c r="G3058" t="str">
        <f t="shared" si="152"/>
        <v>방이동</v>
      </c>
      <c r="H3058" t="s">
        <v>11458</v>
      </c>
      <c r="I3058">
        <v>5543</v>
      </c>
    </row>
    <row r="3059" spans="1:9" x14ac:dyDescent="0.4">
      <c r="A3059">
        <v>3230000</v>
      </c>
      <c r="B3059" t="s">
        <v>11309</v>
      </c>
      <c r="C3059" s="1">
        <v>36792</v>
      </c>
      <c r="D3059" t="s">
        <v>11310</v>
      </c>
      <c r="E3059" t="str">
        <f t="shared" si="150"/>
        <v>서울특별시</v>
      </c>
      <c r="F3059" t="str">
        <f t="shared" si="151"/>
        <v xml:space="preserve">송파구 </v>
      </c>
      <c r="G3059" t="str">
        <f t="shared" si="152"/>
        <v>방이동</v>
      </c>
    </row>
    <row r="3060" spans="1:9" x14ac:dyDescent="0.4">
      <c r="A3060">
        <v>3230000</v>
      </c>
      <c r="B3060" t="s">
        <v>11532</v>
      </c>
      <c r="C3060" s="1">
        <v>40869</v>
      </c>
      <c r="D3060" t="s">
        <v>11533</v>
      </c>
      <c r="E3060" t="str">
        <f t="shared" si="150"/>
        <v>서울특별시</v>
      </c>
      <c r="F3060" t="str">
        <f t="shared" si="151"/>
        <v xml:space="preserve">송파구 </v>
      </c>
      <c r="G3060" t="str">
        <f t="shared" si="152"/>
        <v>방이동</v>
      </c>
      <c r="H3060" t="s">
        <v>11534</v>
      </c>
      <c r="I3060">
        <v>5543</v>
      </c>
    </row>
    <row r="3061" spans="1:9" x14ac:dyDescent="0.4">
      <c r="A3061">
        <v>3230000</v>
      </c>
      <c r="B3061" t="s">
        <v>11398</v>
      </c>
      <c r="C3061" s="1">
        <v>36567</v>
      </c>
      <c r="D3061" t="s">
        <v>11399</v>
      </c>
      <c r="E3061" t="str">
        <f t="shared" si="150"/>
        <v>서울특별시</v>
      </c>
      <c r="F3061" t="str">
        <f t="shared" si="151"/>
        <v xml:space="preserve">송파구 </v>
      </c>
      <c r="G3061" t="str">
        <f t="shared" si="152"/>
        <v>방이동</v>
      </c>
      <c r="H3061" t="s">
        <v>11400</v>
      </c>
      <c r="I3061">
        <v>5543</v>
      </c>
    </row>
    <row r="3062" spans="1:9" x14ac:dyDescent="0.4">
      <c r="A3062">
        <v>3230000</v>
      </c>
      <c r="B3062" t="s">
        <v>11435</v>
      </c>
      <c r="C3062" s="1">
        <v>37141</v>
      </c>
      <c r="D3062" t="s">
        <v>11436</v>
      </c>
      <c r="E3062" t="str">
        <f t="shared" si="150"/>
        <v>서울특별시</v>
      </c>
      <c r="F3062" t="str">
        <f t="shared" si="151"/>
        <v xml:space="preserve">송파구 </v>
      </c>
      <c r="G3062" t="str">
        <f t="shared" si="152"/>
        <v>방이동</v>
      </c>
      <c r="H3062" t="s">
        <v>11437</v>
      </c>
      <c r="I3062">
        <v>5543</v>
      </c>
    </row>
    <row r="3063" spans="1:9" x14ac:dyDescent="0.4">
      <c r="A3063">
        <v>3230000</v>
      </c>
      <c r="B3063" t="s">
        <v>11520</v>
      </c>
      <c r="C3063" s="1">
        <v>36392</v>
      </c>
      <c r="D3063" t="s">
        <v>11521</v>
      </c>
      <c r="E3063" t="str">
        <f t="shared" si="150"/>
        <v>서울특별시</v>
      </c>
      <c r="F3063" t="str">
        <f t="shared" si="151"/>
        <v xml:space="preserve">송파구 </v>
      </c>
      <c r="G3063" t="str">
        <f t="shared" si="152"/>
        <v>방이동</v>
      </c>
      <c r="H3063" t="s">
        <v>11522</v>
      </c>
      <c r="I3063">
        <v>5543</v>
      </c>
    </row>
    <row r="3064" spans="1:9" x14ac:dyDescent="0.4">
      <c r="A3064">
        <v>3230000</v>
      </c>
      <c r="B3064" t="s">
        <v>11516</v>
      </c>
      <c r="C3064" s="1">
        <v>36385</v>
      </c>
      <c r="D3064" t="s">
        <v>11517</v>
      </c>
      <c r="E3064" t="str">
        <f t="shared" si="150"/>
        <v>서울특별시</v>
      </c>
      <c r="F3064" t="str">
        <f t="shared" si="151"/>
        <v xml:space="preserve">송파구 </v>
      </c>
      <c r="G3064" t="str">
        <f t="shared" si="152"/>
        <v>방이동</v>
      </c>
      <c r="H3064" t="s">
        <v>11518</v>
      </c>
      <c r="I3064">
        <v>5543</v>
      </c>
    </row>
    <row r="3065" spans="1:9" x14ac:dyDescent="0.4">
      <c r="A3065">
        <v>3230000</v>
      </c>
      <c r="B3065" t="s">
        <v>11138</v>
      </c>
      <c r="C3065" s="1">
        <v>36838</v>
      </c>
      <c r="D3065" t="s">
        <v>11139</v>
      </c>
      <c r="E3065" t="str">
        <f t="shared" si="150"/>
        <v>서울특별시</v>
      </c>
      <c r="F3065" t="str">
        <f t="shared" si="151"/>
        <v xml:space="preserve">송파구 </v>
      </c>
      <c r="G3065" t="str">
        <f t="shared" si="152"/>
        <v>방이동</v>
      </c>
      <c r="H3065" t="s">
        <v>11140</v>
      </c>
      <c r="I3065">
        <v>5543</v>
      </c>
    </row>
    <row r="3066" spans="1:9" x14ac:dyDescent="0.4">
      <c r="A3066">
        <v>3230000</v>
      </c>
      <c r="B3066" t="s">
        <v>11440</v>
      </c>
      <c r="C3066" s="1">
        <v>37156</v>
      </c>
      <c r="D3066" t="s">
        <v>11441</v>
      </c>
      <c r="E3066" t="str">
        <f t="shared" si="150"/>
        <v>서울특별시</v>
      </c>
      <c r="F3066" t="str">
        <f t="shared" si="151"/>
        <v xml:space="preserve">송파구 </v>
      </c>
      <c r="G3066" t="str">
        <f t="shared" si="152"/>
        <v>방이동</v>
      </c>
      <c r="H3066" t="s">
        <v>11442</v>
      </c>
      <c r="I3066">
        <v>5543</v>
      </c>
    </row>
    <row r="3067" spans="1:9" x14ac:dyDescent="0.4">
      <c r="A3067">
        <v>3230000</v>
      </c>
      <c r="B3067" t="s">
        <v>11260</v>
      </c>
      <c r="C3067" s="1">
        <v>34338</v>
      </c>
      <c r="D3067" t="s">
        <v>11261</v>
      </c>
      <c r="E3067" t="str">
        <f t="shared" si="150"/>
        <v>서울특별시</v>
      </c>
      <c r="F3067" t="str">
        <f t="shared" si="151"/>
        <v xml:space="preserve">송파구 </v>
      </c>
      <c r="G3067" t="str">
        <f t="shared" si="152"/>
        <v>방이동</v>
      </c>
      <c r="H3067" t="s">
        <v>11262</v>
      </c>
      <c r="I3067">
        <v>5543</v>
      </c>
    </row>
    <row r="3068" spans="1:9" x14ac:dyDescent="0.4">
      <c r="A3068">
        <v>3230000</v>
      </c>
      <c r="B3068" t="s">
        <v>11358</v>
      </c>
      <c r="C3068" s="1">
        <v>34261</v>
      </c>
      <c r="D3068" t="s">
        <v>11359</v>
      </c>
      <c r="E3068" t="str">
        <f t="shared" si="150"/>
        <v>서울특별시</v>
      </c>
      <c r="F3068" t="str">
        <f t="shared" si="151"/>
        <v xml:space="preserve">송파구 </v>
      </c>
      <c r="G3068" t="str">
        <f t="shared" si="152"/>
        <v>방이동</v>
      </c>
      <c r="H3068" t="s">
        <v>11360</v>
      </c>
      <c r="I3068">
        <v>5543</v>
      </c>
    </row>
    <row r="3069" spans="1:9" x14ac:dyDescent="0.4">
      <c r="A3069">
        <v>3230000</v>
      </c>
      <c r="B3069" t="s">
        <v>11374</v>
      </c>
      <c r="C3069" s="1">
        <v>37256</v>
      </c>
      <c r="D3069" t="s">
        <v>11375</v>
      </c>
      <c r="E3069" t="str">
        <f t="shared" si="150"/>
        <v>서울특별시</v>
      </c>
      <c r="F3069" t="str">
        <f t="shared" si="151"/>
        <v xml:space="preserve">송파구 </v>
      </c>
      <c r="G3069" t="str">
        <f t="shared" si="152"/>
        <v>방이동</v>
      </c>
      <c r="H3069" t="s">
        <v>11376</v>
      </c>
    </row>
    <row r="3070" spans="1:9" x14ac:dyDescent="0.4">
      <c r="A3070">
        <v>3230000</v>
      </c>
      <c r="B3070" t="s">
        <v>11342</v>
      </c>
      <c r="C3070" s="1">
        <v>37561</v>
      </c>
      <c r="D3070" t="s">
        <v>11343</v>
      </c>
      <c r="E3070" t="str">
        <f t="shared" si="150"/>
        <v>서울특별시</v>
      </c>
      <c r="F3070" t="str">
        <f t="shared" si="151"/>
        <v xml:space="preserve">송파구 </v>
      </c>
      <c r="G3070" t="str">
        <f t="shared" si="152"/>
        <v>방이동</v>
      </c>
      <c r="H3070" t="s">
        <v>11344</v>
      </c>
      <c r="I3070">
        <v>5543</v>
      </c>
    </row>
    <row r="3071" spans="1:9" x14ac:dyDescent="0.4">
      <c r="A3071">
        <v>3230000</v>
      </c>
      <c r="B3071" t="s">
        <v>11422</v>
      </c>
      <c r="C3071" s="1">
        <v>36396</v>
      </c>
      <c r="D3071" t="s">
        <v>11423</v>
      </c>
      <c r="E3071" t="str">
        <f t="shared" si="150"/>
        <v>서울특별시</v>
      </c>
      <c r="F3071" t="str">
        <f t="shared" si="151"/>
        <v xml:space="preserve">송파구 </v>
      </c>
      <c r="G3071" t="str">
        <f t="shared" si="152"/>
        <v>방이동</v>
      </c>
      <c r="H3071" t="s">
        <v>11424</v>
      </c>
      <c r="I3071">
        <v>5543</v>
      </c>
    </row>
    <row r="3072" spans="1:9" x14ac:dyDescent="0.4">
      <c r="A3072">
        <v>3230000</v>
      </c>
      <c r="B3072" t="s">
        <v>12179</v>
      </c>
      <c r="C3072" s="1">
        <v>40763</v>
      </c>
      <c r="D3072" t="s">
        <v>12180</v>
      </c>
      <c r="E3072" t="str">
        <f t="shared" si="150"/>
        <v>서울특별시</v>
      </c>
      <c r="F3072" t="str">
        <f t="shared" si="151"/>
        <v xml:space="preserve">송파구 </v>
      </c>
      <c r="G3072" t="str">
        <f t="shared" si="152"/>
        <v>방이동</v>
      </c>
      <c r="H3072" t="s">
        <v>12181</v>
      </c>
      <c r="I3072">
        <v>5543</v>
      </c>
    </row>
    <row r="3073" spans="1:9" x14ac:dyDescent="0.4">
      <c r="A3073">
        <v>3230000</v>
      </c>
      <c r="B3073" t="s">
        <v>11284</v>
      </c>
      <c r="C3073" s="1">
        <v>36514</v>
      </c>
      <c r="D3073" t="s">
        <v>11285</v>
      </c>
      <c r="E3073" t="str">
        <f t="shared" si="150"/>
        <v>서울특별시</v>
      </c>
      <c r="F3073" t="str">
        <f t="shared" si="151"/>
        <v xml:space="preserve">송파구 </v>
      </c>
      <c r="G3073" t="str">
        <f t="shared" si="152"/>
        <v>방이동</v>
      </c>
    </row>
    <row r="3074" spans="1:9" x14ac:dyDescent="0.4">
      <c r="A3074">
        <v>3230000</v>
      </c>
      <c r="B3074" t="s">
        <v>11467</v>
      </c>
      <c r="C3074" s="1">
        <v>31766</v>
      </c>
      <c r="D3074" t="s">
        <v>11285</v>
      </c>
      <c r="E3074" t="str">
        <f t="shared" si="150"/>
        <v>서울특별시</v>
      </c>
      <c r="F3074" t="str">
        <f t="shared" si="151"/>
        <v xml:space="preserve">송파구 </v>
      </c>
      <c r="G3074" t="str">
        <f t="shared" si="152"/>
        <v>방이동</v>
      </c>
    </row>
    <row r="3075" spans="1:9" x14ac:dyDescent="0.4">
      <c r="A3075">
        <v>3230000</v>
      </c>
      <c r="B3075" t="s">
        <v>11419</v>
      </c>
      <c r="C3075" s="1">
        <v>36369</v>
      </c>
      <c r="D3075" t="s">
        <v>11420</v>
      </c>
      <c r="E3075" t="str">
        <f t="shared" ref="E3075:E3138" si="153">LEFT(D3075,5)</f>
        <v>서울특별시</v>
      </c>
      <c r="F3075" t="str">
        <f t="shared" ref="F3075:F3138" si="154">MID(D3075,7,4)</f>
        <v xml:space="preserve">송파구 </v>
      </c>
      <c r="G3075" t="str">
        <f t="shared" ref="G3075:G3138" si="155">MID(SUBSTITUTE(D3075," ",""),9,3)</f>
        <v>방이동</v>
      </c>
      <c r="H3075" t="s">
        <v>11421</v>
      </c>
      <c r="I3075">
        <v>5543</v>
      </c>
    </row>
    <row r="3076" spans="1:9" x14ac:dyDescent="0.4">
      <c r="A3076">
        <v>3230000</v>
      </c>
      <c r="B3076" t="s">
        <v>11429</v>
      </c>
      <c r="C3076" s="1">
        <v>37110</v>
      </c>
      <c r="D3076" t="s">
        <v>11430</v>
      </c>
      <c r="E3076" t="str">
        <f t="shared" si="153"/>
        <v>서울특별시</v>
      </c>
      <c r="F3076" t="str">
        <f t="shared" si="154"/>
        <v xml:space="preserve">송파구 </v>
      </c>
      <c r="G3076" t="str">
        <f t="shared" si="155"/>
        <v>방이동</v>
      </c>
    </row>
    <row r="3077" spans="1:9" x14ac:dyDescent="0.4">
      <c r="A3077">
        <v>3230000</v>
      </c>
      <c r="B3077" t="s">
        <v>11509</v>
      </c>
      <c r="C3077" s="1">
        <v>36349</v>
      </c>
      <c r="D3077" t="s">
        <v>11510</v>
      </c>
      <c r="E3077" t="str">
        <f t="shared" si="153"/>
        <v>서울특별시</v>
      </c>
      <c r="F3077" t="str">
        <f t="shared" si="154"/>
        <v xml:space="preserve">송파구 </v>
      </c>
      <c r="G3077" t="str">
        <f t="shared" si="155"/>
        <v>방이동</v>
      </c>
      <c r="H3077" t="s">
        <v>11511</v>
      </c>
      <c r="I3077">
        <v>5543</v>
      </c>
    </row>
    <row r="3078" spans="1:9" x14ac:dyDescent="0.4">
      <c r="A3078">
        <v>3230000</v>
      </c>
      <c r="B3078" t="s">
        <v>11293</v>
      </c>
      <c r="C3078" s="1">
        <v>36602</v>
      </c>
      <c r="D3078" t="s">
        <v>11294</v>
      </c>
      <c r="E3078" t="str">
        <f t="shared" si="153"/>
        <v>서울특별시</v>
      </c>
      <c r="F3078" t="str">
        <f t="shared" si="154"/>
        <v xml:space="preserve">송파구 </v>
      </c>
      <c r="G3078" t="str">
        <f t="shared" si="155"/>
        <v>방이동</v>
      </c>
      <c r="H3078" t="s">
        <v>11295</v>
      </c>
      <c r="I3078">
        <v>5543</v>
      </c>
    </row>
    <row r="3079" spans="1:9" x14ac:dyDescent="0.4">
      <c r="A3079">
        <v>3230000</v>
      </c>
      <c r="B3079" t="s">
        <v>11427</v>
      </c>
      <c r="C3079" s="1">
        <v>37105</v>
      </c>
      <c r="D3079" t="s">
        <v>11428</v>
      </c>
      <c r="E3079" t="str">
        <f t="shared" si="153"/>
        <v>서울특별시</v>
      </c>
      <c r="F3079" t="str">
        <f t="shared" si="154"/>
        <v xml:space="preserve">송파구 </v>
      </c>
      <c r="G3079" t="str">
        <f t="shared" si="155"/>
        <v>방이동</v>
      </c>
    </row>
    <row r="3080" spans="1:9" x14ac:dyDescent="0.4">
      <c r="A3080">
        <v>3230000</v>
      </c>
      <c r="B3080" t="s">
        <v>11535</v>
      </c>
      <c r="C3080" s="1">
        <v>37195</v>
      </c>
      <c r="D3080" t="s">
        <v>11536</v>
      </c>
      <c r="E3080" t="str">
        <f t="shared" si="153"/>
        <v>서울특별시</v>
      </c>
      <c r="F3080" t="str">
        <f t="shared" si="154"/>
        <v xml:space="preserve">송파구 </v>
      </c>
      <c r="G3080" t="str">
        <f t="shared" si="155"/>
        <v>방이동</v>
      </c>
      <c r="H3080" t="s">
        <v>11537</v>
      </c>
      <c r="I3080">
        <v>5543</v>
      </c>
    </row>
    <row r="3081" spans="1:9" x14ac:dyDescent="0.4">
      <c r="A3081">
        <v>3230000</v>
      </c>
      <c r="B3081" t="s">
        <v>11544</v>
      </c>
      <c r="C3081" s="1">
        <v>36967</v>
      </c>
      <c r="D3081" t="s">
        <v>11545</v>
      </c>
      <c r="E3081" t="str">
        <f t="shared" si="153"/>
        <v>서울특별시</v>
      </c>
      <c r="F3081" t="str">
        <f t="shared" si="154"/>
        <v xml:space="preserve">송파구 </v>
      </c>
      <c r="G3081" t="str">
        <f t="shared" si="155"/>
        <v>방이동</v>
      </c>
      <c r="H3081" t="s">
        <v>11546</v>
      </c>
      <c r="I3081">
        <v>5543</v>
      </c>
    </row>
    <row r="3082" spans="1:9" x14ac:dyDescent="0.4">
      <c r="A3082">
        <v>3230000</v>
      </c>
      <c r="B3082" t="s">
        <v>11085</v>
      </c>
      <c r="C3082" s="1">
        <v>36538</v>
      </c>
      <c r="D3082" t="s">
        <v>11086</v>
      </c>
      <c r="E3082" t="str">
        <f t="shared" si="153"/>
        <v>서울특별시</v>
      </c>
      <c r="F3082" t="str">
        <f t="shared" si="154"/>
        <v xml:space="preserve">송파구 </v>
      </c>
      <c r="G3082" t="str">
        <f t="shared" si="155"/>
        <v>방이동</v>
      </c>
      <c r="H3082" t="s">
        <v>11087</v>
      </c>
      <c r="I3082">
        <v>5543</v>
      </c>
    </row>
    <row r="3083" spans="1:9" x14ac:dyDescent="0.4">
      <c r="A3083">
        <v>3230000</v>
      </c>
      <c r="B3083" t="s">
        <v>11153</v>
      </c>
      <c r="C3083" s="1">
        <v>37170</v>
      </c>
      <c r="D3083" t="s">
        <v>11154</v>
      </c>
      <c r="E3083" t="str">
        <f t="shared" si="153"/>
        <v>서울특별시</v>
      </c>
      <c r="F3083" t="str">
        <f t="shared" si="154"/>
        <v xml:space="preserve">송파구 </v>
      </c>
      <c r="G3083" t="str">
        <f t="shared" si="155"/>
        <v>방이동</v>
      </c>
      <c r="H3083" t="s">
        <v>11155</v>
      </c>
      <c r="I3083">
        <v>5543</v>
      </c>
    </row>
    <row r="3084" spans="1:9" x14ac:dyDescent="0.4">
      <c r="A3084">
        <v>3230000</v>
      </c>
      <c r="B3084" t="s">
        <v>11506</v>
      </c>
      <c r="C3084" s="1">
        <v>39224</v>
      </c>
      <c r="D3084" t="s">
        <v>11507</v>
      </c>
      <c r="E3084" t="str">
        <f t="shared" si="153"/>
        <v>서울특별시</v>
      </c>
      <c r="F3084" t="str">
        <f t="shared" si="154"/>
        <v xml:space="preserve">송파구 </v>
      </c>
      <c r="G3084" t="str">
        <f t="shared" si="155"/>
        <v>방이동</v>
      </c>
      <c r="H3084" t="s">
        <v>11508</v>
      </c>
      <c r="I3084">
        <v>5543</v>
      </c>
    </row>
    <row r="3085" spans="1:9" x14ac:dyDescent="0.4">
      <c r="A3085">
        <v>3230000</v>
      </c>
      <c r="B3085" t="s">
        <v>11060</v>
      </c>
      <c r="C3085" s="1">
        <v>36270</v>
      </c>
      <c r="D3085" t="s">
        <v>11061</v>
      </c>
      <c r="E3085" t="str">
        <f t="shared" si="153"/>
        <v>서울특별시</v>
      </c>
      <c r="F3085" t="str">
        <f t="shared" si="154"/>
        <v xml:space="preserve">송파구 </v>
      </c>
      <c r="G3085" t="str">
        <f t="shared" si="155"/>
        <v>방이동</v>
      </c>
      <c r="H3085" t="s">
        <v>11062</v>
      </c>
      <c r="I3085">
        <v>5543</v>
      </c>
    </row>
    <row r="3086" spans="1:9" x14ac:dyDescent="0.4">
      <c r="A3086">
        <v>3230000</v>
      </c>
      <c r="B3086" t="s">
        <v>11395</v>
      </c>
      <c r="C3086" s="1">
        <v>36522</v>
      </c>
      <c r="D3086" t="s">
        <v>11396</v>
      </c>
      <c r="E3086" t="str">
        <f t="shared" si="153"/>
        <v>서울특별시</v>
      </c>
      <c r="F3086" t="str">
        <f t="shared" si="154"/>
        <v xml:space="preserve">송파구 </v>
      </c>
      <c r="G3086" t="str">
        <f t="shared" si="155"/>
        <v>방이동</v>
      </c>
      <c r="H3086" t="s">
        <v>11397</v>
      </c>
      <c r="I3086">
        <v>5543</v>
      </c>
    </row>
    <row r="3087" spans="1:9" x14ac:dyDescent="0.4">
      <c r="A3087">
        <v>3230000</v>
      </c>
      <c r="B3087" t="s">
        <v>11512</v>
      </c>
      <c r="C3087" s="1">
        <v>36354</v>
      </c>
      <c r="D3087" t="s">
        <v>11513</v>
      </c>
      <c r="E3087" t="str">
        <f t="shared" si="153"/>
        <v>서울특별시</v>
      </c>
      <c r="F3087" t="str">
        <f t="shared" si="154"/>
        <v xml:space="preserve">송파구 </v>
      </c>
      <c r="G3087" t="str">
        <f t="shared" si="155"/>
        <v>방이동</v>
      </c>
      <c r="H3087" t="s">
        <v>11514</v>
      </c>
      <c r="I3087">
        <v>5543</v>
      </c>
    </row>
    <row r="3088" spans="1:9" x14ac:dyDescent="0.4">
      <c r="A3088">
        <v>3230000</v>
      </c>
      <c r="B3088" t="s">
        <v>11443</v>
      </c>
      <c r="C3088" s="1">
        <v>37173</v>
      </c>
      <c r="D3088" t="s">
        <v>11444</v>
      </c>
      <c r="E3088" t="str">
        <f t="shared" si="153"/>
        <v>서울특별시</v>
      </c>
      <c r="F3088" t="str">
        <f t="shared" si="154"/>
        <v xml:space="preserve">송파구 </v>
      </c>
      <c r="G3088" t="str">
        <f t="shared" si="155"/>
        <v>방이동</v>
      </c>
      <c r="H3088" t="s">
        <v>11445</v>
      </c>
      <c r="I3088">
        <v>5543</v>
      </c>
    </row>
    <row r="3089" spans="1:9" x14ac:dyDescent="0.4">
      <c r="A3089">
        <v>3230000</v>
      </c>
      <c r="B3089" t="s">
        <v>11273</v>
      </c>
      <c r="C3089" s="1">
        <v>36486</v>
      </c>
      <c r="D3089" t="s">
        <v>11274</v>
      </c>
      <c r="E3089" t="str">
        <f t="shared" si="153"/>
        <v>서울특별시</v>
      </c>
      <c r="F3089" t="str">
        <f t="shared" si="154"/>
        <v xml:space="preserve">송파구 </v>
      </c>
      <c r="G3089" t="str">
        <f t="shared" si="155"/>
        <v>방이동</v>
      </c>
      <c r="H3089" t="s">
        <v>11275</v>
      </c>
      <c r="I3089">
        <v>5543</v>
      </c>
    </row>
    <row r="3090" spans="1:9" x14ac:dyDescent="0.4">
      <c r="A3090">
        <v>3230000</v>
      </c>
      <c r="B3090" t="s">
        <v>10537</v>
      </c>
      <c r="C3090" s="1">
        <v>37067</v>
      </c>
      <c r="D3090" t="s">
        <v>10538</v>
      </c>
      <c r="E3090" t="str">
        <f t="shared" si="153"/>
        <v>서울특별시</v>
      </c>
      <c r="F3090" t="str">
        <f t="shared" si="154"/>
        <v xml:space="preserve">송파구 </v>
      </c>
      <c r="G3090" t="str">
        <f t="shared" si="155"/>
        <v>방이동</v>
      </c>
    </row>
    <row r="3091" spans="1:9" x14ac:dyDescent="0.4">
      <c r="A3091">
        <v>3230000</v>
      </c>
      <c r="B3091" t="s">
        <v>11302</v>
      </c>
      <c r="C3091" s="1">
        <v>37061</v>
      </c>
      <c r="D3091" t="s">
        <v>11303</v>
      </c>
      <c r="E3091" t="str">
        <f t="shared" si="153"/>
        <v>서울특별시</v>
      </c>
      <c r="F3091" t="str">
        <f t="shared" si="154"/>
        <v xml:space="preserve">송파구 </v>
      </c>
      <c r="G3091" t="str">
        <f t="shared" si="155"/>
        <v>방이동</v>
      </c>
    </row>
    <row r="3092" spans="1:9" x14ac:dyDescent="0.4">
      <c r="A3092">
        <v>3230000</v>
      </c>
      <c r="B3092" t="s">
        <v>11425</v>
      </c>
      <c r="C3092" s="1">
        <v>37061</v>
      </c>
      <c r="D3092" t="s">
        <v>11426</v>
      </c>
      <c r="E3092" t="str">
        <f t="shared" si="153"/>
        <v>서울특별시</v>
      </c>
      <c r="F3092" t="str">
        <f t="shared" si="154"/>
        <v xml:space="preserve">송파구 </v>
      </c>
      <c r="G3092" t="str">
        <f t="shared" si="155"/>
        <v>방이동</v>
      </c>
    </row>
    <row r="3093" spans="1:9" x14ac:dyDescent="0.4">
      <c r="A3093">
        <v>3230000</v>
      </c>
      <c r="B3093" t="s">
        <v>11115</v>
      </c>
      <c r="C3093" s="1">
        <v>41290</v>
      </c>
      <c r="D3093" t="s">
        <v>11116</v>
      </c>
      <c r="E3093" t="str">
        <f t="shared" si="153"/>
        <v>서울특별시</v>
      </c>
      <c r="F3093" t="str">
        <f t="shared" si="154"/>
        <v xml:space="preserve">송파구 </v>
      </c>
      <c r="G3093" t="str">
        <f t="shared" si="155"/>
        <v>방이동</v>
      </c>
      <c r="H3093" t="s">
        <v>11117</v>
      </c>
      <c r="I3093">
        <v>5543</v>
      </c>
    </row>
    <row r="3094" spans="1:9" x14ac:dyDescent="0.4">
      <c r="A3094">
        <v>3230000</v>
      </c>
      <c r="B3094" t="s">
        <v>11057</v>
      </c>
      <c r="C3094" s="1">
        <v>37396</v>
      </c>
      <c r="D3094" t="s">
        <v>11058</v>
      </c>
      <c r="E3094" t="str">
        <f t="shared" si="153"/>
        <v>서울특별시</v>
      </c>
      <c r="F3094" t="str">
        <f t="shared" si="154"/>
        <v xml:space="preserve">송파구 </v>
      </c>
      <c r="G3094" t="str">
        <f t="shared" si="155"/>
        <v>방이동</v>
      </c>
      <c r="H3094" t="s">
        <v>11059</v>
      </c>
      <c r="I3094">
        <v>5543</v>
      </c>
    </row>
    <row r="3095" spans="1:9" x14ac:dyDescent="0.4">
      <c r="A3095">
        <v>3230000</v>
      </c>
      <c r="B3095" t="s">
        <v>11304</v>
      </c>
      <c r="C3095" s="1">
        <v>36757</v>
      </c>
      <c r="D3095" t="s">
        <v>11305</v>
      </c>
      <c r="E3095" t="str">
        <f t="shared" si="153"/>
        <v>서울특별시</v>
      </c>
      <c r="F3095" t="str">
        <f t="shared" si="154"/>
        <v xml:space="preserve">송파구 </v>
      </c>
      <c r="G3095" t="str">
        <f t="shared" si="155"/>
        <v>방이동</v>
      </c>
      <c r="H3095" t="s">
        <v>11306</v>
      </c>
      <c r="I3095">
        <v>5544</v>
      </c>
    </row>
    <row r="3096" spans="1:9" x14ac:dyDescent="0.4">
      <c r="A3096">
        <v>3230000</v>
      </c>
      <c r="B3096" t="s">
        <v>11387</v>
      </c>
      <c r="C3096" s="1">
        <v>36262</v>
      </c>
      <c r="D3096" t="s">
        <v>11388</v>
      </c>
      <c r="E3096" t="str">
        <f t="shared" si="153"/>
        <v>서울특별시</v>
      </c>
      <c r="F3096" t="str">
        <f t="shared" si="154"/>
        <v xml:space="preserve">송파구 </v>
      </c>
      <c r="G3096" t="str">
        <f t="shared" si="155"/>
        <v>방이동</v>
      </c>
      <c r="H3096" t="s">
        <v>11389</v>
      </c>
      <c r="I3096">
        <v>5544</v>
      </c>
    </row>
    <row r="3097" spans="1:9" x14ac:dyDescent="0.4">
      <c r="A3097">
        <v>3230000</v>
      </c>
      <c r="B3097" t="s">
        <v>11312</v>
      </c>
      <c r="C3097" s="1">
        <v>37019</v>
      </c>
      <c r="D3097" t="s">
        <v>11313</v>
      </c>
      <c r="E3097" t="str">
        <f t="shared" si="153"/>
        <v>서울특별시</v>
      </c>
      <c r="F3097" t="str">
        <f t="shared" si="154"/>
        <v xml:space="preserve">송파구 </v>
      </c>
      <c r="G3097" t="str">
        <f t="shared" si="155"/>
        <v>방이동</v>
      </c>
      <c r="H3097" t="s">
        <v>11314</v>
      </c>
      <c r="I3097">
        <v>5544</v>
      </c>
    </row>
    <row r="3098" spans="1:9" x14ac:dyDescent="0.4">
      <c r="A3098">
        <v>3230000</v>
      </c>
      <c r="B3098" t="s">
        <v>11492</v>
      </c>
      <c r="C3098" s="1">
        <v>36349</v>
      </c>
      <c r="D3098" t="s">
        <v>11493</v>
      </c>
      <c r="E3098" t="str">
        <f t="shared" si="153"/>
        <v>서울특별시</v>
      </c>
      <c r="F3098" t="str">
        <f t="shared" si="154"/>
        <v xml:space="preserve">송파구 </v>
      </c>
      <c r="G3098" t="str">
        <f t="shared" si="155"/>
        <v>방이동</v>
      </c>
      <c r="H3098" t="s">
        <v>11494</v>
      </c>
      <c r="I3098">
        <v>5544</v>
      </c>
    </row>
    <row r="3099" spans="1:9" x14ac:dyDescent="0.4">
      <c r="A3099">
        <v>3230000</v>
      </c>
      <c r="B3099" t="s">
        <v>11554</v>
      </c>
      <c r="C3099" s="1">
        <v>36692</v>
      </c>
      <c r="D3099" t="s">
        <v>11555</v>
      </c>
      <c r="E3099" t="str">
        <f t="shared" si="153"/>
        <v>서울특별시</v>
      </c>
      <c r="F3099" t="str">
        <f t="shared" si="154"/>
        <v xml:space="preserve">송파구 </v>
      </c>
      <c r="G3099" t="str">
        <f t="shared" si="155"/>
        <v>방이동</v>
      </c>
    </row>
    <row r="3100" spans="1:9" x14ac:dyDescent="0.4">
      <c r="A3100">
        <v>3230000</v>
      </c>
      <c r="B3100" t="s">
        <v>11378</v>
      </c>
      <c r="C3100" s="1">
        <v>36322</v>
      </c>
      <c r="D3100" t="s">
        <v>11379</v>
      </c>
      <c r="E3100" t="str">
        <f t="shared" si="153"/>
        <v>서울특별시</v>
      </c>
      <c r="F3100" t="str">
        <f t="shared" si="154"/>
        <v xml:space="preserve">송파구 </v>
      </c>
      <c r="G3100" t="str">
        <f t="shared" si="155"/>
        <v>방이동</v>
      </c>
      <c r="H3100" t="s">
        <v>11380</v>
      </c>
      <c r="I3100">
        <v>5544</v>
      </c>
    </row>
    <row r="3101" spans="1:9" x14ac:dyDescent="0.4">
      <c r="A3101">
        <v>3230000</v>
      </c>
      <c r="B3101" t="s">
        <v>11463</v>
      </c>
      <c r="C3101" s="1">
        <v>38015</v>
      </c>
      <c r="D3101" t="s">
        <v>11464</v>
      </c>
      <c r="E3101" t="str">
        <f t="shared" si="153"/>
        <v>서울특별시</v>
      </c>
      <c r="F3101" t="str">
        <f t="shared" si="154"/>
        <v xml:space="preserve">송파구 </v>
      </c>
      <c r="G3101" t="str">
        <f t="shared" si="155"/>
        <v>방이동</v>
      </c>
    </row>
    <row r="3102" spans="1:9" x14ac:dyDescent="0.4">
      <c r="A3102">
        <v>3230000</v>
      </c>
      <c r="B3102" t="s">
        <v>11484</v>
      </c>
      <c r="C3102" s="1">
        <v>33165</v>
      </c>
      <c r="D3102" t="s">
        <v>11464</v>
      </c>
      <c r="E3102" t="str">
        <f t="shared" si="153"/>
        <v>서울특별시</v>
      </c>
      <c r="F3102" t="str">
        <f t="shared" si="154"/>
        <v xml:space="preserve">송파구 </v>
      </c>
      <c r="G3102" t="str">
        <f t="shared" si="155"/>
        <v>방이동</v>
      </c>
    </row>
    <row r="3103" spans="1:9" x14ac:dyDescent="0.4">
      <c r="A3103">
        <v>3230000</v>
      </c>
      <c r="B3103" t="s">
        <v>11322</v>
      </c>
      <c r="C3103" s="1">
        <v>37498</v>
      </c>
      <c r="D3103" t="s">
        <v>11323</v>
      </c>
      <c r="E3103" t="str">
        <f t="shared" si="153"/>
        <v>서울특별시</v>
      </c>
      <c r="F3103" t="str">
        <f t="shared" si="154"/>
        <v xml:space="preserve">송파구 </v>
      </c>
      <c r="G3103" t="str">
        <f t="shared" si="155"/>
        <v>방이동</v>
      </c>
    </row>
    <row r="3104" spans="1:9" x14ac:dyDescent="0.4">
      <c r="A3104">
        <v>3230000</v>
      </c>
      <c r="B3104" t="s">
        <v>11370</v>
      </c>
      <c r="C3104" s="1">
        <v>37238</v>
      </c>
      <c r="D3104" t="s">
        <v>11371</v>
      </c>
      <c r="E3104" t="str">
        <f t="shared" si="153"/>
        <v>서울특별시</v>
      </c>
      <c r="F3104" t="str">
        <f t="shared" si="154"/>
        <v xml:space="preserve">송파구 </v>
      </c>
      <c r="G3104" t="str">
        <f t="shared" si="155"/>
        <v>방이동</v>
      </c>
    </row>
    <row r="3105" spans="1:9" x14ac:dyDescent="0.4">
      <c r="A3105">
        <v>3230000</v>
      </c>
      <c r="B3105" t="s">
        <v>11538</v>
      </c>
      <c r="C3105" s="1">
        <v>37195</v>
      </c>
      <c r="D3105" t="s">
        <v>11539</v>
      </c>
      <c r="E3105" t="str">
        <f t="shared" si="153"/>
        <v>서울특별시</v>
      </c>
      <c r="F3105" t="str">
        <f t="shared" si="154"/>
        <v xml:space="preserve">송파구 </v>
      </c>
      <c r="G3105" t="str">
        <f t="shared" si="155"/>
        <v>방이동</v>
      </c>
    </row>
    <row r="3106" spans="1:9" x14ac:dyDescent="0.4">
      <c r="A3106">
        <v>3230000</v>
      </c>
      <c r="B3106" t="s">
        <v>11364</v>
      </c>
      <c r="C3106" s="1">
        <v>36260</v>
      </c>
      <c r="D3106" t="s">
        <v>11365</v>
      </c>
      <c r="E3106" t="str">
        <f t="shared" si="153"/>
        <v>서울특별시</v>
      </c>
      <c r="F3106" t="str">
        <f t="shared" si="154"/>
        <v xml:space="preserve">송파구 </v>
      </c>
      <c r="G3106" t="str">
        <f t="shared" si="155"/>
        <v>방이동</v>
      </c>
    </row>
    <row r="3107" spans="1:9" x14ac:dyDescent="0.4">
      <c r="A3107">
        <v>3230000</v>
      </c>
      <c r="B3107" t="s">
        <v>11485</v>
      </c>
      <c r="C3107" s="1">
        <v>36668</v>
      </c>
      <c r="D3107" t="s">
        <v>11486</v>
      </c>
      <c r="E3107" t="str">
        <f t="shared" si="153"/>
        <v>서울특별시</v>
      </c>
      <c r="F3107" t="str">
        <f t="shared" si="154"/>
        <v xml:space="preserve">송파구 </v>
      </c>
      <c r="G3107" t="str">
        <f t="shared" si="155"/>
        <v>방이동</v>
      </c>
    </row>
    <row r="3108" spans="1:9" x14ac:dyDescent="0.4">
      <c r="A3108">
        <v>3230000</v>
      </c>
      <c r="B3108" t="s">
        <v>11454</v>
      </c>
      <c r="C3108" s="1">
        <v>40337</v>
      </c>
      <c r="D3108" t="s">
        <v>11455</v>
      </c>
      <c r="E3108" t="str">
        <f t="shared" si="153"/>
        <v>서울특별시</v>
      </c>
      <c r="F3108" t="str">
        <f t="shared" si="154"/>
        <v xml:space="preserve">송파구 </v>
      </c>
      <c r="G3108" t="str">
        <f t="shared" si="155"/>
        <v>방이동</v>
      </c>
      <c r="H3108" t="s">
        <v>11456</v>
      </c>
      <c r="I3108">
        <v>5545</v>
      </c>
    </row>
    <row r="3109" spans="1:9" x14ac:dyDescent="0.4">
      <c r="A3109">
        <v>3230000</v>
      </c>
      <c r="B3109" t="s">
        <v>11094</v>
      </c>
      <c r="C3109" s="1">
        <v>32321</v>
      </c>
      <c r="D3109" t="s">
        <v>11095</v>
      </c>
      <c r="E3109" t="str">
        <f t="shared" si="153"/>
        <v>서울특별시</v>
      </c>
      <c r="F3109" t="str">
        <f t="shared" si="154"/>
        <v xml:space="preserve">송파구 </v>
      </c>
      <c r="G3109" t="str">
        <f t="shared" si="155"/>
        <v>방이동</v>
      </c>
      <c r="H3109" t="s">
        <v>11096</v>
      </c>
      <c r="I3109">
        <v>5544</v>
      </c>
    </row>
    <row r="3110" spans="1:9" x14ac:dyDescent="0.4">
      <c r="A3110">
        <v>3230000</v>
      </c>
      <c r="B3110" t="s">
        <v>11307</v>
      </c>
      <c r="C3110" s="1">
        <v>36764</v>
      </c>
      <c r="D3110" t="s">
        <v>11308</v>
      </c>
      <c r="E3110" t="str">
        <f t="shared" si="153"/>
        <v>서울특별시</v>
      </c>
      <c r="F3110" t="str">
        <f t="shared" si="154"/>
        <v xml:space="preserve">송파구 </v>
      </c>
      <c r="G3110" t="str">
        <f t="shared" si="155"/>
        <v>방이동</v>
      </c>
    </row>
    <row r="3111" spans="1:9" x14ac:dyDescent="0.4">
      <c r="A3111">
        <v>3230000</v>
      </c>
      <c r="B3111" t="s">
        <v>11290</v>
      </c>
      <c r="C3111" s="1">
        <v>36881</v>
      </c>
      <c r="D3111" t="s">
        <v>11291</v>
      </c>
      <c r="E3111" t="str">
        <f t="shared" si="153"/>
        <v>서울특별시</v>
      </c>
      <c r="F3111" t="str">
        <f t="shared" si="154"/>
        <v xml:space="preserve">송파구 </v>
      </c>
      <c r="G3111" t="str">
        <f t="shared" si="155"/>
        <v>방이동</v>
      </c>
      <c r="H3111" t="s">
        <v>11292</v>
      </c>
      <c r="I3111">
        <v>5545</v>
      </c>
    </row>
    <row r="3112" spans="1:9" x14ac:dyDescent="0.4">
      <c r="A3112">
        <v>3230000</v>
      </c>
      <c r="B3112" t="s">
        <v>11179</v>
      </c>
      <c r="C3112" s="1">
        <v>43658</v>
      </c>
      <c r="D3112" t="s">
        <v>11180</v>
      </c>
      <c r="E3112" t="str">
        <f t="shared" si="153"/>
        <v>서울특별시</v>
      </c>
      <c r="F3112" t="str">
        <f t="shared" si="154"/>
        <v xml:space="preserve">송파구 </v>
      </c>
      <c r="G3112" t="str">
        <f t="shared" si="155"/>
        <v>석촌동</v>
      </c>
      <c r="H3112" t="s">
        <v>11181</v>
      </c>
      <c r="I3112">
        <v>5610</v>
      </c>
    </row>
    <row r="3113" spans="1:9" x14ac:dyDescent="0.4">
      <c r="A3113">
        <v>3230000</v>
      </c>
      <c r="B3113" t="s">
        <v>11270</v>
      </c>
      <c r="C3113" s="1">
        <v>37602</v>
      </c>
      <c r="D3113" t="s">
        <v>11271</v>
      </c>
      <c r="E3113" t="str">
        <f t="shared" si="153"/>
        <v>서울특별시</v>
      </c>
      <c r="F3113" t="str">
        <f t="shared" si="154"/>
        <v xml:space="preserve">송파구 </v>
      </c>
      <c r="G3113" t="str">
        <f t="shared" si="155"/>
        <v>석촌동</v>
      </c>
      <c r="H3113" t="s">
        <v>11272</v>
      </c>
      <c r="I3113">
        <v>5610</v>
      </c>
    </row>
    <row r="3114" spans="1:9" x14ac:dyDescent="0.4">
      <c r="A3114">
        <v>3230000</v>
      </c>
      <c r="B3114" t="s">
        <v>11446</v>
      </c>
      <c r="C3114" s="1">
        <v>39440</v>
      </c>
      <c r="D3114" t="s">
        <v>11447</v>
      </c>
      <c r="E3114" t="str">
        <f t="shared" si="153"/>
        <v>서울특별시</v>
      </c>
      <c r="F3114" t="str">
        <f t="shared" si="154"/>
        <v xml:space="preserve">송파구 </v>
      </c>
      <c r="G3114" t="str">
        <f t="shared" si="155"/>
        <v>석촌동</v>
      </c>
      <c r="H3114" t="s">
        <v>11448</v>
      </c>
      <c r="I3114">
        <v>5610</v>
      </c>
    </row>
    <row r="3115" spans="1:9" x14ac:dyDescent="0.4">
      <c r="A3115">
        <v>3230000</v>
      </c>
      <c r="B3115" t="s">
        <v>11132</v>
      </c>
      <c r="C3115" s="1">
        <v>45092</v>
      </c>
      <c r="D3115" t="s">
        <v>11133</v>
      </c>
      <c r="E3115" t="str">
        <f t="shared" si="153"/>
        <v>서울특별시</v>
      </c>
      <c r="F3115" t="str">
        <f t="shared" si="154"/>
        <v xml:space="preserve">송파구 </v>
      </c>
      <c r="G3115" t="str">
        <f t="shared" si="155"/>
        <v>석촌동</v>
      </c>
      <c r="H3115" t="s">
        <v>11134</v>
      </c>
      <c r="I3115">
        <v>5612</v>
      </c>
    </row>
    <row r="3116" spans="1:9" x14ac:dyDescent="0.4">
      <c r="A3116">
        <v>3230000</v>
      </c>
      <c r="B3116" t="s">
        <v>11097</v>
      </c>
      <c r="C3116" s="1">
        <v>45106</v>
      </c>
      <c r="D3116" t="s">
        <v>11098</v>
      </c>
      <c r="E3116" t="str">
        <f t="shared" si="153"/>
        <v>서울특별시</v>
      </c>
      <c r="F3116" t="str">
        <f t="shared" si="154"/>
        <v xml:space="preserve">송파구 </v>
      </c>
      <c r="G3116" t="str">
        <f t="shared" si="155"/>
        <v>석촌동</v>
      </c>
      <c r="H3116" t="s">
        <v>11099</v>
      </c>
      <c r="I3116">
        <v>5612</v>
      </c>
    </row>
    <row r="3117" spans="1:9" x14ac:dyDescent="0.4">
      <c r="A3117">
        <v>3230000</v>
      </c>
      <c r="B3117" t="s">
        <v>11465</v>
      </c>
      <c r="C3117" s="1">
        <v>44279</v>
      </c>
      <c r="D3117" t="s">
        <v>11466</v>
      </c>
      <c r="E3117" t="str">
        <f t="shared" si="153"/>
        <v>서울특별시</v>
      </c>
      <c r="F3117" t="str">
        <f t="shared" si="154"/>
        <v xml:space="preserve">송파구 </v>
      </c>
      <c r="G3117" t="str">
        <f t="shared" si="155"/>
        <v>석촌동</v>
      </c>
      <c r="H3117" t="s">
        <v>11134</v>
      </c>
      <c r="I3117">
        <v>5612</v>
      </c>
    </row>
    <row r="3118" spans="1:9" x14ac:dyDescent="0.4">
      <c r="A3118">
        <v>3230000</v>
      </c>
      <c r="B3118" t="s">
        <v>11349</v>
      </c>
      <c r="C3118" s="1">
        <v>42254</v>
      </c>
      <c r="D3118" t="s">
        <v>11350</v>
      </c>
      <c r="E3118" t="str">
        <f t="shared" si="153"/>
        <v>서울특별시</v>
      </c>
      <c r="F3118" t="str">
        <f t="shared" si="154"/>
        <v xml:space="preserve">송파구 </v>
      </c>
      <c r="G3118" t="str">
        <f t="shared" si="155"/>
        <v>석촌동</v>
      </c>
      <c r="H3118" t="s">
        <v>11351</v>
      </c>
      <c r="I3118">
        <v>5612</v>
      </c>
    </row>
    <row r="3119" spans="1:9" x14ac:dyDescent="0.4">
      <c r="A3119">
        <v>3230000</v>
      </c>
      <c r="B3119" t="s">
        <v>11352</v>
      </c>
      <c r="C3119" s="1">
        <v>42254</v>
      </c>
      <c r="D3119" t="s">
        <v>11353</v>
      </c>
      <c r="E3119" t="str">
        <f t="shared" si="153"/>
        <v>서울특별시</v>
      </c>
      <c r="F3119" t="str">
        <f t="shared" si="154"/>
        <v xml:space="preserve">송파구 </v>
      </c>
      <c r="G3119" t="str">
        <f t="shared" si="155"/>
        <v>석촌동</v>
      </c>
      <c r="H3119" t="s">
        <v>11354</v>
      </c>
      <c r="I3119">
        <v>5612</v>
      </c>
    </row>
    <row r="3120" spans="1:9" x14ac:dyDescent="0.4">
      <c r="A3120">
        <v>3230000</v>
      </c>
      <c r="B3120" t="s">
        <v>11495</v>
      </c>
      <c r="C3120" s="1">
        <v>28443</v>
      </c>
      <c r="D3120" t="s">
        <v>11496</v>
      </c>
      <c r="E3120" t="str">
        <f t="shared" si="153"/>
        <v>서울특별시</v>
      </c>
      <c r="F3120" t="str">
        <f t="shared" si="154"/>
        <v xml:space="preserve">송파구 </v>
      </c>
      <c r="G3120" t="str">
        <f t="shared" si="155"/>
        <v>석촌동</v>
      </c>
    </row>
    <row r="3121" spans="1:9" x14ac:dyDescent="0.4">
      <c r="A3121">
        <v>3230000</v>
      </c>
      <c r="B3121" t="s">
        <v>11501</v>
      </c>
      <c r="C3121" s="1">
        <v>36731</v>
      </c>
      <c r="D3121" t="s">
        <v>11502</v>
      </c>
      <c r="E3121" t="str">
        <f t="shared" si="153"/>
        <v>서울특별시</v>
      </c>
      <c r="F3121" t="str">
        <f t="shared" si="154"/>
        <v xml:space="preserve">송파구 </v>
      </c>
      <c r="G3121" t="str">
        <f t="shared" si="155"/>
        <v>잠실동</v>
      </c>
      <c r="H3121" t="s">
        <v>11503</v>
      </c>
      <c r="I3121">
        <v>5556</v>
      </c>
    </row>
    <row r="3122" spans="1:9" x14ac:dyDescent="0.4">
      <c r="A3122">
        <v>3230000</v>
      </c>
      <c r="B3122" t="s">
        <v>11320</v>
      </c>
      <c r="C3122" s="1">
        <v>37403</v>
      </c>
      <c r="D3122" t="s">
        <v>11321</v>
      </c>
      <c r="E3122" t="str">
        <f t="shared" si="153"/>
        <v>서울특별시</v>
      </c>
      <c r="F3122" t="str">
        <f t="shared" si="154"/>
        <v xml:space="preserve">송파구 </v>
      </c>
      <c r="G3122" t="str">
        <f t="shared" si="155"/>
        <v>잠실동</v>
      </c>
    </row>
    <row r="3123" spans="1:9" x14ac:dyDescent="0.4">
      <c r="A3123">
        <v>3230000</v>
      </c>
      <c r="B3123" t="s">
        <v>11438</v>
      </c>
      <c r="C3123" s="1">
        <v>37147</v>
      </c>
      <c r="D3123" t="s">
        <v>11439</v>
      </c>
      <c r="E3123" t="str">
        <f t="shared" si="153"/>
        <v>서울특별시</v>
      </c>
      <c r="F3123" t="str">
        <f t="shared" si="154"/>
        <v xml:space="preserve">송파구 </v>
      </c>
      <c r="G3123" t="str">
        <f t="shared" si="155"/>
        <v>잠실동</v>
      </c>
    </row>
    <row r="3124" spans="1:9" x14ac:dyDescent="0.4">
      <c r="A3124">
        <v>3230000</v>
      </c>
      <c r="B3124" t="s">
        <v>11470</v>
      </c>
      <c r="C3124" s="1">
        <v>32253</v>
      </c>
      <c r="D3124" t="s">
        <v>11471</v>
      </c>
      <c r="E3124" t="str">
        <f t="shared" si="153"/>
        <v>서울특별시</v>
      </c>
      <c r="F3124" t="str">
        <f t="shared" si="154"/>
        <v xml:space="preserve">송파구 </v>
      </c>
      <c r="G3124" t="str">
        <f t="shared" si="155"/>
        <v>잠실동</v>
      </c>
    </row>
    <row r="3125" spans="1:9" x14ac:dyDescent="0.4">
      <c r="A3125">
        <v>3230000</v>
      </c>
      <c r="B3125" t="s">
        <v>11276</v>
      </c>
      <c r="C3125" s="1">
        <v>36495</v>
      </c>
      <c r="D3125" t="s">
        <v>11277</v>
      </c>
      <c r="E3125" t="str">
        <f t="shared" si="153"/>
        <v>서울특별시</v>
      </c>
      <c r="F3125" t="str">
        <f t="shared" si="154"/>
        <v xml:space="preserve">송파구 </v>
      </c>
      <c r="G3125" t="str">
        <f t="shared" si="155"/>
        <v>잠실동</v>
      </c>
    </row>
    <row r="3126" spans="1:9" x14ac:dyDescent="0.4">
      <c r="A3126">
        <v>3230000</v>
      </c>
      <c r="B3126" t="s">
        <v>11311</v>
      </c>
      <c r="C3126" s="1">
        <v>36822</v>
      </c>
      <c r="D3126" t="s">
        <v>11277</v>
      </c>
      <c r="E3126" t="str">
        <f t="shared" si="153"/>
        <v>서울특별시</v>
      </c>
      <c r="F3126" t="str">
        <f t="shared" si="154"/>
        <v xml:space="preserve">송파구 </v>
      </c>
      <c r="G3126" t="str">
        <f t="shared" si="155"/>
        <v>잠실동</v>
      </c>
    </row>
    <row r="3127" spans="1:9" x14ac:dyDescent="0.4">
      <c r="A3127">
        <v>3230000</v>
      </c>
      <c r="B3127" t="s">
        <v>11337</v>
      </c>
      <c r="C3127" s="1">
        <v>37732</v>
      </c>
      <c r="D3127" t="s">
        <v>11338</v>
      </c>
      <c r="E3127" t="str">
        <f t="shared" si="153"/>
        <v>서울특별시</v>
      </c>
      <c r="F3127" t="str">
        <f t="shared" si="154"/>
        <v xml:space="preserve">송파구 </v>
      </c>
      <c r="G3127" t="str">
        <f t="shared" si="155"/>
        <v>잠실동</v>
      </c>
      <c r="H3127" t="s">
        <v>11339</v>
      </c>
      <c r="I3127">
        <v>5556</v>
      </c>
    </row>
    <row r="3128" spans="1:9" x14ac:dyDescent="0.4">
      <c r="A3128">
        <v>3230000</v>
      </c>
      <c r="B3128" t="s">
        <v>11372</v>
      </c>
      <c r="C3128" s="1">
        <v>37249</v>
      </c>
      <c r="D3128" t="s">
        <v>11373</v>
      </c>
      <c r="E3128" t="str">
        <f t="shared" si="153"/>
        <v>서울특별시</v>
      </c>
      <c r="F3128" t="str">
        <f t="shared" si="154"/>
        <v xml:space="preserve">송파구 </v>
      </c>
      <c r="G3128" t="str">
        <f t="shared" si="155"/>
        <v>잠실동</v>
      </c>
    </row>
    <row r="3129" spans="1:9" x14ac:dyDescent="0.4">
      <c r="A3129">
        <v>3230000</v>
      </c>
      <c r="B3129" t="s">
        <v>11480</v>
      </c>
      <c r="C3129" s="1">
        <v>32932</v>
      </c>
      <c r="D3129" t="s">
        <v>11373</v>
      </c>
      <c r="E3129" t="str">
        <f t="shared" si="153"/>
        <v>서울특별시</v>
      </c>
      <c r="F3129" t="str">
        <f t="shared" si="154"/>
        <v xml:space="preserve">송파구 </v>
      </c>
      <c r="G3129" t="str">
        <f t="shared" si="155"/>
        <v>잠실동</v>
      </c>
    </row>
    <row r="3130" spans="1:9" x14ac:dyDescent="0.4">
      <c r="A3130">
        <v>3230000</v>
      </c>
      <c r="B3130" t="s">
        <v>11451</v>
      </c>
      <c r="C3130" s="1">
        <v>40073</v>
      </c>
      <c r="D3130" t="s">
        <v>11452</v>
      </c>
      <c r="E3130" t="str">
        <f t="shared" si="153"/>
        <v>서울특별시</v>
      </c>
      <c r="F3130" t="str">
        <f t="shared" si="154"/>
        <v xml:space="preserve">송파구 </v>
      </c>
      <c r="G3130" t="str">
        <f t="shared" si="155"/>
        <v>잠실동</v>
      </c>
      <c r="H3130" t="s">
        <v>11453</v>
      </c>
      <c r="I3130">
        <v>5556</v>
      </c>
    </row>
    <row r="3131" spans="1:9" x14ac:dyDescent="0.4">
      <c r="A3131">
        <v>3230000</v>
      </c>
      <c r="B3131" t="s">
        <v>11281</v>
      </c>
      <c r="C3131" s="1">
        <v>36500</v>
      </c>
      <c r="D3131" t="s">
        <v>11282</v>
      </c>
      <c r="E3131" t="str">
        <f t="shared" si="153"/>
        <v>서울특별시</v>
      </c>
      <c r="F3131" t="str">
        <f t="shared" si="154"/>
        <v xml:space="preserve">송파구 </v>
      </c>
      <c r="G3131" t="str">
        <f t="shared" si="155"/>
        <v>잠실동</v>
      </c>
      <c r="H3131" t="s">
        <v>11283</v>
      </c>
      <c r="I3131">
        <v>5556</v>
      </c>
    </row>
    <row r="3132" spans="1:9" x14ac:dyDescent="0.4">
      <c r="A3132">
        <v>3230000</v>
      </c>
      <c r="B3132" t="s">
        <v>11497</v>
      </c>
      <c r="C3132" s="1">
        <v>36726</v>
      </c>
      <c r="D3132" t="s">
        <v>11498</v>
      </c>
      <c r="E3132" t="str">
        <f t="shared" si="153"/>
        <v>서울특별시</v>
      </c>
      <c r="F3132" t="str">
        <f t="shared" si="154"/>
        <v xml:space="preserve">송파구 </v>
      </c>
      <c r="G3132" t="str">
        <f t="shared" si="155"/>
        <v>잠실동</v>
      </c>
    </row>
    <row r="3133" spans="1:9" x14ac:dyDescent="0.4">
      <c r="A3133">
        <v>3230000</v>
      </c>
      <c r="B3133" t="s">
        <v>11286</v>
      </c>
      <c r="C3133" s="1">
        <v>36869</v>
      </c>
      <c r="D3133" t="s">
        <v>11287</v>
      </c>
      <c r="E3133" t="str">
        <f t="shared" si="153"/>
        <v>서울특별시</v>
      </c>
      <c r="F3133" t="str">
        <f t="shared" si="154"/>
        <v xml:space="preserve">송파구 </v>
      </c>
      <c r="G3133" t="str">
        <f t="shared" si="155"/>
        <v>잠실동</v>
      </c>
    </row>
    <row r="3134" spans="1:9" x14ac:dyDescent="0.4">
      <c r="A3134">
        <v>3230000</v>
      </c>
      <c r="B3134" t="s">
        <v>11459</v>
      </c>
      <c r="C3134" s="1">
        <v>40360</v>
      </c>
      <c r="D3134" t="s">
        <v>11460</v>
      </c>
      <c r="E3134" t="str">
        <f t="shared" si="153"/>
        <v>서울특별시</v>
      </c>
      <c r="F3134" t="str">
        <f t="shared" si="154"/>
        <v xml:space="preserve">송파구 </v>
      </c>
      <c r="G3134" t="str">
        <f t="shared" si="155"/>
        <v>잠실동</v>
      </c>
    </row>
    <row r="3135" spans="1:9" x14ac:dyDescent="0.4">
      <c r="A3135">
        <v>3230000</v>
      </c>
      <c r="B3135" t="s">
        <v>11527</v>
      </c>
      <c r="C3135" s="1">
        <v>40791</v>
      </c>
      <c r="D3135" t="s">
        <v>11460</v>
      </c>
      <c r="E3135" t="str">
        <f t="shared" si="153"/>
        <v>서울특별시</v>
      </c>
      <c r="F3135" t="str">
        <f t="shared" si="154"/>
        <v xml:space="preserve">송파구 </v>
      </c>
      <c r="G3135" t="str">
        <f t="shared" si="155"/>
        <v>잠실동</v>
      </c>
      <c r="H3135" t="s">
        <v>11528</v>
      </c>
      <c r="I3135">
        <v>5556</v>
      </c>
    </row>
    <row r="3136" spans="1:9" x14ac:dyDescent="0.4">
      <c r="A3136">
        <v>3230000</v>
      </c>
      <c r="B3136" t="s">
        <v>11106</v>
      </c>
      <c r="C3136" s="1">
        <v>36883</v>
      </c>
      <c r="D3136" t="s">
        <v>11107</v>
      </c>
      <c r="E3136" t="str">
        <f t="shared" si="153"/>
        <v>서울특별시</v>
      </c>
      <c r="F3136" t="str">
        <f t="shared" si="154"/>
        <v xml:space="preserve">송파구 </v>
      </c>
      <c r="G3136" t="str">
        <f t="shared" si="155"/>
        <v>잠실동</v>
      </c>
      <c r="H3136" t="s">
        <v>11108</v>
      </c>
      <c r="I3136">
        <v>5556</v>
      </c>
    </row>
    <row r="3137" spans="1:9" x14ac:dyDescent="0.4">
      <c r="A3137">
        <v>3230000</v>
      </c>
      <c r="B3137" t="s">
        <v>11109</v>
      </c>
      <c r="C3137" s="1">
        <v>37204</v>
      </c>
      <c r="D3137" t="s">
        <v>11110</v>
      </c>
      <c r="E3137" t="str">
        <f t="shared" si="153"/>
        <v>서울특별시</v>
      </c>
      <c r="F3137" t="str">
        <f t="shared" si="154"/>
        <v xml:space="preserve">송파구 </v>
      </c>
      <c r="G3137" t="str">
        <f t="shared" si="155"/>
        <v>잠실동</v>
      </c>
      <c r="H3137" t="s">
        <v>11111</v>
      </c>
      <c r="I3137">
        <v>5556</v>
      </c>
    </row>
    <row r="3138" spans="1:9" x14ac:dyDescent="0.4">
      <c r="A3138">
        <v>3230000</v>
      </c>
      <c r="B3138" t="s">
        <v>11300</v>
      </c>
      <c r="C3138" s="1">
        <v>36617</v>
      </c>
      <c r="D3138" t="s">
        <v>11301</v>
      </c>
      <c r="E3138" t="str">
        <f t="shared" si="153"/>
        <v>서울특별시</v>
      </c>
      <c r="F3138" t="str">
        <f t="shared" si="154"/>
        <v xml:space="preserve">송파구 </v>
      </c>
      <c r="G3138" t="str">
        <f t="shared" si="155"/>
        <v>잠실동</v>
      </c>
    </row>
    <row r="3139" spans="1:9" x14ac:dyDescent="0.4">
      <c r="A3139">
        <v>3230000</v>
      </c>
      <c r="B3139" t="s">
        <v>11103</v>
      </c>
      <c r="C3139" s="1">
        <v>40630</v>
      </c>
      <c r="D3139" t="s">
        <v>11104</v>
      </c>
      <c r="E3139" t="str">
        <f t="shared" ref="E3139:E3202" si="156">LEFT(D3139,5)</f>
        <v>서울특별시</v>
      </c>
      <c r="F3139" t="str">
        <f t="shared" ref="F3139:F3202" si="157">MID(D3139,7,4)</f>
        <v xml:space="preserve">송파구 </v>
      </c>
      <c r="G3139" t="str">
        <f t="shared" ref="G3139:G3182" si="158">MID(SUBSTITUTE(D3139," ",""),9,3)</f>
        <v>잠실동</v>
      </c>
      <c r="H3139" t="s">
        <v>11105</v>
      </c>
      <c r="I3139">
        <v>5556</v>
      </c>
    </row>
    <row r="3140" spans="1:9" x14ac:dyDescent="0.4">
      <c r="A3140">
        <v>3230000</v>
      </c>
      <c r="B3140" t="s">
        <v>11222</v>
      </c>
      <c r="C3140" s="1">
        <v>37530</v>
      </c>
      <c r="D3140" t="s">
        <v>11223</v>
      </c>
      <c r="E3140" t="str">
        <f t="shared" si="156"/>
        <v>서울특별시</v>
      </c>
      <c r="F3140" t="str">
        <f t="shared" si="157"/>
        <v xml:space="preserve">송파구 </v>
      </c>
      <c r="G3140" t="str">
        <f t="shared" si="158"/>
        <v>잠실동</v>
      </c>
      <c r="H3140" t="s">
        <v>11224</v>
      </c>
      <c r="I3140">
        <v>5556</v>
      </c>
    </row>
    <row r="3141" spans="1:9" x14ac:dyDescent="0.4">
      <c r="A3141">
        <v>3230000</v>
      </c>
      <c r="B3141" t="s">
        <v>11361</v>
      </c>
      <c r="C3141" s="1">
        <v>36448</v>
      </c>
      <c r="D3141" t="s">
        <v>11362</v>
      </c>
      <c r="E3141" t="str">
        <f t="shared" si="156"/>
        <v>서울특별시</v>
      </c>
      <c r="F3141" t="str">
        <f t="shared" si="157"/>
        <v xml:space="preserve">송파구 </v>
      </c>
      <c r="G3141" t="str">
        <f t="shared" si="158"/>
        <v>잠실동</v>
      </c>
    </row>
    <row r="3142" spans="1:9" x14ac:dyDescent="0.4">
      <c r="A3142">
        <v>3230000</v>
      </c>
      <c r="B3142" t="s">
        <v>11478</v>
      </c>
      <c r="C3142" s="1">
        <v>32886</v>
      </c>
      <c r="D3142" t="s">
        <v>11479</v>
      </c>
      <c r="E3142" t="str">
        <f t="shared" si="156"/>
        <v>서울특별시</v>
      </c>
      <c r="F3142" t="str">
        <f t="shared" si="157"/>
        <v xml:space="preserve">송파구 </v>
      </c>
      <c r="G3142" t="str">
        <f t="shared" si="158"/>
        <v>잠실동</v>
      </c>
    </row>
    <row r="3143" spans="1:9" x14ac:dyDescent="0.4">
      <c r="A3143">
        <v>3230000</v>
      </c>
      <c r="B3143" t="s">
        <v>11529</v>
      </c>
      <c r="C3143" s="1">
        <v>40840</v>
      </c>
      <c r="D3143" t="s">
        <v>11530</v>
      </c>
      <c r="E3143" t="str">
        <f t="shared" si="156"/>
        <v>서울특별시</v>
      </c>
      <c r="F3143" t="str">
        <f t="shared" si="157"/>
        <v xml:space="preserve">송파구 </v>
      </c>
      <c r="G3143" t="str">
        <f t="shared" si="158"/>
        <v>잠실동</v>
      </c>
      <c r="H3143" t="s">
        <v>11531</v>
      </c>
    </row>
    <row r="3144" spans="1:9" x14ac:dyDescent="0.4">
      <c r="A3144">
        <v>3230000</v>
      </c>
      <c r="B3144" t="s">
        <v>10532</v>
      </c>
      <c r="C3144" s="1">
        <v>31717</v>
      </c>
      <c r="D3144" t="s">
        <v>10533</v>
      </c>
      <c r="E3144" t="str">
        <f t="shared" si="156"/>
        <v>서울특별시</v>
      </c>
      <c r="F3144" t="str">
        <f t="shared" si="157"/>
        <v xml:space="preserve">송파구 </v>
      </c>
      <c r="G3144" t="str">
        <f t="shared" si="158"/>
        <v>잠실동</v>
      </c>
    </row>
    <row r="3145" spans="1:9" x14ac:dyDescent="0.4">
      <c r="A3145">
        <v>3230000</v>
      </c>
      <c r="B3145" t="s">
        <v>11331</v>
      </c>
      <c r="C3145" s="1">
        <v>38467</v>
      </c>
      <c r="D3145" t="s">
        <v>11332</v>
      </c>
      <c r="E3145" t="str">
        <f t="shared" si="156"/>
        <v>서울특별시</v>
      </c>
      <c r="F3145" t="str">
        <f t="shared" si="157"/>
        <v xml:space="preserve">송파구 </v>
      </c>
      <c r="G3145" t="str">
        <f t="shared" si="158"/>
        <v>잠실동</v>
      </c>
      <c r="H3145" t="s">
        <v>11333</v>
      </c>
      <c r="I3145">
        <v>5556</v>
      </c>
    </row>
    <row r="3146" spans="1:9" x14ac:dyDescent="0.4">
      <c r="A3146">
        <v>3230000</v>
      </c>
      <c r="B3146" t="s">
        <v>11366</v>
      </c>
      <c r="C3146" s="1">
        <v>36451</v>
      </c>
      <c r="D3146" t="s">
        <v>11367</v>
      </c>
      <c r="E3146" t="str">
        <f t="shared" si="156"/>
        <v>서울특별시</v>
      </c>
      <c r="F3146" t="str">
        <f t="shared" si="157"/>
        <v xml:space="preserve">송파구 </v>
      </c>
      <c r="G3146" t="str">
        <f t="shared" si="158"/>
        <v>잠실동</v>
      </c>
    </row>
    <row r="3147" spans="1:9" x14ac:dyDescent="0.4">
      <c r="A3147">
        <v>3230000</v>
      </c>
      <c r="B3147" t="s">
        <v>11088</v>
      </c>
      <c r="C3147" s="1">
        <v>37243</v>
      </c>
      <c r="D3147" t="s">
        <v>11089</v>
      </c>
      <c r="E3147" t="str">
        <f t="shared" si="156"/>
        <v>서울특별시</v>
      </c>
      <c r="F3147" t="str">
        <f t="shared" si="157"/>
        <v xml:space="preserve">송파구 </v>
      </c>
      <c r="G3147" t="str">
        <f t="shared" si="158"/>
        <v>잠실동</v>
      </c>
      <c r="H3147" t="s">
        <v>11090</v>
      </c>
      <c r="I3147">
        <v>5557</v>
      </c>
    </row>
    <row r="3148" spans="1:9" x14ac:dyDescent="0.4">
      <c r="A3148">
        <v>3230000</v>
      </c>
      <c r="B3148" t="s">
        <v>11403</v>
      </c>
      <c r="C3148" s="1">
        <v>36571</v>
      </c>
      <c r="D3148" t="s">
        <v>11404</v>
      </c>
      <c r="E3148" t="str">
        <f t="shared" si="156"/>
        <v>서울특별시</v>
      </c>
      <c r="F3148" t="str">
        <f t="shared" si="157"/>
        <v xml:space="preserve">송파구 </v>
      </c>
      <c r="G3148" t="str">
        <f t="shared" si="158"/>
        <v>잠실동</v>
      </c>
    </row>
    <row r="3149" spans="1:9" x14ac:dyDescent="0.4">
      <c r="A3149">
        <v>3230000</v>
      </c>
      <c r="B3149" t="s">
        <v>11121</v>
      </c>
      <c r="C3149" s="1">
        <v>40547</v>
      </c>
      <c r="D3149" t="s">
        <v>11122</v>
      </c>
      <c r="E3149" t="str">
        <f t="shared" si="156"/>
        <v>서울특별시</v>
      </c>
      <c r="F3149" t="str">
        <f t="shared" si="157"/>
        <v xml:space="preserve">송파구 </v>
      </c>
      <c r="G3149" t="str">
        <f t="shared" si="158"/>
        <v>잠실동</v>
      </c>
      <c r="H3149" t="s">
        <v>11123</v>
      </c>
      <c r="I3149">
        <v>5557</v>
      </c>
    </row>
    <row r="3150" spans="1:9" x14ac:dyDescent="0.4">
      <c r="A3150">
        <v>3230000</v>
      </c>
      <c r="B3150" t="s">
        <v>11368</v>
      </c>
      <c r="C3150" s="1">
        <v>37216</v>
      </c>
      <c r="D3150" t="s">
        <v>11369</v>
      </c>
      <c r="E3150" t="str">
        <f t="shared" si="156"/>
        <v>서울특별시</v>
      </c>
      <c r="F3150" t="str">
        <f t="shared" si="157"/>
        <v xml:space="preserve">송파구 </v>
      </c>
      <c r="G3150" t="str">
        <f t="shared" si="158"/>
        <v>잠실동</v>
      </c>
    </row>
    <row r="3151" spans="1:9" x14ac:dyDescent="0.4">
      <c r="A3151">
        <v>3230000</v>
      </c>
      <c r="B3151" t="s">
        <v>11345</v>
      </c>
      <c r="C3151" s="1">
        <v>37596</v>
      </c>
      <c r="D3151" t="s">
        <v>11346</v>
      </c>
      <c r="E3151" t="str">
        <f t="shared" si="156"/>
        <v>서울특별시</v>
      </c>
      <c r="F3151" t="str">
        <f t="shared" si="157"/>
        <v xml:space="preserve">송파구 </v>
      </c>
      <c r="G3151" t="str">
        <f t="shared" si="158"/>
        <v>잠실동</v>
      </c>
    </row>
    <row r="3152" spans="1:9" x14ac:dyDescent="0.4">
      <c r="A3152">
        <v>3230000</v>
      </c>
      <c r="B3152" t="s">
        <v>11168</v>
      </c>
      <c r="C3152" s="1">
        <v>32814</v>
      </c>
      <c r="D3152" t="s">
        <v>11169</v>
      </c>
      <c r="E3152" t="str">
        <f t="shared" si="156"/>
        <v>서울특별시</v>
      </c>
      <c r="F3152" t="str">
        <f t="shared" si="157"/>
        <v xml:space="preserve">송파구 </v>
      </c>
      <c r="G3152" t="str">
        <f t="shared" si="158"/>
        <v>잠실동</v>
      </c>
      <c r="H3152" t="s">
        <v>11170</v>
      </c>
      <c r="I3152">
        <v>5557</v>
      </c>
    </row>
    <row r="3153" spans="1:9" x14ac:dyDescent="0.4">
      <c r="A3153">
        <v>3230000</v>
      </c>
      <c r="B3153" t="s">
        <v>11490</v>
      </c>
      <c r="C3153" s="1">
        <v>34215</v>
      </c>
      <c r="D3153" t="s">
        <v>11491</v>
      </c>
      <c r="E3153" t="str">
        <f t="shared" si="156"/>
        <v>서울특별시</v>
      </c>
      <c r="F3153" t="str">
        <f t="shared" si="157"/>
        <v xml:space="preserve">송파구 </v>
      </c>
      <c r="G3153" t="str">
        <f t="shared" si="158"/>
        <v>잠실동</v>
      </c>
    </row>
    <row r="3154" spans="1:9" x14ac:dyDescent="0.4">
      <c r="A3154">
        <v>3230000</v>
      </c>
      <c r="B3154" t="s">
        <v>11205</v>
      </c>
      <c r="C3154" s="1">
        <v>38922</v>
      </c>
      <c r="D3154" t="s">
        <v>11206</v>
      </c>
      <c r="E3154" t="str">
        <f t="shared" si="156"/>
        <v>서울특별시</v>
      </c>
      <c r="F3154" t="str">
        <f t="shared" si="157"/>
        <v xml:space="preserve">송파구 </v>
      </c>
      <c r="G3154" t="str">
        <f t="shared" si="158"/>
        <v>잠실동</v>
      </c>
      <c r="H3154" t="s">
        <v>11207</v>
      </c>
      <c r="I3154">
        <v>5557</v>
      </c>
    </row>
    <row r="3155" spans="1:9" x14ac:dyDescent="0.4">
      <c r="A3155">
        <v>3230000</v>
      </c>
      <c r="B3155" t="s">
        <v>11468</v>
      </c>
      <c r="C3155" s="1">
        <v>31766</v>
      </c>
      <c r="D3155" t="s">
        <v>11469</v>
      </c>
      <c r="E3155" t="str">
        <f t="shared" si="156"/>
        <v>서울특별시</v>
      </c>
      <c r="F3155" t="str">
        <f t="shared" si="157"/>
        <v xml:space="preserve">송파구 </v>
      </c>
      <c r="G3155" t="str">
        <f t="shared" si="158"/>
        <v>잠실동</v>
      </c>
    </row>
    <row r="3156" spans="1:9" x14ac:dyDescent="0.4">
      <c r="A3156">
        <v>3230000</v>
      </c>
      <c r="B3156" t="s">
        <v>11410</v>
      </c>
      <c r="C3156" s="1">
        <v>34250</v>
      </c>
      <c r="D3156" t="s">
        <v>11411</v>
      </c>
      <c r="E3156" t="str">
        <f t="shared" si="156"/>
        <v>서울특별시</v>
      </c>
      <c r="F3156" t="str">
        <f t="shared" si="157"/>
        <v xml:space="preserve">송파구 </v>
      </c>
      <c r="G3156" t="str">
        <f t="shared" si="158"/>
        <v>잠실동</v>
      </c>
      <c r="H3156" t="s">
        <v>11412</v>
      </c>
      <c r="I3156">
        <v>5558</v>
      </c>
    </row>
    <row r="3157" spans="1:9" x14ac:dyDescent="0.4">
      <c r="A3157">
        <v>3230000</v>
      </c>
      <c r="B3157" t="s">
        <v>11077</v>
      </c>
      <c r="C3157" s="1">
        <v>36620</v>
      </c>
      <c r="D3157" t="s">
        <v>11078</v>
      </c>
      <c r="E3157" t="str">
        <f t="shared" si="156"/>
        <v>서울특별시</v>
      </c>
      <c r="F3157" t="str">
        <f t="shared" si="157"/>
        <v xml:space="preserve">송파구 </v>
      </c>
      <c r="G3157" t="str">
        <f t="shared" si="158"/>
        <v>잠실동</v>
      </c>
    </row>
    <row r="3158" spans="1:9" x14ac:dyDescent="0.4">
      <c r="A3158">
        <v>3230000</v>
      </c>
      <c r="B3158" t="s">
        <v>11355</v>
      </c>
      <c r="C3158" s="1">
        <v>34261</v>
      </c>
      <c r="D3158" t="s">
        <v>11356</v>
      </c>
      <c r="E3158" t="str">
        <f t="shared" si="156"/>
        <v>서울특별시</v>
      </c>
      <c r="F3158" t="str">
        <f t="shared" si="157"/>
        <v xml:space="preserve">송파구 </v>
      </c>
      <c r="G3158" t="str">
        <f t="shared" si="158"/>
        <v>잠실동</v>
      </c>
      <c r="H3158" t="s">
        <v>11357</v>
      </c>
      <c r="I3158">
        <v>5558</v>
      </c>
    </row>
    <row r="3159" spans="1:9" x14ac:dyDescent="0.4">
      <c r="A3159">
        <v>3230000</v>
      </c>
      <c r="B3159" t="s">
        <v>11499</v>
      </c>
      <c r="C3159" s="1">
        <v>36728</v>
      </c>
      <c r="D3159" t="s">
        <v>11500</v>
      </c>
      <c r="E3159" t="str">
        <f t="shared" si="156"/>
        <v>서울특별시</v>
      </c>
      <c r="F3159" t="str">
        <f t="shared" si="157"/>
        <v xml:space="preserve">송파구 </v>
      </c>
      <c r="G3159" t="str">
        <f t="shared" si="158"/>
        <v>잠실동</v>
      </c>
    </row>
    <row r="3160" spans="1:9" x14ac:dyDescent="0.4">
      <c r="A3160">
        <v>3230000</v>
      </c>
      <c r="B3160" t="s">
        <v>11208</v>
      </c>
      <c r="C3160" s="1">
        <v>39024</v>
      </c>
      <c r="D3160" t="s">
        <v>11209</v>
      </c>
      <c r="E3160" t="str">
        <f t="shared" si="156"/>
        <v>서울특별시</v>
      </c>
      <c r="F3160" t="str">
        <f t="shared" si="157"/>
        <v xml:space="preserve">송파구 </v>
      </c>
      <c r="G3160" t="str">
        <f t="shared" si="158"/>
        <v>잠실동</v>
      </c>
      <c r="H3160" t="s">
        <v>11210</v>
      </c>
      <c r="I3160">
        <v>5558</v>
      </c>
    </row>
    <row r="3161" spans="1:9" x14ac:dyDescent="0.4">
      <c r="A3161">
        <v>3230000</v>
      </c>
      <c r="B3161" t="s">
        <v>11298</v>
      </c>
      <c r="C3161" s="1">
        <v>36612</v>
      </c>
      <c r="D3161" t="s">
        <v>11299</v>
      </c>
      <c r="E3161" t="str">
        <f t="shared" si="156"/>
        <v>서울특별시</v>
      </c>
      <c r="F3161" t="str">
        <f t="shared" si="157"/>
        <v xml:space="preserve">송파구 </v>
      </c>
      <c r="G3161" t="str">
        <f t="shared" si="158"/>
        <v>잠실동</v>
      </c>
    </row>
    <row r="3162" spans="1:9" x14ac:dyDescent="0.4">
      <c r="A3162">
        <v>3230000</v>
      </c>
      <c r="B3162" t="s">
        <v>11481</v>
      </c>
      <c r="C3162" s="1">
        <v>33116</v>
      </c>
      <c r="D3162" t="s">
        <v>11482</v>
      </c>
      <c r="E3162" t="str">
        <f t="shared" si="156"/>
        <v>서울특별시</v>
      </c>
      <c r="F3162" t="str">
        <f t="shared" si="157"/>
        <v xml:space="preserve">송파구 </v>
      </c>
      <c r="G3162" t="str">
        <f t="shared" si="158"/>
        <v>잠실동</v>
      </c>
      <c r="H3162" t="s">
        <v>11483</v>
      </c>
      <c r="I3162">
        <v>5558</v>
      </c>
    </row>
    <row r="3163" spans="1:9" x14ac:dyDescent="0.4">
      <c r="A3163">
        <v>3230000</v>
      </c>
      <c r="B3163" t="s">
        <v>11393</v>
      </c>
      <c r="C3163" s="1">
        <v>36438</v>
      </c>
      <c r="D3163" t="s">
        <v>11394</v>
      </c>
      <c r="E3163" t="str">
        <f t="shared" si="156"/>
        <v>서울특별시</v>
      </c>
      <c r="F3163" t="str">
        <f t="shared" si="157"/>
        <v xml:space="preserve">송파구 </v>
      </c>
      <c r="G3163" t="str">
        <f t="shared" si="158"/>
        <v>잠실동</v>
      </c>
    </row>
    <row r="3164" spans="1:9" x14ac:dyDescent="0.4">
      <c r="A3164">
        <v>3230000</v>
      </c>
      <c r="B3164" t="s">
        <v>11177</v>
      </c>
      <c r="C3164" s="1">
        <v>36656</v>
      </c>
      <c r="D3164" t="s">
        <v>11178</v>
      </c>
      <c r="E3164" t="str">
        <f t="shared" si="156"/>
        <v>서울특별시</v>
      </c>
      <c r="F3164" t="str">
        <f t="shared" si="157"/>
        <v xml:space="preserve">송파구 </v>
      </c>
      <c r="G3164" t="str">
        <f t="shared" si="158"/>
        <v>잠실동</v>
      </c>
    </row>
    <row r="3165" spans="1:9" x14ac:dyDescent="0.4">
      <c r="A3165">
        <v>3230000</v>
      </c>
      <c r="B3165" t="s">
        <v>11472</v>
      </c>
      <c r="C3165" s="1">
        <v>32387</v>
      </c>
      <c r="D3165" t="s">
        <v>11473</v>
      </c>
      <c r="E3165" t="str">
        <f t="shared" si="156"/>
        <v>서울특별시</v>
      </c>
      <c r="F3165" t="str">
        <f t="shared" si="157"/>
        <v xml:space="preserve">송파구 </v>
      </c>
      <c r="G3165" t="str">
        <f t="shared" si="158"/>
        <v>잠실동</v>
      </c>
    </row>
    <row r="3166" spans="1:9" x14ac:dyDescent="0.4">
      <c r="A3166">
        <v>3230000</v>
      </c>
      <c r="B3166" t="s">
        <v>11474</v>
      </c>
      <c r="C3166" s="1">
        <v>32519</v>
      </c>
      <c r="D3166" t="s">
        <v>11473</v>
      </c>
      <c r="E3166" t="str">
        <f t="shared" si="156"/>
        <v>서울특별시</v>
      </c>
      <c r="F3166" t="str">
        <f t="shared" si="157"/>
        <v xml:space="preserve">송파구 </v>
      </c>
      <c r="G3166" t="str">
        <f t="shared" si="158"/>
        <v>잠실동</v>
      </c>
    </row>
    <row r="3167" spans="1:9" x14ac:dyDescent="0.4">
      <c r="A3167">
        <v>3230000</v>
      </c>
      <c r="B3167" t="s">
        <v>11477</v>
      </c>
      <c r="C3167" s="1">
        <v>32700</v>
      </c>
      <c r="D3167" t="s">
        <v>11473</v>
      </c>
      <c r="E3167" t="str">
        <f t="shared" si="156"/>
        <v>서울특별시</v>
      </c>
      <c r="F3167" t="str">
        <f t="shared" si="157"/>
        <v xml:space="preserve">송파구 </v>
      </c>
      <c r="G3167" t="str">
        <f t="shared" si="158"/>
        <v>잠실동</v>
      </c>
    </row>
    <row r="3168" spans="1:9" x14ac:dyDescent="0.4">
      <c r="A3168">
        <v>3230000</v>
      </c>
      <c r="B3168" t="s">
        <v>11523</v>
      </c>
      <c r="C3168" s="1">
        <v>31155</v>
      </c>
      <c r="D3168" t="s">
        <v>11524</v>
      </c>
      <c r="E3168" t="str">
        <f t="shared" si="156"/>
        <v>서울특별시</v>
      </c>
      <c r="F3168" t="str">
        <f t="shared" si="157"/>
        <v xml:space="preserve">송파구 </v>
      </c>
      <c r="G3168" t="str">
        <f t="shared" si="158"/>
        <v>잠실동</v>
      </c>
    </row>
    <row r="3169" spans="1:9" x14ac:dyDescent="0.4">
      <c r="A3169">
        <v>3230000</v>
      </c>
      <c r="B3169" t="s">
        <v>11408</v>
      </c>
      <c r="C3169" s="1">
        <v>31348</v>
      </c>
      <c r="D3169" t="s">
        <v>11409</v>
      </c>
      <c r="E3169" t="str">
        <f t="shared" si="156"/>
        <v>서울특별시</v>
      </c>
      <c r="F3169" t="str">
        <f t="shared" si="157"/>
        <v xml:space="preserve">송파구 </v>
      </c>
      <c r="G3169" t="str">
        <f t="shared" si="158"/>
        <v>잠실동</v>
      </c>
    </row>
    <row r="3170" spans="1:9" x14ac:dyDescent="0.4">
      <c r="A3170">
        <v>3230000</v>
      </c>
      <c r="B3170" t="s">
        <v>11413</v>
      </c>
      <c r="C3170" s="1">
        <v>29284</v>
      </c>
      <c r="D3170" t="s">
        <v>11414</v>
      </c>
      <c r="E3170" t="str">
        <f t="shared" si="156"/>
        <v>서울특별시</v>
      </c>
      <c r="F3170" t="str">
        <f t="shared" si="157"/>
        <v xml:space="preserve">송파구 </v>
      </c>
      <c r="G3170" t="str">
        <f t="shared" si="158"/>
        <v>풍납동</v>
      </c>
      <c r="H3170" t="s">
        <v>11415</v>
      </c>
      <c r="I3170">
        <v>5519</v>
      </c>
    </row>
    <row r="3171" spans="1:9" x14ac:dyDescent="0.4">
      <c r="A3171">
        <v>3140000</v>
      </c>
      <c r="B3171" t="s">
        <v>5499</v>
      </c>
      <c r="C3171" s="1">
        <v>28635</v>
      </c>
      <c r="D3171" t="s">
        <v>5500</v>
      </c>
      <c r="E3171" t="str">
        <f t="shared" si="156"/>
        <v>서울특별시</v>
      </c>
      <c r="F3171" t="str">
        <f t="shared" si="157"/>
        <v xml:space="preserve">양천구 </v>
      </c>
      <c r="G3171" t="str">
        <f>MID(SUBSTITUTE(D3171," ",""),9,2)</f>
        <v>목동</v>
      </c>
      <c r="H3171" t="s">
        <v>5501</v>
      </c>
      <c r="I3171">
        <v>7968</v>
      </c>
    </row>
    <row r="3172" spans="1:9" x14ac:dyDescent="0.4">
      <c r="A3172">
        <v>3140000</v>
      </c>
      <c r="B3172" t="s">
        <v>5502</v>
      </c>
      <c r="C3172" s="1">
        <v>28702</v>
      </c>
      <c r="D3172" t="s">
        <v>5503</v>
      </c>
      <c r="E3172" t="str">
        <f t="shared" si="156"/>
        <v>서울특별시</v>
      </c>
      <c r="F3172" t="str">
        <f t="shared" si="157"/>
        <v xml:space="preserve">양천구 </v>
      </c>
      <c r="G3172" t="str">
        <f t="shared" ref="G3172:G3179" si="159">MID(SUBSTITUTE(D3172," ",""),9,2)</f>
        <v>목동</v>
      </c>
      <c r="H3172" t="s">
        <v>5504</v>
      </c>
      <c r="I3172">
        <v>7947</v>
      </c>
    </row>
    <row r="3173" spans="1:9" x14ac:dyDescent="0.4">
      <c r="A3173">
        <v>3140000</v>
      </c>
      <c r="B3173" t="s">
        <v>5482</v>
      </c>
      <c r="C3173" s="1">
        <v>28990</v>
      </c>
      <c r="D3173" t="s">
        <v>5483</v>
      </c>
      <c r="E3173" t="str">
        <f t="shared" si="156"/>
        <v>서울특별시</v>
      </c>
      <c r="F3173" t="str">
        <f t="shared" si="157"/>
        <v xml:space="preserve">양천구 </v>
      </c>
      <c r="G3173" t="str">
        <f t="shared" si="159"/>
        <v>목동</v>
      </c>
    </row>
    <row r="3174" spans="1:9" x14ac:dyDescent="0.4">
      <c r="A3174">
        <v>3140000</v>
      </c>
      <c r="B3174" t="s">
        <v>5494</v>
      </c>
      <c r="C3174" s="1">
        <v>29126</v>
      </c>
      <c r="D3174" t="s">
        <v>5495</v>
      </c>
      <c r="E3174" t="str">
        <f t="shared" si="156"/>
        <v>서울특별시</v>
      </c>
      <c r="F3174" t="str">
        <f t="shared" si="157"/>
        <v xml:space="preserve">양천구 </v>
      </c>
      <c r="G3174" t="str">
        <f t="shared" si="159"/>
        <v>목동</v>
      </c>
      <c r="H3174" t="s">
        <v>5496</v>
      </c>
      <c r="I3174">
        <v>7951</v>
      </c>
    </row>
    <row r="3175" spans="1:9" x14ac:dyDescent="0.4">
      <c r="A3175">
        <v>3140000</v>
      </c>
      <c r="B3175" t="s">
        <v>5487</v>
      </c>
      <c r="C3175" s="1">
        <v>29521</v>
      </c>
      <c r="D3175" t="s">
        <v>5488</v>
      </c>
      <c r="E3175" t="str">
        <f t="shared" si="156"/>
        <v>서울특별시</v>
      </c>
      <c r="F3175" t="str">
        <f t="shared" si="157"/>
        <v xml:space="preserve">양천구 </v>
      </c>
      <c r="G3175" t="str">
        <f t="shared" si="159"/>
        <v>목동</v>
      </c>
    </row>
    <row r="3176" spans="1:9" x14ac:dyDescent="0.4">
      <c r="A3176">
        <v>3140000</v>
      </c>
      <c r="B3176" t="s">
        <v>5484</v>
      </c>
      <c r="C3176" s="1">
        <v>29510</v>
      </c>
      <c r="D3176" t="s">
        <v>5485</v>
      </c>
      <c r="E3176" t="str">
        <f t="shared" si="156"/>
        <v>서울특별시</v>
      </c>
      <c r="F3176" t="str">
        <f t="shared" si="157"/>
        <v xml:space="preserve">양천구 </v>
      </c>
      <c r="G3176" t="str">
        <f t="shared" si="159"/>
        <v>목동</v>
      </c>
      <c r="H3176" t="s">
        <v>5486</v>
      </c>
    </row>
    <row r="3177" spans="1:9" x14ac:dyDescent="0.4">
      <c r="A3177">
        <v>3140000</v>
      </c>
      <c r="B3177" t="s">
        <v>114</v>
      </c>
      <c r="C3177" s="1">
        <v>36318</v>
      </c>
      <c r="D3177" t="s">
        <v>115</v>
      </c>
      <c r="E3177" t="str">
        <f t="shared" si="156"/>
        <v>서울특별시</v>
      </c>
      <c r="F3177" t="str">
        <f t="shared" si="157"/>
        <v xml:space="preserve">양천구 </v>
      </c>
      <c r="G3177" t="str">
        <f t="shared" si="159"/>
        <v>목동</v>
      </c>
      <c r="H3177" t="s">
        <v>116</v>
      </c>
      <c r="I3177">
        <v>7995</v>
      </c>
    </row>
    <row r="3178" spans="1:9" x14ac:dyDescent="0.4">
      <c r="A3178">
        <v>3140000</v>
      </c>
      <c r="B3178" t="s">
        <v>5489</v>
      </c>
      <c r="C3178" s="1">
        <v>36453</v>
      </c>
      <c r="D3178" t="s">
        <v>5490</v>
      </c>
      <c r="E3178" t="str">
        <f t="shared" si="156"/>
        <v>서울특별시</v>
      </c>
      <c r="F3178" t="str">
        <f t="shared" si="157"/>
        <v xml:space="preserve">양천구 </v>
      </c>
      <c r="G3178" t="str">
        <f t="shared" si="159"/>
        <v>목동</v>
      </c>
    </row>
    <row r="3179" spans="1:9" x14ac:dyDescent="0.4">
      <c r="A3179">
        <v>3140000</v>
      </c>
      <c r="B3179" t="s">
        <v>5508</v>
      </c>
      <c r="C3179" s="1">
        <v>38111</v>
      </c>
      <c r="D3179" t="s">
        <v>5509</v>
      </c>
      <c r="E3179" t="str">
        <f t="shared" si="156"/>
        <v>서울특별시</v>
      </c>
      <c r="F3179" t="str">
        <f t="shared" si="157"/>
        <v xml:space="preserve">양천구 </v>
      </c>
      <c r="G3179" t="str">
        <f t="shared" si="159"/>
        <v>목동</v>
      </c>
    </row>
    <row r="3180" spans="1:9" x14ac:dyDescent="0.4">
      <c r="A3180">
        <v>3140000</v>
      </c>
      <c r="B3180" t="s">
        <v>5491</v>
      </c>
      <c r="C3180" s="1">
        <v>37160</v>
      </c>
      <c r="D3180" t="s">
        <v>5492</v>
      </c>
      <c r="E3180" t="str">
        <f t="shared" si="156"/>
        <v>서울특별시</v>
      </c>
      <c r="F3180" t="str">
        <f t="shared" si="157"/>
        <v xml:space="preserve">양천구 </v>
      </c>
      <c r="G3180" t="str">
        <f t="shared" si="158"/>
        <v>신정동</v>
      </c>
      <c r="H3180" t="s">
        <v>5493</v>
      </c>
      <c r="I3180">
        <v>8082</v>
      </c>
    </row>
    <row r="3181" spans="1:9" x14ac:dyDescent="0.4">
      <c r="A3181">
        <v>3140000</v>
      </c>
      <c r="B3181" t="s">
        <v>5505</v>
      </c>
      <c r="C3181" s="1">
        <v>28640</v>
      </c>
      <c r="D3181" t="s">
        <v>5506</v>
      </c>
      <c r="E3181" t="str">
        <f t="shared" si="156"/>
        <v>서울특별시</v>
      </c>
      <c r="F3181" t="str">
        <f t="shared" si="157"/>
        <v xml:space="preserve">양천구 </v>
      </c>
      <c r="G3181" t="str">
        <f t="shared" si="158"/>
        <v>신정동</v>
      </c>
      <c r="H3181" t="s">
        <v>5507</v>
      </c>
      <c r="I3181">
        <v>8082</v>
      </c>
    </row>
    <row r="3182" spans="1:9" x14ac:dyDescent="0.4">
      <c r="A3182">
        <v>3140000</v>
      </c>
      <c r="B3182" t="s">
        <v>5497</v>
      </c>
      <c r="C3182" s="1">
        <v>39386</v>
      </c>
      <c r="D3182" t="s">
        <v>5498</v>
      </c>
      <c r="E3182" t="str">
        <f t="shared" si="156"/>
        <v>서울특별시</v>
      </c>
      <c r="F3182" t="str">
        <f t="shared" si="157"/>
        <v xml:space="preserve">양천구 </v>
      </c>
      <c r="G3182" t="str">
        <f t="shared" si="158"/>
        <v>신정동</v>
      </c>
    </row>
    <row r="3183" spans="1:9" x14ac:dyDescent="0.4">
      <c r="A3183">
        <v>3180000</v>
      </c>
      <c r="B3183" t="s">
        <v>7261</v>
      </c>
      <c r="C3183" s="1">
        <v>28650</v>
      </c>
      <c r="D3183" t="s">
        <v>7262</v>
      </c>
      <c r="E3183" t="str">
        <f t="shared" si="156"/>
        <v>서울특별시</v>
      </c>
      <c r="F3183" t="str">
        <f t="shared" si="157"/>
        <v>영등포구</v>
      </c>
      <c r="G3183" t="str">
        <f>MID(SUBSTITUTE(D3183," ",""),10,3)</f>
        <v>당산동</v>
      </c>
      <c r="H3183" t="s">
        <v>7263</v>
      </c>
      <c r="I3183">
        <v>7267</v>
      </c>
    </row>
    <row r="3184" spans="1:9" x14ac:dyDescent="0.4">
      <c r="A3184">
        <v>3180000</v>
      </c>
      <c r="B3184" t="s">
        <v>7503</v>
      </c>
      <c r="C3184" s="1">
        <v>29309</v>
      </c>
      <c r="D3184" t="s">
        <v>7504</v>
      </c>
      <c r="E3184" t="str">
        <f t="shared" si="156"/>
        <v>서울특별시</v>
      </c>
      <c r="F3184" t="str">
        <f t="shared" si="157"/>
        <v>영등포구</v>
      </c>
      <c r="G3184" t="str">
        <f t="shared" ref="G3184:G3228" si="160">MID(SUBSTITUTE(D3184," ",""),10,3)</f>
        <v>당산동</v>
      </c>
      <c r="H3184" t="s">
        <v>7505</v>
      </c>
      <c r="I3184">
        <v>7263</v>
      </c>
    </row>
    <row r="3185" spans="1:9" x14ac:dyDescent="0.4">
      <c r="A3185">
        <v>3180000</v>
      </c>
      <c r="B3185" t="s">
        <v>6656</v>
      </c>
      <c r="C3185" s="1">
        <v>36655</v>
      </c>
      <c r="D3185" t="s">
        <v>6657</v>
      </c>
      <c r="E3185" t="str">
        <f t="shared" si="156"/>
        <v>서울특별시</v>
      </c>
      <c r="F3185" t="str">
        <f t="shared" si="157"/>
        <v>영등포구</v>
      </c>
      <c r="G3185" t="str">
        <f t="shared" si="160"/>
        <v>당산동</v>
      </c>
      <c r="H3185" t="s">
        <v>6658</v>
      </c>
      <c r="I3185">
        <v>7263</v>
      </c>
    </row>
    <row r="3186" spans="1:9" x14ac:dyDescent="0.4">
      <c r="A3186">
        <v>3180000</v>
      </c>
      <c r="B3186" t="s">
        <v>7455</v>
      </c>
      <c r="C3186" s="1">
        <v>36518</v>
      </c>
      <c r="D3186" t="s">
        <v>7456</v>
      </c>
      <c r="E3186" t="str">
        <f t="shared" si="156"/>
        <v>서울특별시</v>
      </c>
      <c r="F3186" t="str">
        <f t="shared" si="157"/>
        <v>영등포구</v>
      </c>
      <c r="G3186" t="str">
        <f t="shared" si="160"/>
        <v>당산동</v>
      </c>
      <c r="H3186" t="s">
        <v>7457</v>
      </c>
      <c r="I3186">
        <v>7263</v>
      </c>
    </row>
    <row r="3187" spans="1:9" x14ac:dyDescent="0.4">
      <c r="A3187">
        <v>3180000</v>
      </c>
      <c r="B3187" t="s">
        <v>7135</v>
      </c>
      <c r="C3187" s="1">
        <v>31579</v>
      </c>
      <c r="D3187" t="s">
        <v>7136</v>
      </c>
      <c r="E3187" t="str">
        <f t="shared" si="156"/>
        <v>서울특별시</v>
      </c>
      <c r="F3187" t="str">
        <f t="shared" si="157"/>
        <v>영등포구</v>
      </c>
      <c r="G3187" t="str">
        <f t="shared" si="160"/>
        <v>당산동</v>
      </c>
    </row>
    <row r="3188" spans="1:9" x14ac:dyDescent="0.4">
      <c r="A3188">
        <v>3180000</v>
      </c>
      <c r="B3188" t="s">
        <v>7137</v>
      </c>
      <c r="C3188" s="1">
        <v>31579</v>
      </c>
      <c r="D3188" t="s">
        <v>7138</v>
      </c>
      <c r="E3188" t="str">
        <f t="shared" si="156"/>
        <v>서울특별시</v>
      </c>
      <c r="F3188" t="str">
        <f t="shared" si="157"/>
        <v>영등포구</v>
      </c>
      <c r="G3188" t="str">
        <f t="shared" si="160"/>
        <v>당산동</v>
      </c>
    </row>
    <row r="3189" spans="1:9" x14ac:dyDescent="0.4">
      <c r="A3189">
        <v>3180000</v>
      </c>
      <c r="B3189" t="s">
        <v>7452</v>
      </c>
      <c r="C3189" s="1">
        <v>36514</v>
      </c>
      <c r="D3189" t="s">
        <v>7453</v>
      </c>
      <c r="E3189" t="str">
        <f t="shared" si="156"/>
        <v>서울특별시</v>
      </c>
      <c r="F3189" t="str">
        <f t="shared" si="157"/>
        <v>영등포구</v>
      </c>
      <c r="G3189" t="str">
        <f t="shared" si="160"/>
        <v>당산동</v>
      </c>
      <c r="H3189" t="s">
        <v>7454</v>
      </c>
      <c r="I3189">
        <v>7213</v>
      </c>
    </row>
    <row r="3190" spans="1:9" x14ac:dyDescent="0.4">
      <c r="A3190">
        <v>3180000</v>
      </c>
      <c r="B3190" t="s">
        <v>7494</v>
      </c>
      <c r="C3190" s="1">
        <v>37494</v>
      </c>
      <c r="D3190" t="s">
        <v>7495</v>
      </c>
      <c r="E3190" t="str">
        <f t="shared" si="156"/>
        <v>서울특별시</v>
      </c>
      <c r="F3190" t="str">
        <f t="shared" si="157"/>
        <v>영등포구</v>
      </c>
      <c r="G3190" t="str">
        <f t="shared" si="160"/>
        <v>당산동</v>
      </c>
      <c r="H3190" t="s">
        <v>7496</v>
      </c>
      <c r="I3190">
        <v>7213</v>
      </c>
    </row>
    <row r="3191" spans="1:9" x14ac:dyDescent="0.4">
      <c r="A3191">
        <v>3180000</v>
      </c>
      <c r="B3191" t="s">
        <v>7309</v>
      </c>
      <c r="C3191" s="1">
        <v>36655</v>
      </c>
      <c r="D3191" t="s">
        <v>7310</v>
      </c>
      <c r="E3191" t="str">
        <f t="shared" si="156"/>
        <v>서울특별시</v>
      </c>
      <c r="F3191" t="str">
        <f t="shared" si="157"/>
        <v>영등포구</v>
      </c>
      <c r="G3191" t="str">
        <f t="shared" si="160"/>
        <v>당산동</v>
      </c>
      <c r="H3191" t="s">
        <v>7311</v>
      </c>
      <c r="I3191">
        <v>7213</v>
      </c>
    </row>
    <row r="3192" spans="1:9" x14ac:dyDescent="0.4">
      <c r="A3192">
        <v>3180000</v>
      </c>
      <c r="B3192" t="s">
        <v>6958</v>
      </c>
      <c r="C3192" s="1">
        <v>28839</v>
      </c>
      <c r="D3192" t="s">
        <v>6959</v>
      </c>
      <c r="E3192" t="str">
        <f t="shared" si="156"/>
        <v>서울특별시</v>
      </c>
      <c r="F3192" t="str">
        <f t="shared" si="157"/>
        <v>영등포구</v>
      </c>
      <c r="G3192" t="str">
        <f t="shared" si="160"/>
        <v>당산동</v>
      </c>
    </row>
    <row r="3193" spans="1:9" x14ac:dyDescent="0.4">
      <c r="A3193">
        <v>3180000</v>
      </c>
      <c r="B3193" t="s">
        <v>7212</v>
      </c>
      <c r="C3193" s="1">
        <v>35411</v>
      </c>
      <c r="D3193" t="s">
        <v>7213</v>
      </c>
      <c r="E3193" t="str">
        <f t="shared" si="156"/>
        <v>서울특별시</v>
      </c>
      <c r="F3193" t="str">
        <f t="shared" si="157"/>
        <v>영등포구</v>
      </c>
      <c r="G3193" t="str">
        <f t="shared" si="160"/>
        <v>당산동</v>
      </c>
      <c r="H3193" t="s">
        <v>7214</v>
      </c>
      <c r="I3193">
        <v>7223</v>
      </c>
    </row>
    <row r="3194" spans="1:9" x14ac:dyDescent="0.4">
      <c r="A3194">
        <v>3180000</v>
      </c>
      <c r="B3194" t="s">
        <v>7347</v>
      </c>
      <c r="C3194" s="1">
        <v>36859</v>
      </c>
      <c r="D3194" t="s">
        <v>7348</v>
      </c>
      <c r="E3194" t="str">
        <f t="shared" si="156"/>
        <v>서울특별시</v>
      </c>
      <c r="F3194" t="str">
        <f t="shared" si="157"/>
        <v>영등포구</v>
      </c>
      <c r="G3194" t="str">
        <f t="shared" si="160"/>
        <v>당산동</v>
      </c>
      <c r="H3194" t="s">
        <v>7349</v>
      </c>
      <c r="I3194">
        <v>7223</v>
      </c>
    </row>
    <row r="3195" spans="1:9" x14ac:dyDescent="0.4">
      <c r="A3195">
        <v>3180000</v>
      </c>
      <c r="B3195" t="s">
        <v>6680</v>
      </c>
      <c r="C3195" s="1">
        <v>36238</v>
      </c>
      <c r="D3195" t="s">
        <v>6681</v>
      </c>
      <c r="E3195" t="str">
        <f t="shared" si="156"/>
        <v>서울특별시</v>
      </c>
      <c r="F3195" t="str">
        <f t="shared" si="157"/>
        <v>영등포구</v>
      </c>
      <c r="G3195" t="str">
        <f t="shared" si="160"/>
        <v>당산동</v>
      </c>
    </row>
    <row r="3196" spans="1:9" x14ac:dyDescent="0.4">
      <c r="A3196">
        <v>3180000</v>
      </c>
      <c r="B3196" t="s">
        <v>7356</v>
      </c>
      <c r="C3196" s="1">
        <v>37670</v>
      </c>
      <c r="D3196" t="s">
        <v>7357</v>
      </c>
      <c r="E3196" t="str">
        <f t="shared" si="156"/>
        <v>서울특별시</v>
      </c>
      <c r="F3196" t="str">
        <f t="shared" si="157"/>
        <v>영등포구</v>
      </c>
      <c r="G3196" t="str">
        <f t="shared" si="160"/>
        <v>당산동</v>
      </c>
      <c r="H3196" t="s">
        <v>7358</v>
      </c>
      <c r="I3196">
        <v>7222</v>
      </c>
    </row>
    <row r="3197" spans="1:9" x14ac:dyDescent="0.4">
      <c r="A3197">
        <v>3180000</v>
      </c>
      <c r="B3197" t="s">
        <v>7376</v>
      </c>
      <c r="C3197" s="1">
        <v>37235</v>
      </c>
      <c r="D3197" t="s">
        <v>7377</v>
      </c>
      <c r="E3197" t="str">
        <f t="shared" si="156"/>
        <v>서울특별시</v>
      </c>
      <c r="F3197" t="str">
        <f t="shared" si="157"/>
        <v>영등포구</v>
      </c>
      <c r="G3197" t="str">
        <f t="shared" si="160"/>
        <v>당산동</v>
      </c>
      <c r="H3197" t="s">
        <v>7378</v>
      </c>
      <c r="I3197">
        <v>7222</v>
      </c>
    </row>
    <row r="3198" spans="1:9" x14ac:dyDescent="0.4">
      <c r="A3198">
        <v>3180000</v>
      </c>
      <c r="B3198" t="s">
        <v>6566</v>
      </c>
      <c r="C3198" s="1">
        <v>29472</v>
      </c>
      <c r="D3198" t="s">
        <v>6567</v>
      </c>
      <c r="E3198" t="str">
        <f t="shared" si="156"/>
        <v>서울특별시</v>
      </c>
      <c r="F3198" t="str">
        <f t="shared" si="157"/>
        <v>영등포구</v>
      </c>
      <c r="G3198" t="str">
        <f t="shared" si="160"/>
        <v>당산동</v>
      </c>
      <c r="H3198" t="s">
        <v>6568</v>
      </c>
      <c r="I3198">
        <v>7222</v>
      </c>
    </row>
    <row r="3199" spans="1:9" x14ac:dyDescent="0.4">
      <c r="A3199">
        <v>3180000</v>
      </c>
      <c r="B3199" t="s">
        <v>7258</v>
      </c>
      <c r="C3199" s="1">
        <v>28257</v>
      </c>
      <c r="D3199" t="s">
        <v>7259</v>
      </c>
      <c r="E3199" t="str">
        <f t="shared" si="156"/>
        <v>서울특별시</v>
      </c>
      <c r="F3199" t="str">
        <f t="shared" si="157"/>
        <v>영등포구</v>
      </c>
      <c r="G3199" t="str">
        <f t="shared" si="160"/>
        <v>대림동</v>
      </c>
      <c r="H3199" t="s">
        <v>7260</v>
      </c>
      <c r="I3199">
        <v>7427</v>
      </c>
    </row>
    <row r="3200" spans="1:9" x14ac:dyDescent="0.4">
      <c r="A3200">
        <v>3180000</v>
      </c>
      <c r="B3200" t="s">
        <v>6961</v>
      </c>
      <c r="C3200" s="1">
        <v>29266</v>
      </c>
      <c r="D3200" t="s">
        <v>6962</v>
      </c>
      <c r="E3200" t="str">
        <f t="shared" si="156"/>
        <v>서울특별시</v>
      </c>
      <c r="F3200" t="str">
        <f t="shared" si="157"/>
        <v>영등포구</v>
      </c>
      <c r="G3200" t="str">
        <f t="shared" si="160"/>
        <v>대림동</v>
      </c>
    </row>
    <row r="3201" spans="1:9" x14ac:dyDescent="0.4">
      <c r="A3201">
        <v>3180000</v>
      </c>
      <c r="B3201" t="s">
        <v>7506</v>
      </c>
      <c r="C3201" s="1">
        <v>29376</v>
      </c>
      <c r="D3201" t="s">
        <v>7507</v>
      </c>
      <c r="E3201" t="str">
        <f t="shared" si="156"/>
        <v>서울특별시</v>
      </c>
      <c r="F3201" t="str">
        <f t="shared" si="157"/>
        <v>영등포구</v>
      </c>
      <c r="G3201" t="str">
        <f t="shared" si="160"/>
        <v>대림동</v>
      </c>
      <c r="H3201" t="s">
        <v>7508</v>
      </c>
      <c r="I3201">
        <v>7444</v>
      </c>
    </row>
    <row r="3202" spans="1:9" x14ac:dyDescent="0.4">
      <c r="A3202">
        <v>3180000</v>
      </c>
      <c r="B3202" t="s">
        <v>7500</v>
      </c>
      <c r="C3202" s="1">
        <v>28937</v>
      </c>
      <c r="D3202" t="s">
        <v>7501</v>
      </c>
      <c r="E3202" t="str">
        <f t="shared" si="156"/>
        <v>서울특별시</v>
      </c>
      <c r="F3202" t="str">
        <f t="shared" si="157"/>
        <v>영등포구</v>
      </c>
      <c r="G3202" t="str">
        <f t="shared" si="160"/>
        <v>문래동</v>
      </c>
      <c r="H3202" t="s">
        <v>7502</v>
      </c>
      <c r="I3202">
        <v>7371</v>
      </c>
    </row>
    <row r="3203" spans="1:9" x14ac:dyDescent="0.4">
      <c r="A3203">
        <v>3180000</v>
      </c>
      <c r="B3203" t="s">
        <v>6586</v>
      </c>
      <c r="C3203" s="1">
        <v>37872</v>
      </c>
      <c r="D3203" t="s">
        <v>6587</v>
      </c>
      <c r="E3203" t="str">
        <f t="shared" ref="E3203:E3266" si="161">LEFT(D3203,5)</f>
        <v>서울특별시</v>
      </c>
      <c r="F3203" t="str">
        <f t="shared" ref="F3203:F3266" si="162">MID(D3203,7,4)</f>
        <v>영등포구</v>
      </c>
      <c r="G3203" t="str">
        <f t="shared" si="160"/>
        <v>문래동</v>
      </c>
      <c r="H3203" t="s">
        <v>6588</v>
      </c>
      <c r="I3203">
        <v>7290</v>
      </c>
    </row>
    <row r="3204" spans="1:9" x14ac:dyDescent="0.4">
      <c r="A3204">
        <v>3180000</v>
      </c>
      <c r="B3204" t="s">
        <v>7170</v>
      </c>
      <c r="C3204" s="1">
        <v>36521</v>
      </c>
      <c r="D3204" t="s">
        <v>7171</v>
      </c>
      <c r="E3204" t="str">
        <f t="shared" si="161"/>
        <v>서울특별시</v>
      </c>
      <c r="F3204" t="str">
        <f t="shared" si="162"/>
        <v>영등포구</v>
      </c>
      <c r="G3204" t="str">
        <f t="shared" si="160"/>
        <v>문래동</v>
      </c>
      <c r="H3204" t="s">
        <v>7172</v>
      </c>
      <c r="I3204">
        <v>7290</v>
      </c>
    </row>
    <row r="3205" spans="1:9" x14ac:dyDescent="0.4">
      <c r="A3205">
        <v>3180000</v>
      </c>
      <c r="B3205" t="s">
        <v>6723</v>
      </c>
      <c r="C3205" s="1">
        <v>36416</v>
      </c>
      <c r="D3205" t="s">
        <v>6724</v>
      </c>
      <c r="E3205" t="str">
        <f t="shared" si="161"/>
        <v>서울특별시</v>
      </c>
      <c r="F3205" t="str">
        <f t="shared" si="162"/>
        <v>영등포구</v>
      </c>
      <c r="G3205" t="str">
        <f t="shared" si="160"/>
        <v>문래동</v>
      </c>
    </row>
    <row r="3206" spans="1:9" x14ac:dyDescent="0.4">
      <c r="A3206">
        <v>3180000</v>
      </c>
      <c r="B3206" t="s">
        <v>6580</v>
      </c>
      <c r="C3206" s="1">
        <v>37644</v>
      </c>
      <c r="D3206" t="s">
        <v>6581</v>
      </c>
      <c r="E3206" t="str">
        <f t="shared" si="161"/>
        <v>서울특별시</v>
      </c>
      <c r="F3206" t="str">
        <f t="shared" si="162"/>
        <v>영등포구</v>
      </c>
      <c r="G3206" t="str">
        <f t="shared" si="160"/>
        <v>문래동</v>
      </c>
      <c r="H3206" t="s">
        <v>6582</v>
      </c>
      <c r="I3206">
        <v>7290</v>
      </c>
    </row>
    <row r="3207" spans="1:9" x14ac:dyDescent="0.4">
      <c r="A3207">
        <v>3180000</v>
      </c>
      <c r="B3207" t="s">
        <v>6709</v>
      </c>
      <c r="C3207" s="1">
        <v>36339</v>
      </c>
      <c r="D3207" t="s">
        <v>6710</v>
      </c>
      <c r="E3207" t="str">
        <f t="shared" si="161"/>
        <v>서울특별시</v>
      </c>
      <c r="F3207" t="str">
        <f t="shared" si="162"/>
        <v>영등포구</v>
      </c>
      <c r="G3207" t="str">
        <f t="shared" si="160"/>
        <v>문래동</v>
      </c>
    </row>
    <row r="3208" spans="1:9" x14ac:dyDescent="0.4">
      <c r="A3208">
        <v>3180000</v>
      </c>
      <c r="B3208" t="s">
        <v>7007</v>
      </c>
      <c r="C3208" s="1">
        <v>37111</v>
      </c>
      <c r="D3208" t="s">
        <v>7008</v>
      </c>
      <c r="E3208" t="str">
        <f t="shared" si="161"/>
        <v>서울특별시</v>
      </c>
      <c r="F3208" t="str">
        <f t="shared" si="162"/>
        <v>영등포구</v>
      </c>
      <c r="G3208" t="str">
        <f t="shared" si="160"/>
        <v>문래동</v>
      </c>
    </row>
    <row r="3209" spans="1:9" x14ac:dyDescent="0.4">
      <c r="A3209">
        <v>3180000</v>
      </c>
      <c r="B3209" t="s">
        <v>7497</v>
      </c>
      <c r="C3209" s="1">
        <v>28830</v>
      </c>
      <c r="D3209" t="s">
        <v>7498</v>
      </c>
      <c r="E3209" t="str">
        <f t="shared" si="161"/>
        <v>서울특별시</v>
      </c>
      <c r="F3209" t="str">
        <f t="shared" si="162"/>
        <v>영등포구</v>
      </c>
      <c r="G3209" t="str">
        <f t="shared" si="160"/>
        <v>신길동</v>
      </c>
      <c r="H3209" t="s">
        <v>7499</v>
      </c>
      <c r="I3209">
        <v>7350</v>
      </c>
    </row>
    <row r="3210" spans="1:9" x14ac:dyDescent="0.4">
      <c r="A3210">
        <v>3180000</v>
      </c>
      <c r="B3210" t="s">
        <v>6939</v>
      </c>
      <c r="C3210" s="1">
        <v>37289</v>
      </c>
      <c r="D3210" t="s">
        <v>6940</v>
      </c>
      <c r="E3210" t="str">
        <f t="shared" si="161"/>
        <v>서울특별시</v>
      </c>
      <c r="F3210" t="str">
        <f t="shared" si="162"/>
        <v>영등포구</v>
      </c>
      <c r="G3210" t="str">
        <f t="shared" si="160"/>
        <v>신길동</v>
      </c>
    </row>
    <row r="3211" spans="1:9" x14ac:dyDescent="0.4">
      <c r="A3211">
        <v>3180000</v>
      </c>
      <c r="B3211" t="s">
        <v>7530</v>
      </c>
      <c r="C3211" s="1">
        <v>37183</v>
      </c>
      <c r="D3211" t="s">
        <v>7531</v>
      </c>
      <c r="E3211" t="str">
        <f t="shared" si="161"/>
        <v>서울특별시</v>
      </c>
      <c r="F3211" t="str">
        <f t="shared" si="162"/>
        <v>영등포구</v>
      </c>
      <c r="G3211" t="str">
        <f t="shared" si="160"/>
        <v>신길동</v>
      </c>
      <c r="H3211" t="s">
        <v>7532</v>
      </c>
      <c r="I3211">
        <v>7354</v>
      </c>
    </row>
    <row r="3212" spans="1:9" x14ac:dyDescent="0.4">
      <c r="A3212">
        <v>3180000</v>
      </c>
      <c r="B3212" t="s">
        <v>7524</v>
      </c>
      <c r="C3212" s="1">
        <v>37160</v>
      </c>
      <c r="D3212" t="s">
        <v>7525</v>
      </c>
      <c r="E3212" t="str">
        <f t="shared" si="161"/>
        <v>서울특별시</v>
      </c>
      <c r="F3212" t="str">
        <f t="shared" si="162"/>
        <v>영등포구</v>
      </c>
      <c r="G3212" t="str">
        <f t="shared" si="160"/>
        <v>신길동</v>
      </c>
      <c r="H3212" t="s">
        <v>7526</v>
      </c>
      <c r="I3212">
        <v>7354</v>
      </c>
    </row>
    <row r="3213" spans="1:9" x14ac:dyDescent="0.4">
      <c r="A3213">
        <v>3180000</v>
      </c>
      <c r="B3213" t="s">
        <v>7009</v>
      </c>
      <c r="C3213" s="1">
        <v>37140</v>
      </c>
      <c r="D3213" t="s">
        <v>7010</v>
      </c>
      <c r="E3213" t="str">
        <f t="shared" si="161"/>
        <v>서울특별시</v>
      </c>
      <c r="F3213" t="str">
        <f t="shared" si="162"/>
        <v>영등포구</v>
      </c>
      <c r="G3213" t="str">
        <f t="shared" si="160"/>
        <v>신길동</v>
      </c>
      <c r="H3213" t="s">
        <v>7011</v>
      </c>
      <c r="I3213">
        <v>7318</v>
      </c>
    </row>
    <row r="3214" spans="1:9" x14ac:dyDescent="0.4">
      <c r="A3214">
        <v>3180000</v>
      </c>
      <c r="B3214" t="s">
        <v>7130</v>
      </c>
      <c r="C3214" s="1">
        <v>31558</v>
      </c>
      <c r="D3214" t="s">
        <v>7131</v>
      </c>
      <c r="E3214" t="str">
        <f t="shared" si="161"/>
        <v>서울특별시</v>
      </c>
      <c r="F3214" t="str">
        <f t="shared" si="162"/>
        <v>영등포구</v>
      </c>
      <c r="G3214" t="str">
        <f t="shared" si="160"/>
        <v>신길동</v>
      </c>
      <c r="H3214" t="s">
        <v>7132</v>
      </c>
      <c r="I3214">
        <v>7318</v>
      </c>
    </row>
    <row r="3215" spans="1:9" x14ac:dyDescent="0.4">
      <c r="A3215">
        <v>3180000</v>
      </c>
      <c r="B3215" t="s">
        <v>6864</v>
      </c>
      <c r="C3215" s="1">
        <v>36978</v>
      </c>
      <c r="D3215" t="s">
        <v>6865</v>
      </c>
      <c r="E3215" t="str">
        <f t="shared" si="161"/>
        <v>서울특별시</v>
      </c>
      <c r="F3215" t="str">
        <f t="shared" si="162"/>
        <v>영등포구</v>
      </c>
      <c r="G3215" t="str">
        <f t="shared" si="160"/>
        <v>신길동</v>
      </c>
      <c r="H3215" t="s">
        <v>6866</v>
      </c>
      <c r="I3215">
        <v>7353</v>
      </c>
    </row>
    <row r="3216" spans="1:9" x14ac:dyDescent="0.4">
      <c r="A3216">
        <v>3180000</v>
      </c>
      <c r="B3216" t="s">
        <v>7332</v>
      </c>
      <c r="C3216" s="1">
        <v>36699</v>
      </c>
      <c r="D3216" t="s">
        <v>7333</v>
      </c>
      <c r="E3216" t="str">
        <f t="shared" si="161"/>
        <v>서울특별시</v>
      </c>
      <c r="F3216" t="str">
        <f t="shared" si="162"/>
        <v>영등포구</v>
      </c>
      <c r="G3216" t="str">
        <f t="shared" si="160"/>
        <v>신길동</v>
      </c>
      <c r="H3216" t="s">
        <v>7334</v>
      </c>
      <c r="I3216">
        <v>7318</v>
      </c>
    </row>
    <row r="3217" spans="1:9" x14ac:dyDescent="0.4">
      <c r="A3217">
        <v>3180000</v>
      </c>
      <c r="B3217" t="s">
        <v>6862</v>
      </c>
      <c r="C3217" s="1">
        <v>36949</v>
      </c>
      <c r="D3217" t="s">
        <v>6863</v>
      </c>
      <c r="E3217" t="str">
        <f t="shared" si="161"/>
        <v>서울특별시</v>
      </c>
      <c r="F3217" t="str">
        <f t="shared" si="162"/>
        <v>영등포구</v>
      </c>
      <c r="G3217" t="str">
        <f t="shared" si="160"/>
        <v>신길동</v>
      </c>
    </row>
    <row r="3218" spans="1:9" x14ac:dyDescent="0.4">
      <c r="A3218">
        <v>3180000</v>
      </c>
      <c r="B3218" t="s">
        <v>6926</v>
      </c>
      <c r="C3218" s="1">
        <v>36627</v>
      </c>
      <c r="D3218" t="s">
        <v>6863</v>
      </c>
      <c r="E3218" t="str">
        <f t="shared" si="161"/>
        <v>서울특별시</v>
      </c>
      <c r="F3218" t="str">
        <f t="shared" si="162"/>
        <v>영등포구</v>
      </c>
      <c r="G3218" t="str">
        <f t="shared" si="160"/>
        <v>신길동</v>
      </c>
    </row>
    <row r="3219" spans="1:9" x14ac:dyDescent="0.4">
      <c r="A3219">
        <v>3180000</v>
      </c>
      <c r="B3219" t="s">
        <v>7488</v>
      </c>
      <c r="C3219" s="1">
        <v>37356</v>
      </c>
      <c r="D3219" t="s">
        <v>7489</v>
      </c>
      <c r="E3219" t="str">
        <f t="shared" si="161"/>
        <v>서울특별시</v>
      </c>
      <c r="F3219" t="str">
        <f t="shared" si="162"/>
        <v>영등포구</v>
      </c>
      <c r="G3219" t="str">
        <f t="shared" si="160"/>
        <v>신길동</v>
      </c>
      <c r="H3219" t="s">
        <v>7490</v>
      </c>
      <c r="I3219">
        <v>7352</v>
      </c>
    </row>
    <row r="3220" spans="1:9" x14ac:dyDescent="0.4">
      <c r="A3220">
        <v>3180000</v>
      </c>
      <c r="B3220" t="s">
        <v>6632</v>
      </c>
      <c r="C3220" s="1">
        <v>36895</v>
      </c>
      <c r="D3220" t="s">
        <v>6633</v>
      </c>
      <c r="E3220" t="str">
        <f t="shared" si="161"/>
        <v>서울특별시</v>
      </c>
      <c r="F3220" t="str">
        <f t="shared" si="162"/>
        <v>영등포구</v>
      </c>
      <c r="G3220" t="str">
        <f t="shared" si="160"/>
        <v>양평동</v>
      </c>
      <c r="H3220" t="s">
        <v>6634</v>
      </c>
      <c r="I3220">
        <v>7262</v>
      </c>
    </row>
    <row r="3221" spans="1:9" x14ac:dyDescent="0.4">
      <c r="A3221">
        <v>3180000</v>
      </c>
      <c r="B3221" t="s">
        <v>7249</v>
      </c>
      <c r="C3221" s="1">
        <v>41946</v>
      </c>
      <c r="D3221" t="s">
        <v>7250</v>
      </c>
      <c r="E3221" t="str">
        <f t="shared" si="161"/>
        <v>서울특별시</v>
      </c>
      <c r="F3221" t="str">
        <f t="shared" si="162"/>
        <v>영등포구</v>
      </c>
      <c r="G3221" t="str">
        <f t="shared" si="160"/>
        <v>양평동</v>
      </c>
      <c r="H3221" t="s">
        <v>7251</v>
      </c>
      <c r="I3221">
        <v>7291</v>
      </c>
    </row>
    <row r="3222" spans="1:9" x14ac:dyDescent="0.4">
      <c r="A3222">
        <v>3180000</v>
      </c>
      <c r="B3222" t="s">
        <v>6882</v>
      </c>
      <c r="C3222" s="1">
        <v>36512</v>
      </c>
      <c r="D3222" t="s">
        <v>6883</v>
      </c>
      <c r="E3222" t="str">
        <f t="shared" si="161"/>
        <v>서울특별시</v>
      </c>
      <c r="F3222" t="str">
        <f t="shared" si="162"/>
        <v>영등포구</v>
      </c>
      <c r="G3222" t="str">
        <f t="shared" si="160"/>
        <v>양평동</v>
      </c>
      <c r="H3222" t="s">
        <v>6884</v>
      </c>
      <c r="I3222">
        <v>7206</v>
      </c>
    </row>
    <row r="3223" spans="1:9" x14ac:dyDescent="0.4">
      <c r="A3223">
        <v>3180000</v>
      </c>
      <c r="B3223" t="s">
        <v>7482</v>
      </c>
      <c r="C3223" s="1">
        <v>37249</v>
      </c>
      <c r="D3223" t="s">
        <v>7483</v>
      </c>
      <c r="E3223" t="str">
        <f t="shared" si="161"/>
        <v>서울특별시</v>
      </c>
      <c r="F3223" t="str">
        <f t="shared" si="162"/>
        <v>영등포구</v>
      </c>
      <c r="G3223" t="str">
        <f t="shared" si="160"/>
        <v>양평동</v>
      </c>
      <c r="H3223" t="s">
        <v>7484</v>
      </c>
      <c r="I3223">
        <v>7212</v>
      </c>
    </row>
    <row r="3224" spans="1:9" x14ac:dyDescent="0.4">
      <c r="A3224">
        <v>3180000</v>
      </c>
      <c r="B3224" t="s">
        <v>7297</v>
      </c>
      <c r="C3224" s="1">
        <v>39518</v>
      </c>
      <c r="D3224" t="s">
        <v>7298</v>
      </c>
      <c r="E3224" t="str">
        <f t="shared" si="161"/>
        <v>서울특별시</v>
      </c>
      <c r="F3224" t="str">
        <f t="shared" si="162"/>
        <v>영등포구</v>
      </c>
      <c r="G3224" t="str">
        <f t="shared" si="160"/>
        <v>양평동</v>
      </c>
      <c r="H3224" t="s">
        <v>7299</v>
      </c>
      <c r="I3224">
        <v>7212</v>
      </c>
    </row>
    <row r="3225" spans="1:9" x14ac:dyDescent="0.4">
      <c r="A3225">
        <v>3180000</v>
      </c>
      <c r="B3225" t="s">
        <v>7426</v>
      </c>
      <c r="C3225" s="1">
        <v>31572</v>
      </c>
      <c r="D3225" t="s">
        <v>7427</v>
      </c>
      <c r="E3225" t="str">
        <f t="shared" si="161"/>
        <v>서울특별시</v>
      </c>
      <c r="F3225" t="str">
        <f t="shared" si="162"/>
        <v>영등포구</v>
      </c>
      <c r="G3225" t="str">
        <f t="shared" si="160"/>
        <v>양평동</v>
      </c>
      <c r="H3225" t="s">
        <v>7428</v>
      </c>
      <c r="I3225">
        <v>7212</v>
      </c>
    </row>
    <row r="3226" spans="1:9" x14ac:dyDescent="0.4">
      <c r="A3226">
        <v>3180000</v>
      </c>
      <c r="B3226" t="s">
        <v>6872</v>
      </c>
      <c r="C3226" s="1">
        <v>37021</v>
      </c>
      <c r="D3226" t="s">
        <v>6873</v>
      </c>
      <c r="E3226" t="str">
        <f t="shared" si="161"/>
        <v>서울특별시</v>
      </c>
      <c r="F3226" t="str">
        <f t="shared" si="162"/>
        <v>영등포구</v>
      </c>
      <c r="G3226" t="str">
        <f t="shared" si="160"/>
        <v>양평동</v>
      </c>
      <c r="H3226" t="s">
        <v>6874</v>
      </c>
      <c r="I3226">
        <v>7212</v>
      </c>
    </row>
    <row r="3227" spans="1:9" x14ac:dyDescent="0.4">
      <c r="A3227">
        <v>3180000</v>
      </c>
      <c r="B3227" t="s">
        <v>6904</v>
      </c>
      <c r="C3227" s="1">
        <v>28749</v>
      </c>
      <c r="D3227" t="s">
        <v>6905</v>
      </c>
      <c r="E3227" t="str">
        <f t="shared" si="161"/>
        <v>서울특별시</v>
      </c>
      <c r="F3227" t="str">
        <f t="shared" si="162"/>
        <v>영등포구</v>
      </c>
      <c r="G3227" t="str">
        <f t="shared" si="160"/>
        <v>양평동</v>
      </c>
    </row>
    <row r="3228" spans="1:9" x14ac:dyDescent="0.4">
      <c r="A3228">
        <v>3180000</v>
      </c>
      <c r="B3228" t="s">
        <v>7221</v>
      </c>
      <c r="C3228" s="1">
        <v>36080</v>
      </c>
      <c r="D3228" t="s">
        <v>7222</v>
      </c>
      <c r="E3228" t="str">
        <f t="shared" si="161"/>
        <v>서울특별시</v>
      </c>
      <c r="F3228" t="str">
        <f t="shared" si="162"/>
        <v>영등포구</v>
      </c>
      <c r="G3228" t="str">
        <f t="shared" si="160"/>
        <v>양평동</v>
      </c>
      <c r="H3228" t="s">
        <v>7223</v>
      </c>
      <c r="I3228">
        <v>7208</v>
      </c>
    </row>
    <row r="3229" spans="1:9" x14ac:dyDescent="0.4">
      <c r="A3229">
        <v>3180000</v>
      </c>
      <c r="B3229" t="s">
        <v>7116</v>
      </c>
      <c r="C3229" s="1">
        <v>32685</v>
      </c>
      <c r="D3229" t="s">
        <v>7117</v>
      </c>
      <c r="E3229" t="str">
        <f t="shared" si="161"/>
        <v>서울특별시</v>
      </c>
      <c r="F3229" t="str">
        <f t="shared" si="162"/>
        <v>영등포구</v>
      </c>
      <c r="G3229" t="str">
        <f>MID(SUBSTITUTE(D3229," ",""),10,4)</f>
        <v>여의도동</v>
      </c>
      <c r="H3229" t="s">
        <v>7118</v>
      </c>
      <c r="I3229">
        <v>7241</v>
      </c>
    </row>
    <row r="3230" spans="1:9" x14ac:dyDescent="0.4">
      <c r="A3230">
        <v>3180000</v>
      </c>
      <c r="B3230" t="s">
        <v>6930</v>
      </c>
      <c r="C3230" s="1">
        <v>40737</v>
      </c>
      <c r="D3230" t="s">
        <v>6931</v>
      </c>
      <c r="E3230" t="str">
        <f t="shared" si="161"/>
        <v>서울특별시</v>
      </c>
      <c r="F3230" t="str">
        <f t="shared" si="162"/>
        <v>영등포구</v>
      </c>
      <c r="G3230" t="str">
        <f t="shared" ref="G3230:G3293" si="163">MID(SUBSTITUTE(D3230," ",""),10,4)</f>
        <v>여의도동</v>
      </c>
      <c r="H3230" t="s">
        <v>6932</v>
      </c>
      <c r="I3230">
        <v>7239</v>
      </c>
    </row>
    <row r="3231" spans="1:9" x14ac:dyDescent="0.4">
      <c r="A3231">
        <v>3180000</v>
      </c>
      <c r="B3231" t="s">
        <v>6943</v>
      </c>
      <c r="C3231" s="1">
        <v>28787</v>
      </c>
      <c r="D3231" t="s">
        <v>6944</v>
      </c>
      <c r="E3231" t="str">
        <f t="shared" si="161"/>
        <v>서울특별시</v>
      </c>
      <c r="F3231" t="str">
        <f t="shared" si="162"/>
        <v>영등포구</v>
      </c>
      <c r="G3231" t="str">
        <f t="shared" si="163"/>
        <v>여의도동</v>
      </c>
      <c r="H3231" t="s">
        <v>6945</v>
      </c>
      <c r="I3231">
        <v>7238</v>
      </c>
    </row>
    <row r="3232" spans="1:9" x14ac:dyDescent="0.4">
      <c r="A3232">
        <v>3180000</v>
      </c>
      <c r="B3232" t="s">
        <v>6946</v>
      </c>
      <c r="C3232" s="1">
        <v>28807</v>
      </c>
      <c r="D3232" t="s">
        <v>6947</v>
      </c>
      <c r="E3232" t="str">
        <f t="shared" si="161"/>
        <v>서울특별시</v>
      </c>
      <c r="F3232" t="str">
        <f t="shared" si="162"/>
        <v>영등포구</v>
      </c>
      <c r="G3232" t="str">
        <f t="shared" si="163"/>
        <v>여의도동</v>
      </c>
      <c r="H3232" t="s">
        <v>6948</v>
      </c>
      <c r="I3232">
        <v>7238</v>
      </c>
    </row>
    <row r="3233" spans="1:9" x14ac:dyDescent="0.4">
      <c r="A3233">
        <v>3180000</v>
      </c>
      <c r="B3233" t="s">
        <v>7240</v>
      </c>
      <c r="C3233" s="1">
        <v>31040</v>
      </c>
      <c r="D3233" t="s">
        <v>7241</v>
      </c>
      <c r="E3233" t="str">
        <f t="shared" si="161"/>
        <v>서울특별시</v>
      </c>
      <c r="F3233" t="str">
        <f t="shared" si="162"/>
        <v>영등포구</v>
      </c>
      <c r="G3233" t="str">
        <f t="shared" si="163"/>
        <v>여의도동</v>
      </c>
      <c r="H3233" t="s">
        <v>7242</v>
      </c>
      <c r="I3233">
        <v>7238</v>
      </c>
    </row>
    <row r="3234" spans="1:9" x14ac:dyDescent="0.4">
      <c r="A3234">
        <v>3180000</v>
      </c>
      <c r="B3234" t="s">
        <v>6937</v>
      </c>
      <c r="C3234" s="1">
        <v>37282</v>
      </c>
      <c r="D3234" t="s">
        <v>6938</v>
      </c>
      <c r="E3234" t="str">
        <f t="shared" si="161"/>
        <v>서울특별시</v>
      </c>
      <c r="F3234" t="str">
        <f t="shared" si="162"/>
        <v>영등포구</v>
      </c>
      <c r="G3234" t="str">
        <f t="shared" si="163"/>
        <v>여의도동</v>
      </c>
    </row>
    <row r="3235" spans="1:9" x14ac:dyDescent="0.4">
      <c r="A3235">
        <v>3180000</v>
      </c>
      <c r="B3235" t="s">
        <v>6935</v>
      </c>
      <c r="C3235" s="1">
        <v>37253</v>
      </c>
      <c r="D3235" t="s">
        <v>6936</v>
      </c>
      <c r="E3235" t="str">
        <f t="shared" si="161"/>
        <v>서울특별시</v>
      </c>
      <c r="F3235" t="str">
        <f t="shared" si="162"/>
        <v>영등포구</v>
      </c>
      <c r="G3235" t="str">
        <f t="shared" si="163"/>
        <v>여의도동</v>
      </c>
    </row>
    <row r="3236" spans="1:9" x14ac:dyDescent="0.4">
      <c r="A3236">
        <v>3180000</v>
      </c>
      <c r="B3236" t="s">
        <v>6933</v>
      </c>
      <c r="C3236" s="1">
        <v>37253</v>
      </c>
      <c r="D3236" t="s">
        <v>6934</v>
      </c>
      <c r="E3236" t="str">
        <f t="shared" si="161"/>
        <v>서울특별시</v>
      </c>
      <c r="F3236" t="str">
        <f t="shared" si="162"/>
        <v>영등포구</v>
      </c>
      <c r="G3236" t="str">
        <f t="shared" si="163"/>
        <v>여의도동</v>
      </c>
    </row>
    <row r="3237" spans="1:9" x14ac:dyDescent="0.4">
      <c r="A3237">
        <v>3180000</v>
      </c>
      <c r="B3237" t="s">
        <v>7095</v>
      </c>
      <c r="C3237" s="1">
        <v>31433</v>
      </c>
      <c r="D3237" t="s">
        <v>7096</v>
      </c>
      <c r="E3237" t="str">
        <f t="shared" si="161"/>
        <v>서울특별시</v>
      </c>
      <c r="F3237" t="str">
        <f t="shared" si="162"/>
        <v>영등포구</v>
      </c>
      <c r="G3237" t="str">
        <f t="shared" si="163"/>
        <v>여의도동</v>
      </c>
    </row>
    <row r="3238" spans="1:9" x14ac:dyDescent="0.4">
      <c r="A3238">
        <v>3180000</v>
      </c>
      <c r="B3238" t="s">
        <v>7234</v>
      </c>
      <c r="C3238" s="1">
        <v>32616</v>
      </c>
      <c r="D3238" t="s">
        <v>7235</v>
      </c>
      <c r="E3238" t="str">
        <f t="shared" si="161"/>
        <v>서울특별시</v>
      </c>
      <c r="F3238" t="str">
        <f t="shared" si="162"/>
        <v>영등포구</v>
      </c>
      <c r="G3238" t="str">
        <f t="shared" si="163"/>
        <v>여의도동</v>
      </c>
      <c r="H3238" t="s">
        <v>7236</v>
      </c>
      <c r="I3238">
        <v>7328</v>
      </c>
    </row>
    <row r="3239" spans="1:9" x14ac:dyDescent="0.4">
      <c r="A3239">
        <v>3180000</v>
      </c>
      <c r="B3239" t="s">
        <v>7344</v>
      </c>
      <c r="C3239" s="1">
        <v>36720</v>
      </c>
      <c r="D3239" t="s">
        <v>7345</v>
      </c>
      <c r="E3239" t="str">
        <f t="shared" si="161"/>
        <v>서울특별시</v>
      </c>
      <c r="F3239" t="str">
        <f t="shared" si="162"/>
        <v>영등포구</v>
      </c>
      <c r="G3239" t="str">
        <f t="shared" si="163"/>
        <v>여의도동</v>
      </c>
      <c r="H3239" t="s">
        <v>7346</v>
      </c>
      <c r="I3239">
        <v>7328</v>
      </c>
    </row>
    <row r="3240" spans="1:9" x14ac:dyDescent="0.4">
      <c r="A3240">
        <v>3180000</v>
      </c>
      <c r="B3240" t="s">
        <v>7565</v>
      </c>
      <c r="C3240" s="1">
        <v>37054</v>
      </c>
      <c r="D3240" t="s">
        <v>7566</v>
      </c>
      <c r="E3240" t="str">
        <f t="shared" si="161"/>
        <v>서울특별시</v>
      </c>
      <c r="F3240" t="str">
        <f t="shared" si="162"/>
        <v>영등포구</v>
      </c>
      <c r="G3240" t="str">
        <f t="shared" si="163"/>
        <v>여의도동</v>
      </c>
      <c r="H3240" t="s">
        <v>7567</v>
      </c>
      <c r="I3240">
        <v>7328</v>
      </c>
    </row>
    <row r="3241" spans="1:9" x14ac:dyDescent="0.4">
      <c r="A3241">
        <v>3180000</v>
      </c>
      <c r="B3241" t="s">
        <v>7571</v>
      </c>
      <c r="C3241" s="1">
        <v>37006</v>
      </c>
      <c r="D3241" t="s">
        <v>7572</v>
      </c>
      <c r="E3241" t="str">
        <f t="shared" si="161"/>
        <v>서울특별시</v>
      </c>
      <c r="F3241" t="str">
        <f t="shared" si="162"/>
        <v>영등포구</v>
      </c>
      <c r="G3241" t="str">
        <f t="shared" si="163"/>
        <v>여의도동</v>
      </c>
      <c r="H3241" t="s">
        <v>7573</v>
      </c>
      <c r="I3241">
        <v>7328</v>
      </c>
    </row>
    <row r="3242" spans="1:9" x14ac:dyDescent="0.4">
      <c r="A3242">
        <v>3180000</v>
      </c>
      <c r="B3242" t="s">
        <v>6867</v>
      </c>
      <c r="C3242" s="1">
        <v>37005</v>
      </c>
      <c r="D3242" t="s">
        <v>6868</v>
      </c>
      <c r="E3242" t="str">
        <f t="shared" si="161"/>
        <v>서울특별시</v>
      </c>
      <c r="F3242" t="str">
        <f t="shared" si="162"/>
        <v>영등포구</v>
      </c>
      <c r="G3242" t="str">
        <f t="shared" si="163"/>
        <v>여의도동</v>
      </c>
    </row>
    <row r="3243" spans="1:9" x14ac:dyDescent="0.4">
      <c r="A3243">
        <v>3180000</v>
      </c>
      <c r="B3243" t="s">
        <v>7176</v>
      </c>
      <c r="C3243" s="1">
        <v>40541</v>
      </c>
      <c r="D3243" t="s">
        <v>7177</v>
      </c>
      <c r="E3243" t="str">
        <f t="shared" si="161"/>
        <v>서울특별시</v>
      </c>
      <c r="F3243" t="str">
        <f t="shared" si="162"/>
        <v>영등포구</v>
      </c>
      <c r="G3243" t="str">
        <f t="shared" si="163"/>
        <v>여의도동</v>
      </c>
      <c r="H3243" t="s">
        <v>7178</v>
      </c>
      <c r="I3243">
        <v>7328</v>
      </c>
    </row>
    <row r="3244" spans="1:9" x14ac:dyDescent="0.4">
      <c r="A3244">
        <v>3180000</v>
      </c>
      <c r="B3244" t="s">
        <v>7341</v>
      </c>
      <c r="C3244" s="1">
        <v>36719</v>
      </c>
      <c r="D3244" t="s">
        <v>7342</v>
      </c>
      <c r="E3244" t="str">
        <f t="shared" si="161"/>
        <v>서울특별시</v>
      </c>
      <c r="F3244" t="str">
        <f t="shared" si="162"/>
        <v>영등포구</v>
      </c>
      <c r="G3244" t="str">
        <f t="shared" si="163"/>
        <v>여의도동</v>
      </c>
      <c r="H3244" t="s">
        <v>7343</v>
      </c>
      <c r="I3244">
        <v>7328</v>
      </c>
    </row>
    <row r="3245" spans="1:9" x14ac:dyDescent="0.4">
      <c r="A3245">
        <v>3180000</v>
      </c>
      <c r="B3245" t="s">
        <v>7081</v>
      </c>
      <c r="C3245" s="1">
        <v>31259</v>
      </c>
      <c r="D3245" t="s">
        <v>7082</v>
      </c>
      <c r="E3245" t="str">
        <f t="shared" si="161"/>
        <v>서울특별시</v>
      </c>
      <c r="F3245" t="str">
        <f t="shared" si="162"/>
        <v>영등포구</v>
      </c>
      <c r="G3245" t="str">
        <f t="shared" si="163"/>
        <v>여의도동</v>
      </c>
      <c r="H3245" t="s">
        <v>7083</v>
      </c>
      <c r="I3245">
        <v>7328</v>
      </c>
    </row>
    <row r="3246" spans="1:9" x14ac:dyDescent="0.4">
      <c r="A3246">
        <v>3180000</v>
      </c>
      <c r="B3246" t="s">
        <v>6650</v>
      </c>
      <c r="C3246" s="1">
        <v>36633</v>
      </c>
      <c r="D3246" t="s">
        <v>6651</v>
      </c>
      <c r="E3246" t="str">
        <f t="shared" si="161"/>
        <v>서울특별시</v>
      </c>
      <c r="F3246" t="str">
        <f t="shared" si="162"/>
        <v>영등포구</v>
      </c>
      <c r="G3246" t="str">
        <f t="shared" si="163"/>
        <v>여의도동</v>
      </c>
    </row>
    <row r="3247" spans="1:9" x14ac:dyDescent="0.4">
      <c r="A3247">
        <v>3180000</v>
      </c>
      <c r="B3247" t="s">
        <v>6706</v>
      </c>
      <c r="C3247" s="1">
        <v>36315</v>
      </c>
      <c r="D3247" t="s">
        <v>6651</v>
      </c>
      <c r="E3247" t="str">
        <f t="shared" si="161"/>
        <v>서울특별시</v>
      </c>
      <c r="F3247" t="str">
        <f t="shared" si="162"/>
        <v>영등포구</v>
      </c>
      <c r="G3247" t="str">
        <f t="shared" si="163"/>
        <v>여의도동</v>
      </c>
    </row>
    <row r="3248" spans="1:9" x14ac:dyDescent="0.4">
      <c r="A3248">
        <v>3180000</v>
      </c>
      <c r="B3248" t="s">
        <v>6871</v>
      </c>
      <c r="C3248" s="1">
        <v>37020</v>
      </c>
      <c r="D3248" t="s">
        <v>6651</v>
      </c>
      <c r="E3248" t="str">
        <f t="shared" si="161"/>
        <v>서울특별시</v>
      </c>
      <c r="F3248" t="str">
        <f t="shared" si="162"/>
        <v>영등포구</v>
      </c>
      <c r="G3248" t="str">
        <f t="shared" si="163"/>
        <v>여의도동</v>
      </c>
    </row>
    <row r="3249" spans="1:9" x14ac:dyDescent="0.4">
      <c r="A3249">
        <v>3180000</v>
      </c>
      <c r="B3249" t="s">
        <v>6960</v>
      </c>
      <c r="C3249" s="1">
        <v>29000</v>
      </c>
      <c r="D3249" t="s">
        <v>6651</v>
      </c>
      <c r="E3249" t="str">
        <f t="shared" si="161"/>
        <v>서울특별시</v>
      </c>
      <c r="F3249" t="str">
        <f t="shared" si="162"/>
        <v>영등포구</v>
      </c>
      <c r="G3249" t="str">
        <f t="shared" si="163"/>
        <v>여의도동</v>
      </c>
    </row>
    <row r="3250" spans="1:9" x14ac:dyDescent="0.4">
      <c r="A3250">
        <v>3180000</v>
      </c>
      <c r="B3250" t="s">
        <v>7129</v>
      </c>
      <c r="C3250" s="1">
        <v>34236</v>
      </c>
      <c r="D3250" t="s">
        <v>6651</v>
      </c>
      <c r="E3250" t="str">
        <f t="shared" si="161"/>
        <v>서울특별시</v>
      </c>
      <c r="F3250" t="str">
        <f t="shared" si="162"/>
        <v>영등포구</v>
      </c>
      <c r="G3250" t="str">
        <f t="shared" si="163"/>
        <v>여의도동</v>
      </c>
    </row>
    <row r="3251" spans="1:9" x14ac:dyDescent="0.4">
      <c r="A3251">
        <v>3180000</v>
      </c>
      <c r="B3251" t="s">
        <v>6641</v>
      </c>
      <c r="C3251" s="1">
        <v>36906</v>
      </c>
      <c r="D3251" t="s">
        <v>6642</v>
      </c>
      <c r="E3251" t="str">
        <f t="shared" si="161"/>
        <v>서울특별시</v>
      </c>
      <c r="F3251" t="str">
        <f t="shared" si="162"/>
        <v>영등포구</v>
      </c>
      <c r="G3251" t="str">
        <f t="shared" si="163"/>
        <v>여의도동</v>
      </c>
    </row>
    <row r="3252" spans="1:9" x14ac:dyDescent="0.4">
      <c r="A3252">
        <v>3180000</v>
      </c>
      <c r="B3252" t="s">
        <v>6748</v>
      </c>
      <c r="C3252" s="1">
        <v>36796</v>
      </c>
      <c r="D3252" t="s">
        <v>6749</v>
      </c>
      <c r="E3252" t="str">
        <f t="shared" si="161"/>
        <v>서울특별시</v>
      </c>
      <c r="F3252" t="str">
        <f t="shared" si="162"/>
        <v>영등포구</v>
      </c>
      <c r="G3252" t="str">
        <f t="shared" si="163"/>
        <v>여의도동</v>
      </c>
    </row>
    <row r="3253" spans="1:9" x14ac:dyDescent="0.4">
      <c r="A3253">
        <v>3180000</v>
      </c>
      <c r="B3253" t="s">
        <v>6760</v>
      </c>
      <c r="C3253" s="1">
        <v>36867</v>
      </c>
      <c r="D3253" t="s">
        <v>6761</v>
      </c>
      <c r="E3253" t="str">
        <f t="shared" si="161"/>
        <v>서울특별시</v>
      </c>
      <c r="F3253" t="str">
        <f t="shared" si="162"/>
        <v>영등포구</v>
      </c>
      <c r="G3253" t="str">
        <f t="shared" si="163"/>
        <v>여의도동</v>
      </c>
    </row>
    <row r="3254" spans="1:9" x14ac:dyDescent="0.4">
      <c r="A3254">
        <v>3180000</v>
      </c>
      <c r="B3254" t="s">
        <v>6820</v>
      </c>
      <c r="C3254" s="1">
        <v>42303</v>
      </c>
      <c r="D3254" t="s">
        <v>6821</v>
      </c>
      <c r="E3254" t="str">
        <f t="shared" si="161"/>
        <v>서울특별시</v>
      </c>
      <c r="F3254" t="str">
        <f t="shared" si="162"/>
        <v>영등포구</v>
      </c>
      <c r="G3254" t="str">
        <f t="shared" si="163"/>
        <v>여의도동</v>
      </c>
      <c r="H3254" t="s">
        <v>6822</v>
      </c>
      <c r="I3254">
        <v>7328</v>
      </c>
    </row>
    <row r="3255" spans="1:9" x14ac:dyDescent="0.4">
      <c r="A3255">
        <v>3180000</v>
      </c>
      <c r="B3255" t="s">
        <v>6614</v>
      </c>
      <c r="C3255" s="1">
        <v>36456</v>
      </c>
      <c r="D3255" t="s">
        <v>6615</v>
      </c>
      <c r="E3255" t="str">
        <f t="shared" si="161"/>
        <v>서울특별시</v>
      </c>
      <c r="F3255" t="str">
        <f t="shared" si="162"/>
        <v>영등포구</v>
      </c>
      <c r="G3255" t="str">
        <f t="shared" si="163"/>
        <v>여의도동</v>
      </c>
    </row>
    <row r="3256" spans="1:9" x14ac:dyDescent="0.4">
      <c r="A3256">
        <v>3180000</v>
      </c>
      <c r="B3256" t="s">
        <v>6817</v>
      </c>
      <c r="C3256" s="1">
        <v>42262</v>
      </c>
      <c r="D3256" t="s">
        <v>6818</v>
      </c>
      <c r="E3256" t="str">
        <f t="shared" si="161"/>
        <v>서울특별시</v>
      </c>
      <c r="F3256" t="str">
        <f t="shared" si="162"/>
        <v>영등포구</v>
      </c>
      <c r="G3256" t="str">
        <f t="shared" si="163"/>
        <v>여의도동</v>
      </c>
      <c r="H3256" t="s">
        <v>6819</v>
      </c>
      <c r="I3256">
        <v>7328</v>
      </c>
    </row>
    <row r="3257" spans="1:9" x14ac:dyDescent="0.4">
      <c r="A3257">
        <v>3180000</v>
      </c>
      <c r="B3257" t="s">
        <v>6836</v>
      </c>
      <c r="C3257" s="1">
        <v>37043</v>
      </c>
      <c r="D3257" t="s">
        <v>6837</v>
      </c>
      <c r="E3257" t="str">
        <f t="shared" si="161"/>
        <v>서울특별시</v>
      </c>
      <c r="F3257" t="str">
        <f t="shared" si="162"/>
        <v>영등포구</v>
      </c>
      <c r="G3257" t="str">
        <f t="shared" si="163"/>
        <v>여의도동</v>
      </c>
    </row>
    <row r="3258" spans="1:9" x14ac:dyDescent="0.4">
      <c r="A3258">
        <v>3180000</v>
      </c>
      <c r="B3258" t="s">
        <v>6648</v>
      </c>
      <c r="C3258" s="1">
        <v>36927</v>
      </c>
      <c r="D3258" t="s">
        <v>6649</v>
      </c>
      <c r="E3258" t="str">
        <f t="shared" si="161"/>
        <v>서울특별시</v>
      </c>
      <c r="F3258" t="str">
        <f t="shared" si="162"/>
        <v>영등포구</v>
      </c>
      <c r="G3258" t="str">
        <f t="shared" si="163"/>
        <v>여의도동</v>
      </c>
    </row>
    <row r="3259" spans="1:9" x14ac:dyDescent="0.4">
      <c r="A3259">
        <v>3180000</v>
      </c>
      <c r="B3259" t="s">
        <v>6869</v>
      </c>
      <c r="C3259" s="1">
        <v>37018</v>
      </c>
      <c r="D3259" t="s">
        <v>6870</v>
      </c>
      <c r="E3259" t="str">
        <f t="shared" si="161"/>
        <v>서울특별시</v>
      </c>
      <c r="F3259" t="str">
        <f t="shared" si="162"/>
        <v>영등포구</v>
      </c>
      <c r="G3259" t="str">
        <f t="shared" si="163"/>
        <v>여의도동</v>
      </c>
    </row>
    <row r="3260" spans="1:9" x14ac:dyDescent="0.4">
      <c r="A3260">
        <v>3180000</v>
      </c>
      <c r="B3260" t="s">
        <v>6742</v>
      </c>
      <c r="C3260" s="1">
        <v>36713</v>
      </c>
      <c r="D3260" t="s">
        <v>6743</v>
      </c>
      <c r="E3260" t="str">
        <f t="shared" si="161"/>
        <v>서울특별시</v>
      </c>
      <c r="F3260" t="str">
        <f t="shared" si="162"/>
        <v>영등포구</v>
      </c>
      <c r="G3260" t="str">
        <f t="shared" si="163"/>
        <v>여의도동</v>
      </c>
    </row>
    <row r="3261" spans="1:9" x14ac:dyDescent="0.4">
      <c r="A3261">
        <v>3180000</v>
      </c>
      <c r="B3261" t="s">
        <v>6707</v>
      </c>
      <c r="C3261" s="1">
        <v>36335</v>
      </c>
      <c r="D3261" t="s">
        <v>6708</v>
      </c>
      <c r="E3261" t="str">
        <f t="shared" si="161"/>
        <v>서울특별시</v>
      </c>
      <c r="F3261" t="str">
        <f t="shared" si="162"/>
        <v>영등포구</v>
      </c>
      <c r="G3261" t="str">
        <f t="shared" si="163"/>
        <v>여의도동</v>
      </c>
    </row>
    <row r="3262" spans="1:9" x14ac:dyDescent="0.4">
      <c r="A3262">
        <v>3180000</v>
      </c>
      <c r="B3262" t="s">
        <v>7201</v>
      </c>
      <c r="C3262" s="1">
        <v>34379</v>
      </c>
      <c r="D3262" t="s">
        <v>7202</v>
      </c>
      <c r="E3262" t="str">
        <f t="shared" si="161"/>
        <v>서울특별시</v>
      </c>
      <c r="F3262" t="str">
        <f t="shared" si="162"/>
        <v>영등포구</v>
      </c>
      <c r="G3262" t="str">
        <f t="shared" si="163"/>
        <v>여의도동</v>
      </c>
    </row>
    <row r="3263" spans="1:9" x14ac:dyDescent="0.4">
      <c r="A3263">
        <v>3180000</v>
      </c>
      <c r="B3263" t="s">
        <v>6699</v>
      </c>
      <c r="C3263" s="1">
        <v>36262</v>
      </c>
      <c r="D3263" t="s">
        <v>6700</v>
      </c>
      <c r="E3263" t="str">
        <f t="shared" si="161"/>
        <v>서울특별시</v>
      </c>
      <c r="F3263" t="str">
        <f t="shared" si="162"/>
        <v>영등포구</v>
      </c>
      <c r="G3263" t="str">
        <f t="shared" si="163"/>
        <v>여의도동</v>
      </c>
    </row>
    <row r="3264" spans="1:9" x14ac:dyDescent="0.4">
      <c r="A3264">
        <v>3180000</v>
      </c>
      <c r="B3264" t="s">
        <v>6704</v>
      </c>
      <c r="C3264" s="1">
        <v>36269</v>
      </c>
      <c r="D3264" t="s">
        <v>6705</v>
      </c>
      <c r="E3264" t="str">
        <f t="shared" si="161"/>
        <v>서울특별시</v>
      </c>
      <c r="F3264" t="str">
        <f t="shared" si="162"/>
        <v>영등포구</v>
      </c>
      <c r="G3264" t="str">
        <f t="shared" si="163"/>
        <v>여의도동</v>
      </c>
    </row>
    <row r="3265" spans="1:9" x14ac:dyDescent="0.4">
      <c r="A3265">
        <v>3180000</v>
      </c>
      <c r="B3265" t="s">
        <v>6906</v>
      </c>
      <c r="C3265" s="1">
        <v>36894</v>
      </c>
      <c r="D3265" t="s">
        <v>6907</v>
      </c>
      <c r="E3265" t="str">
        <f t="shared" si="161"/>
        <v>서울특별시</v>
      </c>
      <c r="F3265" t="str">
        <f t="shared" si="162"/>
        <v>영등포구</v>
      </c>
      <c r="G3265" t="str">
        <f t="shared" si="163"/>
        <v>여의도동</v>
      </c>
    </row>
    <row r="3266" spans="1:9" x14ac:dyDescent="0.4">
      <c r="A3266">
        <v>3180000</v>
      </c>
      <c r="B3266" t="s">
        <v>6740</v>
      </c>
      <c r="C3266" s="1">
        <v>36707</v>
      </c>
      <c r="D3266" t="s">
        <v>6741</v>
      </c>
      <c r="E3266" t="str">
        <f t="shared" si="161"/>
        <v>서울특별시</v>
      </c>
      <c r="F3266" t="str">
        <f t="shared" si="162"/>
        <v>영등포구</v>
      </c>
      <c r="G3266" t="str">
        <f t="shared" si="163"/>
        <v>여의도동</v>
      </c>
    </row>
    <row r="3267" spans="1:9" x14ac:dyDescent="0.4">
      <c r="A3267">
        <v>3180000</v>
      </c>
      <c r="B3267" t="s">
        <v>6661</v>
      </c>
      <c r="C3267" s="1">
        <v>38286</v>
      </c>
      <c r="D3267" t="s">
        <v>6662</v>
      </c>
      <c r="E3267" t="str">
        <f t="shared" ref="E3267:E3330" si="164">LEFT(D3267,5)</f>
        <v>서울특별시</v>
      </c>
      <c r="F3267" t="str">
        <f t="shared" ref="F3267:F3330" si="165">MID(D3267,7,4)</f>
        <v>영등포구</v>
      </c>
      <c r="G3267" t="str">
        <f t="shared" si="163"/>
        <v>여의도동</v>
      </c>
    </row>
    <row r="3268" spans="1:9" x14ac:dyDescent="0.4">
      <c r="A3268">
        <v>3180000</v>
      </c>
      <c r="B3268" t="s">
        <v>6856</v>
      </c>
      <c r="C3268" s="1">
        <v>37055</v>
      </c>
      <c r="D3268" t="s">
        <v>6857</v>
      </c>
      <c r="E3268" t="str">
        <f t="shared" si="164"/>
        <v>서울특별시</v>
      </c>
      <c r="F3268" t="str">
        <f t="shared" si="165"/>
        <v>영등포구</v>
      </c>
      <c r="G3268" t="str">
        <f t="shared" si="163"/>
        <v>여의도동</v>
      </c>
    </row>
    <row r="3269" spans="1:9" x14ac:dyDescent="0.4">
      <c r="A3269">
        <v>3180000</v>
      </c>
      <c r="B3269" t="s">
        <v>269</v>
      </c>
      <c r="C3269" s="1">
        <v>37014</v>
      </c>
      <c r="D3269" t="s">
        <v>270</v>
      </c>
      <c r="E3269" t="str">
        <f t="shared" si="164"/>
        <v>서울특별시</v>
      </c>
      <c r="F3269" t="str">
        <f t="shared" si="165"/>
        <v>영등포구</v>
      </c>
      <c r="G3269" t="str">
        <f t="shared" si="163"/>
        <v>여의도동</v>
      </c>
      <c r="H3269" t="s">
        <v>271</v>
      </c>
      <c r="I3269">
        <v>7331</v>
      </c>
    </row>
    <row r="3270" spans="1:9" x14ac:dyDescent="0.4">
      <c r="A3270">
        <v>3180000</v>
      </c>
      <c r="B3270" t="s">
        <v>7152</v>
      </c>
      <c r="C3270" s="1">
        <v>31777</v>
      </c>
      <c r="D3270" t="s">
        <v>7153</v>
      </c>
      <c r="E3270" t="str">
        <f t="shared" si="164"/>
        <v>서울특별시</v>
      </c>
      <c r="F3270" t="str">
        <f t="shared" si="165"/>
        <v>영등포구</v>
      </c>
      <c r="G3270" t="str">
        <f t="shared" si="163"/>
        <v>여의도동</v>
      </c>
    </row>
    <row r="3271" spans="1:9" x14ac:dyDescent="0.4">
      <c r="A3271">
        <v>3180000</v>
      </c>
      <c r="B3271" t="s">
        <v>6762</v>
      </c>
      <c r="C3271" s="1">
        <v>40210</v>
      </c>
      <c r="D3271" t="s">
        <v>6763</v>
      </c>
      <c r="E3271" t="str">
        <f t="shared" si="164"/>
        <v>서울특별시</v>
      </c>
      <c r="F3271" t="str">
        <f t="shared" si="165"/>
        <v>영등포구</v>
      </c>
      <c r="G3271" t="str">
        <f t="shared" si="163"/>
        <v>여의도동</v>
      </c>
      <c r="H3271" t="s">
        <v>6764</v>
      </c>
      <c r="I3271">
        <v>7331</v>
      </c>
    </row>
    <row r="3272" spans="1:9" x14ac:dyDescent="0.4">
      <c r="A3272">
        <v>3180000</v>
      </c>
      <c r="B3272" t="s">
        <v>7020</v>
      </c>
      <c r="C3272" s="1">
        <v>37637</v>
      </c>
      <c r="D3272" t="s">
        <v>7021</v>
      </c>
      <c r="E3272" t="str">
        <f t="shared" si="164"/>
        <v>서울특별시</v>
      </c>
      <c r="F3272" t="str">
        <f t="shared" si="165"/>
        <v>영등포구</v>
      </c>
      <c r="G3272" t="str">
        <f t="shared" si="163"/>
        <v>여의도동</v>
      </c>
    </row>
    <row r="3273" spans="1:9" x14ac:dyDescent="0.4">
      <c r="A3273">
        <v>3180000</v>
      </c>
      <c r="B3273" t="s">
        <v>6831</v>
      </c>
      <c r="C3273" s="1">
        <v>37034</v>
      </c>
      <c r="D3273" t="s">
        <v>6832</v>
      </c>
      <c r="E3273" t="str">
        <f t="shared" si="164"/>
        <v>서울특별시</v>
      </c>
      <c r="F3273" t="str">
        <f t="shared" si="165"/>
        <v>영등포구</v>
      </c>
      <c r="G3273" t="str">
        <f t="shared" si="163"/>
        <v>여의도동</v>
      </c>
      <c r="H3273" t="s">
        <v>6833</v>
      </c>
      <c r="I3273">
        <v>7331</v>
      </c>
    </row>
    <row r="3274" spans="1:9" x14ac:dyDescent="0.4">
      <c r="A3274">
        <v>3180000</v>
      </c>
      <c r="B3274" t="s">
        <v>7077</v>
      </c>
      <c r="C3274" s="1">
        <v>31131</v>
      </c>
      <c r="D3274" t="s">
        <v>7078</v>
      </c>
      <c r="E3274" t="str">
        <f t="shared" si="164"/>
        <v>서울특별시</v>
      </c>
      <c r="F3274" t="str">
        <f t="shared" si="165"/>
        <v>영등포구</v>
      </c>
      <c r="G3274" t="str">
        <f t="shared" si="163"/>
        <v>여의도동</v>
      </c>
    </row>
    <row r="3275" spans="1:9" x14ac:dyDescent="0.4">
      <c r="A3275">
        <v>3180000</v>
      </c>
      <c r="B3275" t="s">
        <v>7092</v>
      </c>
      <c r="C3275" s="1">
        <v>31303</v>
      </c>
      <c r="D3275" t="s">
        <v>7093</v>
      </c>
      <c r="E3275" t="str">
        <f t="shared" si="164"/>
        <v>서울특별시</v>
      </c>
      <c r="F3275" t="str">
        <f t="shared" si="165"/>
        <v>영등포구</v>
      </c>
      <c r="G3275" t="str">
        <f t="shared" si="163"/>
        <v>여의도동</v>
      </c>
    </row>
    <row r="3276" spans="1:9" x14ac:dyDescent="0.4">
      <c r="A3276">
        <v>3180000</v>
      </c>
      <c r="B3276" t="s">
        <v>6921</v>
      </c>
      <c r="C3276" s="1">
        <v>36593</v>
      </c>
      <c r="D3276" t="s">
        <v>6922</v>
      </c>
      <c r="E3276" t="str">
        <f t="shared" si="164"/>
        <v>서울특별시</v>
      </c>
      <c r="F3276" t="str">
        <f t="shared" si="165"/>
        <v>영등포구</v>
      </c>
      <c r="G3276" t="str">
        <f t="shared" si="163"/>
        <v>여의도동</v>
      </c>
    </row>
    <row r="3277" spans="1:9" x14ac:dyDescent="0.4">
      <c r="A3277">
        <v>3180000</v>
      </c>
      <c r="B3277" t="s">
        <v>6975</v>
      </c>
      <c r="C3277" s="1">
        <v>29302</v>
      </c>
      <c r="D3277" t="s">
        <v>6976</v>
      </c>
      <c r="E3277" t="str">
        <f t="shared" si="164"/>
        <v>서울특별시</v>
      </c>
      <c r="F3277" t="str">
        <f t="shared" si="165"/>
        <v>영등포구</v>
      </c>
      <c r="G3277" t="str">
        <f t="shared" si="163"/>
        <v>여의도동</v>
      </c>
    </row>
    <row r="3278" spans="1:9" x14ac:dyDescent="0.4">
      <c r="A3278">
        <v>3180000</v>
      </c>
      <c r="B3278" t="s">
        <v>6716</v>
      </c>
      <c r="C3278" s="1">
        <v>36372</v>
      </c>
      <c r="D3278" t="s">
        <v>6717</v>
      </c>
      <c r="E3278" t="str">
        <f t="shared" si="164"/>
        <v>서울특별시</v>
      </c>
      <c r="F3278" t="str">
        <f t="shared" si="165"/>
        <v>영등포구</v>
      </c>
      <c r="G3278" t="str">
        <f t="shared" si="163"/>
        <v>여의도동</v>
      </c>
    </row>
    <row r="3279" spans="1:9" x14ac:dyDescent="0.4">
      <c r="A3279">
        <v>3180000</v>
      </c>
      <c r="B3279" t="s">
        <v>7210</v>
      </c>
      <c r="C3279" s="1">
        <v>35307</v>
      </c>
      <c r="D3279" t="s">
        <v>7211</v>
      </c>
      <c r="E3279" t="str">
        <f t="shared" si="164"/>
        <v>서울특별시</v>
      </c>
      <c r="F3279" t="str">
        <f t="shared" si="165"/>
        <v>영등포구</v>
      </c>
      <c r="G3279" t="str">
        <f t="shared" si="163"/>
        <v>여의도동</v>
      </c>
    </row>
    <row r="3280" spans="1:9" x14ac:dyDescent="0.4">
      <c r="A3280">
        <v>3180000</v>
      </c>
      <c r="B3280" t="s">
        <v>7195</v>
      </c>
      <c r="C3280" s="1">
        <v>44887</v>
      </c>
      <c r="D3280" t="s">
        <v>7196</v>
      </c>
      <c r="E3280" t="str">
        <f t="shared" si="164"/>
        <v>서울특별시</v>
      </c>
      <c r="F3280" t="str">
        <f t="shared" si="165"/>
        <v>영등포구</v>
      </c>
      <c r="G3280" t="str">
        <f t="shared" si="163"/>
        <v>여의도동</v>
      </c>
      <c r="H3280" t="s">
        <v>7197</v>
      </c>
      <c r="I3280">
        <v>7333</v>
      </c>
    </row>
    <row r="3281" spans="1:9" x14ac:dyDescent="0.4">
      <c r="A3281">
        <v>3180000</v>
      </c>
      <c r="B3281" t="s">
        <v>7399</v>
      </c>
      <c r="C3281" s="1">
        <v>44887</v>
      </c>
      <c r="D3281" t="s">
        <v>7196</v>
      </c>
      <c r="E3281" t="str">
        <f t="shared" si="164"/>
        <v>서울특별시</v>
      </c>
      <c r="F3281" t="str">
        <f t="shared" si="165"/>
        <v>영등포구</v>
      </c>
      <c r="G3281" t="str">
        <f t="shared" si="163"/>
        <v>여의도동</v>
      </c>
      <c r="H3281" t="s">
        <v>7400</v>
      </c>
      <c r="I3281">
        <v>7333</v>
      </c>
    </row>
    <row r="3282" spans="1:9" x14ac:dyDescent="0.4">
      <c r="A3282">
        <v>3180000</v>
      </c>
      <c r="B3282" t="s">
        <v>7401</v>
      </c>
      <c r="C3282" s="1">
        <v>44887</v>
      </c>
      <c r="D3282" t="s">
        <v>7196</v>
      </c>
      <c r="E3282" t="str">
        <f t="shared" si="164"/>
        <v>서울특별시</v>
      </c>
      <c r="F3282" t="str">
        <f t="shared" si="165"/>
        <v>영등포구</v>
      </c>
      <c r="G3282" t="str">
        <f t="shared" si="163"/>
        <v>여의도동</v>
      </c>
      <c r="H3282" t="s">
        <v>7402</v>
      </c>
      <c r="I3282">
        <v>7333</v>
      </c>
    </row>
    <row r="3283" spans="1:9" x14ac:dyDescent="0.4">
      <c r="A3283">
        <v>3180000</v>
      </c>
      <c r="B3283" t="s">
        <v>6927</v>
      </c>
      <c r="C3283" s="1">
        <v>40735</v>
      </c>
      <c r="D3283" t="s">
        <v>6928</v>
      </c>
      <c r="E3283" t="str">
        <f t="shared" si="164"/>
        <v>서울특별시</v>
      </c>
      <c r="F3283" t="str">
        <f t="shared" si="165"/>
        <v>영등포구</v>
      </c>
      <c r="G3283" t="str">
        <f t="shared" si="163"/>
        <v>여의도동</v>
      </c>
      <c r="H3283" t="s">
        <v>6929</v>
      </c>
      <c r="I3283">
        <v>7333</v>
      </c>
    </row>
    <row r="3284" spans="1:9" x14ac:dyDescent="0.4">
      <c r="A3284">
        <v>3180000</v>
      </c>
      <c r="B3284" t="s">
        <v>7002</v>
      </c>
      <c r="C3284" s="1">
        <v>37096</v>
      </c>
      <c r="D3284" t="s">
        <v>7003</v>
      </c>
      <c r="E3284" t="str">
        <f t="shared" si="164"/>
        <v>서울특별시</v>
      </c>
      <c r="F3284" t="str">
        <f t="shared" si="165"/>
        <v>영등포구</v>
      </c>
      <c r="G3284" t="str">
        <f t="shared" si="163"/>
        <v>여의도동</v>
      </c>
      <c r="H3284" t="s">
        <v>7004</v>
      </c>
      <c r="I3284">
        <v>7333</v>
      </c>
    </row>
    <row r="3285" spans="1:9" x14ac:dyDescent="0.4">
      <c r="A3285">
        <v>3180000</v>
      </c>
      <c r="B3285" t="s">
        <v>7036</v>
      </c>
      <c r="C3285" s="1">
        <v>30481</v>
      </c>
      <c r="D3285" t="s">
        <v>7037</v>
      </c>
      <c r="E3285" t="str">
        <f t="shared" si="164"/>
        <v>서울특별시</v>
      </c>
      <c r="F3285" t="str">
        <f t="shared" si="165"/>
        <v>영등포구</v>
      </c>
      <c r="G3285" t="str">
        <f t="shared" si="163"/>
        <v>여의도동</v>
      </c>
      <c r="H3285" t="s">
        <v>7038</v>
      </c>
      <c r="I3285">
        <v>7333</v>
      </c>
    </row>
    <row r="3286" spans="1:9" x14ac:dyDescent="0.4">
      <c r="A3286">
        <v>3180000</v>
      </c>
      <c r="B3286" t="s">
        <v>6718</v>
      </c>
      <c r="C3286" s="1">
        <v>36385</v>
      </c>
      <c r="D3286" t="s">
        <v>6719</v>
      </c>
      <c r="E3286" t="str">
        <f t="shared" si="164"/>
        <v>서울특별시</v>
      </c>
      <c r="F3286" t="str">
        <f t="shared" si="165"/>
        <v>영등포구</v>
      </c>
      <c r="G3286" t="str">
        <f t="shared" si="163"/>
        <v>여의도동</v>
      </c>
    </row>
    <row r="3287" spans="1:9" x14ac:dyDescent="0.4">
      <c r="A3287">
        <v>3180000</v>
      </c>
      <c r="B3287" t="s">
        <v>6895</v>
      </c>
      <c r="C3287" s="1">
        <v>36889</v>
      </c>
      <c r="D3287" t="s">
        <v>6896</v>
      </c>
      <c r="E3287" t="str">
        <f t="shared" si="164"/>
        <v>서울특별시</v>
      </c>
      <c r="F3287" t="str">
        <f t="shared" si="165"/>
        <v>영등포구</v>
      </c>
      <c r="G3287" t="str">
        <f t="shared" si="163"/>
        <v>여의도동</v>
      </c>
      <c r="H3287" t="s">
        <v>6897</v>
      </c>
      <c r="I3287">
        <v>7333</v>
      </c>
    </row>
    <row r="3288" spans="1:9" x14ac:dyDescent="0.4">
      <c r="A3288">
        <v>3180000</v>
      </c>
      <c r="B3288" t="s">
        <v>7121</v>
      </c>
      <c r="C3288" s="1">
        <v>32743</v>
      </c>
      <c r="D3288" t="s">
        <v>7122</v>
      </c>
      <c r="E3288" t="str">
        <f t="shared" si="164"/>
        <v>서울특별시</v>
      </c>
      <c r="F3288" t="str">
        <f t="shared" si="165"/>
        <v>영등포구</v>
      </c>
      <c r="G3288" t="str">
        <f t="shared" si="163"/>
        <v>여의도동</v>
      </c>
    </row>
    <row r="3289" spans="1:9" x14ac:dyDescent="0.4">
      <c r="A3289">
        <v>3180000</v>
      </c>
      <c r="B3289" t="s">
        <v>6639</v>
      </c>
      <c r="C3289" s="1">
        <v>36906</v>
      </c>
      <c r="D3289" t="s">
        <v>6640</v>
      </c>
      <c r="E3289" t="str">
        <f t="shared" si="164"/>
        <v>서울특별시</v>
      </c>
      <c r="F3289" t="str">
        <f t="shared" si="165"/>
        <v>영등포구</v>
      </c>
      <c r="G3289" t="str">
        <f t="shared" si="163"/>
        <v>여의도동</v>
      </c>
    </row>
    <row r="3290" spans="1:9" x14ac:dyDescent="0.4">
      <c r="A3290">
        <v>3180000</v>
      </c>
      <c r="B3290" t="s">
        <v>6998</v>
      </c>
      <c r="C3290" s="1">
        <v>37075</v>
      </c>
      <c r="D3290" t="s">
        <v>6999</v>
      </c>
      <c r="E3290" t="str">
        <f t="shared" si="164"/>
        <v>서울특별시</v>
      </c>
      <c r="F3290" t="str">
        <f t="shared" si="165"/>
        <v>영등포구</v>
      </c>
      <c r="G3290" t="str">
        <f t="shared" si="163"/>
        <v>여의도동</v>
      </c>
    </row>
    <row r="3291" spans="1:9" x14ac:dyDescent="0.4">
      <c r="A3291">
        <v>3180000</v>
      </c>
      <c r="B3291" t="s">
        <v>7066</v>
      </c>
      <c r="C3291" s="1">
        <v>32667</v>
      </c>
      <c r="D3291" t="s">
        <v>7067</v>
      </c>
      <c r="E3291" t="str">
        <f t="shared" si="164"/>
        <v>서울특별시</v>
      </c>
      <c r="F3291" t="str">
        <f t="shared" si="165"/>
        <v>영등포구</v>
      </c>
      <c r="G3291" t="str">
        <f t="shared" si="163"/>
        <v>여의도동</v>
      </c>
    </row>
    <row r="3292" spans="1:9" x14ac:dyDescent="0.4">
      <c r="A3292">
        <v>3180000</v>
      </c>
      <c r="B3292" t="s">
        <v>7527</v>
      </c>
      <c r="C3292" s="1">
        <v>37162</v>
      </c>
      <c r="D3292" t="s">
        <v>7528</v>
      </c>
      <c r="E3292" t="str">
        <f t="shared" si="164"/>
        <v>서울특별시</v>
      </c>
      <c r="F3292" t="str">
        <f t="shared" si="165"/>
        <v>영등포구</v>
      </c>
      <c r="G3292" t="str">
        <f t="shared" si="163"/>
        <v>여의도동</v>
      </c>
      <c r="H3292" t="s">
        <v>7529</v>
      </c>
      <c r="I3292">
        <v>7333</v>
      </c>
    </row>
    <row r="3293" spans="1:9" x14ac:dyDescent="0.4">
      <c r="A3293">
        <v>3180000</v>
      </c>
      <c r="B3293" t="s">
        <v>7368</v>
      </c>
      <c r="C3293" s="1">
        <v>43650</v>
      </c>
      <c r="D3293" t="s">
        <v>7369</v>
      </c>
      <c r="E3293" t="str">
        <f t="shared" si="164"/>
        <v>서울특별시</v>
      </c>
      <c r="F3293" t="str">
        <f t="shared" si="165"/>
        <v>영등포구</v>
      </c>
      <c r="G3293" t="str">
        <f t="shared" si="163"/>
        <v>여의도동</v>
      </c>
      <c r="H3293" t="s">
        <v>7370</v>
      </c>
      <c r="I3293">
        <v>7333</v>
      </c>
    </row>
    <row r="3294" spans="1:9" x14ac:dyDescent="0.4">
      <c r="A3294">
        <v>3180000</v>
      </c>
      <c r="B3294" t="s">
        <v>6652</v>
      </c>
      <c r="C3294" s="1">
        <v>36635</v>
      </c>
      <c r="D3294" t="s">
        <v>6653</v>
      </c>
      <c r="E3294" t="str">
        <f t="shared" si="164"/>
        <v>서울특별시</v>
      </c>
      <c r="F3294" t="str">
        <f t="shared" si="165"/>
        <v>영등포구</v>
      </c>
      <c r="G3294" t="str">
        <f t="shared" ref="G3294:G3357" si="166">MID(SUBSTITUTE(D3294," ",""),10,4)</f>
        <v>여의도동</v>
      </c>
    </row>
    <row r="3295" spans="1:9" x14ac:dyDescent="0.4">
      <c r="A3295">
        <v>3180000</v>
      </c>
      <c r="B3295" t="s">
        <v>6893</v>
      </c>
      <c r="C3295" s="1">
        <v>38309</v>
      </c>
      <c r="D3295" t="s">
        <v>6653</v>
      </c>
      <c r="E3295" t="str">
        <f t="shared" si="164"/>
        <v>서울특별시</v>
      </c>
      <c r="F3295" t="str">
        <f t="shared" si="165"/>
        <v>영등포구</v>
      </c>
      <c r="G3295" t="str">
        <f t="shared" si="166"/>
        <v>여의도동</v>
      </c>
      <c r="H3295" t="s">
        <v>6894</v>
      </c>
      <c r="I3295">
        <v>7333</v>
      </c>
    </row>
    <row r="3296" spans="1:9" x14ac:dyDescent="0.4">
      <c r="A3296">
        <v>3180000</v>
      </c>
      <c r="B3296" t="s">
        <v>6583</v>
      </c>
      <c r="C3296" s="1">
        <v>37827</v>
      </c>
      <c r="D3296" t="s">
        <v>6584</v>
      </c>
      <c r="E3296" t="str">
        <f t="shared" si="164"/>
        <v>서울특별시</v>
      </c>
      <c r="F3296" t="str">
        <f t="shared" si="165"/>
        <v>영등포구</v>
      </c>
      <c r="G3296" t="str">
        <f t="shared" si="166"/>
        <v>여의도동</v>
      </c>
      <c r="H3296" t="s">
        <v>6585</v>
      </c>
      <c r="I3296">
        <v>7333</v>
      </c>
    </row>
    <row r="3297" spans="1:9" x14ac:dyDescent="0.4">
      <c r="A3297">
        <v>3180000</v>
      </c>
      <c r="B3297" t="s">
        <v>7509</v>
      </c>
      <c r="C3297" s="1">
        <v>40795</v>
      </c>
      <c r="D3297" t="s">
        <v>7510</v>
      </c>
      <c r="E3297" t="str">
        <f t="shared" si="164"/>
        <v>서울특별시</v>
      </c>
      <c r="F3297" t="str">
        <f t="shared" si="165"/>
        <v>영등포구</v>
      </c>
      <c r="G3297" t="str">
        <f t="shared" si="166"/>
        <v>여의도동</v>
      </c>
      <c r="H3297" t="s">
        <v>7511</v>
      </c>
    </row>
    <row r="3298" spans="1:9" x14ac:dyDescent="0.4">
      <c r="A3298">
        <v>3180000</v>
      </c>
      <c r="B3298" t="s">
        <v>6776</v>
      </c>
      <c r="C3298" s="1">
        <v>37964</v>
      </c>
      <c r="D3298" t="s">
        <v>6777</v>
      </c>
      <c r="E3298" t="str">
        <f t="shared" si="164"/>
        <v>서울특별시</v>
      </c>
      <c r="F3298" t="str">
        <f t="shared" si="165"/>
        <v>영등포구</v>
      </c>
      <c r="G3298" t="str">
        <f t="shared" si="166"/>
        <v>여의도동</v>
      </c>
      <c r="H3298" t="s">
        <v>6778</v>
      </c>
      <c r="I3298">
        <v>7333</v>
      </c>
    </row>
    <row r="3299" spans="1:9" x14ac:dyDescent="0.4">
      <c r="A3299">
        <v>3180000</v>
      </c>
      <c r="B3299" t="s">
        <v>6956</v>
      </c>
      <c r="C3299" s="1">
        <v>37477</v>
      </c>
      <c r="D3299" t="s">
        <v>6957</v>
      </c>
      <c r="E3299" t="str">
        <f t="shared" si="164"/>
        <v>서울특별시</v>
      </c>
      <c r="F3299" t="str">
        <f t="shared" si="165"/>
        <v>영등포구</v>
      </c>
      <c r="G3299" t="str">
        <f t="shared" si="166"/>
        <v>여의도동</v>
      </c>
    </row>
    <row r="3300" spans="1:9" x14ac:dyDescent="0.4">
      <c r="A3300">
        <v>3180000</v>
      </c>
      <c r="B3300" t="s">
        <v>6941</v>
      </c>
      <c r="C3300" s="1">
        <v>37342</v>
      </c>
      <c r="D3300" t="s">
        <v>6942</v>
      </c>
      <c r="E3300" t="str">
        <f t="shared" si="164"/>
        <v>서울특별시</v>
      </c>
      <c r="F3300" t="str">
        <f t="shared" si="165"/>
        <v>영등포구</v>
      </c>
      <c r="G3300" t="str">
        <f t="shared" si="166"/>
        <v>여의도동</v>
      </c>
    </row>
    <row r="3301" spans="1:9" x14ac:dyDescent="0.4">
      <c r="A3301">
        <v>3180000</v>
      </c>
      <c r="B3301" t="s">
        <v>7012</v>
      </c>
      <c r="C3301" s="1">
        <v>37146</v>
      </c>
      <c r="D3301" t="s">
        <v>7013</v>
      </c>
      <c r="E3301" t="str">
        <f t="shared" si="164"/>
        <v>서울특별시</v>
      </c>
      <c r="F3301" t="str">
        <f t="shared" si="165"/>
        <v>영등포구</v>
      </c>
      <c r="G3301" t="str">
        <f t="shared" si="166"/>
        <v>여의도동</v>
      </c>
      <c r="H3301" t="s">
        <v>7014</v>
      </c>
      <c r="I3301">
        <v>7333</v>
      </c>
    </row>
    <row r="3302" spans="1:9" x14ac:dyDescent="0.4">
      <c r="A3302">
        <v>3180000</v>
      </c>
      <c r="B3302" t="s">
        <v>6989</v>
      </c>
      <c r="C3302" s="1">
        <v>41022</v>
      </c>
      <c r="D3302" t="s">
        <v>6990</v>
      </c>
      <c r="E3302" t="str">
        <f t="shared" si="164"/>
        <v>서울특별시</v>
      </c>
      <c r="F3302" t="str">
        <f t="shared" si="165"/>
        <v>영등포구</v>
      </c>
      <c r="G3302" t="str">
        <f t="shared" si="166"/>
        <v>여의도동</v>
      </c>
      <c r="H3302" t="s">
        <v>6991</v>
      </c>
      <c r="I3302">
        <v>7333</v>
      </c>
    </row>
    <row r="3303" spans="1:9" x14ac:dyDescent="0.4">
      <c r="A3303">
        <v>3180000</v>
      </c>
      <c r="B3303" t="s">
        <v>6629</v>
      </c>
      <c r="C3303" s="1">
        <v>39713</v>
      </c>
      <c r="D3303" t="s">
        <v>6630</v>
      </c>
      <c r="E3303" t="str">
        <f t="shared" si="164"/>
        <v>서울특별시</v>
      </c>
      <c r="F3303" t="str">
        <f t="shared" si="165"/>
        <v>영등포구</v>
      </c>
      <c r="G3303" t="str">
        <f t="shared" si="166"/>
        <v>여의도동</v>
      </c>
      <c r="H3303" t="s">
        <v>6631</v>
      </c>
      <c r="I3303">
        <v>7333</v>
      </c>
    </row>
    <row r="3304" spans="1:9" x14ac:dyDescent="0.4">
      <c r="A3304">
        <v>3180000</v>
      </c>
      <c r="B3304" t="s">
        <v>6805</v>
      </c>
      <c r="C3304" s="1">
        <v>42002</v>
      </c>
      <c r="D3304" t="s">
        <v>6806</v>
      </c>
      <c r="E3304" t="str">
        <f t="shared" si="164"/>
        <v>서울특별시</v>
      </c>
      <c r="F3304" t="str">
        <f t="shared" si="165"/>
        <v>영등포구</v>
      </c>
      <c r="G3304" t="str">
        <f t="shared" si="166"/>
        <v>여의도동</v>
      </c>
      <c r="H3304" t="s">
        <v>6807</v>
      </c>
      <c r="I3304">
        <v>7333</v>
      </c>
    </row>
    <row r="3305" spans="1:9" x14ac:dyDescent="0.4">
      <c r="A3305">
        <v>3180000</v>
      </c>
      <c r="B3305" t="s">
        <v>7133</v>
      </c>
      <c r="C3305" s="1">
        <v>31558</v>
      </c>
      <c r="D3305" t="s">
        <v>7134</v>
      </c>
      <c r="E3305" t="str">
        <f t="shared" si="164"/>
        <v>서울특별시</v>
      </c>
      <c r="F3305" t="str">
        <f t="shared" si="165"/>
        <v>영등포구</v>
      </c>
      <c r="G3305" t="str">
        <f t="shared" si="166"/>
        <v>여의도동</v>
      </c>
    </row>
    <row r="3306" spans="1:9" x14ac:dyDescent="0.4">
      <c r="A3306">
        <v>3180000</v>
      </c>
      <c r="B3306" t="s">
        <v>252</v>
      </c>
      <c r="C3306" s="1">
        <v>43979</v>
      </c>
      <c r="D3306" t="s">
        <v>253</v>
      </c>
      <c r="E3306" t="str">
        <f t="shared" si="164"/>
        <v>서울특별시</v>
      </c>
      <c r="F3306" t="str">
        <f t="shared" si="165"/>
        <v>영등포구</v>
      </c>
      <c r="G3306" t="str">
        <f t="shared" si="166"/>
        <v>여의도동</v>
      </c>
      <c r="H3306" t="s">
        <v>254</v>
      </c>
      <c r="I3306">
        <v>7333</v>
      </c>
    </row>
    <row r="3307" spans="1:9" x14ac:dyDescent="0.4">
      <c r="A3307">
        <v>3180000</v>
      </c>
      <c r="B3307" t="s">
        <v>6701</v>
      </c>
      <c r="C3307" s="1">
        <v>36269</v>
      </c>
      <c r="D3307" t="s">
        <v>6702</v>
      </c>
      <c r="E3307" t="str">
        <f t="shared" si="164"/>
        <v>서울특별시</v>
      </c>
      <c r="F3307" t="str">
        <f t="shared" si="165"/>
        <v>영등포구</v>
      </c>
      <c r="G3307" t="str">
        <f t="shared" si="166"/>
        <v>여의도동</v>
      </c>
      <c r="H3307" t="s">
        <v>6703</v>
      </c>
      <c r="I3307">
        <v>7333</v>
      </c>
    </row>
    <row r="3308" spans="1:9" x14ac:dyDescent="0.4">
      <c r="A3308">
        <v>3180000</v>
      </c>
      <c r="B3308" t="s">
        <v>6828</v>
      </c>
      <c r="C3308" s="1">
        <v>37033</v>
      </c>
      <c r="D3308" t="s">
        <v>6829</v>
      </c>
      <c r="E3308" t="str">
        <f t="shared" si="164"/>
        <v>서울특별시</v>
      </c>
      <c r="F3308" t="str">
        <f t="shared" si="165"/>
        <v>영등포구</v>
      </c>
      <c r="G3308" t="str">
        <f t="shared" si="166"/>
        <v>여의도동</v>
      </c>
      <c r="H3308" t="s">
        <v>6830</v>
      </c>
      <c r="I3308">
        <v>7333</v>
      </c>
    </row>
    <row r="3309" spans="1:9" x14ac:dyDescent="0.4">
      <c r="A3309">
        <v>3180000</v>
      </c>
      <c r="B3309" t="s">
        <v>7252</v>
      </c>
      <c r="C3309" s="1">
        <v>41985</v>
      </c>
      <c r="D3309" t="s">
        <v>7253</v>
      </c>
      <c r="E3309" t="str">
        <f t="shared" si="164"/>
        <v>서울특별시</v>
      </c>
      <c r="F3309" t="str">
        <f t="shared" si="165"/>
        <v>영등포구</v>
      </c>
      <c r="G3309" t="str">
        <f t="shared" si="166"/>
        <v>여의도동</v>
      </c>
      <c r="H3309" t="s">
        <v>7254</v>
      </c>
      <c r="I3309">
        <v>7333</v>
      </c>
    </row>
    <row r="3310" spans="1:9" x14ac:dyDescent="0.4">
      <c r="A3310">
        <v>3180000</v>
      </c>
      <c r="B3310" t="s">
        <v>6602</v>
      </c>
      <c r="C3310" s="1">
        <v>44152</v>
      </c>
      <c r="D3310" t="s">
        <v>6603</v>
      </c>
      <c r="E3310" t="str">
        <f t="shared" si="164"/>
        <v>서울특별시</v>
      </c>
      <c r="F3310" t="str">
        <f t="shared" si="165"/>
        <v>영등포구</v>
      </c>
      <c r="G3310" t="str">
        <f t="shared" si="166"/>
        <v>여의도동</v>
      </c>
      <c r="H3310" t="s">
        <v>6604</v>
      </c>
      <c r="I3310">
        <v>7333</v>
      </c>
    </row>
    <row r="3311" spans="1:9" x14ac:dyDescent="0.4">
      <c r="A3311">
        <v>3180000</v>
      </c>
      <c r="B3311" t="s">
        <v>7382</v>
      </c>
      <c r="C3311" s="1">
        <v>44497</v>
      </c>
      <c r="D3311" t="s">
        <v>6603</v>
      </c>
      <c r="E3311" t="str">
        <f t="shared" si="164"/>
        <v>서울특별시</v>
      </c>
      <c r="F3311" t="str">
        <f t="shared" si="165"/>
        <v>영등포구</v>
      </c>
      <c r="G3311" t="str">
        <f t="shared" si="166"/>
        <v>여의도동</v>
      </c>
      <c r="H3311" t="s">
        <v>7053</v>
      </c>
      <c r="I3311">
        <v>7333</v>
      </c>
    </row>
    <row r="3312" spans="1:9" x14ac:dyDescent="0.4">
      <c r="A3312">
        <v>3180000</v>
      </c>
      <c r="B3312" t="s">
        <v>7383</v>
      </c>
      <c r="C3312" s="1">
        <v>44533</v>
      </c>
      <c r="D3312" t="s">
        <v>7384</v>
      </c>
      <c r="E3312" t="str">
        <f t="shared" si="164"/>
        <v>서울특별시</v>
      </c>
      <c r="F3312" t="str">
        <f t="shared" si="165"/>
        <v>영등포구</v>
      </c>
      <c r="G3312" t="str">
        <f t="shared" si="166"/>
        <v>여의도동</v>
      </c>
    </row>
    <row r="3313" spans="1:9" x14ac:dyDescent="0.4">
      <c r="A3313">
        <v>3180000</v>
      </c>
      <c r="B3313" t="s">
        <v>6605</v>
      </c>
      <c r="C3313" s="1">
        <v>43444</v>
      </c>
      <c r="D3313" t="s">
        <v>6606</v>
      </c>
      <c r="E3313" t="str">
        <f t="shared" si="164"/>
        <v>서울특별시</v>
      </c>
      <c r="F3313" t="str">
        <f t="shared" si="165"/>
        <v>영등포구</v>
      </c>
      <c r="G3313" t="str">
        <f t="shared" si="166"/>
        <v>여의도동</v>
      </c>
      <c r="H3313" t="s">
        <v>6607</v>
      </c>
      <c r="I3313">
        <v>7333</v>
      </c>
    </row>
    <row r="3314" spans="1:9" x14ac:dyDescent="0.4">
      <c r="A3314">
        <v>3180000</v>
      </c>
      <c r="B3314" t="s">
        <v>7051</v>
      </c>
      <c r="C3314" s="1">
        <v>30797</v>
      </c>
      <c r="D3314" t="s">
        <v>7052</v>
      </c>
      <c r="E3314" t="str">
        <f t="shared" si="164"/>
        <v>서울특별시</v>
      </c>
      <c r="F3314" t="str">
        <f t="shared" si="165"/>
        <v>영등포구</v>
      </c>
      <c r="G3314" t="str">
        <f t="shared" si="166"/>
        <v>여의도동</v>
      </c>
      <c r="H3314" t="s">
        <v>7053</v>
      </c>
      <c r="I3314">
        <v>7333</v>
      </c>
    </row>
    <row r="3315" spans="1:9" x14ac:dyDescent="0.4">
      <c r="A3315">
        <v>3180000</v>
      </c>
      <c r="B3315" t="s">
        <v>7460</v>
      </c>
      <c r="C3315" s="1">
        <v>39422</v>
      </c>
      <c r="D3315" t="s">
        <v>7461</v>
      </c>
      <c r="E3315" t="str">
        <f t="shared" si="164"/>
        <v>서울특별시</v>
      </c>
      <c r="F3315" t="str">
        <f t="shared" si="165"/>
        <v>영등포구</v>
      </c>
      <c r="G3315" t="str">
        <f t="shared" si="166"/>
        <v>여의도동</v>
      </c>
      <c r="H3315" t="s">
        <v>7462</v>
      </c>
      <c r="I3315">
        <v>7333</v>
      </c>
    </row>
    <row r="3316" spans="1:9" x14ac:dyDescent="0.4">
      <c r="A3316">
        <v>3180000</v>
      </c>
      <c r="B3316" t="s">
        <v>6900</v>
      </c>
      <c r="C3316" s="1">
        <v>28417</v>
      </c>
      <c r="D3316" t="s">
        <v>6901</v>
      </c>
      <c r="E3316" t="str">
        <f t="shared" si="164"/>
        <v>서울특별시</v>
      </c>
      <c r="F3316" t="str">
        <f t="shared" si="165"/>
        <v>영등포구</v>
      </c>
      <c r="G3316" t="str">
        <f t="shared" si="166"/>
        <v>여의도동</v>
      </c>
    </row>
    <row r="3317" spans="1:9" x14ac:dyDescent="0.4">
      <c r="A3317">
        <v>3180000</v>
      </c>
      <c r="B3317" t="s">
        <v>7061</v>
      </c>
      <c r="C3317" s="1">
        <v>30884</v>
      </c>
      <c r="D3317" t="s">
        <v>7062</v>
      </c>
      <c r="E3317" t="str">
        <f t="shared" si="164"/>
        <v>서울특별시</v>
      </c>
      <c r="F3317" t="str">
        <f t="shared" si="165"/>
        <v>영등포구</v>
      </c>
      <c r="G3317" t="str">
        <f t="shared" si="166"/>
        <v>여의도동</v>
      </c>
      <c r="H3317" t="s">
        <v>7063</v>
      </c>
      <c r="I3317">
        <v>7333</v>
      </c>
    </row>
    <row r="3318" spans="1:9" x14ac:dyDescent="0.4">
      <c r="A3318">
        <v>3180000</v>
      </c>
      <c r="B3318" t="s">
        <v>7541</v>
      </c>
      <c r="C3318" s="1">
        <v>40492</v>
      </c>
      <c r="D3318" t="s">
        <v>7542</v>
      </c>
      <c r="E3318" t="str">
        <f t="shared" si="164"/>
        <v>서울특별시</v>
      </c>
      <c r="F3318" t="str">
        <f t="shared" si="165"/>
        <v>영등포구</v>
      </c>
      <c r="G3318" t="str">
        <f t="shared" si="166"/>
        <v>여의도동</v>
      </c>
      <c r="H3318" t="s">
        <v>7543</v>
      </c>
      <c r="I3318">
        <v>7333</v>
      </c>
    </row>
    <row r="3319" spans="1:9" x14ac:dyDescent="0.4">
      <c r="A3319">
        <v>3180000</v>
      </c>
      <c r="B3319" t="s">
        <v>6589</v>
      </c>
      <c r="C3319" s="1">
        <v>43735</v>
      </c>
      <c r="D3319" t="s">
        <v>6590</v>
      </c>
      <c r="E3319" t="str">
        <f t="shared" si="164"/>
        <v>서울특별시</v>
      </c>
      <c r="F3319" t="str">
        <f t="shared" si="165"/>
        <v>영등포구</v>
      </c>
      <c r="G3319" t="str">
        <f t="shared" si="166"/>
        <v>여의도동</v>
      </c>
      <c r="H3319" t="s">
        <v>6591</v>
      </c>
      <c r="I3319">
        <v>7333</v>
      </c>
    </row>
    <row r="3320" spans="1:9" x14ac:dyDescent="0.4">
      <c r="A3320">
        <v>3180000</v>
      </c>
      <c r="B3320" t="s">
        <v>6808</v>
      </c>
      <c r="C3320" s="1">
        <v>42088</v>
      </c>
      <c r="D3320" t="s">
        <v>6809</v>
      </c>
      <c r="E3320" t="str">
        <f t="shared" si="164"/>
        <v>서울특별시</v>
      </c>
      <c r="F3320" t="str">
        <f t="shared" si="165"/>
        <v>영등포구</v>
      </c>
      <c r="G3320" t="str">
        <f t="shared" si="166"/>
        <v>여의도동</v>
      </c>
      <c r="H3320" t="s">
        <v>6810</v>
      </c>
      <c r="I3320">
        <v>7333</v>
      </c>
    </row>
    <row r="3321" spans="1:9" x14ac:dyDescent="0.4">
      <c r="A3321">
        <v>3180000</v>
      </c>
      <c r="B3321" t="s">
        <v>7365</v>
      </c>
      <c r="C3321" s="1">
        <v>37862</v>
      </c>
      <c r="D3321" t="s">
        <v>7366</v>
      </c>
      <c r="E3321" t="str">
        <f t="shared" si="164"/>
        <v>서울특별시</v>
      </c>
      <c r="F3321" t="str">
        <f t="shared" si="165"/>
        <v>영등포구</v>
      </c>
      <c r="G3321" t="str">
        <f t="shared" si="166"/>
        <v>여의도동</v>
      </c>
      <c r="H3321" t="s">
        <v>7367</v>
      </c>
    </row>
    <row r="3322" spans="1:9" x14ac:dyDescent="0.4">
      <c r="A3322">
        <v>3180000</v>
      </c>
      <c r="B3322" t="s">
        <v>7000</v>
      </c>
      <c r="C3322" s="1">
        <v>37078</v>
      </c>
      <c r="D3322" t="s">
        <v>7001</v>
      </c>
      <c r="E3322" t="str">
        <f t="shared" si="164"/>
        <v>서울특별시</v>
      </c>
      <c r="F3322" t="str">
        <f t="shared" si="165"/>
        <v>영등포구</v>
      </c>
      <c r="G3322" t="str">
        <f t="shared" si="166"/>
        <v>여의도동</v>
      </c>
    </row>
    <row r="3323" spans="1:9" x14ac:dyDescent="0.4">
      <c r="A3323">
        <v>3180000</v>
      </c>
      <c r="B3323" t="s">
        <v>7107</v>
      </c>
      <c r="C3323" s="1">
        <v>31512</v>
      </c>
      <c r="D3323" t="s">
        <v>7108</v>
      </c>
      <c r="E3323" t="str">
        <f t="shared" si="164"/>
        <v>서울특별시</v>
      </c>
      <c r="F3323" t="str">
        <f t="shared" si="165"/>
        <v>영등포구</v>
      </c>
      <c r="G3323" t="str">
        <f t="shared" si="166"/>
        <v>여의도동</v>
      </c>
    </row>
    <row r="3324" spans="1:9" x14ac:dyDescent="0.4">
      <c r="A3324">
        <v>3180000</v>
      </c>
      <c r="B3324" t="s">
        <v>7071</v>
      </c>
      <c r="C3324" s="1">
        <v>31558</v>
      </c>
      <c r="D3324" t="s">
        <v>7072</v>
      </c>
      <c r="E3324" t="str">
        <f t="shared" si="164"/>
        <v>서울특별시</v>
      </c>
      <c r="F3324" t="str">
        <f t="shared" si="165"/>
        <v>영등포구</v>
      </c>
      <c r="G3324" t="str">
        <f t="shared" si="166"/>
        <v>여의도동</v>
      </c>
      <c r="H3324" t="s">
        <v>7073</v>
      </c>
      <c r="I3324">
        <v>7333</v>
      </c>
    </row>
    <row r="3325" spans="1:9" x14ac:dyDescent="0.4">
      <c r="A3325">
        <v>3180000</v>
      </c>
      <c r="B3325" t="s">
        <v>7418</v>
      </c>
      <c r="C3325" s="1">
        <v>32202</v>
      </c>
      <c r="D3325" t="s">
        <v>7419</v>
      </c>
      <c r="E3325" t="str">
        <f t="shared" si="164"/>
        <v>서울특별시</v>
      </c>
      <c r="F3325" t="str">
        <f t="shared" si="165"/>
        <v>영등포구</v>
      </c>
      <c r="G3325" t="str">
        <f t="shared" si="166"/>
        <v>여의도동</v>
      </c>
      <c r="H3325" t="s">
        <v>7420</v>
      </c>
      <c r="I3325">
        <v>7333</v>
      </c>
    </row>
    <row r="3326" spans="1:9" x14ac:dyDescent="0.4">
      <c r="A3326">
        <v>3180000</v>
      </c>
      <c r="B3326" t="s">
        <v>7173</v>
      </c>
      <c r="C3326" s="1">
        <v>40519</v>
      </c>
      <c r="D3326" t="s">
        <v>7174</v>
      </c>
      <c r="E3326" t="str">
        <f t="shared" si="164"/>
        <v>서울특별시</v>
      </c>
      <c r="F3326" t="str">
        <f t="shared" si="165"/>
        <v>영등포구</v>
      </c>
      <c r="G3326" t="str">
        <f t="shared" si="166"/>
        <v>여의도동</v>
      </c>
      <c r="H3326" t="s">
        <v>7175</v>
      </c>
      <c r="I3326">
        <v>7333</v>
      </c>
    </row>
    <row r="3327" spans="1:9" x14ac:dyDescent="0.4">
      <c r="A3327">
        <v>3180000</v>
      </c>
      <c r="B3327" t="s">
        <v>6826</v>
      </c>
      <c r="C3327" s="1">
        <v>37029</v>
      </c>
      <c r="D3327" t="s">
        <v>6827</v>
      </c>
      <c r="E3327" t="str">
        <f t="shared" si="164"/>
        <v>서울특별시</v>
      </c>
      <c r="F3327" t="str">
        <f t="shared" si="165"/>
        <v>영등포구</v>
      </c>
      <c r="G3327" t="str">
        <f t="shared" si="166"/>
        <v>여의도동</v>
      </c>
    </row>
    <row r="3328" spans="1:9" x14ac:dyDescent="0.4">
      <c r="A3328">
        <v>3180000</v>
      </c>
      <c r="B3328" t="s">
        <v>6841</v>
      </c>
      <c r="C3328" s="1">
        <v>37055</v>
      </c>
      <c r="D3328" t="s">
        <v>6842</v>
      </c>
      <c r="E3328" t="str">
        <f t="shared" si="164"/>
        <v>서울특별시</v>
      </c>
      <c r="F3328" t="str">
        <f t="shared" si="165"/>
        <v>영등포구</v>
      </c>
      <c r="G3328" t="str">
        <f t="shared" si="166"/>
        <v>여의도동</v>
      </c>
    </row>
    <row r="3329" spans="1:9" x14ac:dyDescent="0.4">
      <c r="A3329">
        <v>3180000</v>
      </c>
      <c r="B3329" t="s">
        <v>6773</v>
      </c>
      <c r="C3329" s="1">
        <v>37896</v>
      </c>
      <c r="D3329" t="s">
        <v>6774</v>
      </c>
      <c r="E3329" t="str">
        <f t="shared" si="164"/>
        <v>서울특별시</v>
      </c>
      <c r="F3329" t="str">
        <f t="shared" si="165"/>
        <v>영등포구</v>
      </c>
      <c r="G3329" t="str">
        <f t="shared" si="166"/>
        <v>여의도동</v>
      </c>
      <c r="H3329" t="s">
        <v>6775</v>
      </c>
      <c r="I3329">
        <v>7333</v>
      </c>
    </row>
    <row r="3330" spans="1:9" x14ac:dyDescent="0.4">
      <c r="A3330">
        <v>3180000</v>
      </c>
      <c r="B3330" t="s">
        <v>7105</v>
      </c>
      <c r="C3330" s="1">
        <v>31512</v>
      </c>
      <c r="D3330" t="s">
        <v>7106</v>
      </c>
      <c r="E3330" t="str">
        <f t="shared" si="164"/>
        <v>서울특별시</v>
      </c>
      <c r="F3330" t="str">
        <f t="shared" si="165"/>
        <v>영등포구</v>
      </c>
      <c r="G3330" t="str">
        <f t="shared" si="166"/>
        <v>여의도동</v>
      </c>
    </row>
    <row r="3331" spans="1:9" x14ac:dyDescent="0.4">
      <c r="A3331">
        <v>3180000</v>
      </c>
      <c r="B3331" t="s">
        <v>7560</v>
      </c>
      <c r="C3331" s="1">
        <v>42908</v>
      </c>
      <c r="D3331" t="s">
        <v>7561</v>
      </c>
      <c r="E3331" t="str">
        <f t="shared" ref="E3331:E3394" si="167">LEFT(D3331,5)</f>
        <v>서울특별시</v>
      </c>
      <c r="F3331" t="str">
        <f t="shared" ref="F3331:F3394" si="168">MID(D3331,7,4)</f>
        <v>영등포구</v>
      </c>
      <c r="G3331" t="str">
        <f t="shared" si="166"/>
        <v>여의도동</v>
      </c>
      <c r="H3331" t="s">
        <v>7562</v>
      </c>
      <c r="I3331">
        <v>7333</v>
      </c>
    </row>
    <row r="3332" spans="1:9" x14ac:dyDescent="0.4">
      <c r="A3332">
        <v>3180000</v>
      </c>
      <c r="B3332" t="s">
        <v>6728</v>
      </c>
      <c r="C3332" s="1">
        <v>36425</v>
      </c>
      <c r="D3332" t="s">
        <v>6729</v>
      </c>
      <c r="E3332" t="str">
        <f t="shared" si="167"/>
        <v>서울특별시</v>
      </c>
      <c r="F3332" t="str">
        <f t="shared" si="168"/>
        <v>영등포구</v>
      </c>
      <c r="G3332" t="str">
        <f t="shared" si="166"/>
        <v>여의도동</v>
      </c>
      <c r="H3332" t="s">
        <v>6730</v>
      </c>
      <c r="I3332">
        <v>7333</v>
      </c>
    </row>
    <row r="3333" spans="1:9" x14ac:dyDescent="0.4">
      <c r="A3333">
        <v>3180000</v>
      </c>
      <c r="B3333" t="s">
        <v>6983</v>
      </c>
      <c r="C3333" s="1">
        <v>40794</v>
      </c>
      <c r="D3333" t="s">
        <v>6984</v>
      </c>
      <c r="E3333" t="str">
        <f t="shared" si="167"/>
        <v>서울특별시</v>
      </c>
      <c r="F3333" t="str">
        <f t="shared" si="168"/>
        <v>영등포구</v>
      </c>
      <c r="G3333" t="str">
        <f t="shared" si="166"/>
        <v>여의도동</v>
      </c>
      <c r="H3333" t="s">
        <v>6985</v>
      </c>
      <c r="I3333">
        <v>7333</v>
      </c>
    </row>
    <row r="3334" spans="1:9" x14ac:dyDescent="0.4">
      <c r="A3334">
        <v>3180000</v>
      </c>
      <c r="B3334" t="s">
        <v>7031</v>
      </c>
      <c r="C3334" s="1">
        <v>40435</v>
      </c>
      <c r="D3334" t="s">
        <v>7032</v>
      </c>
      <c r="E3334" t="str">
        <f t="shared" si="167"/>
        <v>서울특별시</v>
      </c>
      <c r="F3334" t="str">
        <f t="shared" si="168"/>
        <v>영등포구</v>
      </c>
      <c r="G3334" t="str">
        <f t="shared" si="166"/>
        <v>여의도동</v>
      </c>
    </row>
    <row r="3335" spans="1:9" x14ac:dyDescent="0.4">
      <c r="A3335">
        <v>3180000</v>
      </c>
      <c r="B3335" t="s">
        <v>6814</v>
      </c>
      <c r="C3335" s="1">
        <v>42195</v>
      </c>
      <c r="D3335" t="s">
        <v>6815</v>
      </c>
      <c r="E3335" t="str">
        <f t="shared" si="167"/>
        <v>서울특별시</v>
      </c>
      <c r="F3335" t="str">
        <f t="shared" si="168"/>
        <v>영등포구</v>
      </c>
      <c r="G3335" t="str">
        <f t="shared" si="166"/>
        <v>여의도동</v>
      </c>
      <c r="H3335" t="s">
        <v>6816</v>
      </c>
      <c r="I3335">
        <v>7333</v>
      </c>
    </row>
    <row r="3336" spans="1:9" x14ac:dyDescent="0.4">
      <c r="A3336">
        <v>3180000</v>
      </c>
      <c r="B3336" t="s">
        <v>6838</v>
      </c>
      <c r="C3336" s="1">
        <v>37044</v>
      </c>
      <c r="D3336" t="s">
        <v>6839</v>
      </c>
      <c r="E3336" t="str">
        <f t="shared" si="167"/>
        <v>서울특별시</v>
      </c>
      <c r="F3336" t="str">
        <f t="shared" si="168"/>
        <v>영등포구</v>
      </c>
      <c r="G3336" t="str">
        <f t="shared" si="166"/>
        <v>여의도동</v>
      </c>
      <c r="H3336" t="s">
        <v>6840</v>
      </c>
      <c r="I3336">
        <v>7333</v>
      </c>
    </row>
    <row r="3337" spans="1:9" x14ac:dyDescent="0.4">
      <c r="A3337">
        <v>3180000</v>
      </c>
      <c r="B3337" t="s">
        <v>7374</v>
      </c>
      <c r="C3337" s="1">
        <v>43838</v>
      </c>
      <c r="D3337" t="s">
        <v>6839</v>
      </c>
      <c r="E3337" t="str">
        <f t="shared" si="167"/>
        <v>서울특별시</v>
      </c>
      <c r="F3337" t="str">
        <f t="shared" si="168"/>
        <v>영등포구</v>
      </c>
      <c r="G3337" t="str">
        <f t="shared" si="166"/>
        <v>여의도동</v>
      </c>
      <c r="H3337" t="s">
        <v>7375</v>
      </c>
      <c r="I3337">
        <v>7333</v>
      </c>
    </row>
    <row r="3338" spans="1:9" x14ac:dyDescent="0.4">
      <c r="A3338">
        <v>3180000</v>
      </c>
      <c r="B3338" t="s">
        <v>6834</v>
      </c>
      <c r="C3338" s="1">
        <v>37041</v>
      </c>
      <c r="D3338" t="s">
        <v>6835</v>
      </c>
      <c r="E3338" t="str">
        <f t="shared" si="167"/>
        <v>서울특별시</v>
      </c>
      <c r="F3338" t="str">
        <f t="shared" si="168"/>
        <v>영등포구</v>
      </c>
      <c r="G3338" t="str">
        <f t="shared" si="166"/>
        <v>여의도동</v>
      </c>
    </row>
    <row r="3339" spans="1:9" x14ac:dyDescent="0.4">
      <c r="A3339">
        <v>3180000</v>
      </c>
      <c r="B3339" t="s">
        <v>6843</v>
      </c>
      <c r="C3339" s="1">
        <v>39812</v>
      </c>
      <c r="D3339" t="s">
        <v>6844</v>
      </c>
      <c r="E3339" t="str">
        <f t="shared" si="167"/>
        <v>서울특별시</v>
      </c>
      <c r="F3339" t="str">
        <f t="shared" si="168"/>
        <v>영등포구</v>
      </c>
      <c r="G3339" t="str">
        <f t="shared" si="166"/>
        <v>여의도동</v>
      </c>
    </row>
    <row r="3340" spans="1:9" x14ac:dyDescent="0.4">
      <c r="A3340">
        <v>3180000</v>
      </c>
      <c r="B3340" t="s">
        <v>6765</v>
      </c>
      <c r="C3340" s="1">
        <v>30890</v>
      </c>
      <c r="D3340" t="s">
        <v>6766</v>
      </c>
      <c r="E3340" t="str">
        <f t="shared" si="167"/>
        <v>서울특별시</v>
      </c>
      <c r="F3340" t="str">
        <f t="shared" si="168"/>
        <v>영등포구</v>
      </c>
      <c r="G3340" t="str">
        <f t="shared" si="166"/>
        <v>여의도동</v>
      </c>
      <c r="H3340" t="s">
        <v>6767</v>
      </c>
      <c r="I3340">
        <v>7333</v>
      </c>
    </row>
    <row r="3341" spans="1:9" x14ac:dyDescent="0.4">
      <c r="A3341">
        <v>3180000</v>
      </c>
      <c r="B3341" t="s">
        <v>6898</v>
      </c>
      <c r="C3341" s="1">
        <v>28415</v>
      </c>
      <c r="D3341" t="s">
        <v>6899</v>
      </c>
      <c r="E3341" t="str">
        <f t="shared" si="167"/>
        <v>서울특별시</v>
      </c>
      <c r="F3341" t="str">
        <f t="shared" si="168"/>
        <v>영등포구</v>
      </c>
      <c r="G3341" t="str">
        <f t="shared" si="166"/>
        <v>여의도동</v>
      </c>
    </row>
    <row r="3342" spans="1:9" x14ac:dyDescent="0.4">
      <c r="A3342">
        <v>3180000</v>
      </c>
      <c r="B3342" t="s">
        <v>6744</v>
      </c>
      <c r="C3342" s="1">
        <v>36739</v>
      </c>
      <c r="D3342" t="s">
        <v>6745</v>
      </c>
      <c r="E3342" t="str">
        <f t="shared" si="167"/>
        <v>서울특별시</v>
      </c>
      <c r="F3342" t="str">
        <f t="shared" si="168"/>
        <v>영등포구</v>
      </c>
      <c r="G3342" t="str">
        <f t="shared" si="166"/>
        <v>여의도동</v>
      </c>
    </row>
    <row r="3343" spans="1:9" x14ac:dyDescent="0.4">
      <c r="A3343">
        <v>3180000</v>
      </c>
      <c r="B3343" t="s">
        <v>6692</v>
      </c>
      <c r="C3343" s="1">
        <v>41220</v>
      </c>
      <c r="D3343" t="s">
        <v>6693</v>
      </c>
      <c r="E3343" t="str">
        <f t="shared" si="167"/>
        <v>서울특별시</v>
      </c>
      <c r="F3343" t="str">
        <f t="shared" si="168"/>
        <v>영등포구</v>
      </c>
      <c r="G3343" t="str">
        <f t="shared" si="166"/>
        <v>여의도동</v>
      </c>
      <c r="H3343" t="s">
        <v>6694</v>
      </c>
      <c r="I3343">
        <v>7333</v>
      </c>
    </row>
    <row r="3344" spans="1:9" x14ac:dyDescent="0.4">
      <c r="A3344">
        <v>3180000</v>
      </c>
      <c r="B3344" t="s">
        <v>6635</v>
      </c>
      <c r="C3344" s="1">
        <v>36903</v>
      </c>
      <c r="D3344" t="s">
        <v>6636</v>
      </c>
      <c r="E3344" t="str">
        <f t="shared" si="167"/>
        <v>서울특별시</v>
      </c>
      <c r="F3344" t="str">
        <f t="shared" si="168"/>
        <v>영등포구</v>
      </c>
      <c r="G3344" t="str">
        <f t="shared" si="166"/>
        <v>여의도동</v>
      </c>
    </row>
    <row r="3345" spans="1:9" x14ac:dyDescent="0.4">
      <c r="A3345">
        <v>3180000</v>
      </c>
      <c r="B3345" t="s">
        <v>7203</v>
      </c>
      <c r="C3345" s="1">
        <v>35207</v>
      </c>
      <c r="D3345" t="s">
        <v>6636</v>
      </c>
      <c r="E3345" t="str">
        <f t="shared" si="167"/>
        <v>서울특별시</v>
      </c>
      <c r="F3345" t="str">
        <f t="shared" si="168"/>
        <v>영등포구</v>
      </c>
      <c r="G3345" t="str">
        <f t="shared" si="166"/>
        <v>여의도동</v>
      </c>
    </row>
    <row r="3346" spans="1:9" x14ac:dyDescent="0.4">
      <c r="A3346">
        <v>3180000</v>
      </c>
      <c r="B3346" t="s">
        <v>7533</v>
      </c>
      <c r="C3346" s="1">
        <v>43570</v>
      </c>
      <c r="D3346" t="s">
        <v>7534</v>
      </c>
      <c r="E3346" t="str">
        <f t="shared" si="167"/>
        <v>서울특별시</v>
      </c>
      <c r="F3346" t="str">
        <f t="shared" si="168"/>
        <v>영등포구</v>
      </c>
      <c r="G3346" t="str">
        <f t="shared" si="166"/>
        <v>여의도동</v>
      </c>
      <c r="H3346" t="s">
        <v>7535</v>
      </c>
      <c r="I3346">
        <v>7333</v>
      </c>
    </row>
    <row r="3347" spans="1:9" x14ac:dyDescent="0.4">
      <c r="A3347">
        <v>3180000</v>
      </c>
      <c r="B3347" t="s">
        <v>6891</v>
      </c>
      <c r="C3347" s="1">
        <v>28214</v>
      </c>
      <c r="D3347" t="s">
        <v>6892</v>
      </c>
      <c r="E3347" t="str">
        <f t="shared" si="167"/>
        <v>서울특별시</v>
      </c>
      <c r="F3347" t="str">
        <f t="shared" si="168"/>
        <v>영등포구</v>
      </c>
      <c r="G3347" t="str">
        <f t="shared" si="166"/>
        <v>여의도동</v>
      </c>
    </row>
    <row r="3348" spans="1:9" x14ac:dyDescent="0.4">
      <c r="A3348">
        <v>3180000</v>
      </c>
      <c r="B3348" t="s">
        <v>7216</v>
      </c>
      <c r="C3348" s="1">
        <v>35794</v>
      </c>
      <c r="D3348" t="s">
        <v>7217</v>
      </c>
      <c r="E3348" t="str">
        <f t="shared" si="167"/>
        <v>서울특별시</v>
      </c>
      <c r="F3348" t="str">
        <f t="shared" si="168"/>
        <v>영등포구</v>
      </c>
      <c r="G3348" t="str">
        <f t="shared" si="166"/>
        <v>여의도동</v>
      </c>
    </row>
    <row r="3349" spans="1:9" x14ac:dyDescent="0.4">
      <c r="A3349">
        <v>3180000</v>
      </c>
      <c r="B3349" t="s">
        <v>6674</v>
      </c>
      <c r="C3349" s="1">
        <v>40287</v>
      </c>
      <c r="D3349" t="s">
        <v>6675</v>
      </c>
      <c r="E3349" t="str">
        <f t="shared" si="167"/>
        <v>서울특별시</v>
      </c>
      <c r="F3349" t="str">
        <f t="shared" si="168"/>
        <v>영등포구</v>
      </c>
      <c r="G3349" t="str">
        <f t="shared" si="166"/>
        <v>여의도동</v>
      </c>
      <c r="H3349" t="s">
        <v>6676</v>
      </c>
      <c r="I3349">
        <v>7333</v>
      </c>
    </row>
    <row r="3350" spans="1:9" x14ac:dyDescent="0.4">
      <c r="A3350">
        <v>3180000</v>
      </c>
      <c r="B3350" t="s">
        <v>186</v>
      </c>
      <c r="C3350" s="1">
        <v>45328</v>
      </c>
      <c r="D3350" t="s">
        <v>187</v>
      </c>
      <c r="E3350" t="str">
        <f t="shared" si="167"/>
        <v>서울특별시</v>
      </c>
      <c r="F3350" t="str">
        <f t="shared" si="168"/>
        <v>영등포구</v>
      </c>
      <c r="G3350" t="str">
        <f t="shared" si="166"/>
        <v>여의도동</v>
      </c>
      <c r="H3350" t="s">
        <v>188</v>
      </c>
      <c r="I3350">
        <v>7333</v>
      </c>
    </row>
    <row r="3351" spans="1:9" x14ac:dyDescent="0.4">
      <c r="A3351">
        <v>3180000</v>
      </c>
      <c r="B3351" t="s">
        <v>264</v>
      </c>
      <c r="C3351" s="1">
        <v>44865</v>
      </c>
      <c r="D3351" t="s">
        <v>187</v>
      </c>
      <c r="E3351" t="str">
        <f t="shared" si="167"/>
        <v>서울특별시</v>
      </c>
      <c r="F3351" t="str">
        <f t="shared" si="168"/>
        <v>영등포구</v>
      </c>
      <c r="G3351" t="str">
        <f t="shared" si="166"/>
        <v>여의도동</v>
      </c>
      <c r="H3351" t="s">
        <v>265</v>
      </c>
      <c r="I3351">
        <v>7333</v>
      </c>
    </row>
    <row r="3352" spans="1:9" x14ac:dyDescent="0.4">
      <c r="A3352">
        <v>3180000</v>
      </c>
      <c r="B3352" t="s">
        <v>7393</v>
      </c>
      <c r="C3352" s="1">
        <v>44452</v>
      </c>
      <c r="D3352" t="s">
        <v>7394</v>
      </c>
      <c r="E3352" t="str">
        <f t="shared" si="167"/>
        <v>서울특별시</v>
      </c>
      <c r="F3352" t="str">
        <f t="shared" si="168"/>
        <v>영등포구</v>
      </c>
      <c r="G3352" t="str">
        <f t="shared" si="166"/>
        <v>여의도동</v>
      </c>
      <c r="H3352" t="s">
        <v>7395</v>
      </c>
      <c r="I3352">
        <v>7333</v>
      </c>
    </row>
    <row r="3353" spans="1:9" x14ac:dyDescent="0.4">
      <c r="A3353">
        <v>3180000</v>
      </c>
      <c r="B3353" t="s">
        <v>6787</v>
      </c>
      <c r="C3353" s="1">
        <v>38061</v>
      </c>
      <c r="D3353" t="s">
        <v>6788</v>
      </c>
      <c r="E3353" t="str">
        <f t="shared" si="167"/>
        <v>서울특별시</v>
      </c>
      <c r="F3353" t="str">
        <f t="shared" si="168"/>
        <v>영등포구</v>
      </c>
      <c r="G3353" t="str">
        <f t="shared" si="166"/>
        <v>여의도동</v>
      </c>
      <c r="H3353" t="s">
        <v>6789</v>
      </c>
      <c r="I3353">
        <v>7333</v>
      </c>
    </row>
    <row r="3354" spans="1:9" x14ac:dyDescent="0.4">
      <c r="A3354">
        <v>3180000</v>
      </c>
      <c r="B3354" t="s">
        <v>6790</v>
      </c>
      <c r="C3354" s="1">
        <v>38061</v>
      </c>
      <c r="D3354" t="s">
        <v>6791</v>
      </c>
      <c r="E3354" t="str">
        <f t="shared" si="167"/>
        <v>서울특별시</v>
      </c>
      <c r="F3354" t="str">
        <f t="shared" si="168"/>
        <v>영등포구</v>
      </c>
      <c r="G3354" t="str">
        <f t="shared" si="166"/>
        <v>여의도동</v>
      </c>
    </row>
    <row r="3355" spans="1:9" x14ac:dyDescent="0.4">
      <c r="A3355">
        <v>3180000</v>
      </c>
      <c r="B3355" t="s">
        <v>6750</v>
      </c>
      <c r="C3355" s="1">
        <v>36812</v>
      </c>
      <c r="D3355" t="s">
        <v>6751</v>
      </c>
      <c r="E3355" t="str">
        <f t="shared" si="167"/>
        <v>서울특별시</v>
      </c>
      <c r="F3355" t="str">
        <f t="shared" si="168"/>
        <v>영등포구</v>
      </c>
      <c r="G3355" t="str">
        <f t="shared" si="166"/>
        <v>여의도동</v>
      </c>
    </row>
    <row r="3356" spans="1:9" x14ac:dyDescent="0.4">
      <c r="A3356">
        <v>3180000</v>
      </c>
      <c r="B3356" t="s">
        <v>6758</v>
      </c>
      <c r="C3356" s="1">
        <v>36812</v>
      </c>
      <c r="D3356" t="s">
        <v>6759</v>
      </c>
      <c r="E3356" t="str">
        <f t="shared" si="167"/>
        <v>서울특별시</v>
      </c>
      <c r="F3356" t="str">
        <f t="shared" si="168"/>
        <v>영등포구</v>
      </c>
      <c r="G3356" t="str">
        <f t="shared" si="166"/>
        <v>여의도동</v>
      </c>
    </row>
    <row r="3357" spans="1:9" x14ac:dyDescent="0.4">
      <c r="A3357">
        <v>3180000</v>
      </c>
      <c r="B3357" t="s">
        <v>6858</v>
      </c>
      <c r="C3357" s="1">
        <v>36934</v>
      </c>
      <c r="D3357" t="s">
        <v>6859</v>
      </c>
      <c r="E3357" t="str">
        <f t="shared" si="167"/>
        <v>서울특별시</v>
      </c>
      <c r="F3357" t="str">
        <f t="shared" si="168"/>
        <v>영등포구</v>
      </c>
      <c r="G3357" t="str">
        <f t="shared" si="166"/>
        <v>여의도동</v>
      </c>
    </row>
    <row r="3358" spans="1:9" x14ac:dyDescent="0.4">
      <c r="A3358">
        <v>3180000</v>
      </c>
      <c r="B3358" t="s">
        <v>7024</v>
      </c>
      <c r="C3358" s="1">
        <v>37238</v>
      </c>
      <c r="D3358" t="s">
        <v>6859</v>
      </c>
      <c r="E3358" t="str">
        <f t="shared" si="167"/>
        <v>서울특별시</v>
      </c>
      <c r="F3358" t="str">
        <f t="shared" si="168"/>
        <v>영등포구</v>
      </c>
      <c r="G3358" t="str">
        <f t="shared" ref="G3358:G3421" si="169">MID(SUBSTITUTE(D3358," ",""),10,4)</f>
        <v>여의도동</v>
      </c>
    </row>
    <row r="3359" spans="1:9" x14ac:dyDescent="0.4">
      <c r="A3359">
        <v>3180000</v>
      </c>
      <c r="B3359" t="s">
        <v>6616</v>
      </c>
      <c r="C3359" s="1">
        <v>36456</v>
      </c>
      <c r="D3359" t="s">
        <v>6617</v>
      </c>
      <c r="E3359" t="str">
        <f t="shared" si="167"/>
        <v>서울특별시</v>
      </c>
      <c r="F3359" t="str">
        <f t="shared" si="168"/>
        <v>영등포구</v>
      </c>
      <c r="G3359" t="str">
        <f t="shared" si="169"/>
        <v>여의도동</v>
      </c>
      <c r="H3359" t="s">
        <v>6618</v>
      </c>
      <c r="I3359">
        <v>7333</v>
      </c>
    </row>
    <row r="3360" spans="1:9" x14ac:dyDescent="0.4">
      <c r="A3360">
        <v>3180000</v>
      </c>
      <c r="B3360" t="s">
        <v>7168</v>
      </c>
      <c r="C3360" s="1">
        <v>36517</v>
      </c>
      <c r="D3360" t="s">
        <v>7169</v>
      </c>
      <c r="E3360" t="str">
        <f t="shared" si="167"/>
        <v>서울특별시</v>
      </c>
      <c r="F3360" t="str">
        <f t="shared" si="168"/>
        <v>영등포구</v>
      </c>
      <c r="G3360" t="str">
        <f t="shared" si="169"/>
        <v>여의도동</v>
      </c>
    </row>
    <row r="3361" spans="1:9" x14ac:dyDescent="0.4">
      <c r="A3361">
        <v>3180000</v>
      </c>
      <c r="B3361" t="s">
        <v>7064</v>
      </c>
      <c r="C3361" s="1">
        <v>32646</v>
      </c>
      <c r="D3361" t="s">
        <v>7065</v>
      </c>
      <c r="E3361" t="str">
        <f t="shared" si="167"/>
        <v>서울특별시</v>
      </c>
      <c r="F3361" t="str">
        <f t="shared" si="168"/>
        <v>영등포구</v>
      </c>
      <c r="G3361" t="str">
        <f t="shared" si="169"/>
        <v>여의도동</v>
      </c>
    </row>
    <row r="3362" spans="1:9" x14ac:dyDescent="0.4">
      <c r="A3362">
        <v>3180000</v>
      </c>
      <c r="B3362" t="s">
        <v>6746</v>
      </c>
      <c r="C3362" s="1">
        <v>36745</v>
      </c>
      <c r="D3362" t="s">
        <v>6747</v>
      </c>
      <c r="E3362" t="str">
        <f t="shared" si="167"/>
        <v>서울특별시</v>
      </c>
      <c r="F3362" t="str">
        <f t="shared" si="168"/>
        <v>영등포구</v>
      </c>
      <c r="G3362" t="str">
        <f t="shared" si="169"/>
        <v>여의도동</v>
      </c>
    </row>
    <row r="3363" spans="1:9" x14ac:dyDescent="0.4">
      <c r="A3363">
        <v>3180000</v>
      </c>
      <c r="B3363" t="s">
        <v>6881</v>
      </c>
      <c r="C3363" s="1">
        <v>36500</v>
      </c>
      <c r="D3363" t="s">
        <v>6747</v>
      </c>
      <c r="E3363" t="str">
        <f t="shared" si="167"/>
        <v>서울특별시</v>
      </c>
      <c r="F3363" t="str">
        <f t="shared" si="168"/>
        <v>영등포구</v>
      </c>
      <c r="G3363" t="str">
        <f t="shared" si="169"/>
        <v>여의도동</v>
      </c>
    </row>
    <row r="3364" spans="1:9" x14ac:dyDescent="0.4">
      <c r="A3364">
        <v>3180000</v>
      </c>
      <c r="B3364" t="s">
        <v>7142</v>
      </c>
      <c r="C3364" s="1">
        <v>31636</v>
      </c>
      <c r="D3364" t="s">
        <v>7143</v>
      </c>
      <c r="E3364" t="str">
        <f t="shared" si="167"/>
        <v>서울특별시</v>
      </c>
      <c r="F3364" t="str">
        <f t="shared" si="168"/>
        <v>영등포구</v>
      </c>
      <c r="G3364" t="str">
        <f t="shared" si="169"/>
        <v>여의도동</v>
      </c>
      <c r="H3364" t="s">
        <v>7144</v>
      </c>
      <c r="I3364">
        <v>7333</v>
      </c>
    </row>
    <row r="3365" spans="1:9" x14ac:dyDescent="0.4">
      <c r="A3365">
        <v>3180000</v>
      </c>
      <c r="B3365" t="s">
        <v>7554</v>
      </c>
      <c r="C3365" s="1">
        <v>42311</v>
      </c>
      <c r="D3365" t="s">
        <v>7555</v>
      </c>
      <c r="E3365" t="str">
        <f t="shared" si="167"/>
        <v>서울특별시</v>
      </c>
      <c r="F3365" t="str">
        <f t="shared" si="168"/>
        <v>영등포구</v>
      </c>
      <c r="G3365" t="str">
        <f t="shared" si="169"/>
        <v>여의도동</v>
      </c>
      <c r="H3365" t="s">
        <v>7556</v>
      </c>
      <c r="I3365">
        <v>7333</v>
      </c>
    </row>
    <row r="3366" spans="1:9" x14ac:dyDescent="0.4">
      <c r="A3366">
        <v>3180000</v>
      </c>
      <c r="B3366" t="s">
        <v>7125</v>
      </c>
      <c r="C3366" s="1">
        <v>33014</v>
      </c>
      <c r="D3366" t="s">
        <v>7126</v>
      </c>
      <c r="E3366" t="str">
        <f t="shared" si="167"/>
        <v>서울특별시</v>
      </c>
      <c r="F3366" t="str">
        <f t="shared" si="168"/>
        <v>영등포구</v>
      </c>
      <c r="G3366" t="str">
        <f t="shared" si="169"/>
        <v>여의도동</v>
      </c>
    </row>
    <row r="3367" spans="1:9" x14ac:dyDescent="0.4">
      <c r="A3367">
        <v>3180000</v>
      </c>
      <c r="B3367" t="s">
        <v>6977</v>
      </c>
      <c r="C3367" s="1">
        <v>29323</v>
      </c>
      <c r="D3367" t="s">
        <v>6978</v>
      </c>
      <c r="E3367" t="str">
        <f t="shared" si="167"/>
        <v>서울특별시</v>
      </c>
      <c r="F3367" t="str">
        <f t="shared" si="168"/>
        <v>영등포구</v>
      </c>
      <c r="G3367" t="str">
        <f t="shared" si="169"/>
        <v>여의도동</v>
      </c>
      <c r="H3367" t="s">
        <v>6979</v>
      </c>
      <c r="I3367">
        <v>7333</v>
      </c>
    </row>
    <row r="3368" spans="1:9" x14ac:dyDescent="0.4">
      <c r="A3368">
        <v>3180000</v>
      </c>
      <c r="B3368" t="s">
        <v>7074</v>
      </c>
      <c r="C3368" s="1">
        <v>31120</v>
      </c>
      <c r="D3368" t="s">
        <v>7075</v>
      </c>
      <c r="E3368" t="str">
        <f t="shared" si="167"/>
        <v>서울특별시</v>
      </c>
      <c r="F3368" t="str">
        <f t="shared" si="168"/>
        <v>영등포구</v>
      </c>
      <c r="G3368" t="str">
        <f t="shared" si="169"/>
        <v>여의도동</v>
      </c>
      <c r="H3368" t="s">
        <v>7076</v>
      </c>
    </row>
    <row r="3369" spans="1:9" x14ac:dyDescent="0.4">
      <c r="A3369">
        <v>3180000</v>
      </c>
      <c r="B3369" t="s">
        <v>7184</v>
      </c>
      <c r="C3369" s="1">
        <v>39259</v>
      </c>
      <c r="D3369" t="s">
        <v>7185</v>
      </c>
      <c r="E3369" t="str">
        <f t="shared" si="167"/>
        <v>서울특별시</v>
      </c>
      <c r="F3369" t="str">
        <f t="shared" si="168"/>
        <v>영등포구</v>
      </c>
      <c r="G3369" t="str">
        <f t="shared" si="169"/>
        <v>여의도동</v>
      </c>
      <c r="H3369" t="s">
        <v>7186</v>
      </c>
    </row>
    <row r="3370" spans="1:9" x14ac:dyDescent="0.4">
      <c r="A3370">
        <v>3180000</v>
      </c>
      <c r="B3370" t="s">
        <v>6720</v>
      </c>
      <c r="C3370" s="1">
        <v>36392</v>
      </c>
      <c r="D3370" t="s">
        <v>6721</v>
      </c>
      <c r="E3370" t="str">
        <f t="shared" si="167"/>
        <v>서울특별시</v>
      </c>
      <c r="F3370" t="str">
        <f t="shared" si="168"/>
        <v>영등포구</v>
      </c>
      <c r="G3370" t="str">
        <f t="shared" si="169"/>
        <v>여의도동</v>
      </c>
      <c r="H3370" t="s">
        <v>6722</v>
      </c>
      <c r="I3370">
        <v>7333</v>
      </c>
    </row>
    <row r="3371" spans="1:9" x14ac:dyDescent="0.4">
      <c r="A3371">
        <v>3180000</v>
      </c>
      <c r="B3371" t="s">
        <v>6592</v>
      </c>
      <c r="C3371" s="1">
        <v>43752</v>
      </c>
      <c r="D3371" t="s">
        <v>6593</v>
      </c>
      <c r="E3371" t="str">
        <f t="shared" si="167"/>
        <v>서울특별시</v>
      </c>
      <c r="F3371" t="str">
        <f t="shared" si="168"/>
        <v>영등포구</v>
      </c>
      <c r="G3371" t="str">
        <f t="shared" si="169"/>
        <v>여의도동</v>
      </c>
      <c r="H3371" t="s">
        <v>6594</v>
      </c>
      <c r="I3371">
        <v>7333</v>
      </c>
    </row>
    <row r="3372" spans="1:9" x14ac:dyDescent="0.4">
      <c r="A3372">
        <v>3180000</v>
      </c>
      <c r="B3372" t="s">
        <v>7391</v>
      </c>
      <c r="C3372" s="1">
        <v>44452</v>
      </c>
      <c r="D3372" t="s">
        <v>6593</v>
      </c>
      <c r="E3372" t="str">
        <f t="shared" si="167"/>
        <v>서울특별시</v>
      </c>
      <c r="F3372" t="str">
        <f t="shared" si="168"/>
        <v>영등포구</v>
      </c>
      <c r="G3372" t="str">
        <f t="shared" si="169"/>
        <v>여의도동</v>
      </c>
      <c r="H3372" t="s">
        <v>7392</v>
      </c>
      <c r="I3372">
        <v>7333</v>
      </c>
    </row>
    <row r="3373" spans="1:9" x14ac:dyDescent="0.4">
      <c r="A3373">
        <v>3180000</v>
      </c>
      <c r="B3373" t="s">
        <v>6875</v>
      </c>
      <c r="C3373" s="1">
        <v>36476</v>
      </c>
      <c r="D3373" t="s">
        <v>6876</v>
      </c>
      <c r="E3373" t="str">
        <f t="shared" si="167"/>
        <v>서울특별시</v>
      </c>
      <c r="F3373" t="str">
        <f t="shared" si="168"/>
        <v>영등포구</v>
      </c>
      <c r="G3373" t="str">
        <f t="shared" si="169"/>
        <v>여의도동</v>
      </c>
      <c r="H3373" t="s">
        <v>6877</v>
      </c>
      <c r="I3373">
        <v>7333</v>
      </c>
    </row>
    <row r="3374" spans="1:9" x14ac:dyDescent="0.4">
      <c r="A3374">
        <v>3180000</v>
      </c>
      <c r="B3374" t="s">
        <v>6637</v>
      </c>
      <c r="C3374" s="1">
        <v>36903</v>
      </c>
      <c r="D3374" t="s">
        <v>6638</v>
      </c>
      <c r="E3374" t="str">
        <f t="shared" si="167"/>
        <v>서울특별시</v>
      </c>
      <c r="F3374" t="str">
        <f t="shared" si="168"/>
        <v>영등포구</v>
      </c>
      <c r="G3374" t="str">
        <f t="shared" si="169"/>
        <v>여의도동</v>
      </c>
    </row>
    <row r="3375" spans="1:9" x14ac:dyDescent="0.4">
      <c r="A3375">
        <v>3180000</v>
      </c>
      <c r="B3375" t="s">
        <v>7224</v>
      </c>
      <c r="C3375" s="1">
        <v>36138</v>
      </c>
      <c r="D3375" t="s">
        <v>6638</v>
      </c>
      <c r="E3375" t="str">
        <f t="shared" si="167"/>
        <v>서울특별시</v>
      </c>
      <c r="F3375" t="str">
        <f t="shared" si="168"/>
        <v>영등포구</v>
      </c>
      <c r="G3375" t="str">
        <f t="shared" si="169"/>
        <v>여의도동</v>
      </c>
      <c r="H3375" t="s">
        <v>7225</v>
      </c>
      <c r="I3375">
        <v>7333</v>
      </c>
    </row>
    <row r="3376" spans="1:9" x14ac:dyDescent="0.4">
      <c r="A3376">
        <v>3180000</v>
      </c>
      <c r="B3376" t="s">
        <v>6559</v>
      </c>
      <c r="C3376" s="1">
        <v>26217</v>
      </c>
      <c r="D3376" t="s">
        <v>6560</v>
      </c>
      <c r="E3376" t="str">
        <f t="shared" si="167"/>
        <v>서울특별시</v>
      </c>
      <c r="F3376" t="str">
        <f t="shared" si="168"/>
        <v>영등포구</v>
      </c>
      <c r="G3376" t="str">
        <f t="shared" si="169"/>
        <v>여의도동</v>
      </c>
      <c r="H3376" t="s">
        <v>6561</v>
      </c>
      <c r="I3376">
        <v>7333</v>
      </c>
    </row>
    <row r="3377" spans="1:9" x14ac:dyDescent="0.4">
      <c r="A3377">
        <v>3180000</v>
      </c>
      <c r="B3377" t="s">
        <v>6755</v>
      </c>
      <c r="C3377" s="1">
        <v>41484</v>
      </c>
      <c r="D3377" t="s">
        <v>6756</v>
      </c>
      <c r="E3377" t="str">
        <f t="shared" si="167"/>
        <v>서울특별시</v>
      </c>
      <c r="F3377" t="str">
        <f t="shared" si="168"/>
        <v>영등포구</v>
      </c>
      <c r="G3377" t="str">
        <f t="shared" si="169"/>
        <v>여의도동</v>
      </c>
      <c r="H3377" t="s">
        <v>6757</v>
      </c>
      <c r="I3377">
        <v>7333</v>
      </c>
    </row>
    <row r="3378" spans="1:9" x14ac:dyDescent="0.4">
      <c r="A3378">
        <v>3180000</v>
      </c>
      <c r="B3378" t="s">
        <v>6908</v>
      </c>
      <c r="C3378" s="1">
        <v>38495</v>
      </c>
      <c r="D3378" t="s">
        <v>6909</v>
      </c>
      <c r="E3378" t="str">
        <f t="shared" si="167"/>
        <v>서울특별시</v>
      </c>
      <c r="F3378" t="str">
        <f t="shared" si="168"/>
        <v>영등포구</v>
      </c>
      <c r="G3378" t="str">
        <f t="shared" si="169"/>
        <v>여의도동</v>
      </c>
      <c r="H3378" t="s">
        <v>6910</v>
      </c>
      <c r="I3378">
        <v>7333</v>
      </c>
    </row>
    <row r="3379" spans="1:9" x14ac:dyDescent="0.4">
      <c r="A3379">
        <v>3180000</v>
      </c>
      <c r="B3379" t="s">
        <v>6949</v>
      </c>
      <c r="C3379" s="1">
        <v>37435</v>
      </c>
      <c r="D3379" t="s">
        <v>6950</v>
      </c>
      <c r="E3379" t="str">
        <f t="shared" si="167"/>
        <v>서울특별시</v>
      </c>
      <c r="F3379" t="str">
        <f t="shared" si="168"/>
        <v>영등포구</v>
      </c>
      <c r="G3379" t="str">
        <f t="shared" si="169"/>
        <v>여의도동</v>
      </c>
    </row>
    <row r="3380" spans="1:9" x14ac:dyDescent="0.4">
      <c r="A3380">
        <v>3180000</v>
      </c>
      <c r="B3380" t="s">
        <v>7111</v>
      </c>
      <c r="C3380" s="1">
        <v>31531</v>
      </c>
      <c r="D3380" t="s">
        <v>7112</v>
      </c>
      <c r="E3380" t="str">
        <f t="shared" si="167"/>
        <v>서울특별시</v>
      </c>
      <c r="F3380" t="str">
        <f t="shared" si="168"/>
        <v>영등포구</v>
      </c>
      <c r="G3380" t="str">
        <f t="shared" si="169"/>
        <v>여의도동</v>
      </c>
    </row>
    <row r="3381" spans="1:9" x14ac:dyDescent="0.4">
      <c r="A3381">
        <v>3180000</v>
      </c>
      <c r="B3381" t="s">
        <v>7409</v>
      </c>
      <c r="C3381" s="1">
        <v>35480</v>
      </c>
      <c r="D3381" t="s">
        <v>7410</v>
      </c>
      <c r="E3381" t="str">
        <f t="shared" si="167"/>
        <v>서울특별시</v>
      </c>
      <c r="F3381" t="str">
        <f t="shared" si="168"/>
        <v>영등포구</v>
      </c>
      <c r="G3381" t="str">
        <f t="shared" si="169"/>
        <v>여의도동</v>
      </c>
      <c r="H3381" t="s">
        <v>7411</v>
      </c>
      <c r="I3381">
        <v>7333</v>
      </c>
    </row>
    <row r="3382" spans="1:9" x14ac:dyDescent="0.4">
      <c r="A3382">
        <v>3180000</v>
      </c>
      <c r="B3382" t="s">
        <v>6731</v>
      </c>
      <c r="C3382" s="1">
        <v>41226</v>
      </c>
      <c r="D3382" t="s">
        <v>6732</v>
      </c>
      <c r="E3382" t="str">
        <f t="shared" si="167"/>
        <v>서울특별시</v>
      </c>
      <c r="F3382" t="str">
        <f t="shared" si="168"/>
        <v>영등포구</v>
      </c>
      <c r="G3382" t="str">
        <f t="shared" si="169"/>
        <v>여의도동</v>
      </c>
      <c r="H3382" t="s">
        <v>6733</v>
      </c>
    </row>
    <row r="3383" spans="1:9" x14ac:dyDescent="0.4">
      <c r="A3383">
        <v>3180000</v>
      </c>
      <c r="B3383" t="s">
        <v>7158</v>
      </c>
      <c r="C3383" s="1">
        <v>38947</v>
      </c>
      <c r="D3383" t="s">
        <v>7159</v>
      </c>
      <c r="E3383" t="str">
        <f t="shared" si="167"/>
        <v>서울특별시</v>
      </c>
      <c r="F3383" t="str">
        <f t="shared" si="168"/>
        <v>영등포구</v>
      </c>
      <c r="G3383" t="str">
        <f t="shared" si="169"/>
        <v>여의도동</v>
      </c>
      <c r="H3383" t="s">
        <v>7160</v>
      </c>
      <c r="I3383">
        <v>7333</v>
      </c>
    </row>
    <row r="3384" spans="1:9" x14ac:dyDescent="0.4">
      <c r="A3384">
        <v>3180000</v>
      </c>
      <c r="B3384" t="s">
        <v>6677</v>
      </c>
      <c r="C3384" s="1">
        <v>40305</v>
      </c>
      <c r="D3384" t="s">
        <v>6678</v>
      </c>
      <c r="E3384" t="str">
        <f t="shared" si="167"/>
        <v>서울특별시</v>
      </c>
      <c r="F3384" t="str">
        <f t="shared" si="168"/>
        <v>영등포구</v>
      </c>
      <c r="G3384" t="str">
        <f t="shared" si="169"/>
        <v>여의도동</v>
      </c>
      <c r="H3384" t="s">
        <v>6679</v>
      </c>
      <c r="I3384">
        <v>7333</v>
      </c>
    </row>
    <row r="3385" spans="1:9" x14ac:dyDescent="0.4">
      <c r="A3385">
        <v>3180000</v>
      </c>
      <c r="B3385" t="s">
        <v>7379</v>
      </c>
      <c r="C3385" s="1">
        <v>44487</v>
      </c>
      <c r="D3385" t="s">
        <v>7380</v>
      </c>
      <c r="E3385" t="str">
        <f t="shared" si="167"/>
        <v>서울특별시</v>
      </c>
      <c r="F3385" t="str">
        <f t="shared" si="168"/>
        <v>영등포구</v>
      </c>
      <c r="G3385" t="str">
        <f t="shared" si="169"/>
        <v>여의도동</v>
      </c>
      <c r="H3385" t="s">
        <v>7381</v>
      </c>
      <c r="I3385">
        <v>7333</v>
      </c>
    </row>
    <row r="3386" spans="1:9" x14ac:dyDescent="0.4">
      <c r="A3386">
        <v>3180000</v>
      </c>
      <c r="B3386" t="s">
        <v>7545</v>
      </c>
      <c r="C3386" s="1">
        <v>38197</v>
      </c>
      <c r="D3386" t="s">
        <v>7546</v>
      </c>
      <c r="E3386" t="str">
        <f t="shared" si="167"/>
        <v>서울특별시</v>
      </c>
      <c r="F3386" t="str">
        <f t="shared" si="168"/>
        <v>영등포구</v>
      </c>
      <c r="G3386" t="str">
        <f t="shared" si="169"/>
        <v>여의도동</v>
      </c>
      <c r="H3386" t="s">
        <v>7547</v>
      </c>
      <c r="I3386">
        <v>7333</v>
      </c>
    </row>
    <row r="3387" spans="1:9" x14ac:dyDescent="0.4">
      <c r="A3387">
        <v>3180000</v>
      </c>
      <c r="B3387" t="s">
        <v>7113</v>
      </c>
      <c r="C3387" s="1">
        <v>32671</v>
      </c>
      <c r="D3387" t="s">
        <v>7114</v>
      </c>
      <c r="E3387" t="str">
        <f t="shared" si="167"/>
        <v>서울특별시</v>
      </c>
      <c r="F3387" t="str">
        <f t="shared" si="168"/>
        <v>영등포구</v>
      </c>
      <c r="G3387" t="str">
        <f t="shared" si="169"/>
        <v>여의도동</v>
      </c>
      <c r="H3387" t="s">
        <v>7115</v>
      </c>
      <c r="I3387">
        <v>7332</v>
      </c>
    </row>
    <row r="3388" spans="1:9" x14ac:dyDescent="0.4">
      <c r="A3388">
        <v>3180000</v>
      </c>
      <c r="B3388" t="s">
        <v>6885</v>
      </c>
      <c r="C3388" s="1">
        <v>27918</v>
      </c>
      <c r="D3388" t="s">
        <v>6886</v>
      </c>
      <c r="E3388" t="str">
        <f t="shared" si="167"/>
        <v>서울특별시</v>
      </c>
      <c r="F3388" t="str">
        <f t="shared" si="168"/>
        <v>영등포구</v>
      </c>
      <c r="G3388" t="str">
        <f t="shared" si="169"/>
        <v>여의도동</v>
      </c>
    </row>
    <row r="3389" spans="1:9" x14ac:dyDescent="0.4">
      <c r="A3389">
        <v>3180000</v>
      </c>
      <c r="B3389" t="s">
        <v>7385</v>
      </c>
      <c r="C3389" s="1">
        <v>43328</v>
      </c>
      <c r="D3389" t="s">
        <v>7386</v>
      </c>
      <c r="E3389" t="str">
        <f t="shared" si="167"/>
        <v>서울특별시</v>
      </c>
      <c r="F3389" t="str">
        <f t="shared" si="168"/>
        <v>영등포구</v>
      </c>
      <c r="G3389" t="str">
        <f t="shared" si="169"/>
        <v>여의도동</v>
      </c>
      <c r="H3389" t="s">
        <v>7387</v>
      </c>
      <c r="I3389">
        <v>7332</v>
      </c>
    </row>
    <row r="3390" spans="1:9" x14ac:dyDescent="0.4">
      <c r="A3390">
        <v>3180000</v>
      </c>
      <c r="B3390" t="s">
        <v>7321</v>
      </c>
      <c r="C3390" s="1">
        <v>41171</v>
      </c>
      <c r="D3390" t="s">
        <v>7322</v>
      </c>
      <c r="E3390" t="str">
        <f t="shared" si="167"/>
        <v>서울특별시</v>
      </c>
      <c r="F3390" t="str">
        <f t="shared" si="168"/>
        <v>영등포구</v>
      </c>
      <c r="G3390" t="str">
        <f t="shared" si="169"/>
        <v>여의도동</v>
      </c>
      <c r="H3390" t="s">
        <v>7323</v>
      </c>
      <c r="I3390">
        <v>7332</v>
      </c>
    </row>
    <row r="3391" spans="1:9" x14ac:dyDescent="0.4">
      <c r="A3391">
        <v>3180000</v>
      </c>
      <c r="B3391" t="s">
        <v>7312</v>
      </c>
      <c r="C3391" s="1">
        <v>38275</v>
      </c>
      <c r="D3391" t="s">
        <v>7313</v>
      </c>
      <c r="E3391" t="str">
        <f t="shared" si="167"/>
        <v>서울특별시</v>
      </c>
      <c r="F3391" t="str">
        <f t="shared" si="168"/>
        <v>영등포구</v>
      </c>
      <c r="G3391" t="str">
        <f t="shared" si="169"/>
        <v>여의도동</v>
      </c>
      <c r="H3391" t="s">
        <v>7314</v>
      </c>
      <c r="I3391">
        <v>7332</v>
      </c>
    </row>
    <row r="3392" spans="1:9" x14ac:dyDescent="0.4">
      <c r="A3392">
        <v>3180000</v>
      </c>
      <c r="B3392" t="s">
        <v>7557</v>
      </c>
      <c r="C3392" s="1">
        <v>42838</v>
      </c>
      <c r="D3392" t="s">
        <v>7558</v>
      </c>
      <c r="E3392" t="str">
        <f t="shared" si="167"/>
        <v>서울특별시</v>
      </c>
      <c r="F3392" t="str">
        <f t="shared" si="168"/>
        <v>영등포구</v>
      </c>
      <c r="G3392" t="str">
        <f t="shared" si="169"/>
        <v>여의도동</v>
      </c>
      <c r="H3392" t="s">
        <v>7559</v>
      </c>
      <c r="I3392">
        <v>7332</v>
      </c>
    </row>
    <row r="3393" spans="1:9" x14ac:dyDescent="0.4">
      <c r="A3393">
        <v>3180000</v>
      </c>
      <c r="B3393" t="s">
        <v>6569</v>
      </c>
      <c r="C3393" s="1">
        <v>29896</v>
      </c>
      <c r="D3393" t="s">
        <v>6570</v>
      </c>
      <c r="E3393" t="str">
        <f t="shared" si="167"/>
        <v>서울특별시</v>
      </c>
      <c r="F3393" t="str">
        <f t="shared" si="168"/>
        <v>영등포구</v>
      </c>
      <c r="G3393" t="str">
        <f t="shared" si="169"/>
        <v>여의도동</v>
      </c>
      <c r="H3393" t="s">
        <v>6571</v>
      </c>
      <c r="I3393">
        <v>7332</v>
      </c>
    </row>
    <row r="3394" spans="1:9" x14ac:dyDescent="0.4">
      <c r="A3394">
        <v>3180000</v>
      </c>
      <c r="B3394" t="s">
        <v>6714</v>
      </c>
      <c r="C3394" s="1">
        <v>36363</v>
      </c>
      <c r="D3394" t="s">
        <v>6715</v>
      </c>
      <c r="E3394" t="str">
        <f t="shared" si="167"/>
        <v>서울특별시</v>
      </c>
      <c r="F3394" t="str">
        <f t="shared" si="168"/>
        <v>영등포구</v>
      </c>
      <c r="G3394" t="str">
        <f t="shared" si="169"/>
        <v>여의도동</v>
      </c>
    </row>
    <row r="3395" spans="1:9" x14ac:dyDescent="0.4">
      <c r="A3395">
        <v>3180000</v>
      </c>
      <c r="B3395" t="s">
        <v>7204</v>
      </c>
      <c r="C3395" s="1">
        <v>35231</v>
      </c>
      <c r="D3395" t="s">
        <v>7205</v>
      </c>
      <c r="E3395" t="str">
        <f t="shared" ref="E3395:E3458" si="170">LEFT(D3395,5)</f>
        <v>서울특별시</v>
      </c>
      <c r="F3395" t="str">
        <f t="shared" ref="F3395:F3458" si="171">MID(D3395,7,4)</f>
        <v>영등포구</v>
      </c>
      <c r="G3395" t="str">
        <f t="shared" si="169"/>
        <v>여의도동</v>
      </c>
    </row>
    <row r="3396" spans="1:9" x14ac:dyDescent="0.4">
      <c r="A3396">
        <v>3180000</v>
      </c>
      <c r="B3396" t="s">
        <v>6734</v>
      </c>
      <c r="C3396" s="1">
        <v>41397</v>
      </c>
      <c r="D3396" t="s">
        <v>6735</v>
      </c>
      <c r="E3396" t="str">
        <f t="shared" si="170"/>
        <v>서울특별시</v>
      </c>
      <c r="F3396" t="str">
        <f t="shared" si="171"/>
        <v>영등포구</v>
      </c>
      <c r="G3396" t="str">
        <f t="shared" si="169"/>
        <v>여의도동</v>
      </c>
      <c r="H3396" t="s">
        <v>6736</v>
      </c>
      <c r="I3396">
        <v>7332</v>
      </c>
    </row>
    <row r="3397" spans="1:9" x14ac:dyDescent="0.4">
      <c r="A3397">
        <v>3180000</v>
      </c>
      <c r="B3397" t="s">
        <v>6770</v>
      </c>
      <c r="C3397" s="1">
        <v>30900</v>
      </c>
      <c r="D3397" t="s">
        <v>6771</v>
      </c>
      <c r="E3397" t="str">
        <f t="shared" si="170"/>
        <v>서울특별시</v>
      </c>
      <c r="F3397" t="str">
        <f t="shared" si="171"/>
        <v>영등포구</v>
      </c>
      <c r="G3397" t="str">
        <f t="shared" si="169"/>
        <v>여의도동</v>
      </c>
    </row>
    <row r="3398" spans="1:9" x14ac:dyDescent="0.4">
      <c r="A3398">
        <v>3180000</v>
      </c>
      <c r="B3398" t="s">
        <v>7097</v>
      </c>
      <c r="C3398" s="1">
        <v>31443</v>
      </c>
      <c r="D3398" t="s">
        <v>7098</v>
      </c>
      <c r="E3398" t="str">
        <f t="shared" si="170"/>
        <v>서울특별시</v>
      </c>
      <c r="F3398" t="str">
        <f t="shared" si="171"/>
        <v>영등포구</v>
      </c>
      <c r="G3398" t="str">
        <f t="shared" si="169"/>
        <v>여의도동</v>
      </c>
    </row>
    <row r="3399" spans="1:9" x14ac:dyDescent="0.4">
      <c r="A3399">
        <v>3180000</v>
      </c>
      <c r="B3399" t="s">
        <v>6597</v>
      </c>
      <c r="C3399" s="1">
        <v>31546</v>
      </c>
      <c r="D3399" t="s">
        <v>6598</v>
      </c>
      <c r="E3399" t="str">
        <f t="shared" si="170"/>
        <v>서울특별시</v>
      </c>
      <c r="F3399" t="str">
        <f t="shared" si="171"/>
        <v>영등포구</v>
      </c>
      <c r="G3399" t="str">
        <f t="shared" si="169"/>
        <v>여의도동</v>
      </c>
      <c r="H3399" t="s">
        <v>6599</v>
      </c>
      <c r="I3399">
        <v>7332</v>
      </c>
    </row>
    <row r="3400" spans="1:9" x14ac:dyDescent="0.4">
      <c r="A3400">
        <v>3180000</v>
      </c>
      <c r="B3400" t="s">
        <v>7359</v>
      </c>
      <c r="C3400" s="1">
        <v>37739</v>
      </c>
      <c r="D3400" t="s">
        <v>7360</v>
      </c>
      <c r="E3400" t="str">
        <f t="shared" si="170"/>
        <v>서울특별시</v>
      </c>
      <c r="F3400" t="str">
        <f t="shared" si="171"/>
        <v>영등포구</v>
      </c>
      <c r="G3400" t="str">
        <f t="shared" si="169"/>
        <v>여의도동</v>
      </c>
      <c r="H3400" t="s">
        <v>7361</v>
      </c>
      <c r="I3400">
        <v>7332</v>
      </c>
    </row>
    <row r="3401" spans="1:9" x14ac:dyDescent="0.4">
      <c r="A3401">
        <v>3180000</v>
      </c>
      <c r="B3401" t="s">
        <v>6992</v>
      </c>
      <c r="C3401" s="1">
        <v>41103</v>
      </c>
      <c r="D3401" t="s">
        <v>6993</v>
      </c>
      <c r="E3401" t="str">
        <f t="shared" si="170"/>
        <v>서울특별시</v>
      </c>
      <c r="F3401" t="str">
        <f t="shared" si="171"/>
        <v>영등포구</v>
      </c>
      <c r="G3401" t="str">
        <f t="shared" si="169"/>
        <v>여의도동</v>
      </c>
      <c r="H3401" t="s">
        <v>6994</v>
      </c>
      <c r="I3401">
        <v>7332</v>
      </c>
    </row>
    <row r="3402" spans="1:9" x14ac:dyDescent="0.4">
      <c r="A3402">
        <v>3180000</v>
      </c>
      <c r="B3402" t="s">
        <v>7005</v>
      </c>
      <c r="C3402" s="1">
        <v>37098</v>
      </c>
      <c r="D3402" t="s">
        <v>7006</v>
      </c>
      <c r="E3402" t="str">
        <f t="shared" si="170"/>
        <v>서울특별시</v>
      </c>
      <c r="F3402" t="str">
        <f t="shared" si="171"/>
        <v>영등포구</v>
      </c>
      <c r="G3402" t="str">
        <f t="shared" si="169"/>
        <v>여의도동</v>
      </c>
    </row>
    <row r="3403" spans="1:9" x14ac:dyDescent="0.4">
      <c r="A3403">
        <v>3180000</v>
      </c>
      <c r="B3403" t="s">
        <v>7022</v>
      </c>
      <c r="C3403" s="1">
        <v>37183</v>
      </c>
      <c r="D3403" t="s">
        <v>7006</v>
      </c>
      <c r="E3403" t="str">
        <f t="shared" si="170"/>
        <v>서울특별시</v>
      </c>
      <c r="F3403" t="str">
        <f t="shared" si="171"/>
        <v>영등포구</v>
      </c>
      <c r="G3403" t="str">
        <f t="shared" si="169"/>
        <v>여의도동</v>
      </c>
      <c r="H3403" t="s">
        <v>7023</v>
      </c>
      <c r="I3403">
        <v>7332</v>
      </c>
    </row>
    <row r="3404" spans="1:9" x14ac:dyDescent="0.4">
      <c r="A3404">
        <v>3180000</v>
      </c>
      <c r="B3404" t="s">
        <v>7187</v>
      </c>
      <c r="C3404" s="1">
        <v>36531</v>
      </c>
      <c r="D3404" t="s">
        <v>7006</v>
      </c>
      <c r="E3404" t="str">
        <f t="shared" si="170"/>
        <v>서울특별시</v>
      </c>
      <c r="F3404" t="str">
        <f t="shared" si="171"/>
        <v>영등포구</v>
      </c>
      <c r="G3404" t="str">
        <f t="shared" si="169"/>
        <v>여의도동</v>
      </c>
    </row>
    <row r="3405" spans="1:9" x14ac:dyDescent="0.4">
      <c r="A3405">
        <v>3180000</v>
      </c>
      <c r="B3405" t="s">
        <v>7059</v>
      </c>
      <c r="C3405" s="1">
        <v>30869</v>
      </c>
      <c r="D3405" t="s">
        <v>7060</v>
      </c>
      <c r="E3405" t="str">
        <f t="shared" si="170"/>
        <v>서울특별시</v>
      </c>
      <c r="F3405" t="str">
        <f t="shared" si="171"/>
        <v>영등포구</v>
      </c>
      <c r="G3405" t="str">
        <f t="shared" si="169"/>
        <v>여의도동</v>
      </c>
    </row>
    <row r="3406" spans="1:9" x14ac:dyDescent="0.4">
      <c r="A3406">
        <v>3180000</v>
      </c>
      <c r="B3406" t="s">
        <v>7206</v>
      </c>
      <c r="C3406" s="1">
        <v>35255</v>
      </c>
      <c r="D3406" t="s">
        <v>7207</v>
      </c>
      <c r="E3406" t="str">
        <f t="shared" si="170"/>
        <v>서울특별시</v>
      </c>
      <c r="F3406" t="str">
        <f t="shared" si="171"/>
        <v>영등포구</v>
      </c>
      <c r="G3406" t="str">
        <f t="shared" si="169"/>
        <v>여의도동</v>
      </c>
    </row>
    <row r="3407" spans="1:9" x14ac:dyDescent="0.4">
      <c r="A3407">
        <v>3180000</v>
      </c>
      <c r="B3407" t="s">
        <v>7166</v>
      </c>
      <c r="C3407" s="1">
        <v>36516</v>
      </c>
      <c r="D3407" t="s">
        <v>7167</v>
      </c>
      <c r="E3407" t="str">
        <f t="shared" si="170"/>
        <v>서울특별시</v>
      </c>
      <c r="F3407" t="str">
        <f t="shared" si="171"/>
        <v>영등포구</v>
      </c>
      <c r="G3407" t="str">
        <f t="shared" si="169"/>
        <v>여의도동</v>
      </c>
    </row>
    <row r="3408" spans="1:9" x14ac:dyDescent="0.4">
      <c r="A3408">
        <v>3180000</v>
      </c>
      <c r="B3408" t="s">
        <v>7190</v>
      </c>
      <c r="C3408" s="1">
        <v>36545</v>
      </c>
      <c r="D3408" t="s">
        <v>7191</v>
      </c>
      <c r="E3408" t="str">
        <f t="shared" si="170"/>
        <v>서울특별시</v>
      </c>
      <c r="F3408" t="str">
        <f t="shared" si="171"/>
        <v>영등포구</v>
      </c>
      <c r="G3408" t="str">
        <f t="shared" si="169"/>
        <v>여의도동</v>
      </c>
    </row>
    <row r="3409" spans="1:9" x14ac:dyDescent="0.4">
      <c r="A3409">
        <v>3180000</v>
      </c>
      <c r="B3409" t="s">
        <v>7371</v>
      </c>
      <c r="C3409" s="1">
        <v>45483</v>
      </c>
      <c r="D3409" t="s">
        <v>7372</v>
      </c>
      <c r="E3409" t="str">
        <f t="shared" si="170"/>
        <v>서울특별시</v>
      </c>
      <c r="F3409" t="str">
        <f t="shared" si="171"/>
        <v>영등포구</v>
      </c>
      <c r="G3409" t="str">
        <f t="shared" si="169"/>
        <v>여의도동</v>
      </c>
      <c r="H3409" t="s">
        <v>7373</v>
      </c>
      <c r="I3409">
        <v>7334</v>
      </c>
    </row>
    <row r="3410" spans="1:9" x14ac:dyDescent="0.4">
      <c r="A3410">
        <v>3180000</v>
      </c>
      <c r="B3410" t="s">
        <v>7512</v>
      </c>
      <c r="C3410" s="1">
        <v>40835</v>
      </c>
      <c r="D3410" t="s">
        <v>7513</v>
      </c>
      <c r="E3410" t="str">
        <f t="shared" si="170"/>
        <v>서울특별시</v>
      </c>
      <c r="F3410" t="str">
        <f t="shared" si="171"/>
        <v>영등포구</v>
      </c>
      <c r="G3410" t="str">
        <f t="shared" si="169"/>
        <v>여의도동</v>
      </c>
      <c r="H3410" t="s">
        <v>7514</v>
      </c>
      <c r="I3410">
        <v>7334</v>
      </c>
    </row>
    <row r="3411" spans="1:9" x14ac:dyDescent="0.4">
      <c r="A3411">
        <v>3180000</v>
      </c>
      <c r="B3411" t="s">
        <v>6986</v>
      </c>
      <c r="C3411" s="1">
        <v>40848</v>
      </c>
      <c r="D3411" t="s">
        <v>6987</v>
      </c>
      <c r="E3411" t="str">
        <f t="shared" si="170"/>
        <v>서울특별시</v>
      </c>
      <c r="F3411" t="str">
        <f t="shared" si="171"/>
        <v>영등포구</v>
      </c>
      <c r="G3411" t="str">
        <f t="shared" si="169"/>
        <v>여의도동</v>
      </c>
      <c r="H3411" t="s">
        <v>6988</v>
      </c>
      <c r="I3411">
        <v>7334</v>
      </c>
    </row>
    <row r="3412" spans="1:9" x14ac:dyDescent="0.4">
      <c r="A3412">
        <v>3180000</v>
      </c>
      <c r="B3412" t="s">
        <v>6954</v>
      </c>
      <c r="C3412" s="1">
        <v>37470</v>
      </c>
      <c r="D3412" t="s">
        <v>6955</v>
      </c>
      <c r="E3412" t="str">
        <f t="shared" si="170"/>
        <v>서울특별시</v>
      </c>
      <c r="F3412" t="str">
        <f t="shared" si="171"/>
        <v>영등포구</v>
      </c>
      <c r="G3412" t="str">
        <f t="shared" si="169"/>
        <v>여의도동</v>
      </c>
    </row>
    <row r="3413" spans="1:9" x14ac:dyDescent="0.4">
      <c r="A3413">
        <v>3180000</v>
      </c>
      <c r="B3413" t="s">
        <v>7141</v>
      </c>
      <c r="C3413" s="1">
        <v>31583</v>
      </c>
      <c r="D3413" t="s">
        <v>6955</v>
      </c>
      <c r="E3413" t="str">
        <f t="shared" si="170"/>
        <v>서울특별시</v>
      </c>
      <c r="F3413" t="str">
        <f t="shared" si="171"/>
        <v>영등포구</v>
      </c>
      <c r="G3413" t="str">
        <f t="shared" si="169"/>
        <v>여의도동</v>
      </c>
    </row>
    <row r="3414" spans="1:9" x14ac:dyDescent="0.4">
      <c r="A3414">
        <v>3180000</v>
      </c>
      <c r="B3414" t="s">
        <v>7294</v>
      </c>
      <c r="C3414" s="1">
        <v>28529</v>
      </c>
      <c r="D3414" t="s">
        <v>7295</v>
      </c>
      <c r="E3414" t="str">
        <f t="shared" si="170"/>
        <v>서울특별시</v>
      </c>
      <c r="F3414" t="str">
        <f t="shared" si="171"/>
        <v>영등포구</v>
      </c>
      <c r="G3414" t="str">
        <f t="shared" si="169"/>
        <v>여의도동</v>
      </c>
      <c r="H3414" t="s">
        <v>7296</v>
      </c>
      <c r="I3414">
        <v>7343</v>
      </c>
    </row>
    <row r="3415" spans="1:9" x14ac:dyDescent="0.4">
      <c r="A3415">
        <v>3180000</v>
      </c>
      <c r="B3415" t="s">
        <v>7193</v>
      </c>
      <c r="C3415" s="1">
        <v>36587</v>
      </c>
      <c r="D3415" t="s">
        <v>7194</v>
      </c>
      <c r="E3415" t="str">
        <f t="shared" si="170"/>
        <v>서울특별시</v>
      </c>
      <c r="F3415" t="str">
        <f t="shared" si="171"/>
        <v>영등포구</v>
      </c>
      <c r="G3415" t="str">
        <f t="shared" si="169"/>
        <v>여의도동</v>
      </c>
    </row>
    <row r="3416" spans="1:9" x14ac:dyDescent="0.4">
      <c r="A3416">
        <v>3180000</v>
      </c>
      <c r="B3416" t="s">
        <v>6622</v>
      </c>
      <c r="C3416" s="1">
        <v>37064</v>
      </c>
      <c r="D3416" t="s">
        <v>6623</v>
      </c>
      <c r="E3416" t="str">
        <f t="shared" si="170"/>
        <v>서울특별시</v>
      </c>
      <c r="F3416" t="str">
        <f t="shared" si="171"/>
        <v>영등포구</v>
      </c>
      <c r="G3416" t="str">
        <f t="shared" si="169"/>
        <v>여의도동</v>
      </c>
    </row>
    <row r="3417" spans="1:9" x14ac:dyDescent="0.4">
      <c r="A3417">
        <v>3180000</v>
      </c>
      <c r="B3417" t="s">
        <v>6619</v>
      </c>
      <c r="C3417" s="1">
        <v>37061</v>
      </c>
      <c r="D3417" t="s">
        <v>6620</v>
      </c>
      <c r="E3417" t="str">
        <f t="shared" si="170"/>
        <v>서울특별시</v>
      </c>
      <c r="F3417" t="str">
        <f t="shared" si="171"/>
        <v>영등포구</v>
      </c>
      <c r="G3417" t="str">
        <f t="shared" si="169"/>
        <v>여의도동</v>
      </c>
      <c r="H3417" t="s">
        <v>6621</v>
      </c>
      <c r="I3417">
        <v>7343</v>
      </c>
    </row>
    <row r="3418" spans="1:9" x14ac:dyDescent="0.4">
      <c r="A3418">
        <v>3180000</v>
      </c>
      <c r="B3418" t="s">
        <v>7088</v>
      </c>
      <c r="C3418" s="1">
        <v>31283</v>
      </c>
      <c r="D3418" t="s">
        <v>7089</v>
      </c>
      <c r="E3418" t="str">
        <f t="shared" si="170"/>
        <v>서울특별시</v>
      </c>
      <c r="F3418" t="str">
        <f t="shared" si="171"/>
        <v>영등포구</v>
      </c>
      <c r="G3418" t="str">
        <f t="shared" si="169"/>
        <v>여의도동</v>
      </c>
    </row>
    <row r="3419" spans="1:9" x14ac:dyDescent="0.4">
      <c r="A3419">
        <v>3180000</v>
      </c>
      <c r="B3419" t="s">
        <v>6643</v>
      </c>
      <c r="C3419" s="1">
        <v>36908</v>
      </c>
      <c r="D3419" t="s">
        <v>6644</v>
      </c>
      <c r="E3419" t="str">
        <f t="shared" si="170"/>
        <v>서울특별시</v>
      </c>
      <c r="F3419" t="str">
        <f t="shared" si="171"/>
        <v>영등포구</v>
      </c>
      <c r="G3419" t="str">
        <f t="shared" si="169"/>
        <v>여의도동</v>
      </c>
      <c r="H3419" t="s">
        <v>6645</v>
      </c>
      <c r="I3419">
        <v>7333</v>
      </c>
    </row>
    <row r="3420" spans="1:9" x14ac:dyDescent="0.4">
      <c r="A3420">
        <v>3180000</v>
      </c>
      <c r="B3420" t="s">
        <v>6902</v>
      </c>
      <c r="C3420" s="1">
        <v>28732</v>
      </c>
      <c r="D3420" t="s">
        <v>6903</v>
      </c>
      <c r="E3420" t="str">
        <f t="shared" si="170"/>
        <v>서울특별시</v>
      </c>
      <c r="F3420" t="str">
        <f t="shared" si="171"/>
        <v>영등포구</v>
      </c>
      <c r="G3420" t="str">
        <f t="shared" si="169"/>
        <v>영등포동</v>
      </c>
    </row>
    <row r="3421" spans="1:9" x14ac:dyDescent="0.4">
      <c r="A3421">
        <v>3180000</v>
      </c>
      <c r="B3421" t="s">
        <v>6682</v>
      </c>
      <c r="C3421" s="1">
        <v>36239</v>
      </c>
      <c r="D3421" t="s">
        <v>6683</v>
      </c>
      <c r="E3421" t="str">
        <f t="shared" si="170"/>
        <v>서울특별시</v>
      </c>
      <c r="F3421" t="str">
        <f t="shared" si="171"/>
        <v>영등포구</v>
      </c>
      <c r="G3421" t="str">
        <f t="shared" si="169"/>
        <v>영등포동</v>
      </c>
    </row>
    <row r="3422" spans="1:9" x14ac:dyDescent="0.4">
      <c r="A3422">
        <v>3180000</v>
      </c>
      <c r="B3422" t="s">
        <v>6995</v>
      </c>
      <c r="C3422" s="1">
        <v>37074</v>
      </c>
      <c r="D3422" t="s">
        <v>6996</v>
      </c>
      <c r="E3422" t="str">
        <f t="shared" si="170"/>
        <v>서울특별시</v>
      </c>
      <c r="F3422" t="str">
        <f t="shared" si="171"/>
        <v>영등포구</v>
      </c>
      <c r="G3422" t="str">
        <f t="shared" ref="G3422:G3485" si="172">MID(SUBSTITUTE(D3422," ",""),10,4)</f>
        <v>영등포동</v>
      </c>
      <c r="H3422" t="s">
        <v>6997</v>
      </c>
      <c r="I3422">
        <v>7306</v>
      </c>
    </row>
    <row r="3423" spans="1:9" x14ac:dyDescent="0.4">
      <c r="A3423">
        <v>3180000</v>
      </c>
      <c r="B3423" t="s">
        <v>7544</v>
      </c>
      <c r="C3423" s="1">
        <v>38037</v>
      </c>
      <c r="D3423" t="s">
        <v>6996</v>
      </c>
      <c r="E3423" t="str">
        <f t="shared" si="170"/>
        <v>서울특별시</v>
      </c>
      <c r="F3423" t="str">
        <f t="shared" si="171"/>
        <v>영등포구</v>
      </c>
      <c r="G3423" t="str">
        <f t="shared" si="172"/>
        <v>영등포동</v>
      </c>
      <c r="H3423" t="s">
        <v>6997</v>
      </c>
      <c r="I3423">
        <v>7306</v>
      </c>
    </row>
    <row r="3424" spans="1:9" x14ac:dyDescent="0.4">
      <c r="A3424">
        <v>3180000</v>
      </c>
      <c r="B3424" t="s">
        <v>7029</v>
      </c>
      <c r="C3424" s="1">
        <v>40414</v>
      </c>
      <c r="D3424" t="s">
        <v>7030</v>
      </c>
      <c r="E3424" t="str">
        <f t="shared" si="170"/>
        <v>서울특별시</v>
      </c>
      <c r="F3424" t="str">
        <f t="shared" si="171"/>
        <v>영등포구</v>
      </c>
      <c r="G3424" t="str">
        <f t="shared" si="172"/>
        <v>영등포동</v>
      </c>
    </row>
    <row r="3425" spans="1:9" x14ac:dyDescent="0.4">
      <c r="A3425">
        <v>3180000</v>
      </c>
      <c r="B3425" t="s">
        <v>7192</v>
      </c>
      <c r="C3425" s="1">
        <v>36575</v>
      </c>
      <c r="D3425" t="s">
        <v>7030</v>
      </c>
      <c r="E3425" t="str">
        <f t="shared" si="170"/>
        <v>서울특별시</v>
      </c>
      <c r="F3425" t="str">
        <f t="shared" si="171"/>
        <v>영등포구</v>
      </c>
      <c r="G3425" t="str">
        <f t="shared" si="172"/>
        <v>영등포동</v>
      </c>
    </row>
    <row r="3426" spans="1:9" x14ac:dyDescent="0.4">
      <c r="A3426">
        <v>3180000</v>
      </c>
      <c r="B3426" t="s">
        <v>7047</v>
      </c>
      <c r="C3426" s="1">
        <v>30746</v>
      </c>
      <c r="D3426" t="s">
        <v>7048</v>
      </c>
      <c r="E3426" t="str">
        <f t="shared" si="170"/>
        <v>서울특별시</v>
      </c>
      <c r="F3426" t="str">
        <f t="shared" si="171"/>
        <v>영등포구</v>
      </c>
      <c r="G3426" t="str">
        <f t="shared" si="172"/>
        <v>영등포동</v>
      </c>
    </row>
    <row r="3427" spans="1:9" x14ac:dyDescent="0.4">
      <c r="A3427">
        <v>3180000</v>
      </c>
      <c r="B3427" t="s">
        <v>6980</v>
      </c>
      <c r="C3427" s="1">
        <v>29470</v>
      </c>
      <c r="D3427" t="s">
        <v>6981</v>
      </c>
      <c r="E3427" t="str">
        <f t="shared" si="170"/>
        <v>서울특별시</v>
      </c>
      <c r="F3427" t="str">
        <f t="shared" si="171"/>
        <v>영등포구</v>
      </c>
      <c r="G3427" t="str">
        <f t="shared" si="172"/>
        <v>영등포동</v>
      </c>
      <c r="H3427" t="s">
        <v>6982</v>
      </c>
      <c r="I3427">
        <v>7249</v>
      </c>
    </row>
    <row r="3428" spans="1:9" x14ac:dyDescent="0.4">
      <c r="A3428">
        <v>3180000</v>
      </c>
      <c r="B3428" t="s">
        <v>7043</v>
      </c>
      <c r="C3428" s="1">
        <v>30632</v>
      </c>
      <c r="D3428" t="s">
        <v>7044</v>
      </c>
      <c r="E3428" t="str">
        <f t="shared" si="170"/>
        <v>서울특별시</v>
      </c>
      <c r="F3428" t="str">
        <f t="shared" si="171"/>
        <v>영등포구</v>
      </c>
      <c r="G3428" t="str">
        <f t="shared" si="172"/>
        <v>영등포동</v>
      </c>
    </row>
    <row r="3429" spans="1:9" x14ac:dyDescent="0.4">
      <c r="A3429">
        <v>3180000</v>
      </c>
      <c r="B3429" t="s">
        <v>6659</v>
      </c>
      <c r="C3429" s="1">
        <v>36659</v>
      </c>
      <c r="D3429" t="s">
        <v>6660</v>
      </c>
      <c r="E3429" t="str">
        <f t="shared" si="170"/>
        <v>서울특별시</v>
      </c>
      <c r="F3429" t="str">
        <f t="shared" si="171"/>
        <v>영등포구</v>
      </c>
      <c r="G3429" t="str">
        <f t="shared" si="172"/>
        <v>영등포동</v>
      </c>
    </row>
    <row r="3430" spans="1:9" x14ac:dyDescent="0.4">
      <c r="A3430">
        <v>3180000</v>
      </c>
      <c r="B3430" t="s">
        <v>6971</v>
      </c>
      <c r="C3430" s="1">
        <v>37552</v>
      </c>
      <c r="D3430" t="s">
        <v>6972</v>
      </c>
      <c r="E3430" t="str">
        <f t="shared" si="170"/>
        <v>서울특별시</v>
      </c>
      <c r="F3430" t="str">
        <f t="shared" si="171"/>
        <v>영등포구</v>
      </c>
      <c r="G3430" t="str">
        <f t="shared" si="172"/>
        <v>영등포동</v>
      </c>
      <c r="H3430" t="s">
        <v>6973</v>
      </c>
      <c r="I3430">
        <v>7254</v>
      </c>
    </row>
    <row r="3431" spans="1:9" x14ac:dyDescent="0.4">
      <c r="A3431">
        <v>3180000</v>
      </c>
      <c r="B3431" t="s">
        <v>6686</v>
      </c>
      <c r="C3431" s="1">
        <v>37057</v>
      </c>
      <c r="D3431" t="s">
        <v>6687</v>
      </c>
      <c r="E3431" t="str">
        <f t="shared" si="170"/>
        <v>서울특별시</v>
      </c>
      <c r="F3431" t="str">
        <f t="shared" si="171"/>
        <v>영등포구</v>
      </c>
      <c r="G3431" t="str">
        <f t="shared" si="172"/>
        <v>영등포동</v>
      </c>
      <c r="H3431" t="s">
        <v>6688</v>
      </c>
      <c r="I3431">
        <v>7254</v>
      </c>
    </row>
    <row r="3432" spans="1:9" x14ac:dyDescent="0.4">
      <c r="A3432">
        <v>3180000</v>
      </c>
      <c r="B3432" t="s">
        <v>6878</v>
      </c>
      <c r="C3432" s="1">
        <v>36482</v>
      </c>
      <c r="D3432" t="s">
        <v>6879</v>
      </c>
      <c r="E3432" t="str">
        <f t="shared" si="170"/>
        <v>서울특별시</v>
      </c>
      <c r="F3432" t="str">
        <f t="shared" si="171"/>
        <v>영등포구</v>
      </c>
      <c r="G3432" t="str">
        <f t="shared" si="172"/>
        <v>영등포동</v>
      </c>
      <c r="H3432" t="s">
        <v>6880</v>
      </c>
      <c r="I3432">
        <v>7253</v>
      </c>
    </row>
    <row r="3433" spans="1:9" x14ac:dyDescent="0.4">
      <c r="A3433">
        <v>3180000</v>
      </c>
      <c r="B3433" t="s">
        <v>6663</v>
      </c>
      <c r="C3433" s="1">
        <v>38308</v>
      </c>
      <c r="D3433" t="s">
        <v>6664</v>
      </c>
      <c r="E3433" t="str">
        <f t="shared" si="170"/>
        <v>서울특별시</v>
      </c>
      <c r="F3433" t="str">
        <f t="shared" si="171"/>
        <v>영등포구</v>
      </c>
      <c r="G3433" t="str">
        <f t="shared" si="172"/>
        <v>영등포동</v>
      </c>
      <c r="H3433" t="s">
        <v>6665</v>
      </c>
      <c r="I3433">
        <v>7253</v>
      </c>
    </row>
    <row r="3434" spans="1:9" x14ac:dyDescent="0.4">
      <c r="A3434">
        <v>3180000</v>
      </c>
      <c r="B3434" t="s">
        <v>6600</v>
      </c>
      <c r="C3434" s="1">
        <v>31901</v>
      </c>
      <c r="D3434" t="s">
        <v>6601</v>
      </c>
      <c r="E3434" t="str">
        <f t="shared" si="170"/>
        <v>서울특별시</v>
      </c>
      <c r="F3434" t="str">
        <f t="shared" si="171"/>
        <v>영등포구</v>
      </c>
      <c r="G3434" t="str">
        <f t="shared" si="172"/>
        <v>영등포동</v>
      </c>
    </row>
    <row r="3435" spans="1:9" x14ac:dyDescent="0.4">
      <c r="A3435">
        <v>3180000</v>
      </c>
      <c r="B3435" t="s">
        <v>7149</v>
      </c>
      <c r="C3435" s="1">
        <v>31757</v>
      </c>
      <c r="D3435" t="s">
        <v>6601</v>
      </c>
      <c r="E3435" t="str">
        <f t="shared" si="170"/>
        <v>서울특별시</v>
      </c>
      <c r="F3435" t="str">
        <f t="shared" si="171"/>
        <v>영등포구</v>
      </c>
      <c r="G3435" t="str">
        <f t="shared" si="172"/>
        <v>영등포동</v>
      </c>
    </row>
    <row r="3436" spans="1:9" x14ac:dyDescent="0.4">
      <c r="A3436">
        <v>3180000</v>
      </c>
      <c r="B3436" t="s">
        <v>7267</v>
      </c>
      <c r="C3436" s="1">
        <v>38555</v>
      </c>
      <c r="D3436" t="s">
        <v>7268</v>
      </c>
      <c r="E3436" t="str">
        <f t="shared" si="170"/>
        <v>서울특별시</v>
      </c>
      <c r="F3436" t="str">
        <f t="shared" si="171"/>
        <v>영등포구</v>
      </c>
      <c r="G3436" t="str">
        <f t="shared" si="172"/>
        <v>영등포동</v>
      </c>
      <c r="H3436" t="s">
        <v>7269</v>
      </c>
      <c r="I3436">
        <v>7304</v>
      </c>
    </row>
    <row r="3437" spans="1:9" x14ac:dyDescent="0.4">
      <c r="A3437">
        <v>3180000</v>
      </c>
      <c r="B3437" t="s">
        <v>7435</v>
      </c>
      <c r="C3437" s="1">
        <v>40508</v>
      </c>
      <c r="D3437" t="s">
        <v>7436</v>
      </c>
      <c r="E3437" t="str">
        <f t="shared" si="170"/>
        <v>서울특별시</v>
      </c>
      <c r="F3437" t="str">
        <f t="shared" si="171"/>
        <v>영등포구</v>
      </c>
      <c r="G3437" t="str">
        <f t="shared" si="172"/>
        <v>영등포동</v>
      </c>
      <c r="H3437" t="s">
        <v>7437</v>
      </c>
      <c r="I3437">
        <v>7304</v>
      </c>
    </row>
    <row r="3438" spans="1:9" x14ac:dyDescent="0.4">
      <c r="A3438">
        <v>3180000</v>
      </c>
      <c r="B3438" t="s">
        <v>7438</v>
      </c>
      <c r="C3438" s="1">
        <v>40508</v>
      </c>
      <c r="D3438" t="s">
        <v>7436</v>
      </c>
      <c r="E3438" t="str">
        <f t="shared" si="170"/>
        <v>서울특별시</v>
      </c>
      <c r="F3438" t="str">
        <f t="shared" si="171"/>
        <v>영등포구</v>
      </c>
      <c r="G3438" t="str">
        <f t="shared" si="172"/>
        <v>영등포동</v>
      </c>
      <c r="H3438" t="s">
        <v>7439</v>
      </c>
      <c r="I3438">
        <v>7304</v>
      </c>
    </row>
    <row r="3439" spans="1:9" x14ac:dyDescent="0.4">
      <c r="A3439">
        <v>3180000</v>
      </c>
      <c r="B3439" t="s">
        <v>240</v>
      </c>
      <c r="C3439" s="1">
        <v>38441</v>
      </c>
      <c r="D3439" t="s">
        <v>241</v>
      </c>
      <c r="E3439" t="str">
        <f t="shared" si="170"/>
        <v>서울특별시</v>
      </c>
      <c r="F3439" t="str">
        <f t="shared" si="171"/>
        <v>영등포구</v>
      </c>
      <c r="G3439" t="str">
        <f t="shared" si="172"/>
        <v>영등포동</v>
      </c>
      <c r="H3439" t="s">
        <v>242</v>
      </c>
      <c r="I3439">
        <v>7304</v>
      </c>
    </row>
    <row r="3440" spans="1:9" x14ac:dyDescent="0.4">
      <c r="A3440">
        <v>3180000</v>
      </c>
      <c r="B3440" t="s">
        <v>7264</v>
      </c>
      <c r="C3440" s="1">
        <v>38510</v>
      </c>
      <c r="D3440" t="s">
        <v>7265</v>
      </c>
      <c r="E3440" t="str">
        <f t="shared" si="170"/>
        <v>서울특별시</v>
      </c>
      <c r="F3440" t="str">
        <f t="shared" si="171"/>
        <v>영등포구</v>
      </c>
      <c r="G3440" t="str">
        <f t="shared" si="172"/>
        <v>영등포동</v>
      </c>
      <c r="H3440" t="s">
        <v>7266</v>
      </c>
      <c r="I3440">
        <v>7304</v>
      </c>
    </row>
    <row r="3441" spans="1:9" x14ac:dyDescent="0.4">
      <c r="A3441">
        <v>3180000</v>
      </c>
      <c r="B3441" t="s">
        <v>7231</v>
      </c>
      <c r="C3441" s="1">
        <v>32133</v>
      </c>
      <c r="D3441" t="s">
        <v>7232</v>
      </c>
      <c r="E3441" t="str">
        <f t="shared" si="170"/>
        <v>서울특별시</v>
      </c>
      <c r="F3441" t="str">
        <f t="shared" si="171"/>
        <v>영등포구</v>
      </c>
      <c r="G3441" t="str">
        <f t="shared" si="172"/>
        <v>영등포동</v>
      </c>
    </row>
    <row r="3442" spans="1:9" x14ac:dyDescent="0.4">
      <c r="A3442">
        <v>3180000</v>
      </c>
      <c r="B3442" t="s">
        <v>6914</v>
      </c>
      <c r="C3442" s="1">
        <v>38573</v>
      </c>
      <c r="D3442" t="s">
        <v>6915</v>
      </c>
      <c r="E3442" t="str">
        <f t="shared" si="170"/>
        <v>서울특별시</v>
      </c>
      <c r="F3442" t="str">
        <f t="shared" si="171"/>
        <v>영등포구</v>
      </c>
      <c r="G3442" t="str">
        <f t="shared" si="172"/>
        <v>영등포동</v>
      </c>
      <c r="H3442" t="s">
        <v>6916</v>
      </c>
      <c r="I3442">
        <v>7304</v>
      </c>
    </row>
    <row r="3443" spans="1:9" x14ac:dyDescent="0.4">
      <c r="A3443">
        <v>3180000</v>
      </c>
      <c r="B3443" t="s">
        <v>7335</v>
      </c>
      <c r="C3443" s="1">
        <v>39744</v>
      </c>
      <c r="D3443" t="s">
        <v>7336</v>
      </c>
      <c r="E3443" t="str">
        <f t="shared" si="170"/>
        <v>서울특별시</v>
      </c>
      <c r="F3443" t="str">
        <f t="shared" si="171"/>
        <v>영등포구</v>
      </c>
      <c r="G3443" t="str">
        <f t="shared" si="172"/>
        <v>영등포동</v>
      </c>
      <c r="H3443" t="s">
        <v>7337</v>
      </c>
      <c r="I3443">
        <v>7304</v>
      </c>
    </row>
    <row r="3444" spans="1:9" x14ac:dyDescent="0.4">
      <c r="A3444">
        <v>3180000</v>
      </c>
      <c r="B3444" t="s">
        <v>7086</v>
      </c>
      <c r="C3444" s="1">
        <v>31276</v>
      </c>
      <c r="D3444" t="s">
        <v>7087</v>
      </c>
      <c r="E3444" t="str">
        <f t="shared" si="170"/>
        <v>서울특별시</v>
      </c>
      <c r="F3444" t="str">
        <f t="shared" si="171"/>
        <v>영등포구</v>
      </c>
      <c r="G3444" t="str">
        <f t="shared" si="172"/>
        <v>영등포동</v>
      </c>
    </row>
    <row r="3445" spans="1:9" x14ac:dyDescent="0.4">
      <c r="A3445">
        <v>3180000</v>
      </c>
      <c r="B3445" t="s">
        <v>7163</v>
      </c>
      <c r="C3445" s="1">
        <v>39129</v>
      </c>
      <c r="D3445" t="s">
        <v>7164</v>
      </c>
      <c r="E3445" t="str">
        <f t="shared" si="170"/>
        <v>서울특별시</v>
      </c>
      <c r="F3445" t="str">
        <f t="shared" si="171"/>
        <v>영등포구</v>
      </c>
      <c r="G3445" t="str">
        <f t="shared" si="172"/>
        <v>영등포동</v>
      </c>
      <c r="H3445" t="s">
        <v>7165</v>
      </c>
    </row>
    <row r="3446" spans="1:9" x14ac:dyDescent="0.4">
      <c r="A3446">
        <v>3180000</v>
      </c>
      <c r="B3446" t="s">
        <v>7183</v>
      </c>
      <c r="C3446" s="1">
        <v>39164</v>
      </c>
      <c r="D3446" t="s">
        <v>7164</v>
      </c>
      <c r="E3446" t="str">
        <f t="shared" si="170"/>
        <v>서울특별시</v>
      </c>
      <c r="F3446" t="str">
        <f t="shared" si="171"/>
        <v>영등포구</v>
      </c>
      <c r="G3446" t="str">
        <f t="shared" si="172"/>
        <v>영등포동</v>
      </c>
      <c r="H3446" t="s">
        <v>7165</v>
      </c>
    </row>
    <row r="3447" spans="1:9" x14ac:dyDescent="0.4">
      <c r="A3447">
        <v>3180000</v>
      </c>
      <c r="B3447" t="s">
        <v>7440</v>
      </c>
      <c r="C3447" s="1">
        <v>38923</v>
      </c>
      <c r="D3447" t="s">
        <v>7441</v>
      </c>
      <c r="E3447" t="str">
        <f t="shared" si="170"/>
        <v>서울특별시</v>
      </c>
      <c r="F3447" t="str">
        <f t="shared" si="171"/>
        <v>영등포구</v>
      </c>
      <c r="G3447" t="str">
        <f t="shared" si="172"/>
        <v>영등포동</v>
      </c>
      <c r="H3447" t="s">
        <v>7442</v>
      </c>
      <c r="I3447">
        <v>7304</v>
      </c>
    </row>
    <row r="3448" spans="1:9" x14ac:dyDescent="0.4">
      <c r="A3448">
        <v>3180000</v>
      </c>
      <c r="B3448" t="s">
        <v>7226</v>
      </c>
      <c r="C3448" s="1">
        <v>31952</v>
      </c>
      <c r="D3448" t="s">
        <v>7227</v>
      </c>
      <c r="E3448" t="str">
        <f t="shared" si="170"/>
        <v>서울특별시</v>
      </c>
      <c r="F3448" t="str">
        <f t="shared" si="171"/>
        <v>영등포구</v>
      </c>
      <c r="G3448" t="str">
        <f t="shared" si="172"/>
        <v>영등포동</v>
      </c>
    </row>
    <row r="3449" spans="1:9" x14ac:dyDescent="0.4">
      <c r="A3449">
        <v>3180000</v>
      </c>
      <c r="B3449" t="s">
        <v>7069</v>
      </c>
      <c r="C3449" s="1">
        <v>31547</v>
      </c>
      <c r="D3449" t="s">
        <v>7070</v>
      </c>
      <c r="E3449" t="str">
        <f t="shared" si="170"/>
        <v>서울특별시</v>
      </c>
      <c r="F3449" t="str">
        <f t="shared" si="171"/>
        <v>영등포구</v>
      </c>
      <c r="G3449" t="str">
        <f t="shared" si="172"/>
        <v>영등포동</v>
      </c>
    </row>
    <row r="3450" spans="1:9" x14ac:dyDescent="0.4">
      <c r="A3450">
        <v>3180000</v>
      </c>
      <c r="B3450" t="s">
        <v>7161</v>
      </c>
      <c r="C3450" s="1">
        <v>39007</v>
      </c>
      <c r="D3450" t="s">
        <v>7162</v>
      </c>
      <c r="E3450" t="str">
        <f t="shared" si="170"/>
        <v>서울특별시</v>
      </c>
      <c r="F3450" t="str">
        <f t="shared" si="171"/>
        <v>영등포구</v>
      </c>
      <c r="G3450" t="str">
        <f t="shared" si="172"/>
        <v>영등포동</v>
      </c>
    </row>
    <row r="3451" spans="1:9" x14ac:dyDescent="0.4">
      <c r="A3451">
        <v>3180000</v>
      </c>
      <c r="B3451" t="s">
        <v>7548</v>
      </c>
      <c r="C3451" s="1">
        <v>38720</v>
      </c>
      <c r="D3451" t="s">
        <v>7549</v>
      </c>
      <c r="E3451" t="str">
        <f t="shared" si="170"/>
        <v>서울특별시</v>
      </c>
      <c r="F3451" t="str">
        <f t="shared" si="171"/>
        <v>영등포구</v>
      </c>
      <c r="G3451" t="str">
        <f t="shared" si="172"/>
        <v>영등포동</v>
      </c>
      <c r="H3451" t="s">
        <v>7550</v>
      </c>
      <c r="I3451">
        <v>7303</v>
      </c>
    </row>
    <row r="3452" spans="1:9" x14ac:dyDescent="0.4">
      <c r="A3452">
        <v>3180000</v>
      </c>
      <c r="B3452" t="s">
        <v>6725</v>
      </c>
      <c r="C3452" s="1">
        <v>36416</v>
      </c>
      <c r="D3452" t="s">
        <v>6726</v>
      </c>
      <c r="E3452" t="str">
        <f t="shared" si="170"/>
        <v>서울특별시</v>
      </c>
      <c r="F3452" t="str">
        <f t="shared" si="171"/>
        <v>영등포구</v>
      </c>
      <c r="G3452" t="str">
        <f t="shared" si="172"/>
        <v>영등포동</v>
      </c>
      <c r="H3452" t="s">
        <v>6727</v>
      </c>
    </row>
    <row r="3453" spans="1:9" x14ac:dyDescent="0.4">
      <c r="A3453">
        <v>3180000</v>
      </c>
      <c r="B3453" t="s">
        <v>7568</v>
      </c>
      <c r="C3453" s="1">
        <v>39890</v>
      </c>
      <c r="D3453" t="s">
        <v>7569</v>
      </c>
      <c r="E3453" t="str">
        <f t="shared" si="170"/>
        <v>서울특별시</v>
      </c>
      <c r="F3453" t="str">
        <f t="shared" si="171"/>
        <v>영등포구</v>
      </c>
      <c r="G3453" t="str">
        <f t="shared" si="172"/>
        <v>영등포동</v>
      </c>
      <c r="H3453" t="s">
        <v>7570</v>
      </c>
      <c r="I3453">
        <v>7303</v>
      </c>
    </row>
    <row r="3454" spans="1:9" x14ac:dyDescent="0.4">
      <c r="A3454">
        <v>3180000</v>
      </c>
      <c r="B3454" t="s">
        <v>7469</v>
      </c>
      <c r="C3454" s="1">
        <v>36623</v>
      </c>
      <c r="D3454" t="s">
        <v>7470</v>
      </c>
      <c r="E3454" t="str">
        <f t="shared" si="170"/>
        <v>서울특별시</v>
      </c>
      <c r="F3454" t="str">
        <f t="shared" si="171"/>
        <v>영등포구</v>
      </c>
      <c r="G3454" t="str">
        <f t="shared" si="172"/>
        <v>영등포동</v>
      </c>
      <c r="H3454" t="s">
        <v>7471</v>
      </c>
      <c r="I3454">
        <v>7303</v>
      </c>
    </row>
    <row r="3455" spans="1:9" x14ac:dyDescent="0.4">
      <c r="A3455">
        <v>3180000</v>
      </c>
      <c r="B3455" t="s">
        <v>7479</v>
      </c>
      <c r="C3455" s="1">
        <v>39457</v>
      </c>
      <c r="D3455" t="s">
        <v>7480</v>
      </c>
      <c r="E3455" t="str">
        <f t="shared" si="170"/>
        <v>서울특별시</v>
      </c>
      <c r="F3455" t="str">
        <f t="shared" si="171"/>
        <v>영등포구</v>
      </c>
      <c r="G3455" t="str">
        <f t="shared" si="172"/>
        <v>영등포동</v>
      </c>
      <c r="H3455" t="s">
        <v>7481</v>
      </c>
      <c r="I3455">
        <v>7303</v>
      </c>
    </row>
    <row r="3456" spans="1:9" x14ac:dyDescent="0.4">
      <c r="A3456">
        <v>3180000</v>
      </c>
      <c r="B3456" t="s">
        <v>63</v>
      </c>
      <c r="C3456" s="1">
        <v>37247</v>
      </c>
      <c r="D3456" t="s">
        <v>64</v>
      </c>
      <c r="E3456" t="str">
        <f t="shared" si="170"/>
        <v>서울특별시</v>
      </c>
      <c r="F3456" t="str">
        <f t="shared" si="171"/>
        <v>영등포구</v>
      </c>
      <c r="G3456" t="str">
        <f t="shared" si="172"/>
        <v>영등포동</v>
      </c>
      <c r="H3456" t="s">
        <v>65</v>
      </c>
      <c r="I3456">
        <v>7303</v>
      </c>
    </row>
    <row r="3457" spans="1:9" x14ac:dyDescent="0.4">
      <c r="A3457">
        <v>3180000</v>
      </c>
      <c r="B3457" t="s">
        <v>7330</v>
      </c>
      <c r="C3457" s="1">
        <v>36698</v>
      </c>
      <c r="D3457" t="s">
        <v>7331</v>
      </c>
      <c r="E3457" t="str">
        <f t="shared" si="170"/>
        <v>서울특별시</v>
      </c>
      <c r="F3457" t="str">
        <f t="shared" si="171"/>
        <v>영등포구</v>
      </c>
      <c r="G3457" t="str">
        <f t="shared" si="172"/>
        <v>영등포동</v>
      </c>
    </row>
    <row r="3458" spans="1:9" x14ac:dyDescent="0.4">
      <c r="A3458">
        <v>3180000</v>
      </c>
      <c r="B3458" t="s">
        <v>7477</v>
      </c>
      <c r="C3458" s="1">
        <v>37406</v>
      </c>
      <c r="D3458" t="s">
        <v>7478</v>
      </c>
      <c r="E3458" t="str">
        <f t="shared" si="170"/>
        <v>서울특별시</v>
      </c>
      <c r="F3458" t="str">
        <f t="shared" si="171"/>
        <v>영등포구</v>
      </c>
      <c r="G3458" t="str">
        <f t="shared" si="172"/>
        <v>영등포동</v>
      </c>
      <c r="H3458" t="s">
        <v>6713</v>
      </c>
      <c r="I3458">
        <v>7303</v>
      </c>
    </row>
    <row r="3459" spans="1:9" x14ac:dyDescent="0.4">
      <c r="A3459">
        <v>3180000</v>
      </c>
      <c r="B3459" t="s">
        <v>7123</v>
      </c>
      <c r="C3459" s="1">
        <v>32958</v>
      </c>
      <c r="D3459" t="s">
        <v>7124</v>
      </c>
      <c r="E3459" t="str">
        <f t="shared" ref="E3459:E3522" si="173">LEFT(D3459,5)</f>
        <v>서울특별시</v>
      </c>
      <c r="F3459" t="str">
        <f t="shared" ref="F3459:F3522" si="174">MID(D3459,7,4)</f>
        <v>영등포구</v>
      </c>
      <c r="G3459" t="str">
        <f t="shared" si="172"/>
        <v>영등포동</v>
      </c>
    </row>
    <row r="3460" spans="1:9" x14ac:dyDescent="0.4">
      <c r="A3460">
        <v>3180000</v>
      </c>
      <c r="B3460" t="s">
        <v>7306</v>
      </c>
      <c r="C3460" s="1">
        <v>36900</v>
      </c>
      <c r="D3460" t="s">
        <v>7307</v>
      </c>
      <c r="E3460" t="str">
        <f t="shared" si="173"/>
        <v>서울특별시</v>
      </c>
      <c r="F3460" t="str">
        <f t="shared" si="174"/>
        <v>영등포구</v>
      </c>
      <c r="G3460" t="str">
        <f t="shared" si="172"/>
        <v>영등포동</v>
      </c>
      <c r="H3460" t="s">
        <v>7308</v>
      </c>
      <c r="I3460">
        <v>7303</v>
      </c>
    </row>
    <row r="3461" spans="1:9" x14ac:dyDescent="0.4">
      <c r="A3461">
        <v>3180000</v>
      </c>
      <c r="B3461" t="s">
        <v>6783</v>
      </c>
      <c r="C3461" s="1">
        <v>38040</v>
      </c>
      <c r="D3461" t="s">
        <v>6784</v>
      </c>
      <c r="E3461" t="str">
        <f t="shared" si="173"/>
        <v>서울특별시</v>
      </c>
      <c r="F3461" t="str">
        <f t="shared" si="174"/>
        <v>영등포구</v>
      </c>
      <c r="G3461" t="str">
        <f t="shared" si="172"/>
        <v>영등포동</v>
      </c>
    </row>
    <row r="3462" spans="1:9" x14ac:dyDescent="0.4">
      <c r="A3462">
        <v>3180000</v>
      </c>
      <c r="B3462" t="s">
        <v>7539</v>
      </c>
      <c r="C3462" s="1">
        <v>40431</v>
      </c>
      <c r="D3462" t="s">
        <v>7540</v>
      </c>
      <c r="E3462" t="str">
        <f t="shared" si="173"/>
        <v>서울특별시</v>
      </c>
      <c r="F3462" t="str">
        <f t="shared" si="174"/>
        <v>영등포구</v>
      </c>
      <c r="G3462" t="str">
        <f t="shared" si="172"/>
        <v>영등포동</v>
      </c>
    </row>
    <row r="3463" spans="1:9" x14ac:dyDescent="0.4">
      <c r="A3463">
        <v>3180000</v>
      </c>
      <c r="B3463" t="s">
        <v>7015</v>
      </c>
      <c r="C3463" s="1">
        <v>37174</v>
      </c>
      <c r="D3463" t="s">
        <v>7016</v>
      </c>
      <c r="E3463" t="str">
        <f t="shared" si="173"/>
        <v>서울특별시</v>
      </c>
      <c r="F3463" t="str">
        <f t="shared" si="174"/>
        <v>영등포구</v>
      </c>
      <c r="G3463" t="str">
        <f t="shared" si="172"/>
        <v>영등포동</v>
      </c>
    </row>
    <row r="3464" spans="1:9" x14ac:dyDescent="0.4">
      <c r="A3464">
        <v>3180000</v>
      </c>
      <c r="B3464" t="s">
        <v>7237</v>
      </c>
      <c r="C3464" s="1">
        <v>37014</v>
      </c>
      <c r="D3464" t="s">
        <v>7238</v>
      </c>
      <c r="E3464" t="str">
        <f t="shared" si="173"/>
        <v>서울특별시</v>
      </c>
      <c r="F3464" t="str">
        <f t="shared" si="174"/>
        <v>영등포구</v>
      </c>
      <c r="G3464" t="str">
        <f t="shared" si="172"/>
        <v>영등포동</v>
      </c>
      <c r="H3464" t="s">
        <v>7239</v>
      </c>
      <c r="I3464">
        <v>7304</v>
      </c>
    </row>
    <row r="3465" spans="1:9" x14ac:dyDescent="0.4">
      <c r="A3465">
        <v>3180000</v>
      </c>
      <c r="B3465" t="s">
        <v>7102</v>
      </c>
      <c r="C3465" s="1">
        <v>31504</v>
      </c>
      <c r="D3465" t="s">
        <v>7103</v>
      </c>
      <c r="E3465" t="str">
        <f t="shared" si="173"/>
        <v>서울특별시</v>
      </c>
      <c r="F3465" t="str">
        <f t="shared" si="174"/>
        <v>영등포구</v>
      </c>
      <c r="G3465" t="str">
        <f t="shared" si="172"/>
        <v>영등포동</v>
      </c>
    </row>
    <row r="3466" spans="1:9" x14ac:dyDescent="0.4">
      <c r="A3466">
        <v>3180000</v>
      </c>
      <c r="B3466" t="s">
        <v>7536</v>
      </c>
      <c r="C3466" s="1">
        <v>40430</v>
      </c>
      <c r="D3466" t="s">
        <v>7537</v>
      </c>
      <c r="E3466" t="str">
        <f t="shared" si="173"/>
        <v>서울특별시</v>
      </c>
      <c r="F3466" t="str">
        <f t="shared" si="174"/>
        <v>영등포구</v>
      </c>
      <c r="G3466" t="str">
        <f t="shared" si="172"/>
        <v>영등포동</v>
      </c>
      <c r="H3466" t="s">
        <v>7538</v>
      </c>
      <c r="I3466">
        <v>7304</v>
      </c>
    </row>
    <row r="3467" spans="1:9" x14ac:dyDescent="0.4">
      <c r="A3467">
        <v>3180000</v>
      </c>
      <c r="B3467" t="s">
        <v>7300</v>
      </c>
      <c r="C3467" s="1">
        <v>39610</v>
      </c>
      <c r="D3467" t="s">
        <v>7301</v>
      </c>
      <c r="E3467" t="str">
        <f t="shared" si="173"/>
        <v>서울특별시</v>
      </c>
      <c r="F3467" t="str">
        <f t="shared" si="174"/>
        <v>영등포구</v>
      </c>
      <c r="G3467" t="str">
        <f t="shared" si="172"/>
        <v>영등포동</v>
      </c>
      <c r="H3467" t="s">
        <v>7302</v>
      </c>
      <c r="I3467">
        <v>7304</v>
      </c>
    </row>
    <row r="3468" spans="1:9" x14ac:dyDescent="0.4">
      <c r="A3468">
        <v>3180000</v>
      </c>
      <c r="B3468" t="s">
        <v>7327</v>
      </c>
      <c r="C3468" s="1">
        <v>41373</v>
      </c>
      <c r="D3468" t="s">
        <v>7328</v>
      </c>
      <c r="E3468" t="str">
        <f t="shared" si="173"/>
        <v>서울특별시</v>
      </c>
      <c r="F3468" t="str">
        <f t="shared" si="174"/>
        <v>영등포구</v>
      </c>
      <c r="G3468" t="str">
        <f t="shared" si="172"/>
        <v>영등포동</v>
      </c>
      <c r="H3468" t="s">
        <v>7329</v>
      </c>
      <c r="I3468">
        <v>7304</v>
      </c>
    </row>
    <row r="3469" spans="1:9" x14ac:dyDescent="0.4">
      <c r="A3469">
        <v>3180000</v>
      </c>
      <c r="B3469" t="s">
        <v>7255</v>
      </c>
      <c r="C3469" s="1">
        <v>38357</v>
      </c>
      <c r="D3469" t="s">
        <v>7256</v>
      </c>
      <c r="E3469" t="str">
        <f t="shared" si="173"/>
        <v>서울특별시</v>
      </c>
      <c r="F3469" t="str">
        <f t="shared" si="174"/>
        <v>영등포구</v>
      </c>
      <c r="G3469" t="str">
        <f t="shared" si="172"/>
        <v>영등포동</v>
      </c>
      <c r="H3469" t="s">
        <v>7257</v>
      </c>
      <c r="I3469">
        <v>7304</v>
      </c>
    </row>
    <row r="3470" spans="1:9" x14ac:dyDescent="0.4">
      <c r="A3470">
        <v>3180000</v>
      </c>
      <c r="B3470" t="s">
        <v>6684</v>
      </c>
      <c r="C3470" s="1">
        <v>38678</v>
      </c>
      <c r="D3470" t="s">
        <v>6685</v>
      </c>
      <c r="E3470" t="str">
        <f t="shared" si="173"/>
        <v>서울특별시</v>
      </c>
      <c r="F3470" t="str">
        <f t="shared" si="174"/>
        <v>영등포구</v>
      </c>
      <c r="G3470" t="str">
        <f t="shared" si="172"/>
        <v>영등포동</v>
      </c>
    </row>
    <row r="3471" spans="1:9" x14ac:dyDescent="0.4">
      <c r="A3471">
        <v>3180000</v>
      </c>
      <c r="B3471" t="s">
        <v>7325</v>
      </c>
      <c r="C3471" s="1">
        <v>39721</v>
      </c>
      <c r="D3471" t="s">
        <v>6685</v>
      </c>
      <c r="E3471" t="str">
        <f t="shared" si="173"/>
        <v>서울특별시</v>
      </c>
      <c r="F3471" t="str">
        <f t="shared" si="174"/>
        <v>영등포구</v>
      </c>
      <c r="G3471" t="str">
        <f t="shared" si="172"/>
        <v>영등포동</v>
      </c>
      <c r="H3471" t="s">
        <v>7326</v>
      </c>
      <c r="I3471">
        <v>7304</v>
      </c>
    </row>
    <row r="3472" spans="1:9" x14ac:dyDescent="0.4">
      <c r="A3472">
        <v>3180000</v>
      </c>
      <c r="B3472" t="s">
        <v>7443</v>
      </c>
      <c r="C3472" s="1">
        <v>39378</v>
      </c>
      <c r="D3472" t="s">
        <v>7444</v>
      </c>
      <c r="E3472" t="str">
        <f t="shared" si="173"/>
        <v>서울특별시</v>
      </c>
      <c r="F3472" t="str">
        <f t="shared" si="174"/>
        <v>영등포구</v>
      </c>
      <c r="G3472" t="str">
        <f t="shared" si="172"/>
        <v>영등포동</v>
      </c>
      <c r="H3472" t="s">
        <v>7445</v>
      </c>
      <c r="I3472">
        <v>7304</v>
      </c>
    </row>
    <row r="3473" spans="1:9" x14ac:dyDescent="0.4">
      <c r="A3473">
        <v>3180000</v>
      </c>
      <c r="B3473" t="s">
        <v>7586</v>
      </c>
      <c r="C3473" s="1">
        <v>40064</v>
      </c>
      <c r="D3473" t="s">
        <v>7587</v>
      </c>
      <c r="E3473" t="str">
        <f t="shared" si="173"/>
        <v>서울특별시</v>
      </c>
      <c r="F3473" t="str">
        <f t="shared" si="174"/>
        <v>영등포구</v>
      </c>
      <c r="G3473" t="str">
        <f t="shared" si="172"/>
        <v>영등포동</v>
      </c>
      <c r="H3473" t="s">
        <v>7588</v>
      </c>
      <c r="I3473">
        <v>7304</v>
      </c>
    </row>
    <row r="3474" spans="1:9" x14ac:dyDescent="0.4">
      <c r="A3474">
        <v>3180000</v>
      </c>
      <c r="B3474" t="s">
        <v>6779</v>
      </c>
      <c r="C3474" s="1">
        <v>37971</v>
      </c>
      <c r="D3474" t="s">
        <v>6780</v>
      </c>
      <c r="E3474" t="str">
        <f t="shared" si="173"/>
        <v>서울특별시</v>
      </c>
      <c r="F3474" t="str">
        <f t="shared" si="174"/>
        <v>영등포구</v>
      </c>
      <c r="G3474" t="str">
        <f t="shared" si="172"/>
        <v>영등포동</v>
      </c>
    </row>
    <row r="3475" spans="1:9" x14ac:dyDescent="0.4">
      <c r="A3475">
        <v>3180000</v>
      </c>
      <c r="B3475" t="s">
        <v>7396</v>
      </c>
      <c r="C3475" s="1">
        <v>44910</v>
      </c>
      <c r="D3475" t="s">
        <v>7397</v>
      </c>
      <c r="E3475" t="str">
        <f t="shared" si="173"/>
        <v>서울특별시</v>
      </c>
      <c r="F3475" t="str">
        <f t="shared" si="174"/>
        <v>영등포구</v>
      </c>
      <c r="G3475" t="str">
        <f t="shared" si="172"/>
        <v>영등포동</v>
      </c>
      <c r="H3475" t="s">
        <v>7398</v>
      </c>
      <c r="I3475">
        <v>7304</v>
      </c>
    </row>
    <row r="3476" spans="1:9" x14ac:dyDescent="0.4">
      <c r="A3476">
        <v>3180000</v>
      </c>
      <c r="B3476" t="s">
        <v>7475</v>
      </c>
      <c r="C3476" s="1">
        <v>39456</v>
      </c>
      <c r="D3476" t="s">
        <v>7397</v>
      </c>
      <c r="E3476" t="str">
        <f t="shared" si="173"/>
        <v>서울특별시</v>
      </c>
      <c r="F3476" t="str">
        <f t="shared" si="174"/>
        <v>영등포구</v>
      </c>
      <c r="G3476" t="str">
        <f t="shared" si="172"/>
        <v>영등포동</v>
      </c>
      <c r="H3476" t="s">
        <v>7476</v>
      </c>
      <c r="I3476">
        <v>7304</v>
      </c>
    </row>
    <row r="3477" spans="1:9" x14ac:dyDescent="0.4">
      <c r="A3477">
        <v>3180000</v>
      </c>
      <c r="B3477" t="s">
        <v>7403</v>
      </c>
      <c r="C3477" s="1">
        <v>45177</v>
      </c>
      <c r="D3477" t="s">
        <v>7404</v>
      </c>
      <c r="E3477" t="str">
        <f t="shared" si="173"/>
        <v>서울특별시</v>
      </c>
      <c r="F3477" t="str">
        <f t="shared" si="174"/>
        <v>영등포구</v>
      </c>
      <c r="G3477" t="str">
        <f t="shared" si="172"/>
        <v>영등포동</v>
      </c>
      <c r="H3477" t="s">
        <v>7405</v>
      </c>
      <c r="I3477">
        <v>7304</v>
      </c>
    </row>
    <row r="3478" spans="1:9" x14ac:dyDescent="0.4">
      <c r="A3478">
        <v>3180000</v>
      </c>
      <c r="B3478" t="s">
        <v>7318</v>
      </c>
      <c r="C3478" s="1">
        <v>38681</v>
      </c>
      <c r="D3478" t="s">
        <v>7319</v>
      </c>
      <c r="E3478" t="str">
        <f t="shared" si="173"/>
        <v>서울특별시</v>
      </c>
      <c r="F3478" t="str">
        <f t="shared" si="174"/>
        <v>영등포구</v>
      </c>
      <c r="G3478" t="str">
        <f t="shared" si="172"/>
        <v>영등포동</v>
      </c>
      <c r="H3478" t="s">
        <v>7320</v>
      </c>
      <c r="I3478">
        <v>7304</v>
      </c>
    </row>
    <row r="3479" spans="1:9" x14ac:dyDescent="0.4">
      <c r="A3479">
        <v>3180000</v>
      </c>
      <c r="B3479" t="s">
        <v>6562</v>
      </c>
      <c r="C3479" s="1">
        <v>26225</v>
      </c>
      <c r="D3479" t="s">
        <v>6563</v>
      </c>
      <c r="E3479" t="str">
        <f t="shared" si="173"/>
        <v>서울특별시</v>
      </c>
      <c r="F3479" t="str">
        <f t="shared" si="174"/>
        <v>영등포구</v>
      </c>
      <c r="G3479" t="str">
        <f t="shared" si="172"/>
        <v>영등포동</v>
      </c>
    </row>
    <row r="3480" spans="1:9" x14ac:dyDescent="0.4">
      <c r="A3480">
        <v>3180000</v>
      </c>
      <c r="B3480" t="s">
        <v>7279</v>
      </c>
      <c r="C3480" s="1">
        <v>38674</v>
      </c>
      <c r="D3480" t="s">
        <v>7280</v>
      </c>
      <c r="E3480" t="str">
        <f t="shared" si="173"/>
        <v>서울특별시</v>
      </c>
      <c r="F3480" t="str">
        <f t="shared" si="174"/>
        <v>영등포구</v>
      </c>
      <c r="G3480" t="str">
        <f t="shared" si="172"/>
        <v>영등포동</v>
      </c>
      <c r="H3480" t="s">
        <v>7281</v>
      </c>
      <c r="I3480">
        <v>7304</v>
      </c>
    </row>
    <row r="3481" spans="1:9" x14ac:dyDescent="0.4">
      <c r="A3481">
        <v>3180000</v>
      </c>
      <c r="B3481" t="s">
        <v>7270</v>
      </c>
      <c r="C3481" s="1">
        <v>38625</v>
      </c>
      <c r="D3481" t="s">
        <v>7271</v>
      </c>
      <c r="E3481" t="str">
        <f t="shared" si="173"/>
        <v>서울특별시</v>
      </c>
      <c r="F3481" t="str">
        <f t="shared" si="174"/>
        <v>영등포구</v>
      </c>
      <c r="G3481" t="str">
        <f t="shared" si="172"/>
        <v>영등포동</v>
      </c>
      <c r="H3481" t="s">
        <v>7272</v>
      </c>
      <c r="I3481">
        <v>7304</v>
      </c>
    </row>
    <row r="3482" spans="1:9" x14ac:dyDescent="0.4">
      <c r="A3482">
        <v>3180000</v>
      </c>
      <c r="B3482" t="s">
        <v>7551</v>
      </c>
      <c r="C3482" s="1">
        <v>40913</v>
      </c>
      <c r="D3482" t="s">
        <v>7552</v>
      </c>
      <c r="E3482" t="str">
        <f t="shared" si="173"/>
        <v>서울특별시</v>
      </c>
      <c r="F3482" t="str">
        <f t="shared" si="174"/>
        <v>영등포구</v>
      </c>
      <c r="G3482" t="str">
        <f t="shared" si="172"/>
        <v>영등포동</v>
      </c>
      <c r="H3482" t="s">
        <v>7553</v>
      </c>
      <c r="I3482">
        <v>7302</v>
      </c>
    </row>
    <row r="3483" spans="1:9" x14ac:dyDescent="0.4">
      <c r="A3483">
        <v>3180000</v>
      </c>
      <c r="B3483" t="s">
        <v>6752</v>
      </c>
      <c r="C3483" s="1">
        <v>41445</v>
      </c>
      <c r="D3483" t="s">
        <v>6753</v>
      </c>
      <c r="E3483" t="str">
        <f t="shared" si="173"/>
        <v>서울특별시</v>
      </c>
      <c r="F3483" t="str">
        <f t="shared" si="174"/>
        <v>영등포구</v>
      </c>
      <c r="G3483" t="str">
        <f t="shared" si="172"/>
        <v>영등포동</v>
      </c>
      <c r="H3483" t="s">
        <v>6754</v>
      </c>
      <c r="I3483">
        <v>7302</v>
      </c>
    </row>
    <row r="3484" spans="1:9" x14ac:dyDescent="0.4">
      <c r="A3484">
        <v>3180000</v>
      </c>
      <c r="B3484" t="s">
        <v>7109</v>
      </c>
      <c r="C3484" s="1">
        <v>31513</v>
      </c>
      <c r="D3484" t="s">
        <v>7110</v>
      </c>
      <c r="E3484" t="str">
        <f t="shared" si="173"/>
        <v>서울특별시</v>
      </c>
      <c r="F3484" t="str">
        <f t="shared" si="174"/>
        <v>영등포구</v>
      </c>
      <c r="G3484" t="str">
        <f t="shared" si="172"/>
        <v>영등포동</v>
      </c>
    </row>
    <row r="3485" spans="1:9" x14ac:dyDescent="0.4">
      <c r="A3485">
        <v>3180000</v>
      </c>
      <c r="B3485" t="s">
        <v>7039</v>
      </c>
      <c r="C3485" s="1">
        <v>30481</v>
      </c>
      <c r="D3485" t="s">
        <v>7040</v>
      </c>
      <c r="E3485" t="str">
        <f t="shared" si="173"/>
        <v>서울특별시</v>
      </c>
      <c r="F3485" t="str">
        <f t="shared" si="174"/>
        <v>영등포구</v>
      </c>
      <c r="G3485" t="str">
        <f t="shared" si="172"/>
        <v>영등포동</v>
      </c>
      <c r="H3485" t="s">
        <v>7041</v>
      </c>
      <c r="I3485">
        <v>7302</v>
      </c>
    </row>
    <row r="3486" spans="1:9" x14ac:dyDescent="0.4">
      <c r="A3486">
        <v>3180000</v>
      </c>
      <c r="B3486" t="s">
        <v>7412</v>
      </c>
      <c r="C3486" s="1">
        <v>35934</v>
      </c>
      <c r="D3486" t="s">
        <v>7413</v>
      </c>
      <c r="E3486" t="str">
        <f t="shared" si="173"/>
        <v>서울특별시</v>
      </c>
      <c r="F3486" t="str">
        <f t="shared" si="174"/>
        <v>영등포구</v>
      </c>
      <c r="G3486" t="str">
        <f t="shared" ref="G3486:G3549" si="175">MID(SUBSTITUTE(D3486," ",""),10,4)</f>
        <v>영등포동</v>
      </c>
      <c r="H3486" t="s">
        <v>7414</v>
      </c>
      <c r="I3486">
        <v>7302</v>
      </c>
    </row>
    <row r="3487" spans="1:9" x14ac:dyDescent="0.4">
      <c r="A3487">
        <v>3180000</v>
      </c>
      <c r="B3487" t="s">
        <v>7079</v>
      </c>
      <c r="C3487" s="1">
        <v>31213</v>
      </c>
      <c r="D3487" t="s">
        <v>7080</v>
      </c>
      <c r="E3487" t="str">
        <f t="shared" si="173"/>
        <v>서울특별시</v>
      </c>
      <c r="F3487" t="str">
        <f t="shared" si="174"/>
        <v>영등포구</v>
      </c>
      <c r="G3487" t="str">
        <f t="shared" si="175"/>
        <v>영등포동</v>
      </c>
    </row>
    <row r="3488" spans="1:9" x14ac:dyDescent="0.4">
      <c r="A3488">
        <v>3180000</v>
      </c>
      <c r="B3488" t="s">
        <v>6794</v>
      </c>
      <c r="C3488" s="1">
        <v>38776</v>
      </c>
      <c r="D3488" t="s">
        <v>6795</v>
      </c>
      <c r="E3488" t="str">
        <f t="shared" si="173"/>
        <v>서울특별시</v>
      </c>
      <c r="F3488" t="str">
        <f t="shared" si="174"/>
        <v>영등포구</v>
      </c>
      <c r="G3488" t="str">
        <f t="shared" si="175"/>
        <v>영등포동</v>
      </c>
      <c r="H3488" t="s">
        <v>6796</v>
      </c>
    </row>
    <row r="3489" spans="1:9" x14ac:dyDescent="0.4">
      <c r="A3489">
        <v>3180000</v>
      </c>
      <c r="B3489" t="s">
        <v>6578</v>
      </c>
      <c r="C3489" s="1">
        <v>30449</v>
      </c>
      <c r="D3489" t="s">
        <v>6579</v>
      </c>
      <c r="E3489" t="str">
        <f t="shared" si="173"/>
        <v>서울특별시</v>
      </c>
      <c r="F3489" t="str">
        <f t="shared" si="174"/>
        <v>영등포구</v>
      </c>
      <c r="G3489" t="str">
        <f t="shared" si="175"/>
        <v>영등포동</v>
      </c>
    </row>
    <row r="3490" spans="1:9" x14ac:dyDescent="0.4">
      <c r="A3490">
        <v>3180000</v>
      </c>
      <c r="B3490" t="s">
        <v>6792</v>
      </c>
      <c r="C3490" s="1">
        <v>38685</v>
      </c>
      <c r="D3490" t="s">
        <v>6793</v>
      </c>
      <c r="E3490" t="str">
        <f t="shared" si="173"/>
        <v>서울특별시</v>
      </c>
      <c r="F3490" t="str">
        <f t="shared" si="174"/>
        <v>영등포구</v>
      </c>
      <c r="G3490" t="str">
        <f t="shared" si="175"/>
        <v>영등포동</v>
      </c>
    </row>
    <row r="3491" spans="1:9" x14ac:dyDescent="0.4">
      <c r="A3491">
        <v>3180000</v>
      </c>
      <c r="B3491" t="s">
        <v>7056</v>
      </c>
      <c r="C3491" s="1">
        <v>30820</v>
      </c>
      <c r="D3491" t="s">
        <v>7057</v>
      </c>
      <c r="E3491" t="str">
        <f t="shared" si="173"/>
        <v>서울특별시</v>
      </c>
      <c r="F3491" t="str">
        <f t="shared" si="174"/>
        <v>영등포구</v>
      </c>
      <c r="G3491" t="str">
        <f t="shared" si="175"/>
        <v>영등포동</v>
      </c>
    </row>
    <row r="3492" spans="1:9" x14ac:dyDescent="0.4">
      <c r="A3492">
        <v>3180000</v>
      </c>
      <c r="B3492" t="s">
        <v>6923</v>
      </c>
      <c r="C3492" s="1">
        <v>36626</v>
      </c>
      <c r="D3492" t="s">
        <v>6924</v>
      </c>
      <c r="E3492" t="str">
        <f t="shared" si="173"/>
        <v>서울특별시</v>
      </c>
      <c r="F3492" t="str">
        <f t="shared" si="174"/>
        <v>영등포구</v>
      </c>
      <c r="G3492" t="str">
        <f t="shared" si="175"/>
        <v>영등포동</v>
      </c>
      <c r="H3492" t="s">
        <v>6925</v>
      </c>
      <c r="I3492">
        <v>7302</v>
      </c>
    </row>
    <row r="3493" spans="1:9" x14ac:dyDescent="0.4">
      <c r="A3493">
        <v>3180000</v>
      </c>
      <c r="B3493" t="s">
        <v>7563</v>
      </c>
      <c r="C3493" s="1">
        <v>43285</v>
      </c>
      <c r="D3493" t="s">
        <v>6924</v>
      </c>
      <c r="E3493" t="str">
        <f t="shared" si="173"/>
        <v>서울특별시</v>
      </c>
      <c r="F3493" t="str">
        <f t="shared" si="174"/>
        <v>영등포구</v>
      </c>
      <c r="G3493" t="str">
        <f t="shared" si="175"/>
        <v>영등포동</v>
      </c>
      <c r="H3493" t="s">
        <v>7564</v>
      </c>
      <c r="I3493">
        <v>7302</v>
      </c>
    </row>
    <row r="3494" spans="1:9" x14ac:dyDescent="0.4">
      <c r="A3494">
        <v>3180000</v>
      </c>
      <c r="B3494" t="s">
        <v>6963</v>
      </c>
      <c r="C3494" s="1">
        <v>37497</v>
      </c>
      <c r="D3494" t="s">
        <v>6964</v>
      </c>
      <c r="E3494" t="str">
        <f t="shared" si="173"/>
        <v>서울특별시</v>
      </c>
      <c r="F3494" t="str">
        <f t="shared" si="174"/>
        <v>영등포구</v>
      </c>
      <c r="G3494" t="str">
        <f t="shared" si="175"/>
        <v>영등포동</v>
      </c>
    </row>
    <row r="3495" spans="1:9" x14ac:dyDescent="0.4">
      <c r="A3495">
        <v>3180000</v>
      </c>
      <c r="B3495" t="s">
        <v>6654</v>
      </c>
      <c r="C3495" s="1">
        <v>36652</v>
      </c>
      <c r="D3495" t="s">
        <v>6655</v>
      </c>
      <c r="E3495" t="str">
        <f t="shared" si="173"/>
        <v>서울특별시</v>
      </c>
      <c r="F3495" t="str">
        <f t="shared" si="174"/>
        <v>영등포구</v>
      </c>
      <c r="G3495" t="str">
        <f t="shared" si="175"/>
        <v>영등포동</v>
      </c>
    </row>
    <row r="3496" spans="1:9" x14ac:dyDescent="0.4">
      <c r="A3496">
        <v>3180000</v>
      </c>
      <c r="B3496" t="s">
        <v>7068</v>
      </c>
      <c r="C3496" s="1">
        <v>31546</v>
      </c>
      <c r="D3496" t="s">
        <v>6655</v>
      </c>
      <c r="E3496" t="str">
        <f t="shared" si="173"/>
        <v>서울특별시</v>
      </c>
      <c r="F3496" t="str">
        <f t="shared" si="174"/>
        <v>영등포구</v>
      </c>
      <c r="G3496" t="str">
        <f t="shared" si="175"/>
        <v>영등포동</v>
      </c>
    </row>
    <row r="3497" spans="1:9" x14ac:dyDescent="0.4">
      <c r="A3497">
        <v>3180000</v>
      </c>
      <c r="B3497" t="s">
        <v>7104</v>
      </c>
      <c r="C3497" s="1">
        <v>31505</v>
      </c>
      <c r="D3497" t="s">
        <v>6655</v>
      </c>
      <c r="E3497" t="str">
        <f t="shared" si="173"/>
        <v>서울특별시</v>
      </c>
      <c r="F3497" t="str">
        <f t="shared" si="174"/>
        <v>영등포구</v>
      </c>
      <c r="G3497" t="str">
        <f t="shared" si="175"/>
        <v>영등포동</v>
      </c>
    </row>
    <row r="3498" spans="1:9" x14ac:dyDescent="0.4">
      <c r="A3498">
        <v>3180000</v>
      </c>
      <c r="B3498" t="s">
        <v>6845</v>
      </c>
      <c r="C3498" s="1">
        <v>40007</v>
      </c>
      <c r="D3498" t="s">
        <v>6846</v>
      </c>
      <c r="E3498" t="str">
        <f t="shared" si="173"/>
        <v>서울특별시</v>
      </c>
      <c r="F3498" t="str">
        <f t="shared" si="174"/>
        <v>영등포구</v>
      </c>
      <c r="G3498" t="str">
        <f t="shared" si="175"/>
        <v>영등포동</v>
      </c>
      <c r="H3498" t="s">
        <v>6847</v>
      </c>
      <c r="I3498">
        <v>7302</v>
      </c>
    </row>
    <row r="3499" spans="1:9" x14ac:dyDescent="0.4">
      <c r="A3499">
        <v>3180000</v>
      </c>
      <c r="B3499" t="s">
        <v>7338</v>
      </c>
      <c r="C3499" s="1">
        <v>36634</v>
      </c>
      <c r="D3499" t="s">
        <v>7339</v>
      </c>
      <c r="E3499" t="str">
        <f t="shared" si="173"/>
        <v>서울특별시</v>
      </c>
      <c r="F3499" t="str">
        <f t="shared" si="174"/>
        <v>영등포구</v>
      </c>
      <c r="G3499" t="str">
        <f t="shared" si="175"/>
        <v>영등포동</v>
      </c>
      <c r="H3499" t="s">
        <v>7340</v>
      </c>
      <c r="I3499">
        <v>7302</v>
      </c>
    </row>
    <row r="3500" spans="1:9" x14ac:dyDescent="0.4">
      <c r="A3500">
        <v>3180000</v>
      </c>
      <c r="B3500" t="s">
        <v>7515</v>
      </c>
      <c r="C3500" s="1">
        <v>40842</v>
      </c>
      <c r="D3500" t="s">
        <v>7516</v>
      </c>
      <c r="E3500" t="str">
        <f t="shared" si="173"/>
        <v>서울특별시</v>
      </c>
      <c r="F3500" t="str">
        <f t="shared" si="174"/>
        <v>영등포구</v>
      </c>
      <c r="G3500" t="str">
        <f t="shared" si="175"/>
        <v>영등포동</v>
      </c>
      <c r="H3500" t="s">
        <v>7517</v>
      </c>
      <c r="I3500">
        <v>7302</v>
      </c>
    </row>
    <row r="3501" spans="1:9" x14ac:dyDescent="0.4">
      <c r="A3501">
        <v>3180000</v>
      </c>
      <c r="B3501" t="s">
        <v>7362</v>
      </c>
      <c r="C3501" s="1">
        <v>37844</v>
      </c>
      <c r="D3501" t="s">
        <v>7363</v>
      </c>
      <c r="E3501" t="str">
        <f t="shared" si="173"/>
        <v>서울특별시</v>
      </c>
      <c r="F3501" t="str">
        <f t="shared" si="174"/>
        <v>영등포구</v>
      </c>
      <c r="G3501" t="str">
        <f t="shared" si="175"/>
        <v>영등포동</v>
      </c>
      <c r="H3501" t="s">
        <v>7364</v>
      </c>
      <c r="I3501">
        <v>7302</v>
      </c>
    </row>
    <row r="3502" spans="1:9" x14ac:dyDescent="0.4">
      <c r="A3502">
        <v>3180000</v>
      </c>
      <c r="B3502" t="s">
        <v>7353</v>
      </c>
      <c r="C3502" s="1">
        <v>37644</v>
      </c>
      <c r="D3502" t="s">
        <v>7354</v>
      </c>
      <c r="E3502" t="str">
        <f t="shared" si="173"/>
        <v>서울특별시</v>
      </c>
      <c r="F3502" t="str">
        <f t="shared" si="174"/>
        <v>영등포구</v>
      </c>
      <c r="G3502" t="str">
        <f t="shared" si="175"/>
        <v>영등포동</v>
      </c>
      <c r="H3502" t="s">
        <v>7355</v>
      </c>
      <c r="I3502">
        <v>7302</v>
      </c>
    </row>
    <row r="3503" spans="1:9" x14ac:dyDescent="0.4">
      <c r="A3503">
        <v>3180000</v>
      </c>
      <c r="B3503" t="s">
        <v>7218</v>
      </c>
      <c r="C3503" s="1">
        <v>35864</v>
      </c>
      <c r="D3503" t="s">
        <v>7219</v>
      </c>
      <c r="E3503" t="str">
        <f t="shared" si="173"/>
        <v>서울특별시</v>
      </c>
      <c r="F3503" t="str">
        <f t="shared" si="174"/>
        <v>영등포구</v>
      </c>
      <c r="G3503" t="str">
        <f t="shared" si="175"/>
        <v>영등포동</v>
      </c>
      <c r="H3503" t="s">
        <v>7220</v>
      </c>
      <c r="I3503">
        <v>7302</v>
      </c>
    </row>
    <row r="3504" spans="1:9" x14ac:dyDescent="0.4">
      <c r="A3504">
        <v>3180000</v>
      </c>
      <c r="B3504" t="s">
        <v>6851</v>
      </c>
      <c r="C3504" s="1">
        <v>40136</v>
      </c>
      <c r="D3504" t="s">
        <v>6852</v>
      </c>
      <c r="E3504" t="str">
        <f t="shared" si="173"/>
        <v>서울특별시</v>
      </c>
      <c r="F3504" t="str">
        <f t="shared" si="174"/>
        <v>영등포구</v>
      </c>
      <c r="G3504" t="str">
        <f t="shared" si="175"/>
        <v>영등포동</v>
      </c>
    </row>
    <row r="3505" spans="1:9" x14ac:dyDescent="0.4">
      <c r="A3505">
        <v>3180000</v>
      </c>
      <c r="B3505" t="s">
        <v>7139</v>
      </c>
      <c r="C3505" s="1">
        <v>31581</v>
      </c>
      <c r="D3505" t="s">
        <v>7140</v>
      </c>
      <c r="E3505" t="str">
        <f t="shared" si="173"/>
        <v>서울특별시</v>
      </c>
      <c r="F3505" t="str">
        <f t="shared" si="174"/>
        <v>영등포구</v>
      </c>
      <c r="G3505" t="str">
        <f t="shared" si="175"/>
        <v>영등포동</v>
      </c>
    </row>
    <row r="3506" spans="1:9" x14ac:dyDescent="0.4">
      <c r="A3506">
        <v>3180000</v>
      </c>
      <c r="B3506" t="s">
        <v>7432</v>
      </c>
      <c r="C3506" s="1">
        <v>39370</v>
      </c>
      <c r="D3506" t="s">
        <v>7433</v>
      </c>
      <c r="E3506" t="str">
        <f t="shared" si="173"/>
        <v>서울특별시</v>
      </c>
      <c r="F3506" t="str">
        <f t="shared" si="174"/>
        <v>영등포구</v>
      </c>
      <c r="G3506" t="str">
        <f t="shared" si="175"/>
        <v>영등포동</v>
      </c>
      <c r="H3506" t="s">
        <v>7434</v>
      </c>
      <c r="I3506">
        <v>7304</v>
      </c>
    </row>
    <row r="3507" spans="1:9" x14ac:dyDescent="0.4">
      <c r="A3507">
        <v>3180000</v>
      </c>
      <c r="B3507" t="s">
        <v>7049</v>
      </c>
      <c r="C3507" s="1">
        <v>30747</v>
      </c>
      <c r="D3507" t="s">
        <v>7050</v>
      </c>
      <c r="E3507" t="str">
        <f t="shared" si="173"/>
        <v>서울특별시</v>
      </c>
      <c r="F3507" t="str">
        <f t="shared" si="174"/>
        <v>영등포구</v>
      </c>
      <c r="G3507" t="str">
        <f t="shared" si="175"/>
        <v>영등포동</v>
      </c>
    </row>
    <row r="3508" spans="1:9" x14ac:dyDescent="0.4">
      <c r="A3508">
        <v>3180000</v>
      </c>
      <c r="B3508" t="s">
        <v>7145</v>
      </c>
      <c r="C3508" s="1">
        <v>31651</v>
      </c>
      <c r="D3508" t="s">
        <v>7050</v>
      </c>
      <c r="E3508" t="str">
        <f t="shared" si="173"/>
        <v>서울특별시</v>
      </c>
      <c r="F3508" t="str">
        <f t="shared" si="174"/>
        <v>영등포구</v>
      </c>
      <c r="G3508" t="str">
        <f t="shared" si="175"/>
        <v>영등포동</v>
      </c>
    </row>
    <row r="3509" spans="1:9" x14ac:dyDescent="0.4">
      <c r="A3509">
        <v>3180000</v>
      </c>
      <c r="B3509" t="s">
        <v>6689</v>
      </c>
      <c r="C3509" s="1">
        <v>41162</v>
      </c>
      <c r="D3509" t="s">
        <v>6690</v>
      </c>
      <c r="E3509" t="str">
        <f t="shared" si="173"/>
        <v>서울특별시</v>
      </c>
      <c r="F3509" t="str">
        <f t="shared" si="174"/>
        <v>영등포구</v>
      </c>
      <c r="G3509" t="str">
        <f t="shared" si="175"/>
        <v>영등포동</v>
      </c>
      <c r="H3509" t="s">
        <v>6691</v>
      </c>
      <c r="I3509">
        <v>7304</v>
      </c>
    </row>
    <row r="3510" spans="1:9" x14ac:dyDescent="0.4">
      <c r="A3510">
        <v>3180000</v>
      </c>
      <c r="B3510" t="s">
        <v>6624</v>
      </c>
      <c r="C3510" s="1">
        <v>39472</v>
      </c>
      <c r="D3510" t="s">
        <v>6625</v>
      </c>
      <c r="E3510" t="str">
        <f t="shared" si="173"/>
        <v>서울특별시</v>
      </c>
      <c r="F3510" t="str">
        <f t="shared" si="174"/>
        <v>영등포구</v>
      </c>
      <c r="G3510" t="str">
        <f t="shared" si="175"/>
        <v>영등포동</v>
      </c>
      <c r="H3510" t="s">
        <v>6626</v>
      </c>
      <c r="I3510">
        <v>7304</v>
      </c>
    </row>
    <row r="3511" spans="1:9" x14ac:dyDescent="0.4">
      <c r="A3511">
        <v>3180000</v>
      </c>
      <c r="B3511" t="s">
        <v>6772</v>
      </c>
      <c r="C3511" s="1">
        <v>30960</v>
      </c>
      <c r="D3511" t="s">
        <v>6625</v>
      </c>
      <c r="E3511" t="str">
        <f t="shared" si="173"/>
        <v>서울특별시</v>
      </c>
      <c r="F3511" t="str">
        <f t="shared" si="174"/>
        <v>영등포구</v>
      </c>
      <c r="G3511" t="str">
        <f t="shared" si="175"/>
        <v>영등포동</v>
      </c>
      <c r="H3511" t="s">
        <v>6626</v>
      </c>
      <c r="I3511">
        <v>7304</v>
      </c>
    </row>
    <row r="3512" spans="1:9" x14ac:dyDescent="0.4">
      <c r="A3512">
        <v>3180000</v>
      </c>
      <c r="B3512" t="s">
        <v>6920</v>
      </c>
      <c r="C3512" s="1">
        <v>36592</v>
      </c>
      <c r="D3512" t="s">
        <v>6625</v>
      </c>
      <c r="E3512" t="str">
        <f t="shared" si="173"/>
        <v>서울특별시</v>
      </c>
      <c r="F3512" t="str">
        <f t="shared" si="174"/>
        <v>영등포구</v>
      </c>
      <c r="G3512" t="str">
        <f t="shared" si="175"/>
        <v>영등포동</v>
      </c>
    </row>
    <row r="3513" spans="1:9" x14ac:dyDescent="0.4">
      <c r="A3513">
        <v>3180000</v>
      </c>
      <c r="B3513" t="s">
        <v>213</v>
      </c>
      <c r="C3513" s="1">
        <v>37103</v>
      </c>
      <c r="D3513" t="s">
        <v>214</v>
      </c>
      <c r="E3513" t="str">
        <f t="shared" si="173"/>
        <v>서울특별시</v>
      </c>
      <c r="F3513" t="str">
        <f t="shared" si="174"/>
        <v>영등포구</v>
      </c>
      <c r="G3513" t="str">
        <f t="shared" si="175"/>
        <v>영등포동</v>
      </c>
      <c r="H3513" t="s">
        <v>215</v>
      </c>
      <c r="I3513">
        <v>7304</v>
      </c>
    </row>
    <row r="3514" spans="1:9" x14ac:dyDescent="0.4">
      <c r="A3514">
        <v>3180000</v>
      </c>
      <c r="B3514" t="s">
        <v>7421</v>
      </c>
      <c r="C3514" s="1">
        <v>31283</v>
      </c>
      <c r="D3514" t="s">
        <v>7422</v>
      </c>
      <c r="E3514" t="str">
        <f t="shared" si="173"/>
        <v>서울특별시</v>
      </c>
      <c r="F3514" t="str">
        <f t="shared" si="174"/>
        <v>영등포구</v>
      </c>
      <c r="G3514" t="str">
        <f t="shared" si="175"/>
        <v>영등포동</v>
      </c>
    </row>
    <row r="3515" spans="1:9" x14ac:dyDescent="0.4">
      <c r="A3515">
        <v>3180000</v>
      </c>
      <c r="B3515" t="s">
        <v>7485</v>
      </c>
      <c r="C3515" s="1">
        <v>37264</v>
      </c>
      <c r="D3515" t="s">
        <v>7486</v>
      </c>
      <c r="E3515" t="str">
        <f t="shared" si="173"/>
        <v>서울특별시</v>
      </c>
      <c r="F3515" t="str">
        <f t="shared" si="174"/>
        <v>영등포구</v>
      </c>
      <c r="G3515" t="str">
        <f t="shared" si="175"/>
        <v>영등포동</v>
      </c>
      <c r="H3515" t="s">
        <v>7487</v>
      </c>
      <c r="I3515">
        <v>7304</v>
      </c>
    </row>
    <row r="3516" spans="1:9" x14ac:dyDescent="0.4">
      <c r="A3516">
        <v>3180000</v>
      </c>
      <c r="B3516" t="s">
        <v>6781</v>
      </c>
      <c r="C3516" s="1">
        <v>37977</v>
      </c>
      <c r="D3516" t="s">
        <v>6782</v>
      </c>
      <c r="E3516" t="str">
        <f t="shared" si="173"/>
        <v>서울특별시</v>
      </c>
      <c r="F3516" t="str">
        <f t="shared" si="174"/>
        <v>영등포구</v>
      </c>
      <c r="G3516" t="str">
        <f t="shared" si="175"/>
        <v>영등포동</v>
      </c>
    </row>
    <row r="3517" spans="1:9" x14ac:dyDescent="0.4">
      <c r="A3517">
        <v>3180000</v>
      </c>
      <c r="B3517" t="s">
        <v>7518</v>
      </c>
      <c r="C3517" s="1">
        <v>41071</v>
      </c>
      <c r="D3517" t="s">
        <v>7519</v>
      </c>
      <c r="E3517" t="str">
        <f t="shared" si="173"/>
        <v>서울특별시</v>
      </c>
      <c r="F3517" t="str">
        <f t="shared" si="174"/>
        <v>영등포구</v>
      </c>
      <c r="G3517" t="str">
        <f t="shared" si="175"/>
        <v>영등포동</v>
      </c>
      <c r="H3517" t="s">
        <v>7520</v>
      </c>
      <c r="I3517">
        <v>7304</v>
      </c>
    </row>
    <row r="3518" spans="1:9" x14ac:dyDescent="0.4">
      <c r="A3518">
        <v>3180000</v>
      </c>
      <c r="B3518" t="s">
        <v>7099</v>
      </c>
      <c r="C3518" s="1">
        <v>31488</v>
      </c>
      <c r="D3518" t="s">
        <v>7100</v>
      </c>
      <c r="E3518" t="str">
        <f t="shared" si="173"/>
        <v>서울특별시</v>
      </c>
      <c r="F3518" t="str">
        <f t="shared" si="174"/>
        <v>영등포구</v>
      </c>
      <c r="G3518" t="str">
        <f t="shared" si="175"/>
        <v>영등포동</v>
      </c>
      <c r="H3518" t="s">
        <v>7101</v>
      </c>
    </row>
    <row r="3519" spans="1:9" x14ac:dyDescent="0.4">
      <c r="A3519">
        <v>3180000</v>
      </c>
      <c r="B3519" t="s">
        <v>6695</v>
      </c>
      <c r="C3519" s="1">
        <v>39806</v>
      </c>
      <c r="D3519" t="s">
        <v>6696</v>
      </c>
      <c r="E3519" t="str">
        <f t="shared" si="173"/>
        <v>서울특별시</v>
      </c>
      <c r="F3519" t="str">
        <f t="shared" si="174"/>
        <v>영등포구</v>
      </c>
      <c r="G3519" t="str">
        <f t="shared" si="175"/>
        <v>영등포동</v>
      </c>
    </row>
    <row r="3520" spans="1:9" x14ac:dyDescent="0.4">
      <c r="A3520">
        <v>3180000</v>
      </c>
      <c r="B3520" t="s">
        <v>6608</v>
      </c>
      <c r="C3520" s="1">
        <v>38663</v>
      </c>
      <c r="D3520" t="s">
        <v>6609</v>
      </c>
      <c r="E3520" t="str">
        <f t="shared" si="173"/>
        <v>서울특별시</v>
      </c>
      <c r="F3520" t="str">
        <f t="shared" si="174"/>
        <v>영등포구</v>
      </c>
      <c r="G3520" t="str">
        <f t="shared" si="175"/>
        <v>영등포동</v>
      </c>
      <c r="H3520" t="s">
        <v>6610</v>
      </c>
      <c r="I3520">
        <v>7304</v>
      </c>
    </row>
    <row r="3521" spans="1:9" x14ac:dyDescent="0.4">
      <c r="A3521">
        <v>3180000</v>
      </c>
      <c r="B3521" t="s">
        <v>7350</v>
      </c>
      <c r="C3521" s="1">
        <v>40168</v>
      </c>
      <c r="D3521" t="s">
        <v>7351</v>
      </c>
      <c r="E3521" t="str">
        <f t="shared" si="173"/>
        <v>서울특별시</v>
      </c>
      <c r="F3521" t="str">
        <f t="shared" si="174"/>
        <v>영등포구</v>
      </c>
      <c r="G3521" t="str">
        <f t="shared" si="175"/>
        <v>영등포동</v>
      </c>
      <c r="H3521" t="s">
        <v>7352</v>
      </c>
      <c r="I3521">
        <v>7304</v>
      </c>
    </row>
    <row r="3522" spans="1:9" x14ac:dyDescent="0.4">
      <c r="A3522">
        <v>3180000</v>
      </c>
      <c r="B3522" t="s">
        <v>7458</v>
      </c>
      <c r="C3522" s="1">
        <v>39380</v>
      </c>
      <c r="D3522" t="s">
        <v>7459</v>
      </c>
      <c r="E3522" t="str">
        <f t="shared" si="173"/>
        <v>서울특별시</v>
      </c>
      <c r="F3522" t="str">
        <f t="shared" si="174"/>
        <v>영등포구</v>
      </c>
      <c r="G3522" t="str">
        <f t="shared" si="175"/>
        <v>영등포동</v>
      </c>
    </row>
    <row r="3523" spans="1:9" x14ac:dyDescent="0.4">
      <c r="A3523">
        <v>3180000</v>
      </c>
      <c r="B3523" t="s">
        <v>6627</v>
      </c>
      <c r="C3523" s="1">
        <v>39591</v>
      </c>
      <c r="D3523" t="s">
        <v>6628</v>
      </c>
      <c r="E3523" t="str">
        <f t="shared" ref="E3523:E3586" si="176">LEFT(D3523,5)</f>
        <v>서울특별시</v>
      </c>
      <c r="F3523" t="str">
        <f t="shared" ref="F3523:F3586" si="177">MID(D3523,7,4)</f>
        <v>영등포구</v>
      </c>
      <c r="G3523" t="str">
        <f t="shared" si="175"/>
        <v>영등포동</v>
      </c>
    </row>
    <row r="3524" spans="1:9" x14ac:dyDescent="0.4">
      <c r="A3524">
        <v>3180000</v>
      </c>
      <c r="B3524" t="s">
        <v>7025</v>
      </c>
      <c r="C3524" s="1">
        <v>37238</v>
      </c>
      <c r="D3524" t="s">
        <v>7026</v>
      </c>
      <c r="E3524" t="str">
        <f t="shared" si="176"/>
        <v>서울특별시</v>
      </c>
      <c r="F3524" t="str">
        <f t="shared" si="177"/>
        <v>영등포구</v>
      </c>
      <c r="G3524" t="str">
        <f t="shared" si="175"/>
        <v>영등포동</v>
      </c>
    </row>
    <row r="3525" spans="1:9" x14ac:dyDescent="0.4">
      <c r="A3525">
        <v>3180000</v>
      </c>
      <c r="B3525" t="s">
        <v>7230</v>
      </c>
      <c r="C3525" s="1">
        <v>32094</v>
      </c>
      <c r="D3525" t="s">
        <v>7026</v>
      </c>
      <c r="E3525" t="str">
        <f t="shared" si="176"/>
        <v>서울특별시</v>
      </c>
      <c r="F3525" t="str">
        <f t="shared" si="177"/>
        <v>영등포구</v>
      </c>
      <c r="G3525" t="str">
        <f t="shared" si="175"/>
        <v>영등포동</v>
      </c>
    </row>
    <row r="3526" spans="1:9" x14ac:dyDescent="0.4">
      <c r="A3526">
        <v>3180000</v>
      </c>
      <c r="B3526" t="s">
        <v>7303</v>
      </c>
      <c r="C3526" s="1">
        <v>39636</v>
      </c>
      <c r="D3526" t="s">
        <v>7304</v>
      </c>
      <c r="E3526" t="str">
        <f t="shared" si="176"/>
        <v>서울특별시</v>
      </c>
      <c r="F3526" t="str">
        <f t="shared" si="177"/>
        <v>영등포구</v>
      </c>
      <c r="G3526" t="str">
        <f t="shared" si="175"/>
        <v>영등포동</v>
      </c>
      <c r="H3526" t="s">
        <v>7305</v>
      </c>
      <c r="I3526">
        <v>7304</v>
      </c>
    </row>
    <row r="3527" spans="1:9" x14ac:dyDescent="0.4">
      <c r="A3527">
        <v>3180000</v>
      </c>
      <c r="B3527" t="s">
        <v>7592</v>
      </c>
      <c r="C3527" s="1">
        <v>37243</v>
      </c>
      <c r="D3527" t="s">
        <v>7593</v>
      </c>
      <c r="E3527" t="str">
        <f t="shared" si="176"/>
        <v>서울특별시</v>
      </c>
      <c r="F3527" t="str">
        <f t="shared" si="177"/>
        <v>영등포구</v>
      </c>
      <c r="G3527" t="str">
        <f t="shared" si="175"/>
        <v>영등포동</v>
      </c>
      <c r="H3527" t="s">
        <v>7594</v>
      </c>
      <c r="I3527">
        <v>7304</v>
      </c>
    </row>
    <row r="3528" spans="1:9" x14ac:dyDescent="0.4">
      <c r="A3528">
        <v>3180000</v>
      </c>
      <c r="B3528" t="s">
        <v>6889</v>
      </c>
      <c r="C3528" s="1">
        <v>28209</v>
      </c>
      <c r="D3528" t="s">
        <v>6890</v>
      </c>
      <c r="E3528" t="str">
        <f t="shared" si="176"/>
        <v>서울특별시</v>
      </c>
      <c r="F3528" t="str">
        <f t="shared" si="177"/>
        <v>영등포구</v>
      </c>
      <c r="G3528" t="str">
        <f t="shared" si="175"/>
        <v>영등포동</v>
      </c>
    </row>
    <row r="3529" spans="1:9" x14ac:dyDescent="0.4">
      <c r="A3529">
        <v>3180000</v>
      </c>
      <c r="B3529" t="s">
        <v>7094</v>
      </c>
      <c r="C3529" s="1">
        <v>31373</v>
      </c>
      <c r="D3529" t="s">
        <v>6890</v>
      </c>
      <c r="E3529" t="str">
        <f t="shared" si="176"/>
        <v>서울특별시</v>
      </c>
      <c r="F3529" t="str">
        <f t="shared" si="177"/>
        <v>영등포구</v>
      </c>
      <c r="G3529" t="str">
        <f t="shared" si="175"/>
        <v>영등포동</v>
      </c>
    </row>
    <row r="3530" spans="1:9" x14ac:dyDescent="0.4">
      <c r="A3530">
        <v>3180000</v>
      </c>
      <c r="B3530" t="s">
        <v>6965</v>
      </c>
      <c r="C3530" s="1">
        <v>37523</v>
      </c>
      <c r="D3530" t="s">
        <v>6966</v>
      </c>
      <c r="E3530" t="str">
        <f t="shared" si="176"/>
        <v>서울특별시</v>
      </c>
      <c r="F3530" t="str">
        <f t="shared" si="177"/>
        <v>영등포구</v>
      </c>
      <c r="G3530" t="str">
        <f t="shared" si="175"/>
        <v>영등포동</v>
      </c>
      <c r="H3530" t="s">
        <v>6967</v>
      </c>
      <c r="I3530">
        <v>7304</v>
      </c>
    </row>
    <row r="3531" spans="1:9" x14ac:dyDescent="0.4">
      <c r="A3531">
        <v>3180000</v>
      </c>
      <c r="B3531" t="s">
        <v>7228</v>
      </c>
      <c r="C3531" s="1">
        <v>32045</v>
      </c>
      <c r="D3531" t="s">
        <v>7229</v>
      </c>
      <c r="E3531" t="str">
        <f t="shared" si="176"/>
        <v>서울특별시</v>
      </c>
      <c r="F3531" t="str">
        <f t="shared" si="177"/>
        <v>영등포구</v>
      </c>
      <c r="G3531" t="str">
        <f t="shared" si="175"/>
        <v>영등포동</v>
      </c>
    </row>
    <row r="3532" spans="1:9" x14ac:dyDescent="0.4">
      <c r="A3532">
        <v>3180000</v>
      </c>
      <c r="B3532" t="s">
        <v>7491</v>
      </c>
      <c r="C3532" s="1">
        <v>37356</v>
      </c>
      <c r="D3532" t="s">
        <v>7492</v>
      </c>
      <c r="E3532" t="str">
        <f t="shared" si="176"/>
        <v>서울특별시</v>
      </c>
      <c r="F3532" t="str">
        <f t="shared" si="177"/>
        <v>영등포구</v>
      </c>
      <c r="G3532" t="str">
        <f t="shared" si="175"/>
        <v>영등포동</v>
      </c>
      <c r="H3532" t="s">
        <v>7493</v>
      </c>
      <c r="I3532">
        <v>7304</v>
      </c>
    </row>
    <row r="3533" spans="1:9" x14ac:dyDescent="0.4">
      <c r="A3533">
        <v>3180000</v>
      </c>
      <c r="B3533" t="s">
        <v>7084</v>
      </c>
      <c r="C3533" s="1">
        <v>31261</v>
      </c>
      <c r="D3533" t="s">
        <v>7085</v>
      </c>
      <c r="E3533" t="str">
        <f t="shared" si="176"/>
        <v>서울특별시</v>
      </c>
      <c r="F3533" t="str">
        <f t="shared" si="177"/>
        <v>영등포구</v>
      </c>
      <c r="G3533" t="str">
        <f t="shared" si="175"/>
        <v>영등포동</v>
      </c>
    </row>
    <row r="3534" spans="1:9" x14ac:dyDescent="0.4">
      <c r="A3534">
        <v>3180000</v>
      </c>
      <c r="B3534" t="s">
        <v>7276</v>
      </c>
      <c r="C3534" s="1">
        <v>38672</v>
      </c>
      <c r="D3534" t="s">
        <v>7277</v>
      </c>
      <c r="E3534" t="str">
        <f t="shared" si="176"/>
        <v>서울특별시</v>
      </c>
      <c r="F3534" t="str">
        <f t="shared" si="177"/>
        <v>영등포구</v>
      </c>
      <c r="G3534" t="str">
        <f t="shared" si="175"/>
        <v>영등포동</v>
      </c>
      <c r="H3534" t="s">
        <v>7278</v>
      </c>
      <c r="I3534">
        <v>7304</v>
      </c>
    </row>
    <row r="3535" spans="1:9" x14ac:dyDescent="0.4">
      <c r="A3535">
        <v>3180000</v>
      </c>
      <c r="B3535" t="s">
        <v>7324</v>
      </c>
      <c r="C3535" s="1">
        <v>39714</v>
      </c>
      <c r="D3535" t="s">
        <v>7277</v>
      </c>
      <c r="E3535" t="str">
        <f t="shared" si="176"/>
        <v>서울특별시</v>
      </c>
      <c r="F3535" t="str">
        <f t="shared" si="177"/>
        <v>영등포구</v>
      </c>
      <c r="G3535" t="str">
        <f t="shared" si="175"/>
        <v>영등포동</v>
      </c>
    </row>
    <row r="3536" spans="1:9" x14ac:dyDescent="0.4">
      <c r="A3536">
        <v>3180000</v>
      </c>
      <c r="B3536" t="s">
        <v>6574</v>
      </c>
      <c r="C3536" s="1">
        <v>30383</v>
      </c>
      <c r="D3536" t="s">
        <v>6575</v>
      </c>
      <c r="E3536" t="str">
        <f t="shared" si="176"/>
        <v>서울특별시</v>
      </c>
      <c r="F3536" t="str">
        <f t="shared" si="177"/>
        <v>영등포구</v>
      </c>
      <c r="G3536" t="str">
        <f t="shared" si="175"/>
        <v>영등포동</v>
      </c>
    </row>
    <row r="3537" spans="1:9" x14ac:dyDescent="0.4">
      <c r="A3537">
        <v>3180000</v>
      </c>
      <c r="B3537" t="s">
        <v>6848</v>
      </c>
      <c r="C3537" s="1">
        <v>40057</v>
      </c>
      <c r="D3537" t="s">
        <v>6849</v>
      </c>
      <c r="E3537" t="str">
        <f t="shared" si="176"/>
        <v>서울특별시</v>
      </c>
      <c r="F3537" t="str">
        <f t="shared" si="177"/>
        <v>영등포구</v>
      </c>
      <c r="G3537" t="str">
        <f t="shared" si="175"/>
        <v>영등포동</v>
      </c>
      <c r="H3537" t="s">
        <v>6850</v>
      </c>
      <c r="I3537">
        <v>7304</v>
      </c>
    </row>
    <row r="3538" spans="1:9" x14ac:dyDescent="0.4">
      <c r="A3538">
        <v>3180000</v>
      </c>
      <c r="B3538" t="s">
        <v>7472</v>
      </c>
      <c r="C3538" s="1">
        <v>40639</v>
      </c>
      <c r="D3538" t="s">
        <v>7473</v>
      </c>
      <c r="E3538" t="str">
        <f t="shared" si="176"/>
        <v>서울특별시</v>
      </c>
      <c r="F3538" t="str">
        <f t="shared" si="177"/>
        <v>영등포구</v>
      </c>
      <c r="G3538" t="str">
        <f t="shared" si="175"/>
        <v>영등포동</v>
      </c>
      <c r="H3538" t="s">
        <v>7474</v>
      </c>
      <c r="I3538">
        <v>7304</v>
      </c>
    </row>
    <row r="3539" spans="1:9" x14ac:dyDescent="0.4">
      <c r="A3539">
        <v>3180000</v>
      </c>
      <c r="B3539" t="s">
        <v>7449</v>
      </c>
      <c r="C3539" s="1">
        <v>39073</v>
      </c>
      <c r="D3539" t="s">
        <v>7450</v>
      </c>
      <c r="E3539" t="str">
        <f t="shared" si="176"/>
        <v>서울특별시</v>
      </c>
      <c r="F3539" t="str">
        <f t="shared" si="177"/>
        <v>영등포구</v>
      </c>
      <c r="G3539" t="str">
        <f t="shared" si="175"/>
        <v>영등포동</v>
      </c>
      <c r="H3539" t="s">
        <v>7451</v>
      </c>
      <c r="I3539">
        <v>7304</v>
      </c>
    </row>
    <row r="3540" spans="1:9" x14ac:dyDescent="0.4">
      <c r="A3540">
        <v>3180000</v>
      </c>
      <c r="B3540" t="s">
        <v>7429</v>
      </c>
      <c r="C3540" s="1">
        <v>38849</v>
      </c>
      <c r="D3540" t="s">
        <v>7430</v>
      </c>
      <c r="E3540" t="str">
        <f t="shared" si="176"/>
        <v>서울특별시</v>
      </c>
      <c r="F3540" t="str">
        <f t="shared" si="177"/>
        <v>영등포구</v>
      </c>
      <c r="G3540" t="str">
        <f t="shared" si="175"/>
        <v>영등포동</v>
      </c>
      <c r="H3540" t="s">
        <v>7431</v>
      </c>
      <c r="I3540">
        <v>7304</v>
      </c>
    </row>
    <row r="3541" spans="1:9" x14ac:dyDescent="0.4">
      <c r="A3541">
        <v>3180000</v>
      </c>
      <c r="B3541" t="s">
        <v>6564</v>
      </c>
      <c r="C3541" s="1">
        <v>26361</v>
      </c>
      <c r="D3541" t="s">
        <v>6565</v>
      </c>
      <c r="E3541" t="str">
        <f t="shared" si="176"/>
        <v>서울특별시</v>
      </c>
      <c r="F3541" t="str">
        <f t="shared" si="177"/>
        <v>영등포구</v>
      </c>
      <c r="G3541" t="str">
        <f t="shared" si="175"/>
        <v>영등포동</v>
      </c>
    </row>
    <row r="3542" spans="1:9" x14ac:dyDescent="0.4">
      <c r="A3542">
        <v>3180000</v>
      </c>
      <c r="B3542" t="s">
        <v>7179</v>
      </c>
      <c r="C3542" s="1">
        <v>40618</v>
      </c>
      <c r="D3542" t="s">
        <v>7180</v>
      </c>
      <c r="E3542" t="str">
        <f t="shared" si="176"/>
        <v>서울특별시</v>
      </c>
      <c r="F3542" t="str">
        <f t="shared" si="177"/>
        <v>영등포구</v>
      </c>
      <c r="G3542" t="str">
        <f t="shared" si="175"/>
        <v>영등포동</v>
      </c>
    </row>
    <row r="3543" spans="1:9" x14ac:dyDescent="0.4">
      <c r="A3543">
        <v>3180000</v>
      </c>
      <c r="B3543" t="s">
        <v>7181</v>
      </c>
      <c r="C3543" s="1">
        <v>40618</v>
      </c>
      <c r="D3543" t="s">
        <v>7182</v>
      </c>
      <c r="E3543" t="str">
        <f t="shared" si="176"/>
        <v>서울특별시</v>
      </c>
      <c r="F3543" t="str">
        <f t="shared" si="177"/>
        <v>영등포구</v>
      </c>
      <c r="G3543" t="str">
        <f t="shared" si="175"/>
        <v>영등포동</v>
      </c>
    </row>
    <row r="3544" spans="1:9" x14ac:dyDescent="0.4">
      <c r="A3544">
        <v>3180000</v>
      </c>
      <c r="B3544" t="s">
        <v>7119</v>
      </c>
      <c r="C3544" s="1">
        <v>32708</v>
      </c>
      <c r="D3544" t="s">
        <v>7120</v>
      </c>
      <c r="E3544" t="str">
        <f t="shared" si="176"/>
        <v>서울특별시</v>
      </c>
      <c r="F3544" t="str">
        <f t="shared" si="177"/>
        <v>영등포구</v>
      </c>
      <c r="G3544" t="str">
        <f t="shared" si="175"/>
        <v>영등포동</v>
      </c>
    </row>
    <row r="3545" spans="1:9" x14ac:dyDescent="0.4">
      <c r="A3545">
        <v>3180000</v>
      </c>
      <c r="B3545" t="s">
        <v>6669</v>
      </c>
      <c r="C3545" s="1">
        <v>27380</v>
      </c>
      <c r="D3545" t="s">
        <v>6670</v>
      </c>
      <c r="E3545" t="str">
        <f t="shared" si="176"/>
        <v>서울특별시</v>
      </c>
      <c r="F3545" t="str">
        <f t="shared" si="177"/>
        <v>영등포구</v>
      </c>
      <c r="G3545" t="str">
        <f t="shared" si="175"/>
        <v>영등포동</v>
      </c>
    </row>
    <row r="3546" spans="1:9" x14ac:dyDescent="0.4">
      <c r="A3546">
        <v>3180000</v>
      </c>
      <c r="B3546" t="s">
        <v>6911</v>
      </c>
      <c r="C3546" s="1">
        <v>38534</v>
      </c>
      <c r="D3546" t="s">
        <v>6912</v>
      </c>
      <c r="E3546" t="str">
        <f t="shared" si="176"/>
        <v>서울특별시</v>
      </c>
      <c r="F3546" t="str">
        <f t="shared" si="177"/>
        <v>영등포구</v>
      </c>
      <c r="G3546" t="str">
        <f t="shared" si="175"/>
        <v>영등포동</v>
      </c>
      <c r="H3546" t="s">
        <v>6913</v>
      </c>
      <c r="I3546">
        <v>7303</v>
      </c>
    </row>
    <row r="3547" spans="1:9" x14ac:dyDescent="0.4">
      <c r="A3547">
        <v>3180000</v>
      </c>
      <c r="B3547" t="s">
        <v>6853</v>
      </c>
      <c r="C3547" s="1">
        <v>40151</v>
      </c>
      <c r="D3547" t="s">
        <v>6854</v>
      </c>
      <c r="E3547" t="str">
        <f t="shared" si="176"/>
        <v>서울특별시</v>
      </c>
      <c r="F3547" t="str">
        <f t="shared" si="177"/>
        <v>영등포구</v>
      </c>
      <c r="G3547" t="str">
        <f t="shared" si="175"/>
        <v>영등포동</v>
      </c>
      <c r="H3547" t="s">
        <v>6855</v>
      </c>
    </row>
    <row r="3548" spans="1:9" x14ac:dyDescent="0.4">
      <c r="A3548">
        <v>3180000</v>
      </c>
      <c r="B3548" t="s">
        <v>7147</v>
      </c>
      <c r="C3548" s="1">
        <v>31727</v>
      </c>
      <c r="D3548" t="s">
        <v>7148</v>
      </c>
      <c r="E3548" t="str">
        <f t="shared" si="176"/>
        <v>서울특별시</v>
      </c>
      <c r="F3548" t="str">
        <f t="shared" si="177"/>
        <v>영등포구</v>
      </c>
      <c r="G3548" t="str">
        <f t="shared" si="175"/>
        <v>영등포동</v>
      </c>
    </row>
    <row r="3549" spans="1:9" x14ac:dyDescent="0.4">
      <c r="A3549">
        <v>3180000</v>
      </c>
      <c r="B3549" t="s">
        <v>6951</v>
      </c>
      <c r="C3549" s="1">
        <v>37459</v>
      </c>
      <c r="D3549" t="s">
        <v>6952</v>
      </c>
      <c r="E3549" t="str">
        <f t="shared" si="176"/>
        <v>서울특별시</v>
      </c>
      <c r="F3549" t="str">
        <f t="shared" si="177"/>
        <v>영등포구</v>
      </c>
      <c r="G3549" t="str">
        <f t="shared" si="175"/>
        <v>영등포동</v>
      </c>
      <c r="H3549" t="s">
        <v>6953</v>
      </c>
      <c r="I3549">
        <v>7303</v>
      </c>
    </row>
    <row r="3550" spans="1:9" x14ac:dyDescent="0.4">
      <c r="A3550">
        <v>3180000</v>
      </c>
      <c r="B3550" t="s">
        <v>6823</v>
      </c>
      <c r="C3550" s="1">
        <v>42727</v>
      </c>
      <c r="D3550" t="s">
        <v>6824</v>
      </c>
      <c r="E3550" t="str">
        <f t="shared" si="176"/>
        <v>서울특별시</v>
      </c>
      <c r="F3550" t="str">
        <f t="shared" si="177"/>
        <v>영등포구</v>
      </c>
      <c r="G3550" t="str">
        <f t="shared" ref="G3550:G3609" si="178">MID(SUBSTITUTE(D3550," ",""),10,4)</f>
        <v>영등포동</v>
      </c>
      <c r="H3550" t="s">
        <v>6825</v>
      </c>
      <c r="I3550">
        <v>7303</v>
      </c>
    </row>
    <row r="3551" spans="1:9" x14ac:dyDescent="0.4">
      <c r="A3551">
        <v>3180000</v>
      </c>
      <c r="B3551" t="s">
        <v>6595</v>
      </c>
      <c r="C3551" s="1">
        <v>28548</v>
      </c>
      <c r="D3551" t="s">
        <v>6596</v>
      </c>
      <c r="E3551" t="str">
        <f t="shared" si="176"/>
        <v>서울특별시</v>
      </c>
      <c r="F3551" t="str">
        <f t="shared" si="177"/>
        <v>영등포구</v>
      </c>
      <c r="G3551" t="str">
        <f t="shared" si="178"/>
        <v>영등포동</v>
      </c>
    </row>
    <row r="3552" spans="1:9" x14ac:dyDescent="0.4">
      <c r="A3552">
        <v>3180000</v>
      </c>
      <c r="B3552" t="s">
        <v>6968</v>
      </c>
      <c r="C3552" s="1">
        <v>37526</v>
      </c>
      <c r="D3552" t="s">
        <v>6969</v>
      </c>
      <c r="E3552" t="str">
        <f t="shared" si="176"/>
        <v>서울특별시</v>
      </c>
      <c r="F3552" t="str">
        <f t="shared" si="177"/>
        <v>영등포구</v>
      </c>
      <c r="G3552" t="str">
        <f t="shared" si="178"/>
        <v>영등포동</v>
      </c>
      <c r="H3552" t="s">
        <v>6970</v>
      </c>
      <c r="I3552">
        <v>7303</v>
      </c>
    </row>
    <row r="3553" spans="1:9" x14ac:dyDescent="0.4">
      <c r="A3553">
        <v>3180000</v>
      </c>
      <c r="B3553" t="s">
        <v>6611</v>
      </c>
      <c r="C3553" s="1">
        <v>38670</v>
      </c>
      <c r="D3553" t="s">
        <v>6612</v>
      </c>
      <c r="E3553" t="str">
        <f t="shared" si="176"/>
        <v>서울특별시</v>
      </c>
      <c r="F3553" t="str">
        <f t="shared" si="177"/>
        <v>영등포구</v>
      </c>
      <c r="G3553" t="str">
        <f t="shared" si="178"/>
        <v>영등포동</v>
      </c>
      <c r="H3553" t="s">
        <v>6613</v>
      </c>
      <c r="I3553">
        <v>7303</v>
      </c>
    </row>
    <row r="3554" spans="1:9" x14ac:dyDescent="0.4">
      <c r="A3554">
        <v>3180000</v>
      </c>
      <c r="B3554" t="s">
        <v>7273</v>
      </c>
      <c r="C3554" s="1">
        <v>38670</v>
      </c>
      <c r="D3554" t="s">
        <v>7274</v>
      </c>
      <c r="E3554" t="str">
        <f t="shared" si="176"/>
        <v>서울특별시</v>
      </c>
      <c r="F3554" t="str">
        <f t="shared" si="177"/>
        <v>영등포구</v>
      </c>
      <c r="G3554" t="str">
        <f t="shared" si="178"/>
        <v>영등포동</v>
      </c>
      <c r="H3554" t="s">
        <v>7275</v>
      </c>
      <c r="I3554">
        <v>7303</v>
      </c>
    </row>
    <row r="3555" spans="1:9" x14ac:dyDescent="0.4">
      <c r="A3555">
        <v>3180000</v>
      </c>
      <c r="B3555" t="s">
        <v>6768</v>
      </c>
      <c r="C3555" s="1">
        <v>30895</v>
      </c>
      <c r="D3555" t="s">
        <v>6769</v>
      </c>
      <c r="E3555" t="str">
        <f t="shared" si="176"/>
        <v>서울특별시</v>
      </c>
      <c r="F3555" t="str">
        <f t="shared" si="177"/>
        <v>영등포구</v>
      </c>
      <c r="G3555" t="str">
        <f t="shared" si="178"/>
        <v>영등포동</v>
      </c>
    </row>
    <row r="3556" spans="1:9" x14ac:dyDescent="0.4">
      <c r="A3556">
        <v>3180000</v>
      </c>
      <c r="B3556" t="s">
        <v>7589</v>
      </c>
      <c r="C3556" s="1">
        <v>39912</v>
      </c>
      <c r="D3556" t="s">
        <v>7590</v>
      </c>
      <c r="E3556" t="str">
        <f t="shared" si="176"/>
        <v>서울특별시</v>
      </c>
      <c r="F3556" t="str">
        <f t="shared" si="177"/>
        <v>영등포구</v>
      </c>
      <c r="G3556" t="str">
        <f t="shared" si="178"/>
        <v>영등포동</v>
      </c>
      <c r="H3556" t="s">
        <v>7591</v>
      </c>
      <c r="I3556">
        <v>7303</v>
      </c>
    </row>
    <row r="3557" spans="1:9" x14ac:dyDescent="0.4">
      <c r="A3557">
        <v>3180000</v>
      </c>
      <c r="B3557" t="s">
        <v>6887</v>
      </c>
      <c r="C3557" s="1">
        <v>28007</v>
      </c>
      <c r="D3557" t="s">
        <v>6888</v>
      </c>
      <c r="E3557" t="str">
        <f t="shared" si="176"/>
        <v>서울특별시</v>
      </c>
      <c r="F3557" t="str">
        <f t="shared" si="177"/>
        <v>영등포구</v>
      </c>
      <c r="G3557" t="str">
        <f t="shared" si="178"/>
        <v>영등포동</v>
      </c>
    </row>
    <row r="3558" spans="1:9" x14ac:dyDescent="0.4">
      <c r="A3558">
        <v>3180000</v>
      </c>
      <c r="B3558" t="s">
        <v>7042</v>
      </c>
      <c r="C3558" s="1">
        <v>30618</v>
      </c>
      <c r="D3558" t="s">
        <v>6888</v>
      </c>
      <c r="E3558" t="str">
        <f t="shared" si="176"/>
        <v>서울특별시</v>
      </c>
      <c r="F3558" t="str">
        <f t="shared" si="177"/>
        <v>영등포구</v>
      </c>
      <c r="G3558" t="str">
        <f t="shared" si="178"/>
        <v>영등포동</v>
      </c>
    </row>
    <row r="3559" spans="1:9" x14ac:dyDescent="0.4">
      <c r="A3559">
        <v>3180000</v>
      </c>
      <c r="B3559" t="s">
        <v>7215</v>
      </c>
      <c r="C3559" s="1">
        <v>35486</v>
      </c>
      <c r="D3559" t="s">
        <v>6888</v>
      </c>
      <c r="E3559" t="str">
        <f t="shared" si="176"/>
        <v>서울특별시</v>
      </c>
      <c r="F3559" t="str">
        <f t="shared" si="177"/>
        <v>영등포구</v>
      </c>
      <c r="G3559" t="str">
        <f t="shared" si="178"/>
        <v>영등포동</v>
      </c>
    </row>
    <row r="3560" spans="1:9" x14ac:dyDescent="0.4">
      <c r="A3560">
        <v>3180000</v>
      </c>
      <c r="B3560" t="s">
        <v>7017</v>
      </c>
      <c r="C3560" s="1">
        <v>37624</v>
      </c>
      <c r="D3560" t="s">
        <v>7018</v>
      </c>
      <c r="E3560" t="str">
        <f t="shared" si="176"/>
        <v>서울특별시</v>
      </c>
      <c r="F3560" t="str">
        <f t="shared" si="177"/>
        <v>영등포구</v>
      </c>
      <c r="G3560" t="str">
        <f t="shared" si="178"/>
        <v>영등포동</v>
      </c>
    </row>
    <row r="3561" spans="1:9" x14ac:dyDescent="0.4">
      <c r="A3561">
        <v>3180000</v>
      </c>
      <c r="B3561" t="s">
        <v>7423</v>
      </c>
      <c r="C3561" s="1">
        <v>31394</v>
      </c>
      <c r="D3561" t="s">
        <v>7424</v>
      </c>
      <c r="E3561" t="str">
        <f t="shared" si="176"/>
        <v>서울특별시</v>
      </c>
      <c r="F3561" t="str">
        <f t="shared" si="177"/>
        <v>영등포구</v>
      </c>
      <c r="G3561" t="str">
        <f t="shared" si="178"/>
        <v>영등포동</v>
      </c>
      <c r="H3561" t="s">
        <v>7425</v>
      </c>
      <c r="I3561">
        <v>7303</v>
      </c>
    </row>
    <row r="3562" spans="1:9" x14ac:dyDescent="0.4">
      <c r="A3562">
        <v>3180000</v>
      </c>
      <c r="B3562" t="s">
        <v>7285</v>
      </c>
      <c r="C3562" s="1">
        <v>37060</v>
      </c>
      <c r="D3562" t="s">
        <v>7286</v>
      </c>
      <c r="E3562" t="str">
        <f t="shared" si="176"/>
        <v>서울특별시</v>
      </c>
      <c r="F3562" t="str">
        <f t="shared" si="177"/>
        <v>영등포구</v>
      </c>
      <c r="G3562" t="str">
        <f t="shared" si="178"/>
        <v>영등포동</v>
      </c>
      <c r="H3562" t="s">
        <v>7287</v>
      </c>
      <c r="I3562">
        <v>7303</v>
      </c>
    </row>
    <row r="3563" spans="1:9" x14ac:dyDescent="0.4">
      <c r="A3563">
        <v>3180000</v>
      </c>
      <c r="B3563" t="s">
        <v>7045</v>
      </c>
      <c r="C3563" s="1">
        <v>30746</v>
      </c>
      <c r="D3563" t="s">
        <v>7046</v>
      </c>
      <c r="E3563" t="str">
        <f t="shared" si="176"/>
        <v>서울특별시</v>
      </c>
      <c r="F3563" t="str">
        <f t="shared" si="177"/>
        <v>영등포구</v>
      </c>
      <c r="G3563" t="str">
        <f t="shared" si="178"/>
        <v>영등포동</v>
      </c>
    </row>
    <row r="3564" spans="1:9" x14ac:dyDescent="0.4">
      <c r="A3564">
        <v>3180000</v>
      </c>
      <c r="B3564" t="s">
        <v>7090</v>
      </c>
      <c r="C3564" s="1">
        <v>31288</v>
      </c>
      <c r="D3564" t="s">
        <v>7091</v>
      </c>
      <c r="E3564" t="str">
        <f t="shared" si="176"/>
        <v>서울특별시</v>
      </c>
      <c r="F3564" t="str">
        <f t="shared" si="177"/>
        <v>영등포구</v>
      </c>
      <c r="G3564" t="str">
        <f t="shared" si="178"/>
        <v>영등포동</v>
      </c>
    </row>
    <row r="3565" spans="1:9" x14ac:dyDescent="0.4">
      <c r="A3565">
        <v>3180000</v>
      </c>
      <c r="B3565" t="s">
        <v>7246</v>
      </c>
      <c r="C3565" s="1">
        <v>41758</v>
      </c>
      <c r="D3565" t="s">
        <v>7247</v>
      </c>
      <c r="E3565" t="str">
        <f t="shared" si="176"/>
        <v>서울특별시</v>
      </c>
      <c r="F3565" t="str">
        <f t="shared" si="177"/>
        <v>영등포구</v>
      </c>
      <c r="G3565" t="str">
        <f t="shared" si="178"/>
        <v>영등포동</v>
      </c>
      <c r="H3565" t="s">
        <v>7248</v>
      </c>
      <c r="I3565">
        <v>7302</v>
      </c>
    </row>
    <row r="3566" spans="1:9" x14ac:dyDescent="0.4">
      <c r="A3566">
        <v>3180000</v>
      </c>
      <c r="B3566" t="s">
        <v>7243</v>
      </c>
      <c r="C3566" s="1">
        <v>41758</v>
      </c>
      <c r="D3566" t="s">
        <v>7244</v>
      </c>
      <c r="E3566" t="str">
        <f t="shared" si="176"/>
        <v>서울특별시</v>
      </c>
      <c r="F3566" t="str">
        <f t="shared" si="177"/>
        <v>영등포구</v>
      </c>
      <c r="G3566" t="str">
        <f t="shared" si="178"/>
        <v>영등포동</v>
      </c>
      <c r="H3566" t="s">
        <v>7245</v>
      </c>
      <c r="I3566">
        <v>7302</v>
      </c>
    </row>
    <row r="3567" spans="1:9" x14ac:dyDescent="0.4">
      <c r="A3567">
        <v>3180000</v>
      </c>
      <c r="B3567" t="s">
        <v>6917</v>
      </c>
      <c r="C3567" s="1">
        <v>38576</v>
      </c>
      <c r="D3567" t="s">
        <v>6918</v>
      </c>
      <c r="E3567" t="str">
        <f t="shared" si="176"/>
        <v>서울특별시</v>
      </c>
      <c r="F3567" t="str">
        <f t="shared" si="177"/>
        <v>영등포구</v>
      </c>
      <c r="G3567" t="str">
        <f t="shared" si="178"/>
        <v>영등포동</v>
      </c>
      <c r="H3567" t="s">
        <v>6919</v>
      </c>
      <c r="I3567">
        <v>7302</v>
      </c>
    </row>
    <row r="3568" spans="1:9" x14ac:dyDescent="0.4">
      <c r="A3568">
        <v>3180000</v>
      </c>
      <c r="B3568" t="s">
        <v>6974</v>
      </c>
      <c r="C3568" s="1">
        <v>37602</v>
      </c>
      <c r="D3568" t="s">
        <v>6918</v>
      </c>
      <c r="E3568" t="str">
        <f t="shared" si="176"/>
        <v>서울특별시</v>
      </c>
      <c r="F3568" t="str">
        <f t="shared" si="177"/>
        <v>영등포구</v>
      </c>
      <c r="G3568" t="str">
        <f t="shared" si="178"/>
        <v>영등포동</v>
      </c>
      <c r="H3568" t="s">
        <v>6919</v>
      </c>
      <c r="I3568">
        <v>7302</v>
      </c>
    </row>
    <row r="3569" spans="1:9" x14ac:dyDescent="0.4">
      <c r="A3569">
        <v>3180000</v>
      </c>
      <c r="B3569" t="s">
        <v>6697</v>
      </c>
      <c r="C3569" s="1">
        <v>36252</v>
      </c>
      <c r="D3569" t="s">
        <v>6698</v>
      </c>
      <c r="E3569" t="str">
        <f t="shared" si="176"/>
        <v>서울특별시</v>
      </c>
      <c r="F3569" t="str">
        <f t="shared" si="177"/>
        <v>영등포구</v>
      </c>
      <c r="G3569" t="str">
        <f t="shared" si="178"/>
        <v>영등포동</v>
      </c>
    </row>
    <row r="3570" spans="1:9" x14ac:dyDescent="0.4">
      <c r="A3570">
        <v>3180000</v>
      </c>
      <c r="B3570" t="s">
        <v>7146</v>
      </c>
      <c r="C3570" s="1">
        <v>31665</v>
      </c>
      <c r="D3570" t="s">
        <v>6698</v>
      </c>
      <c r="E3570" t="str">
        <f t="shared" si="176"/>
        <v>서울특별시</v>
      </c>
      <c r="F3570" t="str">
        <f t="shared" si="177"/>
        <v>영등포구</v>
      </c>
      <c r="G3570" t="str">
        <f t="shared" si="178"/>
        <v>영등포동</v>
      </c>
    </row>
    <row r="3571" spans="1:9" x14ac:dyDescent="0.4">
      <c r="A3571">
        <v>3180000</v>
      </c>
      <c r="B3571" t="s">
        <v>6666</v>
      </c>
      <c r="C3571" s="1">
        <v>26590</v>
      </c>
      <c r="D3571" t="s">
        <v>6667</v>
      </c>
      <c r="E3571" t="str">
        <f t="shared" si="176"/>
        <v>서울특별시</v>
      </c>
      <c r="F3571" t="str">
        <f t="shared" si="177"/>
        <v>영등포구</v>
      </c>
      <c r="G3571" t="str">
        <f t="shared" si="178"/>
        <v>영등포동</v>
      </c>
      <c r="H3571" t="s">
        <v>6668</v>
      </c>
      <c r="I3571">
        <v>7302</v>
      </c>
    </row>
    <row r="3572" spans="1:9" x14ac:dyDescent="0.4">
      <c r="A3572">
        <v>3180000</v>
      </c>
      <c r="B3572" t="s">
        <v>7155</v>
      </c>
      <c r="C3572" s="1">
        <v>38839</v>
      </c>
      <c r="D3572" t="s">
        <v>7156</v>
      </c>
      <c r="E3572" t="str">
        <f t="shared" si="176"/>
        <v>서울특별시</v>
      </c>
      <c r="F3572" t="str">
        <f t="shared" si="177"/>
        <v>영등포구</v>
      </c>
      <c r="G3572" t="str">
        <f t="shared" si="178"/>
        <v>영등포동</v>
      </c>
      <c r="H3572" t="s">
        <v>7157</v>
      </c>
      <c r="I3572">
        <v>7302</v>
      </c>
    </row>
    <row r="3573" spans="1:9" x14ac:dyDescent="0.4">
      <c r="A3573">
        <v>3180000</v>
      </c>
      <c r="B3573" t="s">
        <v>7446</v>
      </c>
      <c r="C3573" s="1">
        <v>38989</v>
      </c>
      <c r="D3573" t="s">
        <v>7447</v>
      </c>
      <c r="E3573" t="str">
        <f t="shared" si="176"/>
        <v>서울특별시</v>
      </c>
      <c r="F3573" t="str">
        <f t="shared" si="177"/>
        <v>영등포구</v>
      </c>
      <c r="G3573" t="str">
        <f t="shared" si="178"/>
        <v>영등포동</v>
      </c>
      <c r="H3573" t="s">
        <v>7448</v>
      </c>
      <c r="I3573">
        <v>7302</v>
      </c>
    </row>
    <row r="3574" spans="1:9" x14ac:dyDescent="0.4">
      <c r="A3574">
        <v>3180000</v>
      </c>
      <c r="B3574" t="s">
        <v>6797</v>
      </c>
      <c r="C3574" s="1">
        <v>38832</v>
      </c>
      <c r="D3574" t="s">
        <v>6798</v>
      </c>
      <c r="E3574" t="str">
        <f t="shared" si="176"/>
        <v>서울특별시</v>
      </c>
      <c r="F3574" t="str">
        <f t="shared" si="177"/>
        <v>영등포구</v>
      </c>
      <c r="G3574" t="str">
        <f t="shared" si="178"/>
        <v>영등포동</v>
      </c>
      <c r="H3574" t="s">
        <v>6799</v>
      </c>
      <c r="I3574">
        <v>7302</v>
      </c>
    </row>
    <row r="3575" spans="1:9" x14ac:dyDescent="0.4">
      <c r="A3575">
        <v>3180000</v>
      </c>
      <c r="B3575" t="s">
        <v>7198</v>
      </c>
      <c r="C3575" s="1">
        <v>34262</v>
      </c>
      <c r="D3575" t="s">
        <v>7199</v>
      </c>
      <c r="E3575" t="str">
        <f t="shared" si="176"/>
        <v>서울특별시</v>
      </c>
      <c r="F3575" t="str">
        <f t="shared" si="177"/>
        <v>영등포구</v>
      </c>
      <c r="G3575" t="str">
        <f t="shared" si="178"/>
        <v>영등포동</v>
      </c>
      <c r="H3575" t="s">
        <v>7200</v>
      </c>
      <c r="I3575">
        <v>7302</v>
      </c>
    </row>
    <row r="3576" spans="1:9" x14ac:dyDescent="0.4">
      <c r="A3576">
        <v>3180000</v>
      </c>
      <c r="B3576" t="s">
        <v>7150</v>
      </c>
      <c r="C3576" s="1">
        <v>31766</v>
      </c>
      <c r="D3576" t="s">
        <v>7151</v>
      </c>
      <c r="E3576" t="str">
        <f t="shared" si="176"/>
        <v>서울특별시</v>
      </c>
      <c r="F3576" t="str">
        <f t="shared" si="177"/>
        <v>영등포구</v>
      </c>
      <c r="G3576" t="str">
        <f t="shared" si="178"/>
        <v>영등포동</v>
      </c>
    </row>
    <row r="3577" spans="1:9" x14ac:dyDescent="0.4">
      <c r="A3577">
        <v>3180000</v>
      </c>
      <c r="B3577" t="s">
        <v>7127</v>
      </c>
      <c r="C3577" s="1">
        <v>33031</v>
      </c>
      <c r="D3577" t="s">
        <v>7128</v>
      </c>
      <c r="E3577" t="str">
        <f t="shared" si="176"/>
        <v>서울특별시</v>
      </c>
      <c r="F3577" t="str">
        <f t="shared" si="177"/>
        <v>영등포구</v>
      </c>
      <c r="G3577" t="str">
        <f t="shared" si="178"/>
        <v>영등포동</v>
      </c>
    </row>
    <row r="3578" spans="1:9" x14ac:dyDescent="0.4">
      <c r="A3578">
        <v>3180000</v>
      </c>
      <c r="B3578" t="s">
        <v>266</v>
      </c>
      <c r="C3578" s="1">
        <v>45954</v>
      </c>
      <c r="D3578" t="s">
        <v>267</v>
      </c>
      <c r="E3578" t="str">
        <f t="shared" si="176"/>
        <v>서울특별시</v>
      </c>
      <c r="F3578" t="str">
        <f t="shared" si="177"/>
        <v>영등포구</v>
      </c>
      <c r="G3578" t="str">
        <f t="shared" si="178"/>
        <v>영등포동</v>
      </c>
      <c r="H3578" t="s">
        <v>268</v>
      </c>
      <c r="I3578">
        <v>7302</v>
      </c>
    </row>
    <row r="3579" spans="1:9" x14ac:dyDescent="0.4">
      <c r="A3579">
        <v>3180000</v>
      </c>
      <c r="B3579" t="s">
        <v>7315</v>
      </c>
      <c r="C3579" s="1">
        <v>40325</v>
      </c>
      <c r="D3579" t="s">
        <v>7316</v>
      </c>
      <c r="E3579" t="str">
        <f t="shared" si="176"/>
        <v>서울특별시</v>
      </c>
      <c r="F3579" t="str">
        <f t="shared" si="177"/>
        <v>영등포구</v>
      </c>
      <c r="G3579" t="str">
        <f t="shared" si="178"/>
        <v>영등포동</v>
      </c>
      <c r="H3579" t="s">
        <v>7317</v>
      </c>
      <c r="I3579">
        <v>7302</v>
      </c>
    </row>
    <row r="3580" spans="1:9" x14ac:dyDescent="0.4">
      <c r="A3580">
        <v>3180000</v>
      </c>
      <c r="B3580" t="s">
        <v>6785</v>
      </c>
      <c r="C3580" s="1">
        <v>38042</v>
      </c>
      <c r="D3580" t="s">
        <v>6786</v>
      </c>
      <c r="E3580" t="str">
        <f t="shared" si="176"/>
        <v>서울특별시</v>
      </c>
      <c r="F3580" t="str">
        <f t="shared" si="177"/>
        <v>영등포구</v>
      </c>
      <c r="G3580" t="str">
        <f t="shared" si="178"/>
        <v>영등포동</v>
      </c>
    </row>
    <row r="3581" spans="1:9" x14ac:dyDescent="0.4">
      <c r="A3581">
        <v>3180000</v>
      </c>
      <c r="B3581" t="s">
        <v>6860</v>
      </c>
      <c r="C3581" s="1">
        <v>36936</v>
      </c>
      <c r="D3581" t="s">
        <v>6786</v>
      </c>
      <c r="E3581" t="str">
        <f t="shared" si="176"/>
        <v>서울특별시</v>
      </c>
      <c r="F3581" t="str">
        <f t="shared" si="177"/>
        <v>영등포구</v>
      </c>
      <c r="G3581" t="str">
        <f t="shared" si="178"/>
        <v>영등포동</v>
      </c>
    </row>
    <row r="3582" spans="1:9" x14ac:dyDescent="0.4">
      <c r="A3582">
        <v>3180000</v>
      </c>
      <c r="B3582" t="s">
        <v>6861</v>
      </c>
      <c r="C3582" s="1">
        <v>36936</v>
      </c>
      <c r="D3582" t="s">
        <v>6786</v>
      </c>
      <c r="E3582" t="str">
        <f t="shared" si="176"/>
        <v>서울특별시</v>
      </c>
      <c r="F3582" t="str">
        <f t="shared" si="177"/>
        <v>영등포구</v>
      </c>
      <c r="G3582" t="str">
        <f t="shared" si="178"/>
        <v>영등포동</v>
      </c>
    </row>
    <row r="3583" spans="1:9" x14ac:dyDescent="0.4">
      <c r="A3583">
        <v>3180000</v>
      </c>
      <c r="B3583" t="s">
        <v>7019</v>
      </c>
      <c r="C3583" s="1">
        <v>37629</v>
      </c>
      <c r="D3583" t="s">
        <v>6786</v>
      </c>
      <c r="E3583" t="str">
        <f t="shared" si="176"/>
        <v>서울특별시</v>
      </c>
      <c r="F3583" t="str">
        <f t="shared" si="177"/>
        <v>영등포구</v>
      </c>
      <c r="G3583" t="str">
        <f t="shared" si="178"/>
        <v>영등포동</v>
      </c>
    </row>
    <row r="3584" spans="1:9" x14ac:dyDescent="0.4">
      <c r="A3584">
        <v>3180000</v>
      </c>
      <c r="B3584" t="s">
        <v>7058</v>
      </c>
      <c r="C3584" s="1">
        <v>30820</v>
      </c>
      <c r="D3584" t="s">
        <v>6786</v>
      </c>
      <c r="E3584" t="str">
        <f t="shared" si="176"/>
        <v>서울특별시</v>
      </c>
      <c r="F3584" t="str">
        <f t="shared" si="177"/>
        <v>영등포구</v>
      </c>
      <c r="G3584" t="str">
        <f t="shared" si="178"/>
        <v>영등포동</v>
      </c>
    </row>
    <row r="3585" spans="1:9" x14ac:dyDescent="0.4">
      <c r="A3585">
        <v>3180000</v>
      </c>
      <c r="B3585" t="s">
        <v>7154</v>
      </c>
      <c r="C3585" s="1">
        <v>31842</v>
      </c>
      <c r="D3585" t="s">
        <v>6786</v>
      </c>
      <c r="E3585" t="str">
        <f t="shared" si="176"/>
        <v>서울특별시</v>
      </c>
      <c r="F3585" t="str">
        <f t="shared" si="177"/>
        <v>영등포구</v>
      </c>
      <c r="G3585" t="str">
        <f t="shared" si="178"/>
        <v>영등포동</v>
      </c>
    </row>
    <row r="3586" spans="1:9" x14ac:dyDescent="0.4">
      <c r="A3586">
        <v>3180000</v>
      </c>
      <c r="B3586" t="s">
        <v>7033</v>
      </c>
      <c r="C3586" s="1">
        <v>40494</v>
      </c>
      <c r="D3586" t="s">
        <v>7034</v>
      </c>
      <c r="E3586" t="str">
        <f t="shared" si="176"/>
        <v>서울특별시</v>
      </c>
      <c r="F3586" t="str">
        <f t="shared" si="177"/>
        <v>영등포구</v>
      </c>
      <c r="G3586" t="str">
        <f t="shared" si="178"/>
        <v>영등포동</v>
      </c>
      <c r="H3586" t="s">
        <v>7035</v>
      </c>
      <c r="I3586">
        <v>7302</v>
      </c>
    </row>
    <row r="3587" spans="1:9" x14ac:dyDescent="0.4">
      <c r="A3587">
        <v>3180000</v>
      </c>
      <c r="B3587" t="s">
        <v>6646</v>
      </c>
      <c r="C3587" s="1">
        <v>36923</v>
      </c>
      <c r="D3587" t="s">
        <v>6647</v>
      </c>
      <c r="E3587" t="str">
        <f t="shared" ref="E3587:E3650" si="179">LEFT(D3587,5)</f>
        <v>서울특별시</v>
      </c>
      <c r="F3587" t="str">
        <f t="shared" ref="F3587:F3650" si="180">MID(D3587,7,4)</f>
        <v>영등포구</v>
      </c>
      <c r="G3587" t="str">
        <f t="shared" si="178"/>
        <v>영등포동</v>
      </c>
    </row>
    <row r="3588" spans="1:9" x14ac:dyDescent="0.4">
      <c r="A3588">
        <v>3180000</v>
      </c>
      <c r="B3588" t="s">
        <v>7291</v>
      </c>
      <c r="C3588" s="1">
        <v>39457</v>
      </c>
      <c r="D3588" t="s">
        <v>7292</v>
      </c>
      <c r="E3588" t="str">
        <f t="shared" si="179"/>
        <v>서울특별시</v>
      </c>
      <c r="F3588" t="str">
        <f t="shared" si="180"/>
        <v>영등포구</v>
      </c>
      <c r="G3588" t="str">
        <f t="shared" si="178"/>
        <v>영등포동</v>
      </c>
      <c r="H3588" t="s">
        <v>7293</v>
      </c>
      <c r="I3588">
        <v>7302</v>
      </c>
    </row>
    <row r="3589" spans="1:9" x14ac:dyDescent="0.4">
      <c r="A3589">
        <v>3180000</v>
      </c>
      <c r="B3589" t="s">
        <v>7388</v>
      </c>
      <c r="C3589" s="1">
        <v>44384</v>
      </c>
      <c r="D3589" t="s">
        <v>7389</v>
      </c>
      <c r="E3589" t="str">
        <f t="shared" si="179"/>
        <v>서울특별시</v>
      </c>
      <c r="F3589" t="str">
        <f t="shared" si="180"/>
        <v>영등포구</v>
      </c>
      <c r="G3589" t="str">
        <f t="shared" si="178"/>
        <v>영등포동</v>
      </c>
      <c r="H3589" t="s">
        <v>7390</v>
      </c>
      <c r="I3589">
        <v>7302</v>
      </c>
    </row>
    <row r="3590" spans="1:9" x14ac:dyDescent="0.4">
      <c r="A3590">
        <v>3180000</v>
      </c>
      <c r="B3590" t="s">
        <v>6576</v>
      </c>
      <c r="C3590" s="1">
        <v>30385</v>
      </c>
      <c r="D3590" t="s">
        <v>6577</v>
      </c>
      <c r="E3590" t="str">
        <f t="shared" si="179"/>
        <v>서울특별시</v>
      </c>
      <c r="F3590" t="str">
        <f t="shared" si="180"/>
        <v>영등포구</v>
      </c>
      <c r="G3590" t="str">
        <f t="shared" si="178"/>
        <v>영등포동</v>
      </c>
    </row>
    <row r="3591" spans="1:9" x14ac:dyDescent="0.4">
      <c r="A3591">
        <v>3180000</v>
      </c>
      <c r="B3591" t="s">
        <v>7233</v>
      </c>
      <c r="C3591" s="1">
        <v>32205</v>
      </c>
      <c r="D3591" t="s">
        <v>6577</v>
      </c>
      <c r="E3591" t="str">
        <f t="shared" si="179"/>
        <v>서울특별시</v>
      </c>
      <c r="F3591" t="str">
        <f t="shared" si="180"/>
        <v>영등포구</v>
      </c>
      <c r="G3591" t="str">
        <f t="shared" si="178"/>
        <v>영등포동</v>
      </c>
    </row>
    <row r="3592" spans="1:9" x14ac:dyDescent="0.4">
      <c r="A3592">
        <v>3180000</v>
      </c>
      <c r="B3592" t="s">
        <v>7027</v>
      </c>
      <c r="C3592" s="1">
        <v>40340</v>
      </c>
      <c r="D3592" t="s">
        <v>7028</v>
      </c>
      <c r="E3592" t="str">
        <f t="shared" si="179"/>
        <v>서울특별시</v>
      </c>
      <c r="F3592" t="str">
        <f t="shared" si="180"/>
        <v>영등포구</v>
      </c>
      <c r="G3592" t="str">
        <f t="shared" si="178"/>
        <v>영등포동</v>
      </c>
    </row>
    <row r="3593" spans="1:9" x14ac:dyDescent="0.4">
      <c r="A3593">
        <v>3180000</v>
      </c>
      <c r="B3593" t="s">
        <v>7415</v>
      </c>
      <c r="C3593" s="1">
        <v>31951</v>
      </c>
      <c r="D3593" t="s">
        <v>7416</v>
      </c>
      <c r="E3593" t="str">
        <f t="shared" si="179"/>
        <v>서울특별시</v>
      </c>
      <c r="F3593" t="str">
        <f t="shared" si="180"/>
        <v>영등포구</v>
      </c>
      <c r="G3593" t="str">
        <f t="shared" si="178"/>
        <v>영등포동</v>
      </c>
      <c r="H3593" t="s">
        <v>7417</v>
      </c>
      <c r="I3593">
        <v>7302</v>
      </c>
    </row>
    <row r="3594" spans="1:9" x14ac:dyDescent="0.4">
      <c r="A3594">
        <v>3180000</v>
      </c>
      <c r="B3594" t="s">
        <v>7406</v>
      </c>
      <c r="C3594" s="1">
        <v>34239</v>
      </c>
      <c r="D3594" t="s">
        <v>7407</v>
      </c>
      <c r="E3594" t="str">
        <f t="shared" si="179"/>
        <v>서울특별시</v>
      </c>
      <c r="F3594" t="str">
        <f t="shared" si="180"/>
        <v>영등포구</v>
      </c>
      <c r="G3594" t="str">
        <f t="shared" si="178"/>
        <v>영등포동</v>
      </c>
      <c r="H3594" t="s">
        <v>7408</v>
      </c>
      <c r="I3594">
        <v>7304</v>
      </c>
    </row>
    <row r="3595" spans="1:9" x14ac:dyDescent="0.4">
      <c r="A3595">
        <v>3180000</v>
      </c>
      <c r="B3595" t="s">
        <v>6711</v>
      </c>
      <c r="C3595" s="1">
        <v>36361</v>
      </c>
      <c r="D3595" t="s">
        <v>6712</v>
      </c>
      <c r="E3595" t="str">
        <f t="shared" si="179"/>
        <v>서울특별시</v>
      </c>
      <c r="F3595" t="str">
        <f t="shared" si="180"/>
        <v>영등포구</v>
      </c>
      <c r="G3595" t="str">
        <f t="shared" si="178"/>
        <v>영등포동</v>
      </c>
      <c r="H3595" t="s">
        <v>6713</v>
      </c>
      <c r="I3595">
        <v>7303</v>
      </c>
    </row>
    <row r="3596" spans="1:9" x14ac:dyDescent="0.4">
      <c r="A3596">
        <v>3180000</v>
      </c>
      <c r="B3596" t="s">
        <v>7288</v>
      </c>
      <c r="C3596" s="1">
        <v>37069</v>
      </c>
      <c r="D3596" t="s">
        <v>7289</v>
      </c>
      <c r="E3596" t="str">
        <f t="shared" si="179"/>
        <v>서울특별시</v>
      </c>
      <c r="F3596" t="str">
        <f t="shared" si="180"/>
        <v>영등포구</v>
      </c>
      <c r="G3596" t="str">
        <f t="shared" si="178"/>
        <v>영등포동</v>
      </c>
      <c r="H3596" t="s">
        <v>7290</v>
      </c>
      <c r="I3596">
        <v>7301</v>
      </c>
    </row>
    <row r="3597" spans="1:9" x14ac:dyDescent="0.4">
      <c r="A3597">
        <v>3180000</v>
      </c>
      <c r="B3597" t="s">
        <v>6811</v>
      </c>
      <c r="C3597" s="1">
        <v>42172</v>
      </c>
      <c r="D3597" t="s">
        <v>6812</v>
      </c>
      <c r="E3597" t="str">
        <f t="shared" si="179"/>
        <v>서울특별시</v>
      </c>
      <c r="F3597" t="str">
        <f t="shared" si="180"/>
        <v>영등포구</v>
      </c>
      <c r="G3597" t="str">
        <f t="shared" si="178"/>
        <v>영등포동</v>
      </c>
      <c r="H3597" t="s">
        <v>6813</v>
      </c>
      <c r="I3597">
        <v>7305</v>
      </c>
    </row>
    <row r="3598" spans="1:9" x14ac:dyDescent="0.4">
      <c r="A3598">
        <v>3180000</v>
      </c>
      <c r="B3598" t="s">
        <v>6800</v>
      </c>
      <c r="C3598" s="1">
        <v>41991</v>
      </c>
      <c r="D3598" t="s">
        <v>6801</v>
      </c>
      <c r="E3598" t="str">
        <f t="shared" si="179"/>
        <v>서울특별시</v>
      </c>
      <c r="F3598" t="str">
        <f t="shared" si="180"/>
        <v>영등포구</v>
      </c>
      <c r="G3598" t="str">
        <f t="shared" si="178"/>
        <v>영등포동</v>
      </c>
      <c r="H3598" t="s">
        <v>6802</v>
      </c>
      <c r="I3598">
        <v>7305</v>
      </c>
    </row>
    <row r="3599" spans="1:9" x14ac:dyDescent="0.4">
      <c r="A3599">
        <v>3180000</v>
      </c>
      <c r="B3599" t="s">
        <v>69</v>
      </c>
      <c r="C3599" s="1">
        <v>45922</v>
      </c>
      <c r="D3599" t="s">
        <v>70</v>
      </c>
      <c r="E3599" t="str">
        <f t="shared" si="179"/>
        <v>서울특별시</v>
      </c>
      <c r="F3599" t="str">
        <f t="shared" si="180"/>
        <v>영등포구</v>
      </c>
      <c r="G3599" t="str">
        <f t="shared" si="178"/>
        <v>영등포동</v>
      </c>
      <c r="H3599" t="s">
        <v>71</v>
      </c>
      <c r="I3599">
        <v>7305</v>
      </c>
    </row>
    <row r="3600" spans="1:9" x14ac:dyDescent="0.4">
      <c r="A3600">
        <v>3180000</v>
      </c>
      <c r="B3600" t="s">
        <v>6557</v>
      </c>
      <c r="C3600" s="1">
        <v>26172</v>
      </c>
      <c r="D3600" t="s">
        <v>6558</v>
      </c>
      <c r="E3600" t="str">
        <f t="shared" si="179"/>
        <v>서울특별시</v>
      </c>
      <c r="F3600" t="str">
        <f t="shared" si="180"/>
        <v>영등포구</v>
      </c>
      <c r="G3600" t="str">
        <f t="shared" si="178"/>
        <v>영등포동</v>
      </c>
    </row>
    <row r="3601" spans="1:9" x14ac:dyDescent="0.4">
      <c r="A3601">
        <v>3180000</v>
      </c>
      <c r="B3601" t="s">
        <v>7463</v>
      </c>
      <c r="C3601" s="1">
        <v>36559</v>
      </c>
      <c r="D3601" t="s">
        <v>7464</v>
      </c>
      <c r="E3601" t="str">
        <f t="shared" si="179"/>
        <v>서울특별시</v>
      </c>
      <c r="F3601" t="str">
        <f t="shared" si="180"/>
        <v>영등포구</v>
      </c>
      <c r="G3601" t="str">
        <f t="shared" si="178"/>
        <v>영등포동</v>
      </c>
      <c r="H3601" t="s">
        <v>7465</v>
      </c>
      <c r="I3601">
        <v>7250</v>
      </c>
    </row>
    <row r="3602" spans="1:9" x14ac:dyDescent="0.4">
      <c r="A3602">
        <v>3180000</v>
      </c>
      <c r="B3602" t="s">
        <v>7054</v>
      </c>
      <c r="C3602" s="1">
        <v>30820</v>
      </c>
      <c r="D3602" t="s">
        <v>7055</v>
      </c>
      <c r="E3602" t="str">
        <f t="shared" si="179"/>
        <v>서울특별시</v>
      </c>
      <c r="F3602" t="str">
        <f t="shared" si="180"/>
        <v>영등포구</v>
      </c>
      <c r="G3602" t="str">
        <f t="shared" si="178"/>
        <v>영등포동</v>
      </c>
    </row>
    <row r="3603" spans="1:9" x14ac:dyDescent="0.4">
      <c r="A3603">
        <v>3180000</v>
      </c>
      <c r="B3603" t="s">
        <v>6737</v>
      </c>
      <c r="C3603" s="1">
        <v>41436</v>
      </c>
      <c r="D3603" t="s">
        <v>6738</v>
      </c>
      <c r="E3603" t="str">
        <f t="shared" si="179"/>
        <v>서울특별시</v>
      </c>
      <c r="F3603" t="str">
        <f t="shared" si="180"/>
        <v>영등포구</v>
      </c>
      <c r="G3603" t="str">
        <f t="shared" si="178"/>
        <v>영등포동</v>
      </c>
      <c r="H3603" t="s">
        <v>6739</v>
      </c>
      <c r="I3603">
        <v>7250</v>
      </c>
    </row>
    <row r="3604" spans="1:9" x14ac:dyDescent="0.4">
      <c r="A3604">
        <v>3180000</v>
      </c>
      <c r="B3604" t="s">
        <v>7208</v>
      </c>
      <c r="C3604" s="1">
        <v>35285</v>
      </c>
      <c r="D3604" t="s">
        <v>7209</v>
      </c>
      <c r="E3604" t="str">
        <f t="shared" si="179"/>
        <v>서울특별시</v>
      </c>
      <c r="F3604" t="str">
        <f t="shared" si="180"/>
        <v>영등포구</v>
      </c>
      <c r="G3604" t="str">
        <f t="shared" si="178"/>
        <v>영등포동</v>
      </c>
    </row>
    <row r="3605" spans="1:9" x14ac:dyDescent="0.4">
      <c r="A3605">
        <v>3180000</v>
      </c>
      <c r="B3605" t="s">
        <v>6572</v>
      </c>
      <c r="C3605" s="1">
        <v>29938</v>
      </c>
      <c r="D3605" t="s">
        <v>6573</v>
      </c>
      <c r="E3605" t="str">
        <f t="shared" si="179"/>
        <v>서울특별시</v>
      </c>
      <c r="F3605" t="str">
        <f t="shared" si="180"/>
        <v>영등포구</v>
      </c>
      <c r="G3605" t="str">
        <f t="shared" si="178"/>
        <v>영등포동</v>
      </c>
    </row>
    <row r="3606" spans="1:9" x14ac:dyDescent="0.4">
      <c r="A3606">
        <v>3180000</v>
      </c>
      <c r="B3606" t="s">
        <v>7282</v>
      </c>
      <c r="C3606" s="1">
        <v>36437</v>
      </c>
      <c r="D3606" t="s">
        <v>7283</v>
      </c>
      <c r="E3606" t="str">
        <f t="shared" si="179"/>
        <v>서울특별시</v>
      </c>
      <c r="F3606" t="str">
        <f t="shared" si="180"/>
        <v>영등포구</v>
      </c>
      <c r="G3606" t="str">
        <f t="shared" si="178"/>
        <v>영등포동</v>
      </c>
      <c r="H3606" t="s">
        <v>7284</v>
      </c>
      <c r="I3606">
        <v>7250</v>
      </c>
    </row>
    <row r="3607" spans="1:9" x14ac:dyDescent="0.4">
      <c r="A3607">
        <v>3180000</v>
      </c>
      <c r="B3607" t="s">
        <v>7466</v>
      </c>
      <c r="C3607" s="1">
        <v>36578</v>
      </c>
      <c r="D3607" t="s">
        <v>7467</v>
      </c>
      <c r="E3607" t="str">
        <f t="shared" si="179"/>
        <v>서울특별시</v>
      </c>
      <c r="F3607" t="str">
        <f t="shared" si="180"/>
        <v>영등포구</v>
      </c>
      <c r="G3607" t="str">
        <f t="shared" si="178"/>
        <v>영등포동</v>
      </c>
      <c r="H3607" t="s">
        <v>7468</v>
      </c>
      <c r="I3607">
        <v>7250</v>
      </c>
    </row>
    <row r="3608" spans="1:9" x14ac:dyDescent="0.4">
      <c r="A3608">
        <v>3180000</v>
      </c>
      <c r="B3608" t="s">
        <v>7188</v>
      </c>
      <c r="C3608" s="1">
        <v>36539</v>
      </c>
      <c r="D3608" t="s">
        <v>7189</v>
      </c>
      <c r="E3608" t="str">
        <f t="shared" si="179"/>
        <v>서울특별시</v>
      </c>
      <c r="F3608" t="str">
        <f t="shared" si="180"/>
        <v>영등포구</v>
      </c>
      <c r="G3608" t="str">
        <f t="shared" si="178"/>
        <v>영등포동</v>
      </c>
    </row>
    <row r="3609" spans="1:9" x14ac:dyDescent="0.4">
      <c r="A3609">
        <v>3180000</v>
      </c>
      <c r="B3609" t="s">
        <v>7521</v>
      </c>
      <c r="C3609" s="1">
        <v>37084</v>
      </c>
      <c r="D3609" t="s">
        <v>7522</v>
      </c>
      <c r="E3609" t="str">
        <f t="shared" si="179"/>
        <v>서울특별시</v>
      </c>
      <c r="F3609" t="str">
        <f t="shared" si="180"/>
        <v>영등포구</v>
      </c>
      <c r="G3609" t="str">
        <f t="shared" si="178"/>
        <v>영등포동</v>
      </c>
      <c r="H3609" t="s">
        <v>7523</v>
      </c>
      <c r="I3609">
        <v>7226</v>
      </c>
    </row>
    <row r="3610" spans="1:9" x14ac:dyDescent="0.4">
      <c r="A3610">
        <v>3020000</v>
      </c>
      <c r="B3610" t="s">
        <v>3011</v>
      </c>
      <c r="C3610" s="1">
        <v>36263</v>
      </c>
      <c r="D3610" t="s">
        <v>3012</v>
      </c>
      <c r="E3610" t="str">
        <f t="shared" si="179"/>
        <v>서울특별시</v>
      </c>
      <c r="F3610" t="str">
        <f t="shared" si="180"/>
        <v xml:space="preserve">용산구 </v>
      </c>
      <c r="G3610" t="str">
        <f t="shared" ref="G3610:G3650" si="181">MID(SUBSTITUTE(D3610," ",""),9,3)</f>
        <v>갈월동</v>
      </c>
    </row>
    <row r="3611" spans="1:9" x14ac:dyDescent="0.4">
      <c r="A3611">
        <v>3020000</v>
      </c>
      <c r="B3611" t="s">
        <v>3013</v>
      </c>
      <c r="C3611" s="1">
        <v>36298</v>
      </c>
      <c r="D3611" t="s">
        <v>3014</v>
      </c>
      <c r="E3611" t="str">
        <f t="shared" si="179"/>
        <v>서울특별시</v>
      </c>
      <c r="F3611" t="str">
        <f t="shared" si="180"/>
        <v xml:space="preserve">용산구 </v>
      </c>
      <c r="G3611" t="str">
        <f t="shared" si="181"/>
        <v>갈월동</v>
      </c>
    </row>
    <row r="3612" spans="1:9" x14ac:dyDescent="0.4">
      <c r="A3612">
        <v>3020000</v>
      </c>
      <c r="B3612" t="s">
        <v>2985</v>
      </c>
      <c r="C3612" s="1">
        <v>26040</v>
      </c>
      <c r="D3612" t="s">
        <v>2986</v>
      </c>
      <c r="E3612" t="str">
        <f t="shared" si="179"/>
        <v>서울특별시</v>
      </c>
      <c r="F3612" t="str">
        <f t="shared" si="180"/>
        <v xml:space="preserve">용산구 </v>
      </c>
      <c r="G3612" t="str">
        <f t="shared" si="181"/>
        <v>갈월동</v>
      </c>
    </row>
    <row r="3613" spans="1:9" x14ac:dyDescent="0.4">
      <c r="A3613">
        <v>3020000</v>
      </c>
      <c r="B3613" t="s">
        <v>2898</v>
      </c>
      <c r="C3613" s="1">
        <v>36823</v>
      </c>
      <c r="D3613" t="s">
        <v>2899</v>
      </c>
      <c r="E3613" t="str">
        <f t="shared" si="179"/>
        <v>서울특별시</v>
      </c>
      <c r="F3613" t="str">
        <f t="shared" si="180"/>
        <v xml:space="preserve">용산구 </v>
      </c>
      <c r="G3613" t="str">
        <f t="shared" si="181"/>
        <v>갈월동</v>
      </c>
    </row>
    <row r="3614" spans="1:9" x14ac:dyDescent="0.4">
      <c r="A3614">
        <v>3020000</v>
      </c>
      <c r="B3614" t="s">
        <v>2970</v>
      </c>
      <c r="C3614" s="1">
        <v>37232</v>
      </c>
      <c r="D3614" t="s">
        <v>2971</v>
      </c>
      <c r="E3614" t="str">
        <f t="shared" si="179"/>
        <v>서울특별시</v>
      </c>
      <c r="F3614" t="str">
        <f t="shared" si="180"/>
        <v xml:space="preserve">용산구 </v>
      </c>
      <c r="G3614" t="str">
        <f t="shared" si="181"/>
        <v>갈월동</v>
      </c>
    </row>
    <row r="3615" spans="1:9" x14ac:dyDescent="0.4">
      <c r="A3615">
        <v>3020000</v>
      </c>
      <c r="B3615" t="s">
        <v>2989</v>
      </c>
      <c r="C3615" s="1">
        <v>26661</v>
      </c>
      <c r="D3615" t="s">
        <v>2990</v>
      </c>
      <c r="E3615" t="str">
        <f t="shared" si="179"/>
        <v>서울특별시</v>
      </c>
      <c r="F3615" t="str">
        <f t="shared" si="180"/>
        <v xml:space="preserve">용산구 </v>
      </c>
      <c r="G3615" t="str">
        <f t="shared" si="181"/>
        <v>갈월동</v>
      </c>
    </row>
    <row r="3616" spans="1:9" x14ac:dyDescent="0.4">
      <c r="A3616">
        <v>3020000</v>
      </c>
      <c r="B3616" t="s">
        <v>2976</v>
      </c>
      <c r="C3616" s="1">
        <v>24873</v>
      </c>
      <c r="D3616" t="s">
        <v>2977</v>
      </c>
      <c r="E3616" t="str">
        <f t="shared" si="179"/>
        <v>서울특별시</v>
      </c>
      <c r="F3616" t="str">
        <f t="shared" si="180"/>
        <v xml:space="preserve">용산구 </v>
      </c>
      <c r="G3616" t="str">
        <f t="shared" si="181"/>
        <v>갈월동</v>
      </c>
    </row>
    <row r="3617" spans="1:9" x14ac:dyDescent="0.4">
      <c r="A3617">
        <v>3020000</v>
      </c>
      <c r="B3617" t="s">
        <v>2950</v>
      </c>
      <c r="C3617" s="1">
        <v>36458</v>
      </c>
      <c r="D3617" t="s">
        <v>2951</v>
      </c>
      <c r="E3617" t="str">
        <f t="shared" si="179"/>
        <v>서울특별시</v>
      </c>
      <c r="F3617" t="str">
        <f t="shared" si="180"/>
        <v xml:space="preserve">용산구 </v>
      </c>
      <c r="G3617" t="str">
        <f t="shared" si="181"/>
        <v>갈월동</v>
      </c>
      <c r="H3617" t="s">
        <v>2952</v>
      </c>
      <c r="I3617">
        <v>4322</v>
      </c>
    </row>
    <row r="3618" spans="1:9" x14ac:dyDescent="0.4">
      <c r="A3618">
        <v>3020000</v>
      </c>
      <c r="B3618" t="s">
        <v>2962</v>
      </c>
      <c r="C3618" s="1">
        <v>36836</v>
      </c>
      <c r="D3618" t="s">
        <v>2963</v>
      </c>
      <c r="E3618" t="str">
        <f t="shared" si="179"/>
        <v>서울특별시</v>
      </c>
      <c r="F3618" t="str">
        <f t="shared" si="180"/>
        <v xml:space="preserve">용산구 </v>
      </c>
      <c r="G3618" t="str">
        <f t="shared" si="181"/>
        <v>남영동</v>
      </c>
      <c r="H3618" t="s">
        <v>2964</v>
      </c>
      <c r="I3618">
        <v>4352</v>
      </c>
    </row>
    <row r="3619" spans="1:9" x14ac:dyDescent="0.4">
      <c r="A3619">
        <v>3020000</v>
      </c>
      <c r="B3619" t="s">
        <v>2956</v>
      </c>
      <c r="C3619" s="1">
        <v>36609</v>
      </c>
      <c r="D3619" t="s">
        <v>2957</v>
      </c>
      <c r="E3619" t="str">
        <f t="shared" si="179"/>
        <v>서울특별시</v>
      </c>
      <c r="F3619" t="str">
        <f t="shared" si="180"/>
        <v xml:space="preserve">용산구 </v>
      </c>
      <c r="G3619" t="str">
        <f t="shared" si="181"/>
        <v>남영동</v>
      </c>
      <c r="H3619" t="s">
        <v>2958</v>
      </c>
      <c r="I3619">
        <v>4352</v>
      </c>
    </row>
    <row r="3620" spans="1:9" x14ac:dyDescent="0.4">
      <c r="A3620">
        <v>3020000</v>
      </c>
      <c r="B3620" t="s">
        <v>3051</v>
      </c>
      <c r="C3620" s="1">
        <v>30664</v>
      </c>
      <c r="D3620" t="s">
        <v>3052</v>
      </c>
      <c r="E3620" t="str">
        <f t="shared" si="179"/>
        <v>서울특별시</v>
      </c>
      <c r="F3620" t="str">
        <f t="shared" si="180"/>
        <v xml:space="preserve">용산구 </v>
      </c>
      <c r="G3620" t="str">
        <f t="shared" si="181"/>
        <v>남영동</v>
      </c>
    </row>
    <row r="3621" spans="1:9" x14ac:dyDescent="0.4">
      <c r="A3621">
        <v>3020000</v>
      </c>
      <c r="B3621" t="s">
        <v>2924</v>
      </c>
      <c r="C3621" s="1">
        <v>37105</v>
      </c>
      <c r="D3621" t="s">
        <v>2925</v>
      </c>
      <c r="E3621" t="str">
        <f t="shared" si="179"/>
        <v>서울특별시</v>
      </c>
      <c r="F3621" t="str">
        <f t="shared" si="180"/>
        <v xml:space="preserve">용산구 </v>
      </c>
      <c r="G3621" t="str">
        <f t="shared" si="181"/>
        <v>남영동</v>
      </c>
      <c r="H3621" t="s">
        <v>2926</v>
      </c>
      <c r="I3621">
        <v>4352</v>
      </c>
    </row>
    <row r="3622" spans="1:9" x14ac:dyDescent="0.4">
      <c r="A3622">
        <v>3020000</v>
      </c>
      <c r="B3622" t="s">
        <v>3002</v>
      </c>
      <c r="C3622" s="1">
        <v>36844</v>
      </c>
      <c r="D3622" t="s">
        <v>3003</v>
      </c>
      <c r="E3622" t="str">
        <f t="shared" si="179"/>
        <v>서울특별시</v>
      </c>
      <c r="F3622" t="str">
        <f t="shared" si="180"/>
        <v xml:space="preserve">용산구 </v>
      </c>
      <c r="G3622" t="str">
        <f t="shared" si="181"/>
        <v>동자동</v>
      </c>
      <c r="H3622" t="s">
        <v>3004</v>
      </c>
      <c r="I3622">
        <v>4320</v>
      </c>
    </row>
    <row r="3623" spans="1:9" x14ac:dyDescent="0.4">
      <c r="A3623">
        <v>3020000</v>
      </c>
      <c r="B3623" t="s">
        <v>2900</v>
      </c>
      <c r="C3623" s="1">
        <v>31350</v>
      </c>
      <c r="D3623" t="s">
        <v>2901</v>
      </c>
      <c r="E3623" t="str">
        <f t="shared" si="179"/>
        <v>서울특별시</v>
      </c>
      <c r="F3623" t="str">
        <f t="shared" si="180"/>
        <v xml:space="preserve">용산구 </v>
      </c>
      <c r="G3623" t="str">
        <f t="shared" si="181"/>
        <v>동자동</v>
      </c>
      <c r="H3623" t="s">
        <v>2902</v>
      </c>
      <c r="I3623">
        <v>4320</v>
      </c>
    </row>
    <row r="3624" spans="1:9" x14ac:dyDescent="0.4">
      <c r="A3624">
        <v>3020000</v>
      </c>
      <c r="B3624" t="s">
        <v>3028</v>
      </c>
      <c r="C3624" s="1">
        <v>36602</v>
      </c>
      <c r="D3624" t="s">
        <v>3029</v>
      </c>
      <c r="E3624" t="str">
        <f t="shared" si="179"/>
        <v>서울특별시</v>
      </c>
      <c r="F3624" t="str">
        <f t="shared" si="180"/>
        <v xml:space="preserve">용산구 </v>
      </c>
      <c r="G3624" t="str">
        <f t="shared" si="181"/>
        <v>동자동</v>
      </c>
    </row>
    <row r="3625" spans="1:9" x14ac:dyDescent="0.4">
      <c r="A3625">
        <v>3020000</v>
      </c>
      <c r="B3625" t="s">
        <v>3030</v>
      </c>
      <c r="C3625" s="1">
        <v>36643</v>
      </c>
      <c r="D3625" t="s">
        <v>3031</v>
      </c>
      <c r="E3625" t="str">
        <f t="shared" si="179"/>
        <v>서울특별시</v>
      </c>
      <c r="F3625" t="str">
        <f t="shared" si="180"/>
        <v xml:space="preserve">용산구 </v>
      </c>
      <c r="G3625" t="str">
        <f t="shared" si="181"/>
        <v>동자동</v>
      </c>
    </row>
    <row r="3626" spans="1:9" x14ac:dyDescent="0.4">
      <c r="A3626">
        <v>3020000</v>
      </c>
      <c r="B3626" t="s">
        <v>2974</v>
      </c>
      <c r="C3626" s="1">
        <v>37751</v>
      </c>
      <c r="D3626" t="s">
        <v>2975</v>
      </c>
      <c r="E3626" t="str">
        <f t="shared" si="179"/>
        <v>서울특별시</v>
      </c>
      <c r="F3626" t="str">
        <f t="shared" si="180"/>
        <v xml:space="preserve">용산구 </v>
      </c>
      <c r="G3626" t="str">
        <f t="shared" si="181"/>
        <v>동자동</v>
      </c>
    </row>
    <row r="3627" spans="1:9" x14ac:dyDescent="0.4">
      <c r="A3627">
        <v>3020000</v>
      </c>
      <c r="B3627" t="s">
        <v>2882</v>
      </c>
      <c r="C3627" s="1">
        <v>36680</v>
      </c>
      <c r="D3627" t="s">
        <v>2883</v>
      </c>
      <c r="E3627" t="str">
        <f t="shared" si="179"/>
        <v>서울특별시</v>
      </c>
      <c r="F3627" t="str">
        <f t="shared" si="180"/>
        <v xml:space="preserve">용산구 </v>
      </c>
      <c r="G3627" t="str">
        <f t="shared" si="181"/>
        <v>동자동</v>
      </c>
    </row>
    <row r="3628" spans="1:9" x14ac:dyDescent="0.4">
      <c r="A3628">
        <v>3020000</v>
      </c>
      <c r="B3628" t="s">
        <v>3020</v>
      </c>
      <c r="C3628" s="1">
        <v>36482</v>
      </c>
      <c r="D3628" t="s">
        <v>2883</v>
      </c>
      <c r="E3628" t="str">
        <f t="shared" si="179"/>
        <v>서울특별시</v>
      </c>
      <c r="F3628" t="str">
        <f t="shared" si="180"/>
        <v xml:space="preserve">용산구 </v>
      </c>
      <c r="G3628" t="str">
        <f t="shared" si="181"/>
        <v>동자동</v>
      </c>
    </row>
    <row r="3629" spans="1:9" x14ac:dyDescent="0.4">
      <c r="A3629">
        <v>3020000</v>
      </c>
      <c r="B3629" t="s">
        <v>3055</v>
      </c>
      <c r="C3629" s="1">
        <v>31170</v>
      </c>
      <c r="D3629" t="s">
        <v>2883</v>
      </c>
      <c r="E3629" t="str">
        <f t="shared" si="179"/>
        <v>서울특별시</v>
      </c>
      <c r="F3629" t="str">
        <f t="shared" si="180"/>
        <v xml:space="preserve">용산구 </v>
      </c>
      <c r="G3629" t="str">
        <f t="shared" si="181"/>
        <v>동자동</v>
      </c>
    </row>
    <row r="3630" spans="1:9" x14ac:dyDescent="0.4">
      <c r="A3630">
        <v>3020000</v>
      </c>
      <c r="B3630" t="s">
        <v>3098</v>
      </c>
      <c r="C3630" s="1">
        <v>36668</v>
      </c>
      <c r="D3630" t="s">
        <v>3099</v>
      </c>
      <c r="E3630" t="str">
        <f t="shared" si="179"/>
        <v>서울특별시</v>
      </c>
      <c r="F3630" t="str">
        <f t="shared" si="180"/>
        <v xml:space="preserve">용산구 </v>
      </c>
      <c r="G3630" t="str">
        <f t="shared" si="181"/>
        <v>동자동</v>
      </c>
    </row>
    <row r="3631" spans="1:9" x14ac:dyDescent="0.4">
      <c r="A3631">
        <v>3020000</v>
      </c>
      <c r="B3631" t="s">
        <v>2944</v>
      </c>
      <c r="C3631" s="1">
        <v>37013</v>
      </c>
      <c r="D3631" t="s">
        <v>2945</v>
      </c>
      <c r="E3631" t="str">
        <f t="shared" si="179"/>
        <v>서울특별시</v>
      </c>
      <c r="F3631" t="str">
        <f t="shared" si="180"/>
        <v xml:space="preserve">용산구 </v>
      </c>
      <c r="G3631" t="str">
        <f t="shared" si="181"/>
        <v>동자동</v>
      </c>
      <c r="H3631" t="s">
        <v>2946</v>
      </c>
      <c r="I3631">
        <v>4320</v>
      </c>
    </row>
    <row r="3632" spans="1:9" x14ac:dyDescent="0.4">
      <c r="A3632">
        <v>3020000</v>
      </c>
      <c r="B3632" t="s">
        <v>3023</v>
      </c>
      <c r="C3632" s="1">
        <v>36501</v>
      </c>
      <c r="D3632" t="s">
        <v>3024</v>
      </c>
      <c r="E3632" t="str">
        <f t="shared" si="179"/>
        <v>서울특별시</v>
      </c>
      <c r="F3632" t="str">
        <f t="shared" si="180"/>
        <v xml:space="preserve">용산구 </v>
      </c>
      <c r="G3632" t="str">
        <f t="shared" si="181"/>
        <v>동자동</v>
      </c>
    </row>
    <row r="3633" spans="1:9" x14ac:dyDescent="0.4">
      <c r="A3633">
        <v>3020000</v>
      </c>
      <c r="B3633" t="s">
        <v>3100</v>
      </c>
      <c r="C3633" s="1">
        <v>36680</v>
      </c>
      <c r="D3633" t="s">
        <v>3101</v>
      </c>
      <c r="E3633" t="str">
        <f t="shared" si="179"/>
        <v>서울특별시</v>
      </c>
      <c r="F3633" t="str">
        <f t="shared" si="180"/>
        <v xml:space="preserve">용산구 </v>
      </c>
      <c r="G3633" t="str">
        <f t="shared" si="181"/>
        <v>동자동</v>
      </c>
      <c r="H3633" t="s">
        <v>3102</v>
      </c>
      <c r="I3633">
        <v>4320</v>
      </c>
    </row>
    <row r="3634" spans="1:9" x14ac:dyDescent="0.4">
      <c r="A3634">
        <v>3020000</v>
      </c>
      <c r="B3634" t="s">
        <v>2884</v>
      </c>
      <c r="C3634" s="1">
        <v>36741</v>
      </c>
      <c r="D3634" t="s">
        <v>2885</v>
      </c>
      <c r="E3634" t="str">
        <f t="shared" si="179"/>
        <v>서울특별시</v>
      </c>
      <c r="F3634" t="str">
        <f t="shared" si="180"/>
        <v xml:space="preserve">용산구 </v>
      </c>
      <c r="G3634" t="str">
        <f t="shared" si="181"/>
        <v>동자동</v>
      </c>
    </row>
    <row r="3635" spans="1:9" x14ac:dyDescent="0.4">
      <c r="A3635">
        <v>3020000</v>
      </c>
      <c r="B3635" t="s">
        <v>2972</v>
      </c>
      <c r="C3635" s="1">
        <v>37344</v>
      </c>
      <c r="D3635" t="s">
        <v>2973</v>
      </c>
      <c r="E3635" t="str">
        <f t="shared" si="179"/>
        <v>서울특별시</v>
      </c>
      <c r="F3635" t="str">
        <f t="shared" si="180"/>
        <v xml:space="preserve">용산구 </v>
      </c>
      <c r="G3635" t="str">
        <f t="shared" si="181"/>
        <v>동자동</v>
      </c>
    </row>
    <row r="3636" spans="1:9" x14ac:dyDescent="0.4">
      <c r="A3636">
        <v>3020000</v>
      </c>
      <c r="B3636" t="s">
        <v>3036</v>
      </c>
      <c r="C3636" s="1">
        <v>36684</v>
      </c>
      <c r="D3636" t="s">
        <v>3037</v>
      </c>
      <c r="E3636" t="str">
        <f t="shared" si="179"/>
        <v>서울특별시</v>
      </c>
      <c r="F3636" t="str">
        <f t="shared" si="180"/>
        <v xml:space="preserve">용산구 </v>
      </c>
      <c r="G3636" t="str">
        <f t="shared" si="181"/>
        <v>동자동</v>
      </c>
    </row>
    <row r="3637" spans="1:9" x14ac:dyDescent="0.4">
      <c r="A3637">
        <v>3020000</v>
      </c>
      <c r="B3637" t="s">
        <v>3021</v>
      </c>
      <c r="C3637" s="1">
        <v>36486</v>
      </c>
      <c r="D3637" t="s">
        <v>3022</v>
      </c>
      <c r="E3637" t="str">
        <f t="shared" si="179"/>
        <v>서울특별시</v>
      </c>
      <c r="F3637" t="str">
        <f t="shared" si="180"/>
        <v xml:space="preserve">용산구 </v>
      </c>
      <c r="G3637" t="str">
        <f t="shared" si="181"/>
        <v>서계동</v>
      </c>
    </row>
    <row r="3638" spans="1:9" x14ac:dyDescent="0.4">
      <c r="A3638">
        <v>3020000</v>
      </c>
      <c r="B3638" t="s">
        <v>3048</v>
      </c>
      <c r="C3638" s="1">
        <v>29942</v>
      </c>
      <c r="D3638" t="s">
        <v>3049</v>
      </c>
      <c r="E3638" t="str">
        <f t="shared" si="179"/>
        <v>서울특별시</v>
      </c>
      <c r="F3638" t="str">
        <f t="shared" si="180"/>
        <v xml:space="preserve">용산구 </v>
      </c>
      <c r="G3638" t="str">
        <f t="shared" si="181"/>
        <v>원효로</v>
      </c>
      <c r="H3638" t="s">
        <v>3050</v>
      </c>
      <c r="I3638">
        <v>4367</v>
      </c>
    </row>
    <row r="3639" spans="1:9" x14ac:dyDescent="0.4">
      <c r="A3639">
        <v>3020000</v>
      </c>
      <c r="B3639" t="s">
        <v>2909</v>
      </c>
      <c r="C3639" s="1">
        <v>36764</v>
      </c>
      <c r="D3639" t="s">
        <v>2910</v>
      </c>
      <c r="E3639" t="str">
        <f t="shared" si="179"/>
        <v>서울특별시</v>
      </c>
      <c r="F3639" t="str">
        <f t="shared" si="180"/>
        <v xml:space="preserve">용산구 </v>
      </c>
      <c r="G3639" t="str">
        <f t="shared" si="181"/>
        <v>원효로</v>
      </c>
      <c r="H3639" t="s">
        <v>2911</v>
      </c>
      <c r="I3639">
        <v>4364</v>
      </c>
    </row>
    <row r="3640" spans="1:9" x14ac:dyDescent="0.4">
      <c r="A3640">
        <v>3020000</v>
      </c>
      <c r="B3640" t="s">
        <v>2936</v>
      </c>
      <c r="C3640" s="1">
        <v>26380</v>
      </c>
      <c r="D3640" t="s">
        <v>2937</v>
      </c>
      <c r="E3640" t="str">
        <f t="shared" si="179"/>
        <v>서울특별시</v>
      </c>
      <c r="F3640" t="str">
        <f t="shared" si="180"/>
        <v xml:space="preserve">용산구 </v>
      </c>
      <c r="G3640" t="str">
        <f t="shared" si="181"/>
        <v>원효로</v>
      </c>
      <c r="H3640" t="s">
        <v>2938</v>
      </c>
      <c r="I3640">
        <v>4364</v>
      </c>
    </row>
    <row r="3641" spans="1:9" x14ac:dyDescent="0.4">
      <c r="A3641">
        <v>3020000</v>
      </c>
      <c r="B3641" t="s">
        <v>3025</v>
      </c>
      <c r="C3641" s="1">
        <v>36501</v>
      </c>
      <c r="D3641" t="s">
        <v>3026</v>
      </c>
      <c r="E3641" t="str">
        <f t="shared" si="179"/>
        <v>서울특별시</v>
      </c>
      <c r="F3641" t="str">
        <f t="shared" si="180"/>
        <v xml:space="preserve">용산구 </v>
      </c>
      <c r="G3641" t="str">
        <f t="shared" si="181"/>
        <v>원효로</v>
      </c>
      <c r="H3641" t="s">
        <v>3027</v>
      </c>
      <c r="I3641">
        <v>4363</v>
      </c>
    </row>
    <row r="3642" spans="1:9" x14ac:dyDescent="0.4">
      <c r="A3642">
        <v>3020000</v>
      </c>
      <c r="B3642" t="s">
        <v>2927</v>
      </c>
      <c r="C3642" s="1">
        <v>37347</v>
      </c>
      <c r="D3642" t="s">
        <v>2928</v>
      </c>
      <c r="E3642" t="str">
        <f t="shared" si="179"/>
        <v>서울특별시</v>
      </c>
      <c r="F3642" t="str">
        <f t="shared" si="180"/>
        <v xml:space="preserve">용산구 </v>
      </c>
      <c r="G3642" t="str">
        <f t="shared" si="181"/>
        <v>원효로</v>
      </c>
      <c r="H3642" t="s">
        <v>2929</v>
      </c>
      <c r="I3642">
        <v>4363</v>
      </c>
    </row>
    <row r="3643" spans="1:9" x14ac:dyDescent="0.4">
      <c r="A3643">
        <v>3020000</v>
      </c>
      <c r="B3643" t="s">
        <v>2953</v>
      </c>
      <c r="C3643" s="1">
        <v>36458</v>
      </c>
      <c r="D3643" t="s">
        <v>2954</v>
      </c>
      <c r="E3643" t="str">
        <f t="shared" si="179"/>
        <v>서울특별시</v>
      </c>
      <c r="F3643" t="str">
        <f t="shared" si="180"/>
        <v xml:space="preserve">용산구 </v>
      </c>
      <c r="G3643" t="str">
        <f t="shared" si="181"/>
        <v>원효로</v>
      </c>
      <c r="H3643" t="s">
        <v>2955</v>
      </c>
      <c r="I3643">
        <v>4366</v>
      </c>
    </row>
    <row r="3644" spans="1:9" x14ac:dyDescent="0.4">
      <c r="A3644">
        <v>3020000</v>
      </c>
      <c r="B3644" t="s">
        <v>3017</v>
      </c>
      <c r="C3644" s="1">
        <v>36385</v>
      </c>
      <c r="D3644" t="s">
        <v>3018</v>
      </c>
      <c r="E3644" t="str">
        <f t="shared" si="179"/>
        <v>서울특별시</v>
      </c>
      <c r="F3644" t="str">
        <f t="shared" si="180"/>
        <v xml:space="preserve">용산구 </v>
      </c>
      <c r="G3644" t="str">
        <f t="shared" si="181"/>
        <v>원효로</v>
      </c>
      <c r="H3644" t="s">
        <v>3019</v>
      </c>
      <c r="I3644">
        <v>4363</v>
      </c>
    </row>
    <row r="3645" spans="1:9" x14ac:dyDescent="0.4">
      <c r="A3645">
        <v>3020000</v>
      </c>
      <c r="B3645" t="s">
        <v>2983</v>
      </c>
      <c r="C3645" s="1">
        <v>25987</v>
      </c>
      <c r="D3645" t="s">
        <v>2984</v>
      </c>
      <c r="E3645" t="str">
        <f t="shared" si="179"/>
        <v>서울특별시</v>
      </c>
      <c r="F3645" t="str">
        <f t="shared" si="180"/>
        <v xml:space="preserve">용산구 </v>
      </c>
      <c r="G3645" t="str">
        <f t="shared" si="181"/>
        <v>원효로</v>
      </c>
    </row>
    <row r="3646" spans="1:9" x14ac:dyDescent="0.4">
      <c r="A3646">
        <v>3020000</v>
      </c>
      <c r="B3646" t="s">
        <v>3060</v>
      </c>
      <c r="C3646" s="1">
        <v>31580</v>
      </c>
      <c r="D3646" t="s">
        <v>3061</v>
      </c>
      <c r="E3646" t="str">
        <f t="shared" si="179"/>
        <v>서울특별시</v>
      </c>
      <c r="F3646" t="str">
        <f t="shared" si="180"/>
        <v xml:space="preserve">용산구 </v>
      </c>
      <c r="G3646" t="str">
        <f t="shared" si="181"/>
        <v>원효로</v>
      </c>
    </row>
    <row r="3647" spans="1:9" x14ac:dyDescent="0.4">
      <c r="A3647">
        <v>3020000</v>
      </c>
      <c r="B3647" t="s">
        <v>3009</v>
      </c>
      <c r="C3647" s="1">
        <v>32307</v>
      </c>
      <c r="D3647" t="s">
        <v>3010</v>
      </c>
      <c r="E3647" t="str">
        <f t="shared" si="179"/>
        <v>서울특별시</v>
      </c>
      <c r="F3647" t="str">
        <f t="shared" si="180"/>
        <v xml:space="preserve">용산구 </v>
      </c>
      <c r="G3647" t="str">
        <f t="shared" si="181"/>
        <v>원효로</v>
      </c>
    </row>
    <row r="3648" spans="1:9" x14ac:dyDescent="0.4">
      <c r="A3648">
        <v>3020000</v>
      </c>
      <c r="B3648" t="s">
        <v>3073</v>
      </c>
      <c r="C3648" s="1">
        <v>28284</v>
      </c>
      <c r="D3648" t="s">
        <v>3074</v>
      </c>
      <c r="E3648" t="str">
        <f t="shared" si="179"/>
        <v>서울특별시</v>
      </c>
      <c r="F3648" t="str">
        <f t="shared" si="180"/>
        <v xml:space="preserve">용산구 </v>
      </c>
      <c r="G3648" t="str">
        <f t="shared" si="181"/>
        <v>이촌동</v>
      </c>
    </row>
    <row r="3649" spans="1:9" x14ac:dyDescent="0.4">
      <c r="A3649">
        <v>3020000</v>
      </c>
      <c r="B3649" t="s">
        <v>3075</v>
      </c>
      <c r="C3649" s="1">
        <v>28338</v>
      </c>
      <c r="D3649" t="s">
        <v>3076</v>
      </c>
      <c r="E3649" t="str">
        <f t="shared" si="179"/>
        <v>서울특별시</v>
      </c>
      <c r="F3649" t="str">
        <f t="shared" si="180"/>
        <v xml:space="preserve">용산구 </v>
      </c>
      <c r="G3649" t="str">
        <f t="shared" si="181"/>
        <v>이촌동</v>
      </c>
    </row>
    <row r="3650" spans="1:9" x14ac:dyDescent="0.4">
      <c r="A3650">
        <v>3020000</v>
      </c>
      <c r="B3650" t="s">
        <v>2903</v>
      </c>
      <c r="C3650" s="1">
        <v>28126</v>
      </c>
      <c r="D3650" t="s">
        <v>2904</v>
      </c>
      <c r="E3650" t="str">
        <f t="shared" si="179"/>
        <v>서울특별시</v>
      </c>
      <c r="F3650" t="str">
        <f t="shared" si="180"/>
        <v xml:space="preserve">용산구 </v>
      </c>
      <c r="G3650" t="str">
        <f t="shared" si="181"/>
        <v>이촌동</v>
      </c>
      <c r="H3650" t="s">
        <v>2905</v>
      </c>
      <c r="I3650">
        <v>4427</v>
      </c>
    </row>
    <row r="3651" spans="1:9" x14ac:dyDescent="0.4">
      <c r="A3651">
        <v>3020000</v>
      </c>
      <c r="B3651" t="s">
        <v>2918</v>
      </c>
      <c r="C3651" s="1">
        <v>41297</v>
      </c>
      <c r="D3651" t="s">
        <v>2919</v>
      </c>
      <c r="E3651" t="str">
        <f t="shared" ref="E3651:E3714" si="182">LEFT(D3651,5)</f>
        <v>서울특별시</v>
      </c>
      <c r="F3651" t="str">
        <f t="shared" ref="F3651:F3714" si="183">MID(D3651,7,4)</f>
        <v xml:space="preserve">용산구 </v>
      </c>
      <c r="G3651" t="str">
        <f>MID(SUBSTITUTE(D3651," ",""),9,4)</f>
        <v>이태원동</v>
      </c>
      <c r="H3651" t="s">
        <v>2920</v>
      </c>
    </row>
    <row r="3652" spans="1:9" x14ac:dyDescent="0.4">
      <c r="A3652">
        <v>3020000</v>
      </c>
      <c r="B3652" t="s">
        <v>2965</v>
      </c>
      <c r="C3652" s="1">
        <v>38726</v>
      </c>
      <c r="D3652" t="s">
        <v>2966</v>
      </c>
      <c r="E3652" t="str">
        <f t="shared" si="182"/>
        <v>서울특별시</v>
      </c>
      <c r="F3652" t="str">
        <f t="shared" si="183"/>
        <v xml:space="preserve">용산구 </v>
      </c>
      <c r="G3652" t="str">
        <f t="shared" ref="G3652:G3667" si="184">MID(SUBSTITUTE(D3652," ",""),9,4)</f>
        <v>이태원동</v>
      </c>
    </row>
    <row r="3653" spans="1:9" x14ac:dyDescent="0.4">
      <c r="A3653">
        <v>3020000</v>
      </c>
      <c r="B3653" t="s">
        <v>2915</v>
      </c>
      <c r="C3653" s="1">
        <v>41030</v>
      </c>
      <c r="D3653" t="s">
        <v>2916</v>
      </c>
      <c r="E3653" t="str">
        <f t="shared" si="182"/>
        <v>서울특별시</v>
      </c>
      <c r="F3653" t="str">
        <f t="shared" si="183"/>
        <v xml:space="preserve">용산구 </v>
      </c>
      <c r="G3653" t="str">
        <f t="shared" si="184"/>
        <v>이태원동</v>
      </c>
      <c r="H3653" t="s">
        <v>2917</v>
      </c>
      <c r="I3653">
        <v>4350</v>
      </c>
    </row>
    <row r="3654" spans="1:9" x14ac:dyDescent="0.4">
      <c r="A3654">
        <v>3020000</v>
      </c>
      <c r="B3654" t="s">
        <v>2912</v>
      </c>
      <c r="C3654" s="1">
        <v>40956</v>
      </c>
      <c r="D3654" t="s">
        <v>2913</v>
      </c>
      <c r="E3654" t="str">
        <f t="shared" si="182"/>
        <v>서울특별시</v>
      </c>
      <c r="F3654" t="str">
        <f t="shared" si="183"/>
        <v xml:space="preserve">용산구 </v>
      </c>
      <c r="G3654" t="str">
        <f t="shared" si="184"/>
        <v>이태원동</v>
      </c>
      <c r="H3654" t="s">
        <v>2914</v>
      </c>
      <c r="I3654">
        <v>4350</v>
      </c>
    </row>
    <row r="3655" spans="1:9" x14ac:dyDescent="0.4">
      <c r="A3655">
        <v>3020000</v>
      </c>
      <c r="B3655" t="s">
        <v>3071</v>
      </c>
      <c r="C3655" s="1">
        <v>28248</v>
      </c>
      <c r="D3655" t="s">
        <v>3072</v>
      </c>
      <c r="E3655" t="str">
        <f t="shared" si="182"/>
        <v>서울특별시</v>
      </c>
      <c r="F3655" t="str">
        <f t="shared" si="183"/>
        <v xml:space="preserve">용산구 </v>
      </c>
      <c r="G3655" t="str">
        <f t="shared" si="184"/>
        <v>이태원동</v>
      </c>
    </row>
    <row r="3656" spans="1:9" x14ac:dyDescent="0.4">
      <c r="A3656">
        <v>3020000</v>
      </c>
      <c r="B3656" t="s">
        <v>3087</v>
      </c>
      <c r="C3656" s="1">
        <v>32274</v>
      </c>
      <c r="D3656" t="s">
        <v>3088</v>
      </c>
      <c r="E3656" t="str">
        <f t="shared" si="182"/>
        <v>서울특별시</v>
      </c>
      <c r="F3656" t="str">
        <f t="shared" si="183"/>
        <v xml:space="preserve">용산구 </v>
      </c>
      <c r="G3656" t="str">
        <f t="shared" si="184"/>
        <v>이태원동</v>
      </c>
    </row>
    <row r="3657" spans="1:9" x14ac:dyDescent="0.4">
      <c r="A3657">
        <v>3020000</v>
      </c>
      <c r="B3657" t="s">
        <v>2978</v>
      </c>
      <c r="C3657" s="1">
        <v>25559</v>
      </c>
      <c r="D3657" t="s">
        <v>2979</v>
      </c>
      <c r="E3657" t="str">
        <f t="shared" si="182"/>
        <v>서울특별시</v>
      </c>
      <c r="F3657" t="str">
        <f t="shared" si="183"/>
        <v xml:space="preserve">용산구 </v>
      </c>
      <c r="G3657" t="str">
        <f t="shared" si="184"/>
        <v>이태원동</v>
      </c>
    </row>
    <row r="3658" spans="1:9" x14ac:dyDescent="0.4">
      <c r="A3658">
        <v>3020000</v>
      </c>
      <c r="B3658" t="s">
        <v>2933</v>
      </c>
      <c r="C3658" s="1">
        <v>25144</v>
      </c>
      <c r="D3658" t="s">
        <v>2934</v>
      </c>
      <c r="E3658" t="str">
        <f t="shared" si="182"/>
        <v>서울특별시</v>
      </c>
      <c r="F3658" t="str">
        <f t="shared" si="183"/>
        <v xml:space="preserve">용산구 </v>
      </c>
      <c r="G3658" t="str">
        <f t="shared" si="184"/>
        <v>이태원동</v>
      </c>
      <c r="H3658" t="s">
        <v>2935</v>
      </c>
      <c r="I3658">
        <v>4406</v>
      </c>
    </row>
    <row r="3659" spans="1:9" x14ac:dyDescent="0.4">
      <c r="A3659">
        <v>3020000</v>
      </c>
      <c r="B3659" t="s">
        <v>2947</v>
      </c>
      <c r="C3659" s="1">
        <v>24658</v>
      </c>
      <c r="D3659" t="s">
        <v>2948</v>
      </c>
      <c r="E3659" t="str">
        <f t="shared" si="182"/>
        <v>서울특별시</v>
      </c>
      <c r="F3659" t="str">
        <f t="shared" si="183"/>
        <v xml:space="preserve">용산구 </v>
      </c>
      <c r="G3659" t="str">
        <f t="shared" si="184"/>
        <v>이태원동</v>
      </c>
      <c r="H3659" t="s">
        <v>2949</v>
      </c>
      <c r="I3659">
        <v>4405</v>
      </c>
    </row>
    <row r="3660" spans="1:9" x14ac:dyDescent="0.4">
      <c r="A3660">
        <v>3020000</v>
      </c>
      <c r="B3660" t="s">
        <v>2980</v>
      </c>
      <c r="C3660" s="1">
        <v>25678</v>
      </c>
      <c r="D3660" t="s">
        <v>2981</v>
      </c>
      <c r="E3660" t="str">
        <f t="shared" si="182"/>
        <v>서울특별시</v>
      </c>
      <c r="F3660" t="str">
        <f t="shared" si="183"/>
        <v xml:space="preserve">용산구 </v>
      </c>
      <c r="G3660" t="str">
        <f t="shared" si="184"/>
        <v>이태원동</v>
      </c>
      <c r="H3660" t="s">
        <v>2982</v>
      </c>
      <c r="I3660">
        <v>4405</v>
      </c>
    </row>
    <row r="3661" spans="1:9" x14ac:dyDescent="0.4">
      <c r="A3661">
        <v>3020000</v>
      </c>
      <c r="B3661" t="s">
        <v>2921</v>
      </c>
      <c r="C3661" s="1">
        <v>24837</v>
      </c>
      <c r="D3661" t="s">
        <v>2922</v>
      </c>
      <c r="E3661" t="str">
        <f t="shared" si="182"/>
        <v>서울특별시</v>
      </c>
      <c r="F3661" t="str">
        <f t="shared" si="183"/>
        <v xml:space="preserve">용산구 </v>
      </c>
      <c r="G3661" t="str">
        <f t="shared" si="184"/>
        <v>이태원동</v>
      </c>
      <c r="H3661" t="s">
        <v>2923</v>
      </c>
      <c r="I3661">
        <v>4405</v>
      </c>
    </row>
    <row r="3662" spans="1:9" x14ac:dyDescent="0.4">
      <c r="A3662">
        <v>3020000</v>
      </c>
      <c r="B3662" t="s">
        <v>2967</v>
      </c>
      <c r="C3662" s="1">
        <v>41893</v>
      </c>
      <c r="D3662" t="s">
        <v>2968</v>
      </c>
      <c r="E3662" t="str">
        <f t="shared" si="182"/>
        <v>서울특별시</v>
      </c>
      <c r="F3662" t="str">
        <f t="shared" si="183"/>
        <v xml:space="preserve">용산구 </v>
      </c>
      <c r="G3662" t="str">
        <f t="shared" si="184"/>
        <v>이태원동</v>
      </c>
      <c r="H3662" t="s">
        <v>2969</v>
      </c>
      <c r="I3662">
        <v>4392</v>
      </c>
    </row>
    <row r="3663" spans="1:9" x14ac:dyDescent="0.4">
      <c r="A3663">
        <v>3020000</v>
      </c>
      <c r="B3663" t="s">
        <v>3067</v>
      </c>
      <c r="C3663" s="1">
        <v>27978</v>
      </c>
      <c r="D3663" t="s">
        <v>3068</v>
      </c>
      <c r="E3663" t="str">
        <f t="shared" si="182"/>
        <v>서울특별시</v>
      </c>
      <c r="F3663" t="str">
        <f t="shared" si="183"/>
        <v xml:space="preserve">용산구 </v>
      </c>
      <c r="G3663" t="str">
        <f t="shared" si="184"/>
        <v>이태원동</v>
      </c>
    </row>
    <row r="3664" spans="1:9" x14ac:dyDescent="0.4">
      <c r="A3664">
        <v>3020000</v>
      </c>
      <c r="B3664" t="s">
        <v>3089</v>
      </c>
      <c r="C3664" s="1">
        <v>32409</v>
      </c>
      <c r="D3664" t="s">
        <v>3090</v>
      </c>
      <c r="E3664" t="str">
        <f t="shared" si="182"/>
        <v>서울특별시</v>
      </c>
      <c r="F3664" t="str">
        <f t="shared" si="183"/>
        <v xml:space="preserve">용산구 </v>
      </c>
      <c r="G3664" t="str">
        <f t="shared" si="184"/>
        <v>이태원동</v>
      </c>
    </row>
    <row r="3665" spans="1:9" x14ac:dyDescent="0.4">
      <c r="A3665">
        <v>3020000</v>
      </c>
      <c r="B3665" t="s">
        <v>2941</v>
      </c>
      <c r="C3665" s="1">
        <v>26752</v>
      </c>
      <c r="D3665" t="s">
        <v>2942</v>
      </c>
      <c r="E3665" t="str">
        <f t="shared" si="182"/>
        <v>서울특별시</v>
      </c>
      <c r="F3665" t="str">
        <f t="shared" si="183"/>
        <v xml:space="preserve">용산구 </v>
      </c>
      <c r="G3665" t="str">
        <f t="shared" si="184"/>
        <v>이태원동</v>
      </c>
      <c r="H3665" t="s">
        <v>2943</v>
      </c>
      <c r="I3665">
        <v>4390</v>
      </c>
    </row>
    <row r="3666" spans="1:9" x14ac:dyDescent="0.4">
      <c r="A3666">
        <v>3020000</v>
      </c>
      <c r="B3666" t="s">
        <v>3043</v>
      </c>
      <c r="C3666" s="1">
        <v>29476</v>
      </c>
      <c r="D3666" t="s">
        <v>3044</v>
      </c>
      <c r="E3666" t="str">
        <f t="shared" si="182"/>
        <v>서울특별시</v>
      </c>
      <c r="F3666" t="str">
        <f t="shared" si="183"/>
        <v xml:space="preserve">용산구 </v>
      </c>
      <c r="G3666" t="str">
        <f t="shared" si="184"/>
        <v>이태원동</v>
      </c>
      <c r="H3666" t="s">
        <v>3045</v>
      </c>
      <c r="I3666">
        <v>4390</v>
      </c>
    </row>
    <row r="3667" spans="1:9" x14ac:dyDescent="0.4">
      <c r="A3667">
        <v>3020000</v>
      </c>
      <c r="B3667" t="s">
        <v>3064</v>
      </c>
      <c r="C3667" s="1">
        <v>27628</v>
      </c>
      <c r="D3667" t="s">
        <v>3065</v>
      </c>
      <c r="E3667" t="str">
        <f t="shared" si="182"/>
        <v>서울특별시</v>
      </c>
      <c r="F3667" t="str">
        <f t="shared" si="183"/>
        <v xml:space="preserve">용산구 </v>
      </c>
      <c r="G3667" t="str">
        <f t="shared" si="184"/>
        <v>이태원동</v>
      </c>
      <c r="H3667" t="s">
        <v>3066</v>
      </c>
      <c r="I3667">
        <v>4345</v>
      </c>
    </row>
    <row r="3668" spans="1:9" x14ac:dyDescent="0.4">
      <c r="A3668">
        <v>3020000</v>
      </c>
      <c r="B3668" t="s">
        <v>2959</v>
      </c>
      <c r="C3668" s="1">
        <v>36654</v>
      </c>
      <c r="D3668" t="s">
        <v>2960</v>
      </c>
      <c r="E3668" t="str">
        <f t="shared" si="182"/>
        <v>서울특별시</v>
      </c>
      <c r="F3668" t="str">
        <f t="shared" si="183"/>
        <v xml:space="preserve">용산구 </v>
      </c>
      <c r="G3668" t="str">
        <f t="shared" ref="G3668:G3714" si="185">MID(SUBSTITUTE(D3668," ",""),9,3)</f>
        <v>한강로</v>
      </c>
      <c r="H3668" t="s">
        <v>2961</v>
      </c>
      <c r="I3668">
        <v>4382</v>
      </c>
    </row>
    <row r="3669" spans="1:9" x14ac:dyDescent="0.4">
      <c r="A3669">
        <v>3020000</v>
      </c>
      <c r="B3669" t="s">
        <v>3058</v>
      </c>
      <c r="C3669" s="1">
        <v>31575</v>
      </c>
      <c r="D3669" t="s">
        <v>3059</v>
      </c>
      <c r="E3669" t="str">
        <f t="shared" si="182"/>
        <v>서울특별시</v>
      </c>
      <c r="F3669" t="str">
        <f t="shared" si="183"/>
        <v xml:space="preserve">용산구 </v>
      </c>
      <c r="G3669" t="str">
        <f t="shared" si="185"/>
        <v>한강로</v>
      </c>
    </row>
    <row r="3670" spans="1:9" x14ac:dyDescent="0.4">
      <c r="A3670">
        <v>3020000</v>
      </c>
      <c r="B3670" t="s">
        <v>2930</v>
      </c>
      <c r="C3670" s="1">
        <v>37994</v>
      </c>
      <c r="D3670" t="s">
        <v>2931</v>
      </c>
      <c r="E3670" t="str">
        <f t="shared" si="182"/>
        <v>서울특별시</v>
      </c>
      <c r="F3670" t="str">
        <f t="shared" si="183"/>
        <v xml:space="preserve">용산구 </v>
      </c>
      <c r="G3670" t="str">
        <f t="shared" si="185"/>
        <v>한강로</v>
      </c>
      <c r="H3670" t="s">
        <v>2932</v>
      </c>
      <c r="I3670">
        <v>4382</v>
      </c>
    </row>
    <row r="3671" spans="1:9" x14ac:dyDescent="0.4">
      <c r="A3671">
        <v>3020000</v>
      </c>
      <c r="B3671" t="s">
        <v>3085</v>
      </c>
      <c r="C3671" s="1">
        <v>32139</v>
      </c>
      <c r="D3671" t="s">
        <v>3086</v>
      </c>
      <c r="E3671" t="str">
        <f t="shared" si="182"/>
        <v>서울특별시</v>
      </c>
      <c r="F3671" t="str">
        <f t="shared" si="183"/>
        <v xml:space="preserve">용산구 </v>
      </c>
      <c r="G3671" t="str">
        <f t="shared" si="185"/>
        <v>한강로</v>
      </c>
    </row>
    <row r="3672" spans="1:9" x14ac:dyDescent="0.4">
      <c r="A3672">
        <v>3020000</v>
      </c>
      <c r="B3672" t="s">
        <v>3053</v>
      </c>
      <c r="C3672" s="1">
        <v>31138</v>
      </c>
      <c r="D3672" t="s">
        <v>3054</v>
      </c>
      <c r="E3672" t="str">
        <f t="shared" si="182"/>
        <v>서울특별시</v>
      </c>
      <c r="F3672" t="str">
        <f t="shared" si="183"/>
        <v xml:space="preserve">용산구 </v>
      </c>
      <c r="G3672" t="str">
        <f t="shared" si="185"/>
        <v>한강로</v>
      </c>
    </row>
    <row r="3673" spans="1:9" x14ac:dyDescent="0.4">
      <c r="A3673">
        <v>3020000</v>
      </c>
      <c r="B3673" t="s">
        <v>3015</v>
      </c>
      <c r="C3673" s="1">
        <v>36334</v>
      </c>
      <c r="D3673" t="s">
        <v>3016</v>
      </c>
      <c r="E3673" t="str">
        <f t="shared" si="182"/>
        <v>서울특별시</v>
      </c>
      <c r="F3673" t="str">
        <f t="shared" si="183"/>
        <v xml:space="preserve">용산구 </v>
      </c>
      <c r="G3673" t="str">
        <f t="shared" si="185"/>
        <v>한강로</v>
      </c>
    </row>
    <row r="3674" spans="1:9" x14ac:dyDescent="0.4">
      <c r="A3674">
        <v>3020000</v>
      </c>
      <c r="B3674" t="s">
        <v>3083</v>
      </c>
      <c r="C3674" s="1">
        <v>31776</v>
      </c>
      <c r="D3674" t="s">
        <v>3084</v>
      </c>
      <c r="E3674" t="str">
        <f t="shared" si="182"/>
        <v>서울특별시</v>
      </c>
      <c r="F3674" t="str">
        <f t="shared" si="183"/>
        <v xml:space="preserve">용산구 </v>
      </c>
      <c r="G3674" t="str">
        <f t="shared" si="185"/>
        <v>한강로</v>
      </c>
    </row>
    <row r="3675" spans="1:9" x14ac:dyDescent="0.4">
      <c r="A3675">
        <v>3020000</v>
      </c>
      <c r="B3675" t="s">
        <v>3069</v>
      </c>
      <c r="C3675" s="1">
        <v>28114</v>
      </c>
      <c r="D3675" t="s">
        <v>3070</v>
      </c>
      <c r="E3675" t="str">
        <f t="shared" si="182"/>
        <v>서울특별시</v>
      </c>
      <c r="F3675" t="str">
        <f t="shared" si="183"/>
        <v xml:space="preserve">용산구 </v>
      </c>
      <c r="G3675" t="str">
        <f t="shared" si="185"/>
        <v>한강로</v>
      </c>
    </row>
    <row r="3676" spans="1:9" x14ac:dyDescent="0.4">
      <c r="A3676">
        <v>3020000</v>
      </c>
      <c r="B3676" t="s">
        <v>3062</v>
      </c>
      <c r="C3676" s="1">
        <v>31618</v>
      </c>
      <c r="D3676" t="s">
        <v>3063</v>
      </c>
      <c r="E3676" t="str">
        <f t="shared" si="182"/>
        <v>서울특별시</v>
      </c>
      <c r="F3676" t="str">
        <f t="shared" si="183"/>
        <v xml:space="preserve">용산구 </v>
      </c>
      <c r="G3676" t="str">
        <f t="shared" si="185"/>
        <v>한강로</v>
      </c>
    </row>
    <row r="3677" spans="1:9" x14ac:dyDescent="0.4">
      <c r="A3677">
        <v>3020000</v>
      </c>
      <c r="B3677" t="s">
        <v>2993</v>
      </c>
      <c r="C3677" s="1">
        <v>33949</v>
      </c>
      <c r="D3677" t="s">
        <v>2994</v>
      </c>
      <c r="E3677" t="str">
        <f t="shared" si="182"/>
        <v>서울특별시</v>
      </c>
      <c r="F3677" t="str">
        <f t="shared" si="183"/>
        <v xml:space="preserve">용산구 </v>
      </c>
      <c r="G3677" t="str">
        <f t="shared" si="185"/>
        <v>한강로</v>
      </c>
    </row>
    <row r="3678" spans="1:9" x14ac:dyDescent="0.4">
      <c r="A3678">
        <v>3020000</v>
      </c>
      <c r="B3678" t="s">
        <v>2991</v>
      </c>
      <c r="C3678" s="1">
        <v>27075</v>
      </c>
      <c r="D3678" t="s">
        <v>2992</v>
      </c>
      <c r="E3678" t="str">
        <f t="shared" si="182"/>
        <v>서울특별시</v>
      </c>
      <c r="F3678" t="str">
        <f t="shared" si="183"/>
        <v xml:space="preserve">용산구 </v>
      </c>
      <c r="G3678" t="str">
        <f t="shared" si="185"/>
        <v>한강로</v>
      </c>
    </row>
    <row r="3679" spans="1:9" x14ac:dyDescent="0.4">
      <c r="A3679">
        <v>3020000</v>
      </c>
      <c r="B3679" t="s">
        <v>3056</v>
      </c>
      <c r="C3679" s="1">
        <v>31422</v>
      </c>
      <c r="D3679" t="s">
        <v>3057</v>
      </c>
      <c r="E3679" t="str">
        <f t="shared" si="182"/>
        <v>서울특별시</v>
      </c>
      <c r="F3679" t="str">
        <f t="shared" si="183"/>
        <v xml:space="preserve">용산구 </v>
      </c>
      <c r="G3679" t="str">
        <f t="shared" si="185"/>
        <v>한강로</v>
      </c>
    </row>
    <row r="3680" spans="1:9" x14ac:dyDescent="0.4">
      <c r="A3680">
        <v>3020000</v>
      </c>
      <c r="B3680" t="s">
        <v>3046</v>
      </c>
      <c r="C3680" s="1">
        <v>29787</v>
      </c>
      <c r="D3680" t="s">
        <v>3047</v>
      </c>
      <c r="E3680" t="str">
        <f t="shared" si="182"/>
        <v>서울특별시</v>
      </c>
      <c r="F3680" t="str">
        <f t="shared" si="183"/>
        <v xml:space="preserve">용산구 </v>
      </c>
      <c r="G3680" t="str">
        <f t="shared" si="185"/>
        <v>한강로</v>
      </c>
    </row>
    <row r="3681" spans="1:9" x14ac:dyDescent="0.4">
      <c r="A3681">
        <v>3020000</v>
      </c>
      <c r="B3681" t="s">
        <v>2998</v>
      </c>
      <c r="C3681" s="1">
        <v>28805</v>
      </c>
      <c r="D3681" t="s">
        <v>2999</v>
      </c>
      <c r="E3681" t="str">
        <f t="shared" si="182"/>
        <v>서울특별시</v>
      </c>
      <c r="F3681" t="str">
        <f t="shared" si="183"/>
        <v xml:space="preserve">용산구 </v>
      </c>
      <c r="G3681" t="str">
        <f t="shared" si="185"/>
        <v>한강로</v>
      </c>
    </row>
    <row r="3682" spans="1:9" x14ac:dyDescent="0.4">
      <c r="A3682">
        <v>3020000</v>
      </c>
      <c r="B3682" t="s">
        <v>3096</v>
      </c>
      <c r="C3682" s="1">
        <v>32785</v>
      </c>
      <c r="D3682" t="s">
        <v>3097</v>
      </c>
      <c r="E3682" t="str">
        <f t="shared" si="182"/>
        <v>서울특별시</v>
      </c>
      <c r="F3682" t="str">
        <f t="shared" si="183"/>
        <v xml:space="preserve">용산구 </v>
      </c>
      <c r="G3682" t="str">
        <f t="shared" si="185"/>
        <v>한강로</v>
      </c>
    </row>
    <row r="3683" spans="1:9" x14ac:dyDescent="0.4">
      <c r="A3683">
        <v>3020000</v>
      </c>
      <c r="B3683" t="s">
        <v>3091</v>
      </c>
      <c r="C3683" s="1">
        <v>32451</v>
      </c>
      <c r="D3683" t="s">
        <v>3092</v>
      </c>
      <c r="E3683" t="str">
        <f t="shared" si="182"/>
        <v>서울특별시</v>
      </c>
      <c r="F3683" t="str">
        <f t="shared" si="183"/>
        <v xml:space="preserve">용산구 </v>
      </c>
      <c r="G3683" t="str">
        <f t="shared" si="185"/>
        <v>한강로</v>
      </c>
      <c r="H3683" t="s">
        <v>3093</v>
      </c>
      <c r="I3683">
        <v>4373</v>
      </c>
    </row>
    <row r="3684" spans="1:9" x14ac:dyDescent="0.4">
      <c r="A3684">
        <v>3020000</v>
      </c>
      <c r="B3684" t="s">
        <v>2987</v>
      </c>
      <c r="C3684" s="1">
        <v>26170</v>
      </c>
      <c r="D3684" t="s">
        <v>2988</v>
      </c>
      <c r="E3684" t="str">
        <f t="shared" si="182"/>
        <v>서울특별시</v>
      </c>
      <c r="F3684" t="str">
        <f t="shared" si="183"/>
        <v xml:space="preserve">용산구 </v>
      </c>
      <c r="G3684" t="str">
        <f t="shared" si="185"/>
        <v>한남동</v>
      </c>
    </row>
    <row r="3685" spans="1:9" x14ac:dyDescent="0.4">
      <c r="A3685">
        <v>3020000</v>
      </c>
      <c r="B3685" t="s">
        <v>3038</v>
      </c>
      <c r="C3685" s="1">
        <v>28825</v>
      </c>
      <c r="D3685" t="s">
        <v>3039</v>
      </c>
      <c r="E3685" t="str">
        <f t="shared" si="182"/>
        <v>서울특별시</v>
      </c>
      <c r="F3685" t="str">
        <f t="shared" si="183"/>
        <v xml:space="preserve">용산구 </v>
      </c>
      <c r="G3685" t="str">
        <f t="shared" si="185"/>
        <v>한남동</v>
      </c>
      <c r="H3685" t="s">
        <v>3040</v>
      </c>
      <c r="I3685">
        <v>4419</v>
      </c>
    </row>
    <row r="3686" spans="1:9" x14ac:dyDescent="0.4">
      <c r="A3686">
        <v>3020000</v>
      </c>
      <c r="B3686" t="s">
        <v>3077</v>
      </c>
      <c r="C3686" s="1">
        <v>28633</v>
      </c>
      <c r="D3686" t="s">
        <v>3078</v>
      </c>
      <c r="E3686" t="str">
        <f t="shared" si="182"/>
        <v>서울특별시</v>
      </c>
      <c r="F3686" t="str">
        <f t="shared" si="183"/>
        <v xml:space="preserve">용산구 </v>
      </c>
      <c r="G3686" t="str">
        <f t="shared" si="185"/>
        <v>한남동</v>
      </c>
      <c r="H3686" t="s">
        <v>3079</v>
      </c>
      <c r="I3686">
        <v>4400</v>
      </c>
    </row>
    <row r="3687" spans="1:9" x14ac:dyDescent="0.4">
      <c r="A3687">
        <v>3020000</v>
      </c>
      <c r="B3687" t="s">
        <v>3032</v>
      </c>
      <c r="C3687" s="1">
        <v>28637</v>
      </c>
      <c r="D3687" t="s">
        <v>3033</v>
      </c>
      <c r="E3687" t="str">
        <f t="shared" si="182"/>
        <v>서울특별시</v>
      </c>
      <c r="F3687" t="str">
        <f t="shared" si="183"/>
        <v xml:space="preserve">용산구 </v>
      </c>
      <c r="G3687" t="str">
        <f t="shared" si="185"/>
        <v>한남동</v>
      </c>
    </row>
    <row r="3688" spans="1:9" x14ac:dyDescent="0.4">
      <c r="A3688">
        <v>3020000</v>
      </c>
      <c r="B3688" t="s">
        <v>2995</v>
      </c>
      <c r="C3688" s="1">
        <v>28643</v>
      </c>
      <c r="D3688" t="s">
        <v>2996</v>
      </c>
      <c r="E3688" t="str">
        <f t="shared" si="182"/>
        <v>서울특별시</v>
      </c>
      <c r="F3688" t="str">
        <f t="shared" si="183"/>
        <v xml:space="preserve">용산구 </v>
      </c>
      <c r="G3688" t="str">
        <f t="shared" si="185"/>
        <v>한남동</v>
      </c>
      <c r="H3688" t="s">
        <v>2997</v>
      </c>
      <c r="I3688">
        <v>4400</v>
      </c>
    </row>
    <row r="3689" spans="1:9" x14ac:dyDescent="0.4">
      <c r="A3689">
        <v>3020000</v>
      </c>
      <c r="B3689" t="s">
        <v>3080</v>
      </c>
      <c r="C3689" s="1">
        <v>28643</v>
      </c>
      <c r="D3689" t="s">
        <v>3081</v>
      </c>
      <c r="E3689" t="str">
        <f t="shared" si="182"/>
        <v>서울특별시</v>
      </c>
      <c r="F3689" t="str">
        <f t="shared" si="183"/>
        <v xml:space="preserve">용산구 </v>
      </c>
      <c r="G3689" t="str">
        <f t="shared" si="185"/>
        <v>한남동</v>
      </c>
      <c r="H3689" t="s">
        <v>3082</v>
      </c>
      <c r="I3689">
        <v>4400</v>
      </c>
    </row>
    <row r="3690" spans="1:9" x14ac:dyDescent="0.4">
      <c r="A3690">
        <v>3020000</v>
      </c>
      <c r="B3690" t="s">
        <v>3041</v>
      </c>
      <c r="C3690" s="1">
        <v>29258</v>
      </c>
      <c r="D3690" t="s">
        <v>3042</v>
      </c>
      <c r="E3690" t="str">
        <f t="shared" si="182"/>
        <v>서울특별시</v>
      </c>
      <c r="F3690" t="str">
        <f t="shared" si="183"/>
        <v xml:space="preserve">용산구 </v>
      </c>
      <c r="G3690" t="str">
        <f t="shared" si="185"/>
        <v>한남동</v>
      </c>
    </row>
    <row r="3691" spans="1:9" x14ac:dyDescent="0.4">
      <c r="A3691">
        <v>3020000</v>
      </c>
      <c r="B3691" t="s">
        <v>3000</v>
      </c>
      <c r="C3691" s="1">
        <v>28808</v>
      </c>
      <c r="D3691" t="s">
        <v>3001</v>
      </c>
      <c r="E3691" t="str">
        <f t="shared" si="182"/>
        <v>서울특별시</v>
      </c>
      <c r="F3691" t="str">
        <f t="shared" si="183"/>
        <v xml:space="preserve">용산구 </v>
      </c>
      <c r="G3691" t="str">
        <f t="shared" si="185"/>
        <v>한남동</v>
      </c>
    </row>
    <row r="3692" spans="1:9" x14ac:dyDescent="0.4">
      <c r="A3692">
        <v>3020000</v>
      </c>
      <c r="B3692" t="s">
        <v>3005</v>
      </c>
      <c r="C3692" s="1">
        <v>24834</v>
      </c>
      <c r="D3692" t="s">
        <v>3006</v>
      </c>
      <c r="E3692" t="str">
        <f t="shared" si="182"/>
        <v>서울특별시</v>
      </c>
      <c r="F3692" t="str">
        <f t="shared" si="183"/>
        <v xml:space="preserve">용산구 </v>
      </c>
      <c r="G3692" t="str">
        <f t="shared" si="185"/>
        <v>한남동</v>
      </c>
    </row>
    <row r="3693" spans="1:9" x14ac:dyDescent="0.4">
      <c r="A3693">
        <v>3020000</v>
      </c>
      <c r="B3693" t="s">
        <v>3007</v>
      </c>
      <c r="C3693" s="1">
        <v>34523</v>
      </c>
      <c r="D3693" t="s">
        <v>3008</v>
      </c>
      <c r="E3693" t="str">
        <f t="shared" si="182"/>
        <v>서울특별시</v>
      </c>
      <c r="F3693" t="str">
        <f t="shared" si="183"/>
        <v xml:space="preserve">용산구 </v>
      </c>
      <c r="G3693" t="str">
        <f t="shared" si="185"/>
        <v>한남동</v>
      </c>
    </row>
    <row r="3694" spans="1:9" x14ac:dyDescent="0.4">
      <c r="A3694">
        <v>3020000</v>
      </c>
      <c r="B3694" t="s">
        <v>138</v>
      </c>
      <c r="C3694" s="1">
        <v>42669</v>
      </c>
      <c r="D3694" t="s">
        <v>139</v>
      </c>
      <c r="E3694" t="str">
        <f t="shared" si="182"/>
        <v>서울특별시</v>
      </c>
      <c r="F3694" t="str">
        <f t="shared" si="183"/>
        <v xml:space="preserve">용산구 </v>
      </c>
      <c r="G3694" t="str">
        <f t="shared" si="185"/>
        <v>한남동</v>
      </c>
      <c r="H3694" t="s">
        <v>140</v>
      </c>
      <c r="I3694">
        <v>4349</v>
      </c>
    </row>
    <row r="3695" spans="1:9" x14ac:dyDescent="0.4">
      <c r="A3695">
        <v>3020000</v>
      </c>
      <c r="B3695" t="s">
        <v>3034</v>
      </c>
      <c r="C3695" s="1">
        <v>32451</v>
      </c>
      <c r="D3695" t="s">
        <v>3035</v>
      </c>
      <c r="E3695" t="str">
        <f t="shared" si="182"/>
        <v>서울특별시</v>
      </c>
      <c r="F3695" t="str">
        <f t="shared" si="183"/>
        <v xml:space="preserve">용산구 </v>
      </c>
      <c r="G3695" t="str">
        <f t="shared" si="185"/>
        <v>한남동</v>
      </c>
    </row>
    <row r="3696" spans="1:9" x14ac:dyDescent="0.4">
      <c r="A3696">
        <v>3020000</v>
      </c>
      <c r="B3696" t="s">
        <v>3094</v>
      </c>
      <c r="C3696" s="1">
        <v>32493</v>
      </c>
      <c r="D3696" t="s">
        <v>3035</v>
      </c>
      <c r="E3696" t="str">
        <f t="shared" si="182"/>
        <v>서울특별시</v>
      </c>
      <c r="F3696" t="str">
        <f t="shared" si="183"/>
        <v xml:space="preserve">용산구 </v>
      </c>
      <c r="G3696" t="str">
        <f t="shared" si="185"/>
        <v>한남동</v>
      </c>
      <c r="H3696" t="s">
        <v>3095</v>
      </c>
      <c r="I3696">
        <v>4349</v>
      </c>
    </row>
    <row r="3697" spans="1:9" x14ac:dyDescent="0.4">
      <c r="A3697">
        <v>3020000</v>
      </c>
      <c r="B3697" t="s">
        <v>2906</v>
      </c>
      <c r="C3697" s="1">
        <v>32840</v>
      </c>
      <c r="D3697" t="s">
        <v>2907</v>
      </c>
      <c r="E3697" t="str">
        <f t="shared" si="182"/>
        <v>서울특별시</v>
      </c>
      <c r="F3697" t="str">
        <f t="shared" si="183"/>
        <v xml:space="preserve">용산구 </v>
      </c>
      <c r="G3697" t="str">
        <f t="shared" si="185"/>
        <v>한남동</v>
      </c>
      <c r="H3697" t="s">
        <v>2908</v>
      </c>
      <c r="I3697">
        <v>4347</v>
      </c>
    </row>
    <row r="3698" spans="1:9" x14ac:dyDescent="0.4">
      <c r="A3698">
        <v>3110000</v>
      </c>
      <c r="B3698" t="s">
        <v>96</v>
      </c>
      <c r="C3698" s="1">
        <v>43132</v>
      </c>
      <c r="D3698" t="s">
        <v>97</v>
      </c>
      <c r="E3698" t="str">
        <f t="shared" si="182"/>
        <v>서울특별시</v>
      </c>
      <c r="F3698" t="str">
        <f t="shared" si="183"/>
        <v xml:space="preserve">은평구 </v>
      </c>
      <c r="G3698" t="str">
        <f t="shared" si="185"/>
        <v>갈현동</v>
      </c>
      <c r="H3698" t="s">
        <v>98</v>
      </c>
      <c r="I3698">
        <v>3330</v>
      </c>
    </row>
    <row r="3699" spans="1:9" x14ac:dyDescent="0.4">
      <c r="A3699">
        <v>3110000</v>
      </c>
      <c r="B3699" t="s">
        <v>4734</v>
      </c>
      <c r="C3699" s="1">
        <v>37154</v>
      </c>
      <c r="D3699" t="s">
        <v>4735</v>
      </c>
      <c r="E3699" t="str">
        <f t="shared" si="182"/>
        <v>서울특별시</v>
      </c>
      <c r="F3699" t="str">
        <f t="shared" si="183"/>
        <v xml:space="preserve">은평구 </v>
      </c>
      <c r="G3699" t="str">
        <f t="shared" si="185"/>
        <v>갈현동</v>
      </c>
      <c r="H3699" t="s">
        <v>4736</v>
      </c>
      <c r="I3699">
        <v>3330</v>
      </c>
    </row>
    <row r="3700" spans="1:9" x14ac:dyDescent="0.4">
      <c r="A3700">
        <v>3110000</v>
      </c>
      <c r="B3700" t="s">
        <v>4829</v>
      </c>
      <c r="C3700" s="1">
        <v>36368</v>
      </c>
      <c r="D3700" t="s">
        <v>4830</v>
      </c>
      <c r="E3700" t="str">
        <f t="shared" si="182"/>
        <v>서울특별시</v>
      </c>
      <c r="F3700" t="str">
        <f t="shared" si="183"/>
        <v xml:space="preserve">은평구 </v>
      </c>
      <c r="G3700" t="str">
        <f t="shared" si="185"/>
        <v>갈현동</v>
      </c>
    </row>
    <row r="3701" spans="1:9" x14ac:dyDescent="0.4">
      <c r="A3701">
        <v>3110000</v>
      </c>
      <c r="B3701" t="s">
        <v>4751</v>
      </c>
      <c r="C3701" s="1">
        <v>38295</v>
      </c>
      <c r="D3701" t="s">
        <v>4752</v>
      </c>
      <c r="E3701" t="str">
        <f t="shared" si="182"/>
        <v>서울특별시</v>
      </c>
      <c r="F3701" t="str">
        <f t="shared" si="183"/>
        <v xml:space="preserve">은평구 </v>
      </c>
      <c r="G3701" t="str">
        <f t="shared" si="185"/>
        <v>갈현동</v>
      </c>
      <c r="H3701" t="s">
        <v>4753</v>
      </c>
      <c r="I3701">
        <v>3330</v>
      </c>
    </row>
    <row r="3702" spans="1:9" x14ac:dyDescent="0.4">
      <c r="A3702">
        <v>3110000</v>
      </c>
      <c r="B3702" t="s">
        <v>4543</v>
      </c>
      <c r="C3702" s="1">
        <v>43167</v>
      </c>
      <c r="D3702" t="s">
        <v>4544</v>
      </c>
      <c r="E3702" t="str">
        <f t="shared" si="182"/>
        <v>서울특별시</v>
      </c>
      <c r="F3702" t="str">
        <f t="shared" si="183"/>
        <v xml:space="preserve">은평구 </v>
      </c>
      <c r="G3702" t="str">
        <f t="shared" si="185"/>
        <v>갈현동</v>
      </c>
      <c r="H3702" t="s">
        <v>4545</v>
      </c>
      <c r="I3702">
        <v>3330</v>
      </c>
    </row>
    <row r="3703" spans="1:9" x14ac:dyDescent="0.4">
      <c r="A3703">
        <v>3110000</v>
      </c>
      <c r="B3703" t="s">
        <v>4833</v>
      </c>
      <c r="C3703" s="1">
        <v>36589</v>
      </c>
      <c r="D3703" t="s">
        <v>4834</v>
      </c>
      <c r="E3703" t="str">
        <f t="shared" si="182"/>
        <v>서울특별시</v>
      </c>
      <c r="F3703" t="str">
        <f t="shared" si="183"/>
        <v xml:space="preserve">은평구 </v>
      </c>
      <c r="G3703" t="str">
        <f t="shared" si="185"/>
        <v>갈현동</v>
      </c>
      <c r="H3703" t="s">
        <v>4545</v>
      </c>
      <c r="I3703">
        <v>3330</v>
      </c>
    </row>
    <row r="3704" spans="1:9" x14ac:dyDescent="0.4">
      <c r="A3704">
        <v>3110000</v>
      </c>
      <c r="B3704" t="s">
        <v>4626</v>
      </c>
      <c r="C3704" s="1">
        <v>36691</v>
      </c>
      <c r="D3704" t="s">
        <v>4627</v>
      </c>
      <c r="E3704" t="str">
        <f t="shared" si="182"/>
        <v>서울특별시</v>
      </c>
      <c r="F3704" t="str">
        <f t="shared" si="183"/>
        <v xml:space="preserve">은평구 </v>
      </c>
      <c r="G3704" t="str">
        <f t="shared" si="185"/>
        <v>갈현동</v>
      </c>
      <c r="H3704" t="s">
        <v>4628</v>
      </c>
      <c r="I3704">
        <v>3330</v>
      </c>
    </row>
    <row r="3705" spans="1:9" x14ac:dyDescent="0.4">
      <c r="A3705">
        <v>3110000</v>
      </c>
      <c r="B3705" t="s">
        <v>4766</v>
      </c>
      <c r="C3705" s="1">
        <v>43172</v>
      </c>
      <c r="D3705" t="s">
        <v>4767</v>
      </c>
      <c r="E3705" t="str">
        <f t="shared" si="182"/>
        <v>서울특별시</v>
      </c>
      <c r="F3705" t="str">
        <f t="shared" si="183"/>
        <v xml:space="preserve">은평구 </v>
      </c>
      <c r="G3705" t="str">
        <f t="shared" si="185"/>
        <v>갈현동</v>
      </c>
      <c r="H3705" t="s">
        <v>4768</v>
      </c>
      <c r="I3705">
        <v>3330</v>
      </c>
    </row>
    <row r="3706" spans="1:9" x14ac:dyDescent="0.4">
      <c r="A3706">
        <v>3110000</v>
      </c>
      <c r="B3706" t="s">
        <v>4641</v>
      </c>
      <c r="C3706" s="1">
        <v>43340</v>
      </c>
      <c r="D3706" t="s">
        <v>4642</v>
      </c>
      <c r="E3706" t="str">
        <f t="shared" si="182"/>
        <v>서울특별시</v>
      </c>
      <c r="F3706" t="str">
        <f t="shared" si="183"/>
        <v xml:space="preserve">은평구 </v>
      </c>
      <c r="G3706" t="str">
        <f t="shared" si="185"/>
        <v>갈현동</v>
      </c>
      <c r="H3706" t="s">
        <v>4643</v>
      </c>
      <c r="I3706">
        <v>3330</v>
      </c>
    </row>
    <row r="3707" spans="1:9" x14ac:dyDescent="0.4">
      <c r="A3707">
        <v>3110000</v>
      </c>
      <c r="B3707" t="s">
        <v>4809</v>
      </c>
      <c r="C3707" s="1">
        <v>26861</v>
      </c>
      <c r="D3707" t="s">
        <v>4810</v>
      </c>
      <c r="E3707" t="str">
        <f t="shared" si="182"/>
        <v>서울특별시</v>
      </c>
      <c r="F3707" t="str">
        <f t="shared" si="183"/>
        <v xml:space="preserve">은평구 </v>
      </c>
      <c r="G3707" t="str">
        <f t="shared" si="185"/>
        <v>갈현동</v>
      </c>
      <c r="H3707" t="s">
        <v>4811</v>
      </c>
      <c r="I3707">
        <v>3330</v>
      </c>
    </row>
    <row r="3708" spans="1:9" x14ac:dyDescent="0.4">
      <c r="A3708">
        <v>3110000</v>
      </c>
      <c r="B3708" t="s">
        <v>4623</v>
      </c>
      <c r="C3708" s="1">
        <v>36599</v>
      </c>
      <c r="D3708" t="s">
        <v>4624</v>
      </c>
      <c r="E3708" t="str">
        <f t="shared" si="182"/>
        <v>서울특별시</v>
      </c>
      <c r="F3708" t="str">
        <f t="shared" si="183"/>
        <v xml:space="preserve">은평구 </v>
      </c>
      <c r="G3708" t="str">
        <f t="shared" si="185"/>
        <v>갈현동</v>
      </c>
      <c r="H3708" t="s">
        <v>4625</v>
      </c>
      <c r="I3708">
        <v>3330</v>
      </c>
    </row>
    <row r="3709" spans="1:9" x14ac:dyDescent="0.4">
      <c r="A3709">
        <v>3110000</v>
      </c>
      <c r="B3709" t="s">
        <v>4881</v>
      </c>
      <c r="C3709" s="1">
        <v>43097</v>
      </c>
      <c r="D3709" t="s">
        <v>4882</v>
      </c>
      <c r="E3709" t="str">
        <f t="shared" si="182"/>
        <v>서울특별시</v>
      </c>
      <c r="F3709" t="str">
        <f t="shared" si="183"/>
        <v xml:space="preserve">은평구 </v>
      </c>
      <c r="G3709" t="str">
        <f t="shared" si="185"/>
        <v>갈현동</v>
      </c>
      <c r="H3709" t="s">
        <v>4883</v>
      </c>
      <c r="I3709">
        <v>3330</v>
      </c>
    </row>
    <row r="3710" spans="1:9" x14ac:dyDescent="0.4">
      <c r="A3710">
        <v>3110000</v>
      </c>
      <c r="B3710" t="s">
        <v>4803</v>
      </c>
      <c r="C3710" s="1">
        <v>36857</v>
      </c>
      <c r="D3710" t="s">
        <v>4804</v>
      </c>
      <c r="E3710" t="str">
        <f t="shared" si="182"/>
        <v>서울특별시</v>
      </c>
      <c r="F3710" t="str">
        <f t="shared" si="183"/>
        <v xml:space="preserve">은평구 </v>
      </c>
      <c r="G3710" t="str">
        <f t="shared" si="185"/>
        <v>갈현동</v>
      </c>
      <c r="H3710" t="s">
        <v>4805</v>
      </c>
      <c r="I3710">
        <v>3330</v>
      </c>
    </row>
    <row r="3711" spans="1:9" x14ac:dyDescent="0.4">
      <c r="A3711">
        <v>3110000</v>
      </c>
      <c r="B3711" t="s">
        <v>4757</v>
      </c>
      <c r="C3711" s="1">
        <v>39097</v>
      </c>
      <c r="D3711" t="s">
        <v>4758</v>
      </c>
      <c r="E3711" t="str">
        <f t="shared" si="182"/>
        <v>서울특별시</v>
      </c>
      <c r="F3711" t="str">
        <f t="shared" si="183"/>
        <v xml:space="preserve">은평구 </v>
      </c>
      <c r="G3711" t="str">
        <f t="shared" si="185"/>
        <v>갈현동</v>
      </c>
      <c r="H3711" t="s">
        <v>4759</v>
      </c>
      <c r="I3711">
        <v>3330</v>
      </c>
    </row>
    <row r="3712" spans="1:9" x14ac:dyDescent="0.4">
      <c r="A3712">
        <v>3110000</v>
      </c>
      <c r="B3712" t="s">
        <v>4855</v>
      </c>
      <c r="C3712" s="1">
        <v>29602</v>
      </c>
      <c r="D3712" t="s">
        <v>4856</v>
      </c>
      <c r="E3712" t="str">
        <f t="shared" si="182"/>
        <v>서울특별시</v>
      </c>
      <c r="F3712" t="str">
        <f t="shared" si="183"/>
        <v xml:space="preserve">은평구 </v>
      </c>
      <c r="G3712" t="str">
        <f t="shared" si="185"/>
        <v>갈현동</v>
      </c>
    </row>
    <row r="3713" spans="1:9" x14ac:dyDescent="0.4">
      <c r="A3713">
        <v>3110000</v>
      </c>
      <c r="B3713" t="s">
        <v>4857</v>
      </c>
      <c r="C3713" s="1">
        <v>30399</v>
      </c>
      <c r="D3713" t="s">
        <v>4856</v>
      </c>
      <c r="E3713" t="str">
        <f t="shared" si="182"/>
        <v>서울특별시</v>
      </c>
      <c r="F3713" t="str">
        <f t="shared" si="183"/>
        <v xml:space="preserve">은평구 </v>
      </c>
      <c r="G3713" t="str">
        <f t="shared" si="185"/>
        <v>갈현동</v>
      </c>
    </row>
    <row r="3714" spans="1:9" x14ac:dyDescent="0.4">
      <c r="A3714">
        <v>3110000</v>
      </c>
      <c r="B3714" t="s">
        <v>4794</v>
      </c>
      <c r="C3714" s="1">
        <v>37540</v>
      </c>
      <c r="D3714" t="s">
        <v>4795</v>
      </c>
      <c r="E3714" t="str">
        <f t="shared" si="182"/>
        <v>서울특별시</v>
      </c>
      <c r="F3714" t="str">
        <f t="shared" si="183"/>
        <v xml:space="preserve">은평구 </v>
      </c>
      <c r="G3714" t="str">
        <f t="shared" si="185"/>
        <v>갈현동</v>
      </c>
    </row>
    <row r="3715" spans="1:9" x14ac:dyDescent="0.4">
      <c r="A3715">
        <v>3110000</v>
      </c>
      <c r="B3715" t="s">
        <v>4862</v>
      </c>
      <c r="C3715" s="1">
        <v>30756</v>
      </c>
      <c r="D3715" t="s">
        <v>4863</v>
      </c>
      <c r="E3715" t="str">
        <f t="shared" ref="E3715:E3778" si="186">LEFT(D3715,5)</f>
        <v>서울특별시</v>
      </c>
      <c r="F3715" t="str">
        <f t="shared" ref="F3715:F3778" si="187">MID(D3715,7,4)</f>
        <v xml:space="preserve">은평구 </v>
      </c>
      <c r="G3715" t="str">
        <f t="shared" ref="G3715:G3778" si="188">MID(SUBSTITUTE(D3715," ",""),9,3)</f>
        <v>갈현동</v>
      </c>
    </row>
    <row r="3716" spans="1:9" x14ac:dyDescent="0.4">
      <c r="A3716">
        <v>3110000</v>
      </c>
      <c r="B3716" t="s">
        <v>4815</v>
      </c>
      <c r="C3716" s="1">
        <v>31288</v>
      </c>
      <c r="D3716" t="s">
        <v>4816</v>
      </c>
      <c r="E3716" t="str">
        <f t="shared" si="186"/>
        <v>서울특별시</v>
      </c>
      <c r="F3716" t="str">
        <f t="shared" si="187"/>
        <v xml:space="preserve">은평구 </v>
      </c>
      <c r="G3716" t="str">
        <f t="shared" si="188"/>
        <v>갈현동</v>
      </c>
      <c r="H3716" t="s">
        <v>4817</v>
      </c>
      <c r="I3716">
        <v>3330</v>
      </c>
    </row>
    <row r="3717" spans="1:9" x14ac:dyDescent="0.4">
      <c r="A3717">
        <v>3110000</v>
      </c>
      <c r="B3717" t="s">
        <v>4818</v>
      </c>
      <c r="C3717" s="1">
        <v>31769</v>
      </c>
      <c r="D3717" t="s">
        <v>4819</v>
      </c>
      <c r="E3717" t="str">
        <f t="shared" si="186"/>
        <v>서울특별시</v>
      </c>
      <c r="F3717" t="str">
        <f t="shared" si="187"/>
        <v xml:space="preserve">은평구 </v>
      </c>
      <c r="G3717" t="str">
        <f t="shared" si="188"/>
        <v>갈현동</v>
      </c>
    </row>
    <row r="3718" spans="1:9" x14ac:dyDescent="0.4">
      <c r="A3718">
        <v>3110000</v>
      </c>
      <c r="B3718" t="s">
        <v>4743</v>
      </c>
      <c r="C3718" s="1">
        <v>37264</v>
      </c>
      <c r="D3718" t="s">
        <v>4744</v>
      </c>
      <c r="E3718" t="str">
        <f t="shared" si="186"/>
        <v>서울특별시</v>
      </c>
      <c r="F3718" t="str">
        <f t="shared" si="187"/>
        <v xml:space="preserve">은평구 </v>
      </c>
      <c r="G3718" t="str">
        <f t="shared" si="188"/>
        <v>갈현동</v>
      </c>
    </row>
    <row r="3719" spans="1:9" x14ac:dyDescent="0.4">
      <c r="A3719">
        <v>3110000</v>
      </c>
      <c r="B3719" t="s">
        <v>4858</v>
      </c>
      <c r="C3719" s="1">
        <v>30406</v>
      </c>
      <c r="D3719" t="s">
        <v>4859</v>
      </c>
      <c r="E3719" t="str">
        <f t="shared" si="186"/>
        <v>서울특별시</v>
      </c>
      <c r="F3719" t="str">
        <f t="shared" si="187"/>
        <v xml:space="preserve">은평구 </v>
      </c>
      <c r="G3719" t="str">
        <f t="shared" si="188"/>
        <v>갈현동</v>
      </c>
    </row>
    <row r="3720" spans="1:9" x14ac:dyDescent="0.4">
      <c r="A3720">
        <v>3110000</v>
      </c>
      <c r="B3720" t="s">
        <v>4867</v>
      </c>
      <c r="C3720" s="1">
        <v>31287</v>
      </c>
      <c r="D3720" t="s">
        <v>4868</v>
      </c>
      <c r="E3720" t="str">
        <f t="shared" si="186"/>
        <v>서울특별시</v>
      </c>
      <c r="F3720" t="str">
        <f t="shared" si="187"/>
        <v xml:space="preserve">은평구 </v>
      </c>
      <c r="G3720" t="str">
        <f t="shared" si="188"/>
        <v>갈현동</v>
      </c>
    </row>
    <row r="3721" spans="1:9" x14ac:dyDescent="0.4">
      <c r="A3721">
        <v>3110000</v>
      </c>
      <c r="B3721" t="s">
        <v>4884</v>
      </c>
      <c r="C3721" s="1">
        <v>43119</v>
      </c>
      <c r="D3721" t="s">
        <v>4885</v>
      </c>
      <c r="E3721" t="str">
        <f t="shared" si="186"/>
        <v>서울특별시</v>
      </c>
      <c r="F3721" t="str">
        <f t="shared" si="187"/>
        <v xml:space="preserve">은평구 </v>
      </c>
      <c r="G3721" t="str">
        <f t="shared" si="188"/>
        <v>갈현동</v>
      </c>
      <c r="H3721" t="s">
        <v>4886</v>
      </c>
      <c r="I3721">
        <v>3330</v>
      </c>
    </row>
    <row r="3722" spans="1:9" x14ac:dyDescent="0.4">
      <c r="A3722">
        <v>3110000</v>
      </c>
      <c r="B3722" t="s">
        <v>4683</v>
      </c>
      <c r="C3722" s="1">
        <v>37750</v>
      </c>
      <c r="D3722" t="s">
        <v>4684</v>
      </c>
      <c r="E3722" t="str">
        <f t="shared" si="186"/>
        <v>서울특별시</v>
      </c>
      <c r="F3722" t="str">
        <f t="shared" si="187"/>
        <v xml:space="preserve">은평구 </v>
      </c>
      <c r="G3722" t="str">
        <f t="shared" si="188"/>
        <v>갈현동</v>
      </c>
      <c r="H3722" t="s">
        <v>4685</v>
      </c>
      <c r="I3722">
        <v>3330</v>
      </c>
    </row>
    <row r="3723" spans="1:9" x14ac:dyDescent="0.4">
      <c r="A3723">
        <v>3110000</v>
      </c>
      <c r="B3723" t="s">
        <v>4780</v>
      </c>
      <c r="C3723" s="1">
        <v>37106</v>
      </c>
      <c r="D3723" t="s">
        <v>4781</v>
      </c>
      <c r="E3723" t="str">
        <f t="shared" si="186"/>
        <v>서울특별시</v>
      </c>
      <c r="F3723" t="str">
        <f t="shared" si="187"/>
        <v xml:space="preserve">은평구 </v>
      </c>
      <c r="G3723" t="str">
        <f t="shared" si="188"/>
        <v>갈현동</v>
      </c>
      <c r="H3723" t="s">
        <v>4782</v>
      </c>
      <c r="I3723">
        <v>3330</v>
      </c>
    </row>
    <row r="3724" spans="1:9" x14ac:dyDescent="0.4">
      <c r="A3724">
        <v>3110000</v>
      </c>
      <c r="B3724" t="s">
        <v>4653</v>
      </c>
      <c r="C3724" s="1">
        <v>29112</v>
      </c>
      <c r="D3724" t="s">
        <v>4654</v>
      </c>
      <c r="E3724" t="str">
        <f t="shared" si="186"/>
        <v>서울특별시</v>
      </c>
      <c r="F3724" t="str">
        <f t="shared" si="187"/>
        <v xml:space="preserve">은평구 </v>
      </c>
      <c r="G3724" t="str">
        <f t="shared" si="188"/>
        <v>갈현동</v>
      </c>
      <c r="H3724" t="s">
        <v>4655</v>
      </c>
      <c r="I3724">
        <v>3330</v>
      </c>
    </row>
    <row r="3725" spans="1:9" x14ac:dyDescent="0.4">
      <c r="A3725">
        <v>3110000</v>
      </c>
      <c r="B3725" t="s">
        <v>4611</v>
      </c>
      <c r="C3725" s="1">
        <v>26761</v>
      </c>
      <c r="D3725" t="s">
        <v>4612</v>
      </c>
      <c r="E3725" t="str">
        <f t="shared" si="186"/>
        <v>서울특별시</v>
      </c>
      <c r="F3725" t="str">
        <f t="shared" si="187"/>
        <v xml:space="preserve">은평구 </v>
      </c>
      <c r="G3725" t="str">
        <f t="shared" si="188"/>
        <v>갈현동</v>
      </c>
      <c r="H3725" t="s">
        <v>4613</v>
      </c>
      <c r="I3725">
        <v>3330</v>
      </c>
    </row>
    <row r="3726" spans="1:9" x14ac:dyDescent="0.4">
      <c r="A3726">
        <v>3110000</v>
      </c>
      <c r="B3726" t="s">
        <v>4674</v>
      </c>
      <c r="C3726" s="1">
        <v>37222</v>
      </c>
      <c r="D3726" t="s">
        <v>4675</v>
      </c>
      <c r="E3726" t="str">
        <f t="shared" si="186"/>
        <v>서울특별시</v>
      </c>
      <c r="F3726" t="str">
        <f t="shared" si="187"/>
        <v xml:space="preserve">은평구 </v>
      </c>
      <c r="G3726" t="str">
        <f t="shared" si="188"/>
        <v>갈현동</v>
      </c>
      <c r="H3726" t="s">
        <v>4676</v>
      </c>
      <c r="I3726">
        <v>3331</v>
      </c>
    </row>
    <row r="3727" spans="1:9" x14ac:dyDescent="0.4">
      <c r="A3727">
        <v>3110000</v>
      </c>
      <c r="B3727" t="s">
        <v>4775</v>
      </c>
      <c r="C3727" s="1">
        <v>37028</v>
      </c>
      <c r="D3727" t="s">
        <v>4776</v>
      </c>
      <c r="E3727" t="str">
        <f t="shared" si="186"/>
        <v>서울특별시</v>
      </c>
      <c r="F3727" t="str">
        <f t="shared" si="187"/>
        <v xml:space="preserve">은평구 </v>
      </c>
      <c r="G3727" t="str">
        <f t="shared" si="188"/>
        <v>갈현동</v>
      </c>
    </row>
    <row r="3728" spans="1:9" x14ac:dyDescent="0.4">
      <c r="A3728">
        <v>3110000</v>
      </c>
      <c r="B3728" t="s">
        <v>4695</v>
      </c>
      <c r="C3728" s="1">
        <v>39077</v>
      </c>
      <c r="D3728" t="s">
        <v>4696</v>
      </c>
      <c r="E3728" t="str">
        <f t="shared" si="186"/>
        <v>서울특별시</v>
      </c>
      <c r="F3728" t="str">
        <f t="shared" si="187"/>
        <v xml:space="preserve">은평구 </v>
      </c>
      <c r="G3728" t="str">
        <f t="shared" si="188"/>
        <v>갈현동</v>
      </c>
      <c r="H3728" t="s">
        <v>4697</v>
      </c>
      <c r="I3728">
        <v>3331</v>
      </c>
    </row>
    <row r="3729" spans="1:9" x14ac:dyDescent="0.4">
      <c r="A3729">
        <v>3110000</v>
      </c>
      <c r="B3729" t="s">
        <v>4608</v>
      </c>
      <c r="C3729" s="1">
        <v>43416</v>
      </c>
      <c r="D3729" t="s">
        <v>4609</v>
      </c>
      <c r="E3729" t="str">
        <f t="shared" si="186"/>
        <v>서울특별시</v>
      </c>
      <c r="F3729" t="str">
        <f t="shared" si="187"/>
        <v xml:space="preserve">은평구 </v>
      </c>
      <c r="G3729" t="str">
        <f t="shared" si="188"/>
        <v>갈현동</v>
      </c>
      <c r="H3729" t="s">
        <v>4610</v>
      </c>
      <c r="I3729">
        <v>3331</v>
      </c>
    </row>
    <row r="3730" spans="1:9" x14ac:dyDescent="0.4">
      <c r="A3730">
        <v>3110000</v>
      </c>
      <c r="B3730" t="s">
        <v>4791</v>
      </c>
      <c r="C3730" s="1">
        <v>37538</v>
      </c>
      <c r="D3730" t="s">
        <v>4792</v>
      </c>
      <c r="E3730" t="str">
        <f t="shared" si="186"/>
        <v>서울특별시</v>
      </c>
      <c r="F3730" t="str">
        <f t="shared" si="187"/>
        <v xml:space="preserve">은평구 </v>
      </c>
      <c r="G3730" t="str">
        <f t="shared" si="188"/>
        <v>갈현동</v>
      </c>
      <c r="H3730" t="s">
        <v>4793</v>
      </c>
      <c r="I3730">
        <v>3331</v>
      </c>
    </row>
    <row r="3731" spans="1:9" x14ac:dyDescent="0.4">
      <c r="A3731">
        <v>3110000</v>
      </c>
      <c r="B3731" t="s">
        <v>4842</v>
      </c>
      <c r="C3731" s="1">
        <v>36798</v>
      </c>
      <c r="D3731" t="s">
        <v>4843</v>
      </c>
      <c r="E3731" t="str">
        <f t="shared" si="186"/>
        <v>서울특별시</v>
      </c>
      <c r="F3731" t="str">
        <f t="shared" si="187"/>
        <v xml:space="preserve">은평구 </v>
      </c>
      <c r="G3731" t="str">
        <f t="shared" si="188"/>
        <v>갈현동</v>
      </c>
      <c r="H3731" t="s">
        <v>4844</v>
      </c>
      <c r="I3731">
        <v>3331</v>
      </c>
    </row>
    <row r="3732" spans="1:9" x14ac:dyDescent="0.4">
      <c r="A3732">
        <v>3110000</v>
      </c>
      <c r="B3732" t="s">
        <v>4638</v>
      </c>
      <c r="C3732" s="1">
        <v>36504</v>
      </c>
      <c r="D3732" t="s">
        <v>4639</v>
      </c>
      <c r="E3732" t="str">
        <f t="shared" si="186"/>
        <v>서울특별시</v>
      </c>
      <c r="F3732" t="str">
        <f t="shared" si="187"/>
        <v xml:space="preserve">은평구 </v>
      </c>
      <c r="G3732" t="str">
        <f t="shared" si="188"/>
        <v>녹번동</v>
      </c>
      <c r="H3732" t="s">
        <v>4640</v>
      </c>
      <c r="I3732">
        <v>3375</v>
      </c>
    </row>
    <row r="3733" spans="1:9" x14ac:dyDescent="0.4">
      <c r="A3733">
        <v>3110000</v>
      </c>
      <c r="B3733" t="s">
        <v>4831</v>
      </c>
      <c r="C3733" s="1">
        <v>36504</v>
      </c>
      <c r="D3733" t="s">
        <v>4832</v>
      </c>
      <c r="E3733" t="str">
        <f t="shared" si="186"/>
        <v>서울특별시</v>
      </c>
      <c r="F3733" t="str">
        <f t="shared" si="187"/>
        <v xml:space="preserve">은평구 </v>
      </c>
      <c r="G3733" t="str">
        <f t="shared" si="188"/>
        <v>녹번동</v>
      </c>
    </row>
    <row r="3734" spans="1:9" x14ac:dyDescent="0.4">
      <c r="A3734">
        <v>3110000</v>
      </c>
      <c r="B3734" t="s">
        <v>4845</v>
      </c>
      <c r="C3734" s="1">
        <v>26863</v>
      </c>
      <c r="D3734" t="s">
        <v>4846</v>
      </c>
      <c r="E3734" t="str">
        <f t="shared" si="186"/>
        <v>서울특별시</v>
      </c>
      <c r="F3734" t="str">
        <f t="shared" si="187"/>
        <v xml:space="preserve">은평구 </v>
      </c>
      <c r="G3734" t="str">
        <f t="shared" si="188"/>
        <v>녹번동</v>
      </c>
    </row>
    <row r="3735" spans="1:9" x14ac:dyDescent="0.4">
      <c r="A3735">
        <v>3110000</v>
      </c>
      <c r="B3735" t="s">
        <v>4650</v>
      </c>
      <c r="C3735" s="1">
        <v>27074</v>
      </c>
      <c r="D3735" t="s">
        <v>4651</v>
      </c>
      <c r="E3735" t="str">
        <f t="shared" si="186"/>
        <v>서울특별시</v>
      </c>
      <c r="F3735" t="str">
        <f t="shared" si="187"/>
        <v xml:space="preserve">은평구 </v>
      </c>
      <c r="G3735" t="str">
        <f t="shared" si="188"/>
        <v>녹번동</v>
      </c>
      <c r="H3735" t="s">
        <v>4652</v>
      </c>
      <c r="I3735">
        <v>3383</v>
      </c>
    </row>
    <row r="3736" spans="1:9" x14ac:dyDescent="0.4">
      <c r="A3736">
        <v>3110000</v>
      </c>
      <c r="B3736" t="s">
        <v>4659</v>
      </c>
      <c r="C3736" s="1">
        <v>30051</v>
      </c>
      <c r="D3736" t="s">
        <v>4660</v>
      </c>
      <c r="E3736" t="str">
        <f t="shared" si="186"/>
        <v>서울특별시</v>
      </c>
      <c r="F3736" t="str">
        <f t="shared" si="187"/>
        <v xml:space="preserve">은평구 </v>
      </c>
      <c r="G3736" t="str">
        <f t="shared" si="188"/>
        <v>대조동</v>
      </c>
      <c r="H3736" t="s">
        <v>4661</v>
      </c>
      <c r="I3736">
        <v>3396</v>
      </c>
    </row>
    <row r="3737" spans="1:9" x14ac:dyDescent="0.4">
      <c r="A3737">
        <v>3110000</v>
      </c>
      <c r="B3737" t="s">
        <v>4519</v>
      </c>
      <c r="C3737" s="1">
        <v>40469</v>
      </c>
      <c r="D3737" t="s">
        <v>4520</v>
      </c>
      <c r="E3737" t="str">
        <f t="shared" si="186"/>
        <v>서울특별시</v>
      </c>
      <c r="F3737" t="str">
        <f t="shared" si="187"/>
        <v xml:space="preserve">은평구 </v>
      </c>
      <c r="G3737" t="str">
        <f t="shared" si="188"/>
        <v>대조동</v>
      </c>
      <c r="H3737" t="s">
        <v>4521</v>
      </c>
      <c r="I3737">
        <v>3396</v>
      </c>
    </row>
    <row r="3738" spans="1:9" x14ac:dyDescent="0.4">
      <c r="A3738">
        <v>3110000</v>
      </c>
      <c r="B3738" t="s">
        <v>4722</v>
      </c>
      <c r="C3738" s="1">
        <v>39514</v>
      </c>
      <c r="D3738" t="s">
        <v>4723</v>
      </c>
      <c r="E3738" t="str">
        <f t="shared" si="186"/>
        <v>서울특별시</v>
      </c>
      <c r="F3738" t="str">
        <f t="shared" si="187"/>
        <v xml:space="preserve">은평구 </v>
      </c>
      <c r="G3738" t="str">
        <f t="shared" si="188"/>
        <v>대조동</v>
      </c>
      <c r="H3738" t="s">
        <v>4724</v>
      </c>
      <c r="I3738">
        <v>3396</v>
      </c>
    </row>
    <row r="3739" spans="1:9" x14ac:dyDescent="0.4">
      <c r="A3739">
        <v>3110000</v>
      </c>
      <c r="B3739" t="s">
        <v>4701</v>
      </c>
      <c r="C3739" s="1">
        <v>39406</v>
      </c>
      <c r="D3739" t="s">
        <v>4702</v>
      </c>
      <c r="E3739" t="str">
        <f t="shared" si="186"/>
        <v>서울특별시</v>
      </c>
      <c r="F3739" t="str">
        <f t="shared" si="187"/>
        <v xml:space="preserve">은평구 </v>
      </c>
      <c r="G3739" t="str">
        <f t="shared" si="188"/>
        <v>대조동</v>
      </c>
      <c r="H3739" t="s">
        <v>4703</v>
      </c>
      <c r="I3739">
        <v>3396</v>
      </c>
    </row>
    <row r="3740" spans="1:9" x14ac:dyDescent="0.4">
      <c r="A3740">
        <v>3110000</v>
      </c>
      <c r="B3740" t="s">
        <v>4769</v>
      </c>
      <c r="C3740" s="1">
        <v>43216</v>
      </c>
      <c r="D3740" t="s">
        <v>4770</v>
      </c>
      <c r="E3740" t="str">
        <f t="shared" si="186"/>
        <v>서울특별시</v>
      </c>
      <c r="F3740" t="str">
        <f t="shared" si="187"/>
        <v xml:space="preserve">은평구 </v>
      </c>
      <c r="G3740" t="str">
        <f t="shared" si="188"/>
        <v>대조동</v>
      </c>
      <c r="H3740" t="s">
        <v>4771</v>
      </c>
    </row>
    <row r="3741" spans="1:9" x14ac:dyDescent="0.4">
      <c r="A3741">
        <v>3110000</v>
      </c>
      <c r="B3741" t="s">
        <v>4748</v>
      </c>
      <c r="C3741" s="1">
        <v>38250</v>
      </c>
      <c r="D3741" t="s">
        <v>4749</v>
      </c>
      <c r="E3741" t="str">
        <f t="shared" si="186"/>
        <v>서울특별시</v>
      </c>
      <c r="F3741" t="str">
        <f t="shared" si="187"/>
        <v xml:space="preserve">은평구 </v>
      </c>
      <c r="G3741" t="str">
        <f t="shared" si="188"/>
        <v>대조동</v>
      </c>
      <c r="H3741" t="s">
        <v>4750</v>
      </c>
      <c r="I3741">
        <v>3396</v>
      </c>
    </row>
    <row r="3742" spans="1:9" x14ac:dyDescent="0.4">
      <c r="A3742">
        <v>3110000</v>
      </c>
      <c r="B3742" t="s">
        <v>4878</v>
      </c>
      <c r="C3742" s="1">
        <v>42916</v>
      </c>
      <c r="D3742" t="s">
        <v>4879</v>
      </c>
      <c r="E3742" t="str">
        <f t="shared" si="186"/>
        <v>서울특별시</v>
      </c>
      <c r="F3742" t="str">
        <f t="shared" si="187"/>
        <v xml:space="preserve">은평구 </v>
      </c>
      <c r="G3742" t="str">
        <f t="shared" si="188"/>
        <v>대조동</v>
      </c>
      <c r="H3742" t="s">
        <v>4880</v>
      </c>
      <c r="I3742">
        <v>3397</v>
      </c>
    </row>
    <row r="3743" spans="1:9" x14ac:dyDescent="0.4">
      <c r="A3743">
        <v>3110000</v>
      </c>
      <c r="B3743" t="s">
        <v>4576</v>
      </c>
      <c r="C3743" s="1">
        <v>41312</v>
      </c>
      <c r="D3743" t="s">
        <v>4577</v>
      </c>
      <c r="E3743" t="str">
        <f t="shared" si="186"/>
        <v>서울특별시</v>
      </c>
      <c r="F3743" t="str">
        <f t="shared" si="187"/>
        <v xml:space="preserve">은평구 </v>
      </c>
      <c r="G3743" t="str">
        <f t="shared" si="188"/>
        <v>대조동</v>
      </c>
      <c r="H3743" t="s">
        <v>4578</v>
      </c>
      <c r="I3743">
        <v>3397</v>
      </c>
    </row>
    <row r="3744" spans="1:9" x14ac:dyDescent="0.4">
      <c r="A3744">
        <v>3110000</v>
      </c>
      <c r="B3744" t="s">
        <v>4698</v>
      </c>
      <c r="C3744" s="1">
        <v>39122</v>
      </c>
      <c r="D3744" t="s">
        <v>4699</v>
      </c>
      <c r="E3744" t="str">
        <f t="shared" si="186"/>
        <v>서울특별시</v>
      </c>
      <c r="F3744" t="str">
        <f t="shared" si="187"/>
        <v xml:space="preserve">은평구 </v>
      </c>
      <c r="G3744" t="str">
        <f t="shared" si="188"/>
        <v>대조동</v>
      </c>
      <c r="H3744" t="s">
        <v>4700</v>
      </c>
      <c r="I3744">
        <v>3397</v>
      </c>
    </row>
    <row r="3745" spans="1:9" x14ac:dyDescent="0.4">
      <c r="A3745">
        <v>3110000</v>
      </c>
      <c r="B3745" t="s">
        <v>4656</v>
      </c>
      <c r="C3745" s="1">
        <v>29134</v>
      </c>
      <c r="D3745" t="s">
        <v>4657</v>
      </c>
      <c r="E3745" t="str">
        <f t="shared" si="186"/>
        <v>서울특별시</v>
      </c>
      <c r="F3745" t="str">
        <f t="shared" si="187"/>
        <v xml:space="preserve">은평구 </v>
      </c>
      <c r="G3745" t="str">
        <f t="shared" si="188"/>
        <v>대조동</v>
      </c>
      <c r="H3745" t="s">
        <v>4658</v>
      </c>
      <c r="I3745">
        <v>3397</v>
      </c>
    </row>
    <row r="3746" spans="1:9" x14ac:dyDescent="0.4">
      <c r="A3746">
        <v>3110000</v>
      </c>
      <c r="B3746" t="s">
        <v>4763</v>
      </c>
      <c r="C3746" s="1">
        <v>42759</v>
      </c>
      <c r="D3746" t="s">
        <v>4764</v>
      </c>
      <c r="E3746" t="str">
        <f t="shared" si="186"/>
        <v>서울특별시</v>
      </c>
      <c r="F3746" t="str">
        <f t="shared" si="187"/>
        <v xml:space="preserve">은평구 </v>
      </c>
      <c r="G3746" t="str">
        <f t="shared" si="188"/>
        <v>대조동</v>
      </c>
      <c r="H3746" t="s">
        <v>4765</v>
      </c>
      <c r="I3746">
        <v>3397</v>
      </c>
    </row>
    <row r="3747" spans="1:9" x14ac:dyDescent="0.4">
      <c r="A3747">
        <v>3110000</v>
      </c>
      <c r="B3747" t="s">
        <v>4772</v>
      </c>
      <c r="C3747" s="1">
        <v>37601</v>
      </c>
      <c r="D3747" t="s">
        <v>4773</v>
      </c>
      <c r="E3747" t="str">
        <f t="shared" si="186"/>
        <v>서울특별시</v>
      </c>
      <c r="F3747" t="str">
        <f t="shared" si="187"/>
        <v xml:space="preserve">은평구 </v>
      </c>
      <c r="G3747" t="str">
        <f t="shared" si="188"/>
        <v>대조동</v>
      </c>
      <c r="H3747" t="s">
        <v>4774</v>
      </c>
      <c r="I3747">
        <v>3397</v>
      </c>
    </row>
    <row r="3748" spans="1:9" x14ac:dyDescent="0.4">
      <c r="A3748">
        <v>3110000</v>
      </c>
      <c r="B3748" t="s">
        <v>4540</v>
      </c>
      <c r="C3748" s="1">
        <v>43144</v>
      </c>
      <c r="D3748" t="s">
        <v>4541</v>
      </c>
      <c r="E3748" t="str">
        <f t="shared" si="186"/>
        <v>서울특별시</v>
      </c>
      <c r="F3748" t="str">
        <f t="shared" si="187"/>
        <v xml:space="preserve">은평구 </v>
      </c>
      <c r="G3748" t="str">
        <f t="shared" si="188"/>
        <v>대조동</v>
      </c>
      <c r="H3748" t="s">
        <v>4542</v>
      </c>
      <c r="I3748">
        <v>3397</v>
      </c>
    </row>
    <row r="3749" spans="1:9" x14ac:dyDescent="0.4">
      <c r="A3749">
        <v>3110000</v>
      </c>
      <c r="B3749" t="s">
        <v>4760</v>
      </c>
      <c r="C3749" s="1">
        <v>40767</v>
      </c>
      <c r="D3749" t="s">
        <v>4761</v>
      </c>
      <c r="E3749" t="str">
        <f t="shared" si="186"/>
        <v>서울특별시</v>
      </c>
      <c r="F3749" t="str">
        <f t="shared" si="187"/>
        <v xml:space="preserve">은평구 </v>
      </c>
      <c r="G3749" t="str">
        <f t="shared" si="188"/>
        <v>대조동</v>
      </c>
      <c r="H3749" t="s">
        <v>4762</v>
      </c>
      <c r="I3749">
        <v>3397</v>
      </c>
    </row>
    <row r="3750" spans="1:9" x14ac:dyDescent="0.4">
      <c r="A3750">
        <v>3110000</v>
      </c>
      <c r="B3750" t="s">
        <v>4730</v>
      </c>
      <c r="C3750" s="1">
        <v>26361</v>
      </c>
      <c r="D3750" t="s">
        <v>4731</v>
      </c>
      <c r="E3750" t="str">
        <f t="shared" si="186"/>
        <v>서울특별시</v>
      </c>
      <c r="F3750" t="str">
        <f t="shared" si="187"/>
        <v xml:space="preserve">은평구 </v>
      </c>
      <c r="G3750" t="str">
        <f t="shared" si="188"/>
        <v>대조동</v>
      </c>
    </row>
    <row r="3751" spans="1:9" x14ac:dyDescent="0.4">
      <c r="A3751">
        <v>3110000</v>
      </c>
      <c r="B3751" t="s">
        <v>4579</v>
      </c>
      <c r="C3751" s="1">
        <v>41415</v>
      </c>
      <c r="D3751" t="s">
        <v>4580</v>
      </c>
      <c r="E3751" t="str">
        <f t="shared" si="186"/>
        <v>서울특별시</v>
      </c>
      <c r="F3751" t="str">
        <f t="shared" si="187"/>
        <v xml:space="preserve">은평구 </v>
      </c>
      <c r="G3751" t="str">
        <f t="shared" si="188"/>
        <v>대조동</v>
      </c>
      <c r="H3751" t="s">
        <v>4581</v>
      </c>
      <c r="I3751">
        <v>3397</v>
      </c>
    </row>
    <row r="3752" spans="1:9" x14ac:dyDescent="0.4">
      <c r="A3752">
        <v>3110000</v>
      </c>
      <c r="B3752" t="s">
        <v>4620</v>
      </c>
      <c r="C3752" s="1">
        <v>36593</v>
      </c>
      <c r="D3752" t="s">
        <v>4621</v>
      </c>
      <c r="E3752" t="str">
        <f t="shared" si="186"/>
        <v>서울특별시</v>
      </c>
      <c r="F3752" t="str">
        <f t="shared" si="187"/>
        <v xml:space="preserve">은평구 </v>
      </c>
      <c r="G3752" t="str">
        <f t="shared" si="188"/>
        <v>대조동</v>
      </c>
      <c r="H3752" t="s">
        <v>4622</v>
      </c>
      <c r="I3752">
        <v>3397</v>
      </c>
    </row>
    <row r="3753" spans="1:9" x14ac:dyDescent="0.4">
      <c r="A3753">
        <v>3110000</v>
      </c>
      <c r="B3753" t="s">
        <v>4665</v>
      </c>
      <c r="C3753" s="1">
        <v>37190</v>
      </c>
      <c r="D3753" t="s">
        <v>4666</v>
      </c>
      <c r="E3753" t="str">
        <f t="shared" si="186"/>
        <v>서울특별시</v>
      </c>
      <c r="F3753" t="str">
        <f t="shared" si="187"/>
        <v xml:space="preserve">은평구 </v>
      </c>
      <c r="G3753" t="str">
        <f t="shared" si="188"/>
        <v>대조동</v>
      </c>
      <c r="H3753" t="s">
        <v>4667</v>
      </c>
      <c r="I3753">
        <v>3397</v>
      </c>
    </row>
    <row r="3754" spans="1:9" x14ac:dyDescent="0.4">
      <c r="A3754">
        <v>3110000</v>
      </c>
      <c r="B3754" t="s">
        <v>4710</v>
      </c>
      <c r="C3754" s="1">
        <v>40696</v>
      </c>
      <c r="D3754" t="s">
        <v>4711</v>
      </c>
      <c r="E3754" t="str">
        <f t="shared" si="186"/>
        <v>서울특별시</v>
      </c>
      <c r="F3754" t="str">
        <f t="shared" si="187"/>
        <v xml:space="preserve">은평구 </v>
      </c>
      <c r="G3754" t="str">
        <f t="shared" si="188"/>
        <v>대조동</v>
      </c>
      <c r="H3754" t="s">
        <v>4712</v>
      </c>
      <c r="I3754">
        <v>3397</v>
      </c>
    </row>
    <row r="3755" spans="1:9" x14ac:dyDescent="0.4">
      <c r="A3755">
        <v>3110000</v>
      </c>
      <c r="B3755" t="s">
        <v>4570</v>
      </c>
      <c r="C3755" s="1">
        <v>41016</v>
      </c>
      <c r="D3755" t="s">
        <v>4571</v>
      </c>
      <c r="E3755" t="str">
        <f t="shared" si="186"/>
        <v>서울특별시</v>
      </c>
      <c r="F3755" t="str">
        <f t="shared" si="187"/>
        <v xml:space="preserve">은평구 </v>
      </c>
      <c r="G3755" t="str">
        <f t="shared" si="188"/>
        <v>대조동</v>
      </c>
      <c r="H3755" t="s">
        <v>4572</v>
      </c>
      <c r="I3755">
        <v>3397</v>
      </c>
    </row>
    <row r="3756" spans="1:9" x14ac:dyDescent="0.4">
      <c r="A3756">
        <v>3110000</v>
      </c>
      <c r="B3756" t="s">
        <v>4573</v>
      </c>
      <c r="C3756" s="1">
        <v>41151</v>
      </c>
      <c r="D3756" t="s">
        <v>4574</v>
      </c>
      <c r="E3756" t="str">
        <f t="shared" si="186"/>
        <v>서울특별시</v>
      </c>
      <c r="F3756" t="str">
        <f t="shared" si="187"/>
        <v xml:space="preserve">은평구 </v>
      </c>
      <c r="G3756" t="str">
        <f t="shared" si="188"/>
        <v>대조동</v>
      </c>
      <c r="H3756" t="s">
        <v>4575</v>
      </c>
      <c r="I3756">
        <v>3397</v>
      </c>
    </row>
    <row r="3757" spans="1:9" x14ac:dyDescent="0.4">
      <c r="A3757">
        <v>3110000</v>
      </c>
      <c r="B3757" t="s">
        <v>4555</v>
      </c>
      <c r="C3757" s="1">
        <v>37021</v>
      </c>
      <c r="D3757" t="s">
        <v>4556</v>
      </c>
      <c r="E3757" t="str">
        <f t="shared" si="186"/>
        <v>서울특별시</v>
      </c>
      <c r="F3757" t="str">
        <f t="shared" si="187"/>
        <v xml:space="preserve">은평구 </v>
      </c>
      <c r="G3757" t="str">
        <f t="shared" si="188"/>
        <v>대조동</v>
      </c>
      <c r="H3757" t="s">
        <v>4557</v>
      </c>
      <c r="I3757">
        <v>3397</v>
      </c>
    </row>
    <row r="3758" spans="1:9" x14ac:dyDescent="0.4">
      <c r="A3758">
        <v>3110000</v>
      </c>
      <c r="B3758" t="s">
        <v>4860</v>
      </c>
      <c r="C3758" s="1">
        <v>30409</v>
      </c>
      <c r="D3758" t="s">
        <v>4861</v>
      </c>
      <c r="E3758" t="str">
        <f t="shared" si="186"/>
        <v>서울특별시</v>
      </c>
      <c r="F3758" t="str">
        <f t="shared" si="187"/>
        <v xml:space="preserve">은평구 </v>
      </c>
      <c r="G3758" t="str">
        <f t="shared" si="188"/>
        <v>대조동</v>
      </c>
    </row>
    <row r="3759" spans="1:9" x14ac:dyDescent="0.4">
      <c r="A3759">
        <v>3110000</v>
      </c>
      <c r="B3759" t="s">
        <v>4796</v>
      </c>
      <c r="C3759" s="1">
        <v>37574</v>
      </c>
      <c r="D3759" t="s">
        <v>4797</v>
      </c>
      <c r="E3759" t="str">
        <f t="shared" si="186"/>
        <v>서울특별시</v>
      </c>
      <c r="F3759" t="str">
        <f t="shared" si="187"/>
        <v xml:space="preserve">은평구 </v>
      </c>
      <c r="G3759" t="str">
        <f t="shared" si="188"/>
        <v>대조동</v>
      </c>
    </row>
    <row r="3760" spans="1:9" x14ac:dyDescent="0.4">
      <c r="A3760">
        <v>3110000</v>
      </c>
      <c r="B3760" t="s">
        <v>4798</v>
      </c>
      <c r="C3760" s="1">
        <v>37597</v>
      </c>
      <c r="D3760" t="s">
        <v>4799</v>
      </c>
      <c r="E3760" t="str">
        <f t="shared" si="186"/>
        <v>서울특별시</v>
      </c>
      <c r="F3760" t="str">
        <f t="shared" si="187"/>
        <v xml:space="preserve">은평구 </v>
      </c>
      <c r="G3760" t="str">
        <f t="shared" si="188"/>
        <v>대조동</v>
      </c>
    </row>
    <row r="3761" spans="1:9" x14ac:dyDescent="0.4">
      <c r="A3761">
        <v>3110000</v>
      </c>
      <c r="B3761" t="s">
        <v>4872</v>
      </c>
      <c r="C3761" s="1">
        <v>42488</v>
      </c>
      <c r="D3761" t="s">
        <v>4873</v>
      </c>
      <c r="E3761" t="str">
        <f t="shared" si="186"/>
        <v>서울특별시</v>
      </c>
      <c r="F3761" t="str">
        <f t="shared" si="187"/>
        <v xml:space="preserve">은평구 </v>
      </c>
      <c r="G3761" t="str">
        <f t="shared" si="188"/>
        <v>대조동</v>
      </c>
      <c r="H3761" t="s">
        <v>4874</v>
      </c>
      <c r="I3761">
        <v>3385</v>
      </c>
    </row>
    <row r="3762" spans="1:9" x14ac:dyDescent="0.4">
      <c r="A3762">
        <v>3110000</v>
      </c>
      <c r="B3762" t="s">
        <v>4800</v>
      </c>
      <c r="C3762" s="1">
        <v>41920</v>
      </c>
      <c r="D3762" t="s">
        <v>4801</v>
      </c>
      <c r="E3762" t="str">
        <f t="shared" si="186"/>
        <v>서울특별시</v>
      </c>
      <c r="F3762" t="str">
        <f t="shared" si="187"/>
        <v xml:space="preserve">은평구 </v>
      </c>
      <c r="G3762" t="str">
        <f t="shared" si="188"/>
        <v>대조동</v>
      </c>
      <c r="H3762" t="s">
        <v>4802</v>
      </c>
      <c r="I3762">
        <v>3385</v>
      </c>
    </row>
    <row r="3763" spans="1:9" x14ac:dyDescent="0.4">
      <c r="A3763">
        <v>3110000</v>
      </c>
      <c r="B3763" t="s">
        <v>4740</v>
      </c>
      <c r="C3763" s="1">
        <v>37236</v>
      </c>
      <c r="D3763" t="s">
        <v>4741</v>
      </c>
      <c r="E3763" t="str">
        <f t="shared" si="186"/>
        <v>서울특별시</v>
      </c>
      <c r="F3763" t="str">
        <f t="shared" si="187"/>
        <v xml:space="preserve">은평구 </v>
      </c>
      <c r="G3763" t="str">
        <f t="shared" si="188"/>
        <v>대조동</v>
      </c>
      <c r="H3763" t="s">
        <v>4742</v>
      </c>
      <c r="I3763">
        <v>3385</v>
      </c>
    </row>
    <row r="3764" spans="1:9" x14ac:dyDescent="0.4">
      <c r="A3764">
        <v>3110000</v>
      </c>
      <c r="B3764" t="s">
        <v>4737</v>
      </c>
      <c r="C3764" s="1">
        <v>37190</v>
      </c>
      <c r="D3764" t="s">
        <v>4738</v>
      </c>
      <c r="E3764" t="str">
        <f t="shared" si="186"/>
        <v>서울특별시</v>
      </c>
      <c r="F3764" t="str">
        <f t="shared" si="187"/>
        <v xml:space="preserve">은평구 </v>
      </c>
      <c r="G3764" t="str">
        <f t="shared" si="188"/>
        <v>대조동</v>
      </c>
      <c r="H3764" t="s">
        <v>4739</v>
      </c>
      <c r="I3764">
        <v>3385</v>
      </c>
    </row>
    <row r="3765" spans="1:9" x14ac:dyDescent="0.4">
      <c r="A3765">
        <v>3110000</v>
      </c>
      <c r="B3765" t="s">
        <v>4590</v>
      </c>
      <c r="C3765" s="1">
        <v>36806</v>
      </c>
      <c r="D3765" t="s">
        <v>4591</v>
      </c>
      <c r="E3765" t="str">
        <f t="shared" si="186"/>
        <v>서울특별시</v>
      </c>
      <c r="F3765" t="str">
        <f t="shared" si="187"/>
        <v xml:space="preserve">은평구 </v>
      </c>
      <c r="G3765" t="str">
        <f t="shared" si="188"/>
        <v>대조동</v>
      </c>
      <c r="H3765" t="s">
        <v>4592</v>
      </c>
      <c r="I3765">
        <v>3385</v>
      </c>
    </row>
    <row r="3766" spans="1:9" x14ac:dyDescent="0.4">
      <c r="A3766">
        <v>3110000</v>
      </c>
      <c r="B3766" t="s">
        <v>4826</v>
      </c>
      <c r="C3766" s="1">
        <v>36360</v>
      </c>
      <c r="D3766" t="s">
        <v>4827</v>
      </c>
      <c r="E3766" t="str">
        <f t="shared" si="186"/>
        <v>서울특별시</v>
      </c>
      <c r="F3766" t="str">
        <f t="shared" si="187"/>
        <v xml:space="preserve">은평구 </v>
      </c>
      <c r="G3766" t="str">
        <f t="shared" si="188"/>
        <v>대조동</v>
      </c>
      <c r="H3766" t="s">
        <v>4828</v>
      </c>
    </row>
    <row r="3767" spans="1:9" x14ac:dyDescent="0.4">
      <c r="A3767">
        <v>3110000</v>
      </c>
      <c r="B3767" t="s">
        <v>4853</v>
      </c>
      <c r="C3767" s="1">
        <v>29194</v>
      </c>
      <c r="D3767" t="s">
        <v>4854</v>
      </c>
      <c r="E3767" t="str">
        <f t="shared" si="186"/>
        <v>서울특별시</v>
      </c>
      <c r="F3767" t="str">
        <f t="shared" si="187"/>
        <v xml:space="preserve">은평구 </v>
      </c>
      <c r="G3767" t="str">
        <f t="shared" si="188"/>
        <v>대조동</v>
      </c>
    </row>
    <row r="3768" spans="1:9" x14ac:dyDescent="0.4">
      <c r="A3768">
        <v>3110000</v>
      </c>
      <c r="B3768" t="s">
        <v>4585</v>
      </c>
      <c r="C3768" s="1">
        <v>41605</v>
      </c>
      <c r="D3768" t="s">
        <v>4586</v>
      </c>
      <c r="E3768" t="str">
        <f t="shared" si="186"/>
        <v>서울특별시</v>
      </c>
      <c r="F3768" t="str">
        <f t="shared" si="187"/>
        <v xml:space="preserve">은평구 </v>
      </c>
      <c r="G3768" t="str">
        <f t="shared" si="188"/>
        <v>대조동</v>
      </c>
      <c r="H3768" t="s">
        <v>4587</v>
      </c>
      <c r="I3768">
        <v>3385</v>
      </c>
    </row>
    <row r="3769" spans="1:9" x14ac:dyDescent="0.4">
      <c r="A3769">
        <v>3110000</v>
      </c>
      <c r="B3769" t="s">
        <v>4732</v>
      </c>
      <c r="C3769" s="1">
        <v>26757</v>
      </c>
      <c r="D3769" t="s">
        <v>4733</v>
      </c>
      <c r="E3769" t="str">
        <f t="shared" si="186"/>
        <v>서울특별시</v>
      </c>
      <c r="F3769" t="str">
        <f t="shared" si="187"/>
        <v xml:space="preserve">은평구 </v>
      </c>
      <c r="G3769" t="str">
        <f t="shared" si="188"/>
        <v>불광동</v>
      </c>
    </row>
    <row r="3770" spans="1:9" x14ac:dyDescent="0.4">
      <c r="A3770">
        <v>3110000</v>
      </c>
      <c r="B3770" t="s">
        <v>4677</v>
      </c>
      <c r="C3770" s="1">
        <v>37305</v>
      </c>
      <c r="D3770" t="s">
        <v>4678</v>
      </c>
      <c r="E3770" t="str">
        <f t="shared" si="186"/>
        <v>서울특별시</v>
      </c>
      <c r="F3770" t="str">
        <f t="shared" si="187"/>
        <v xml:space="preserve">은평구 </v>
      </c>
      <c r="G3770" t="str">
        <f t="shared" si="188"/>
        <v>불광동</v>
      </c>
      <c r="H3770" t="s">
        <v>4679</v>
      </c>
      <c r="I3770">
        <v>3368</v>
      </c>
    </row>
    <row r="3771" spans="1:9" x14ac:dyDescent="0.4">
      <c r="A3771">
        <v>3110000</v>
      </c>
      <c r="B3771" t="s">
        <v>4596</v>
      </c>
      <c r="C3771" s="1">
        <v>36957</v>
      </c>
      <c r="D3771" t="s">
        <v>4597</v>
      </c>
      <c r="E3771" t="str">
        <f t="shared" si="186"/>
        <v>서울특별시</v>
      </c>
      <c r="F3771" t="str">
        <f t="shared" si="187"/>
        <v xml:space="preserve">은평구 </v>
      </c>
      <c r="G3771" t="str">
        <f t="shared" si="188"/>
        <v>불광동</v>
      </c>
      <c r="H3771" t="s">
        <v>4598</v>
      </c>
      <c r="I3771">
        <v>3368</v>
      </c>
    </row>
    <row r="3772" spans="1:9" x14ac:dyDescent="0.4">
      <c r="A3772">
        <v>3110000</v>
      </c>
      <c r="B3772" t="s">
        <v>4629</v>
      </c>
      <c r="C3772" s="1">
        <v>36732</v>
      </c>
      <c r="D3772" t="s">
        <v>4630</v>
      </c>
      <c r="E3772" t="str">
        <f t="shared" si="186"/>
        <v>서울특별시</v>
      </c>
      <c r="F3772" t="str">
        <f t="shared" si="187"/>
        <v xml:space="preserve">은평구 </v>
      </c>
      <c r="G3772" t="str">
        <f t="shared" si="188"/>
        <v>불광동</v>
      </c>
      <c r="H3772" t="s">
        <v>4631</v>
      </c>
      <c r="I3772">
        <v>3368</v>
      </c>
    </row>
    <row r="3773" spans="1:9" x14ac:dyDescent="0.4">
      <c r="A3773">
        <v>3110000</v>
      </c>
      <c r="B3773" t="s">
        <v>4605</v>
      </c>
      <c r="C3773" s="1">
        <v>31287</v>
      </c>
      <c r="D3773" t="s">
        <v>4606</v>
      </c>
      <c r="E3773" t="str">
        <f t="shared" si="186"/>
        <v>서울특별시</v>
      </c>
      <c r="F3773" t="str">
        <f t="shared" si="187"/>
        <v xml:space="preserve">은평구 </v>
      </c>
      <c r="G3773" t="str">
        <f t="shared" si="188"/>
        <v>불광동</v>
      </c>
      <c r="H3773" t="s">
        <v>4607</v>
      </c>
      <c r="I3773">
        <v>3368</v>
      </c>
    </row>
    <row r="3774" spans="1:9" x14ac:dyDescent="0.4">
      <c r="A3774">
        <v>3110000</v>
      </c>
      <c r="B3774" t="s">
        <v>4662</v>
      </c>
      <c r="C3774" s="1">
        <v>31273</v>
      </c>
      <c r="D3774" t="s">
        <v>4663</v>
      </c>
      <c r="E3774" t="str">
        <f t="shared" si="186"/>
        <v>서울특별시</v>
      </c>
      <c r="F3774" t="str">
        <f t="shared" si="187"/>
        <v xml:space="preserve">은평구 </v>
      </c>
      <c r="G3774" t="str">
        <f t="shared" si="188"/>
        <v>불광동</v>
      </c>
      <c r="H3774" t="s">
        <v>4664</v>
      </c>
      <c r="I3774">
        <v>3368</v>
      </c>
    </row>
    <row r="3775" spans="1:9" x14ac:dyDescent="0.4">
      <c r="A3775">
        <v>3110000</v>
      </c>
      <c r="B3775" t="s">
        <v>4537</v>
      </c>
      <c r="C3775" s="1">
        <v>43136</v>
      </c>
      <c r="D3775" t="s">
        <v>4538</v>
      </c>
      <c r="E3775" t="str">
        <f t="shared" si="186"/>
        <v>서울특별시</v>
      </c>
      <c r="F3775" t="str">
        <f t="shared" si="187"/>
        <v xml:space="preserve">은평구 </v>
      </c>
      <c r="G3775" t="str">
        <f t="shared" si="188"/>
        <v>불광동</v>
      </c>
      <c r="H3775" t="s">
        <v>4539</v>
      </c>
      <c r="I3775">
        <v>3368</v>
      </c>
    </row>
    <row r="3776" spans="1:9" x14ac:dyDescent="0.4">
      <c r="A3776">
        <v>3110000</v>
      </c>
      <c r="B3776" t="s">
        <v>4614</v>
      </c>
      <c r="C3776" s="1">
        <v>31288</v>
      </c>
      <c r="D3776" t="s">
        <v>4615</v>
      </c>
      <c r="E3776" t="str">
        <f t="shared" si="186"/>
        <v>서울특별시</v>
      </c>
      <c r="F3776" t="str">
        <f t="shared" si="187"/>
        <v xml:space="preserve">은평구 </v>
      </c>
      <c r="G3776" t="str">
        <f t="shared" si="188"/>
        <v>불광동</v>
      </c>
      <c r="H3776" t="s">
        <v>4616</v>
      </c>
      <c r="I3776">
        <v>3368</v>
      </c>
    </row>
    <row r="3777" spans="1:9" x14ac:dyDescent="0.4">
      <c r="A3777">
        <v>3110000</v>
      </c>
      <c r="B3777" t="s">
        <v>4777</v>
      </c>
      <c r="C3777" s="1">
        <v>37058</v>
      </c>
      <c r="D3777" t="s">
        <v>4778</v>
      </c>
      <c r="E3777" t="str">
        <f t="shared" si="186"/>
        <v>서울특별시</v>
      </c>
      <c r="F3777" t="str">
        <f t="shared" si="187"/>
        <v xml:space="preserve">은평구 </v>
      </c>
      <c r="G3777" t="str">
        <f t="shared" si="188"/>
        <v>불광동</v>
      </c>
      <c r="H3777" t="s">
        <v>4779</v>
      </c>
      <c r="I3777">
        <v>3368</v>
      </c>
    </row>
    <row r="3778" spans="1:9" x14ac:dyDescent="0.4">
      <c r="A3778">
        <v>3110000</v>
      </c>
      <c r="B3778" t="s">
        <v>4617</v>
      </c>
      <c r="C3778" s="1">
        <v>31288</v>
      </c>
      <c r="D3778" t="s">
        <v>4618</v>
      </c>
      <c r="E3778" t="str">
        <f t="shared" si="186"/>
        <v>서울특별시</v>
      </c>
      <c r="F3778" t="str">
        <f t="shared" si="187"/>
        <v xml:space="preserve">은평구 </v>
      </c>
      <c r="G3778" t="str">
        <f t="shared" si="188"/>
        <v>불광동</v>
      </c>
      <c r="H3778" t="s">
        <v>4619</v>
      </c>
      <c r="I3778">
        <v>3368</v>
      </c>
    </row>
    <row r="3779" spans="1:9" x14ac:dyDescent="0.4">
      <c r="A3779">
        <v>3110000</v>
      </c>
      <c r="B3779" t="s">
        <v>4552</v>
      </c>
      <c r="C3779" s="1">
        <v>37012</v>
      </c>
      <c r="D3779" t="s">
        <v>4553</v>
      </c>
      <c r="E3779" t="str">
        <f t="shared" ref="E3779:E3842" si="189">LEFT(D3779,5)</f>
        <v>서울특별시</v>
      </c>
      <c r="F3779" t="str">
        <f t="shared" ref="F3779:F3842" si="190">MID(D3779,7,4)</f>
        <v xml:space="preserve">은평구 </v>
      </c>
      <c r="G3779" t="str">
        <f t="shared" ref="G3779:G3842" si="191">MID(SUBSTITUTE(D3779," ",""),9,3)</f>
        <v>불광동</v>
      </c>
      <c r="H3779" t="s">
        <v>4554</v>
      </c>
      <c r="I3779">
        <v>3368</v>
      </c>
    </row>
    <row r="3780" spans="1:9" x14ac:dyDescent="0.4">
      <c r="A3780">
        <v>3110000</v>
      </c>
      <c r="B3780" t="s">
        <v>4840</v>
      </c>
      <c r="C3780" s="1">
        <v>36647</v>
      </c>
      <c r="D3780" t="s">
        <v>4841</v>
      </c>
      <c r="E3780" t="str">
        <f t="shared" si="189"/>
        <v>서울특별시</v>
      </c>
      <c r="F3780" t="str">
        <f t="shared" si="190"/>
        <v xml:space="preserve">은평구 </v>
      </c>
      <c r="G3780" t="str">
        <f t="shared" si="191"/>
        <v>불광동</v>
      </c>
    </row>
    <row r="3781" spans="1:9" x14ac:dyDescent="0.4">
      <c r="A3781">
        <v>3110000</v>
      </c>
      <c r="B3781" t="s">
        <v>4546</v>
      </c>
      <c r="C3781" s="1">
        <v>37642</v>
      </c>
      <c r="D3781" t="s">
        <v>4547</v>
      </c>
      <c r="E3781" t="str">
        <f t="shared" si="189"/>
        <v>서울특별시</v>
      </c>
      <c r="F3781" t="str">
        <f t="shared" si="190"/>
        <v xml:space="preserve">은평구 </v>
      </c>
      <c r="G3781" t="str">
        <f t="shared" si="191"/>
        <v>불광동</v>
      </c>
      <c r="H3781" t="s">
        <v>4548</v>
      </c>
      <c r="I3781">
        <v>3368</v>
      </c>
    </row>
    <row r="3782" spans="1:9" x14ac:dyDescent="0.4">
      <c r="A3782">
        <v>3110000</v>
      </c>
      <c r="B3782" t="s">
        <v>4689</v>
      </c>
      <c r="C3782" s="1">
        <v>31287</v>
      </c>
      <c r="D3782" t="s">
        <v>4690</v>
      </c>
      <c r="E3782" t="str">
        <f t="shared" si="189"/>
        <v>서울특별시</v>
      </c>
      <c r="F3782" t="str">
        <f t="shared" si="190"/>
        <v xml:space="preserve">은평구 </v>
      </c>
      <c r="G3782" t="str">
        <f t="shared" si="191"/>
        <v>불광동</v>
      </c>
      <c r="H3782" t="s">
        <v>4691</v>
      </c>
      <c r="I3782">
        <v>3368</v>
      </c>
    </row>
    <row r="3783" spans="1:9" x14ac:dyDescent="0.4">
      <c r="A3783">
        <v>3110000</v>
      </c>
      <c r="B3783" t="s">
        <v>4806</v>
      </c>
      <c r="C3783" s="1">
        <v>37608</v>
      </c>
      <c r="D3783" t="s">
        <v>4807</v>
      </c>
      <c r="E3783" t="str">
        <f t="shared" si="189"/>
        <v>서울특별시</v>
      </c>
      <c r="F3783" t="str">
        <f t="shared" si="190"/>
        <v xml:space="preserve">은평구 </v>
      </c>
      <c r="G3783" t="str">
        <f t="shared" si="191"/>
        <v>불광동</v>
      </c>
      <c r="H3783" t="s">
        <v>4808</v>
      </c>
      <c r="I3783">
        <v>3368</v>
      </c>
    </row>
    <row r="3784" spans="1:9" x14ac:dyDescent="0.4">
      <c r="A3784">
        <v>3110000</v>
      </c>
      <c r="B3784" t="s">
        <v>4824</v>
      </c>
      <c r="C3784" s="1">
        <v>36300</v>
      </c>
      <c r="D3784" t="s">
        <v>4825</v>
      </c>
      <c r="E3784" t="str">
        <f t="shared" si="189"/>
        <v>서울특별시</v>
      </c>
      <c r="F3784" t="str">
        <f t="shared" si="190"/>
        <v xml:space="preserve">은평구 </v>
      </c>
      <c r="G3784" t="str">
        <f t="shared" si="191"/>
        <v>불광동</v>
      </c>
    </row>
    <row r="3785" spans="1:9" x14ac:dyDescent="0.4">
      <c r="A3785">
        <v>3110000</v>
      </c>
      <c r="B3785" t="s">
        <v>4635</v>
      </c>
      <c r="C3785" s="1">
        <v>26791</v>
      </c>
      <c r="D3785" t="s">
        <v>4636</v>
      </c>
      <c r="E3785" t="str">
        <f t="shared" si="189"/>
        <v>서울특별시</v>
      </c>
      <c r="F3785" t="str">
        <f t="shared" si="190"/>
        <v xml:space="preserve">은평구 </v>
      </c>
      <c r="G3785" t="str">
        <f t="shared" si="191"/>
        <v>불광동</v>
      </c>
      <c r="H3785" t="s">
        <v>4637</v>
      </c>
      <c r="I3785">
        <v>3368</v>
      </c>
    </row>
    <row r="3786" spans="1:9" x14ac:dyDescent="0.4">
      <c r="A3786">
        <v>3110000</v>
      </c>
      <c r="B3786" t="s">
        <v>4632</v>
      </c>
      <c r="C3786" s="1">
        <v>36732</v>
      </c>
      <c r="D3786" t="s">
        <v>4633</v>
      </c>
      <c r="E3786" t="str">
        <f t="shared" si="189"/>
        <v>서울특별시</v>
      </c>
      <c r="F3786" t="str">
        <f t="shared" si="190"/>
        <v xml:space="preserve">은평구 </v>
      </c>
      <c r="G3786" t="str">
        <f t="shared" si="191"/>
        <v>불광동</v>
      </c>
      <c r="H3786" t="s">
        <v>4634</v>
      </c>
      <c r="I3786">
        <v>3368</v>
      </c>
    </row>
    <row r="3787" spans="1:9" x14ac:dyDescent="0.4">
      <c r="A3787">
        <v>3110000</v>
      </c>
      <c r="B3787" t="s">
        <v>4593</v>
      </c>
      <c r="C3787" s="1">
        <v>36846</v>
      </c>
      <c r="D3787" t="s">
        <v>4594</v>
      </c>
      <c r="E3787" t="str">
        <f t="shared" si="189"/>
        <v>서울특별시</v>
      </c>
      <c r="F3787" t="str">
        <f t="shared" si="190"/>
        <v xml:space="preserve">은평구 </v>
      </c>
      <c r="G3787" t="str">
        <f t="shared" si="191"/>
        <v>불광동</v>
      </c>
      <c r="H3787" t="s">
        <v>4595</v>
      </c>
      <c r="I3787">
        <v>3368</v>
      </c>
    </row>
    <row r="3788" spans="1:9" x14ac:dyDescent="0.4">
      <c r="A3788">
        <v>3110000</v>
      </c>
      <c r="B3788" t="s">
        <v>4838</v>
      </c>
      <c r="C3788" s="1">
        <v>36609</v>
      </c>
      <c r="D3788" t="s">
        <v>4839</v>
      </c>
      <c r="E3788" t="str">
        <f t="shared" si="189"/>
        <v>서울특별시</v>
      </c>
      <c r="F3788" t="str">
        <f t="shared" si="190"/>
        <v xml:space="preserve">은평구 </v>
      </c>
      <c r="G3788" t="str">
        <f t="shared" si="191"/>
        <v>불광동</v>
      </c>
    </row>
    <row r="3789" spans="1:9" x14ac:dyDescent="0.4">
      <c r="A3789">
        <v>3110000</v>
      </c>
      <c r="B3789" t="s">
        <v>4822</v>
      </c>
      <c r="C3789" s="1">
        <v>32807</v>
      </c>
      <c r="D3789" t="s">
        <v>4823</v>
      </c>
      <c r="E3789" t="str">
        <f t="shared" si="189"/>
        <v>서울특별시</v>
      </c>
      <c r="F3789" t="str">
        <f t="shared" si="190"/>
        <v xml:space="preserve">은평구 </v>
      </c>
      <c r="G3789" t="str">
        <f t="shared" si="191"/>
        <v>불광동</v>
      </c>
    </row>
    <row r="3790" spans="1:9" x14ac:dyDescent="0.4">
      <c r="A3790">
        <v>3110000</v>
      </c>
      <c r="B3790" t="s">
        <v>4847</v>
      </c>
      <c r="C3790" s="1">
        <v>27089</v>
      </c>
      <c r="D3790" t="s">
        <v>4848</v>
      </c>
      <c r="E3790" t="str">
        <f t="shared" si="189"/>
        <v>서울특별시</v>
      </c>
      <c r="F3790" t="str">
        <f t="shared" si="190"/>
        <v xml:space="preserve">은평구 </v>
      </c>
      <c r="G3790" t="str">
        <f t="shared" si="191"/>
        <v>불광동</v>
      </c>
    </row>
    <row r="3791" spans="1:9" x14ac:dyDescent="0.4">
      <c r="A3791">
        <v>3110000</v>
      </c>
      <c r="B3791" t="s">
        <v>4851</v>
      </c>
      <c r="C3791" s="1">
        <v>27332</v>
      </c>
      <c r="D3791" t="s">
        <v>4852</v>
      </c>
      <c r="E3791" t="str">
        <f t="shared" si="189"/>
        <v>서울특별시</v>
      </c>
      <c r="F3791" t="str">
        <f t="shared" si="190"/>
        <v xml:space="preserve">은평구 </v>
      </c>
      <c r="G3791" t="str">
        <f t="shared" si="191"/>
        <v>불광동</v>
      </c>
    </row>
    <row r="3792" spans="1:9" x14ac:dyDescent="0.4">
      <c r="A3792">
        <v>3110000</v>
      </c>
      <c r="B3792" t="s">
        <v>4820</v>
      </c>
      <c r="C3792" s="1">
        <v>32414</v>
      </c>
      <c r="D3792" t="s">
        <v>4821</v>
      </c>
      <c r="E3792" t="str">
        <f t="shared" si="189"/>
        <v>서울특별시</v>
      </c>
      <c r="F3792" t="str">
        <f t="shared" si="190"/>
        <v xml:space="preserve">은평구 </v>
      </c>
      <c r="G3792" t="str">
        <f t="shared" si="191"/>
        <v>불광동</v>
      </c>
    </row>
    <row r="3793" spans="1:9" x14ac:dyDescent="0.4">
      <c r="A3793">
        <v>3110000</v>
      </c>
      <c r="B3793" t="s">
        <v>4812</v>
      </c>
      <c r="C3793" s="1">
        <v>31288</v>
      </c>
      <c r="D3793" t="s">
        <v>4813</v>
      </c>
      <c r="E3793" t="str">
        <f t="shared" si="189"/>
        <v>서울특별시</v>
      </c>
      <c r="F3793" t="str">
        <f t="shared" si="190"/>
        <v xml:space="preserve">은평구 </v>
      </c>
      <c r="G3793" t="str">
        <f t="shared" si="191"/>
        <v>응암동</v>
      </c>
      <c r="H3793" t="s">
        <v>4814</v>
      </c>
      <c r="I3793">
        <v>3454</v>
      </c>
    </row>
    <row r="3794" spans="1:9" x14ac:dyDescent="0.4">
      <c r="A3794">
        <v>3110000</v>
      </c>
      <c r="B3794" t="s">
        <v>4728</v>
      </c>
      <c r="C3794" s="1">
        <v>31288</v>
      </c>
      <c r="D3794" t="s">
        <v>4729</v>
      </c>
      <c r="E3794" t="str">
        <f t="shared" si="189"/>
        <v>서울특별시</v>
      </c>
      <c r="F3794" t="str">
        <f t="shared" si="190"/>
        <v xml:space="preserve">은평구 </v>
      </c>
      <c r="G3794" t="str">
        <f t="shared" si="191"/>
        <v>응암동</v>
      </c>
    </row>
    <row r="3795" spans="1:9" x14ac:dyDescent="0.4">
      <c r="A3795">
        <v>3110000</v>
      </c>
      <c r="B3795" t="s">
        <v>4869</v>
      </c>
      <c r="C3795" s="1">
        <v>42440</v>
      </c>
      <c r="D3795" t="s">
        <v>4870</v>
      </c>
      <c r="E3795" t="str">
        <f t="shared" si="189"/>
        <v>서울특별시</v>
      </c>
      <c r="F3795" t="str">
        <f t="shared" si="190"/>
        <v xml:space="preserve">은평구 </v>
      </c>
      <c r="G3795" t="str">
        <f t="shared" si="191"/>
        <v>응암동</v>
      </c>
      <c r="H3795" t="s">
        <v>4871</v>
      </c>
      <c r="I3795">
        <v>3457</v>
      </c>
    </row>
    <row r="3796" spans="1:9" x14ac:dyDescent="0.4">
      <c r="A3796">
        <v>3110000</v>
      </c>
      <c r="B3796" t="s">
        <v>4704</v>
      </c>
      <c r="C3796" s="1">
        <v>39419</v>
      </c>
      <c r="D3796" t="s">
        <v>4705</v>
      </c>
      <c r="E3796" t="str">
        <f t="shared" si="189"/>
        <v>서울특별시</v>
      </c>
      <c r="F3796" t="str">
        <f t="shared" si="190"/>
        <v xml:space="preserve">은평구 </v>
      </c>
      <c r="G3796" t="str">
        <f t="shared" si="191"/>
        <v>응암동</v>
      </c>
      <c r="H3796" t="s">
        <v>4706</v>
      </c>
      <c r="I3796">
        <v>3457</v>
      </c>
    </row>
    <row r="3797" spans="1:9" x14ac:dyDescent="0.4">
      <c r="A3797">
        <v>3110000</v>
      </c>
      <c r="B3797" t="s">
        <v>4754</v>
      </c>
      <c r="C3797" s="1">
        <v>38338</v>
      </c>
      <c r="D3797" t="s">
        <v>4755</v>
      </c>
      <c r="E3797" t="str">
        <f t="shared" si="189"/>
        <v>서울특별시</v>
      </c>
      <c r="F3797" t="str">
        <f t="shared" si="190"/>
        <v xml:space="preserve">은평구 </v>
      </c>
      <c r="G3797" t="str">
        <f t="shared" si="191"/>
        <v>응암동</v>
      </c>
      <c r="H3797" t="s">
        <v>4756</v>
      </c>
      <c r="I3797">
        <v>3457</v>
      </c>
    </row>
    <row r="3798" spans="1:9" x14ac:dyDescent="0.4">
      <c r="A3798">
        <v>3110000</v>
      </c>
      <c r="B3798" t="s">
        <v>4522</v>
      </c>
      <c r="C3798" s="1">
        <v>40492</v>
      </c>
      <c r="D3798" t="s">
        <v>4523</v>
      </c>
      <c r="E3798" t="str">
        <f t="shared" si="189"/>
        <v>서울특별시</v>
      </c>
      <c r="F3798" t="str">
        <f t="shared" si="190"/>
        <v xml:space="preserve">은평구 </v>
      </c>
      <c r="G3798" t="str">
        <f t="shared" si="191"/>
        <v>응암동</v>
      </c>
      <c r="H3798" t="s">
        <v>4524</v>
      </c>
      <c r="I3798">
        <v>3457</v>
      </c>
    </row>
    <row r="3799" spans="1:9" x14ac:dyDescent="0.4">
      <c r="A3799">
        <v>3110000</v>
      </c>
      <c r="B3799" t="s">
        <v>4692</v>
      </c>
      <c r="C3799" s="1">
        <v>38594</v>
      </c>
      <c r="D3799" t="s">
        <v>4693</v>
      </c>
      <c r="E3799" t="str">
        <f t="shared" si="189"/>
        <v>서울특별시</v>
      </c>
      <c r="F3799" t="str">
        <f t="shared" si="190"/>
        <v xml:space="preserve">은평구 </v>
      </c>
      <c r="G3799" t="str">
        <f t="shared" si="191"/>
        <v>응암동</v>
      </c>
      <c r="H3799" t="s">
        <v>4694</v>
      </c>
      <c r="I3799">
        <v>3484</v>
      </c>
    </row>
    <row r="3800" spans="1:9" x14ac:dyDescent="0.4">
      <c r="A3800">
        <v>3110000</v>
      </c>
      <c r="B3800" t="s">
        <v>4788</v>
      </c>
      <c r="C3800" s="1">
        <v>41512</v>
      </c>
      <c r="D3800" t="s">
        <v>4789</v>
      </c>
      <c r="E3800" t="str">
        <f t="shared" si="189"/>
        <v>서울특별시</v>
      </c>
      <c r="F3800" t="str">
        <f t="shared" si="190"/>
        <v xml:space="preserve">은평구 </v>
      </c>
      <c r="G3800" t="str">
        <f t="shared" si="191"/>
        <v>응암동</v>
      </c>
      <c r="H3800" t="s">
        <v>4790</v>
      </c>
      <c r="I3800">
        <v>3484</v>
      </c>
    </row>
    <row r="3801" spans="1:9" x14ac:dyDescent="0.4">
      <c r="A3801">
        <v>3110000</v>
      </c>
      <c r="B3801" t="s">
        <v>4561</v>
      </c>
      <c r="C3801" s="1">
        <v>37096</v>
      </c>
      <c r="D3801" t="s">
        <v>4562</v>
      </c>
      <c r="E3801" t="str">
        <f t="shared" si="189"/>
        <v>서울특별시</v>
      </c>
      <c r="F3801" t="str">
        <f t="shared" si="190"/>
        <v xml:space="preserve">은평구 </v>
      </c>
      <c r="G3801" t="str">
        <f t="shared" si="191"/>
        <v>응암동</v>
      </c>
      <c r="H3801" t="s">
        <v>4563</v>
      </c>
      <c r="I3801">
        <v>3484</v>
      </c>
    </row>
    <row r="3802" spans="1:9" x14ac:dyDescent="0.4">
      <c r="A3802">
        <v>3110000</v>
      </c>
      <c r="B3802" t="s">
        <v>4549</v>
      </c>
      <c r="C3802" s="1">
        <v>41072</v>
      </c>
      <c r="D3802" t="s">
        <v>4550</v>
      </c>
      <c r="E3802" t="str">
        <f t="shared" si="189"/>
        <v>서울특별시</v>
      </c>
      <c r="F3802" t="str">
        <f t="shared" si="190"/>
        <v xml:space="preserve">은평구 </v>
      </c>
      <c r="G3802" t="str">
        <f t="shared" si="191"/>
        <v>응암동</v>
      </c>
      <c r="H3802" t="s">
        <v>4551</v>
      </c>
      <c r="I3802">
        <v>3484</v>
      </c>
    </row>
    <row r="3803" spans="1:9" x14ac:dyDescent="0.4">
      <c r="A3803">
        <v>3110000</v>
      </c>
      <c r="B3803" t="s">
        <v>4707</v>
      </c>
      <c r="C3803" s="1">
        <v>40492</v>
      </c>
      <c r="D3803" t="s">
        <v>4708</v>
      </c>
      <c r="E3803" t="str">
        <f t="shared" si="189"/>
        <v>서울특별시</v>
      </c>
      <c r="F3803" t="str">
        <f t="shared" si="190"/>
        <v xml:space="preserve">은평구 </v>
      </c>
      <c r="G3803" t="str">
        <f t="shared" si="191"/>
        <v>응암동</v>
      </c>
      <c r="H3803" t="s">
        <v>4709</v>
      </c>
      <c r="I3803">
        <v>3484</v>
      </c>
    </row>
    <row r="3804" spans="1:9" x14ac:dyDescent="0.4">
      <c r="A3804">
        <v>3110000</v>
      </c>
      <c r="B3804" t="s">
        <v>4713</v>
      </c>
      <c r="C3804" s="1">
        <v>40903</v>
      </c>
      <c r="D3804" t="s">
        <v>4714</v>
      </c>
      <c r="E3804" t="str">
        <f t="shared" si="189"/>
        <v>서울특별시</v>
      </c>
      <c r="F3804" t="str">
        <f t="shared" si="190"/>
        <v xml:space="preserve">은평구 </v>
      </c>
      <c r="G3804" t="str">
        <f t="shared" si="191"/>
        <v>응암동</v>
      </c>
      <c r="H3804" t="s">
        <v>4715</v>
      </c>
      <c r="I3804">
        <v>3484</v>
      </c>
    </row>
    <row r="3805" spans="1:9" x14ac:dyDescent="0.4">
      <c r="A3805">
        <v>3110000</v>
      </c>
      <c r="B3805" t="s">
        <v>4719</v>
      </c>
      <c r="C3805" s="1">
        <v>40974</v>
      </c>
      <c r="D3805" t="s">
        <v>4720</v>
      </c>
      <c r="E3805" t="str">
        <f t="shared" si="189"/>
        <v>서울특별시</v>
      </c>
      <c r="F3805" t="str">
        <f t="shared" si="190"/>
        <v xml:space="preserve">은평구 </v>
      </c>
      <c r="G3805" t="str">
        <f t="shared" si="191"/>
        <v>응암동</v>
      </c>
      <c r="H3805" t="s">
        <v>4721</v>
      </c>
      <c r="I3805">
        <v>3484</v>
      </c>
    </row>
    <row r="3806" spans="1:9" x14ac:dyDescent="0.4">
      <c r="A3806">
        <v>3110000</v>
      </c>
      <c r="B3806" t="s">
        <v>4716</v>
      </c>
      <c r="C3806" s="1">
        <v>40918</v>
      </c>
      <c r="D3806" t="s">
        <v>4717</v>
      </c>
      <c r="E3806" t="str">
        <f t="shared" si="189"/>
        <v>서울특별시</v>
      </c>
      <c r="F3806" t="str">
        <f t="shared" si="190"/>
        <v xml:space="preserve">은평구 </v>
      </c>
      <c r="G3806" t="str">
        <f t="shared" si="191"/>
        <v>응암동</v>
      </c>
      <c r="H3806" t="s">
        <v>4718</v>
      </c>
      <c r="I3806">
        <v>3484</v>
      </c>
    </row>
    <row r="3807" spans="1:9" x14ac:dyDescent="0.4">
      <c r="A3807">
        <v>3110000</v>
      </c>
      <c r="B3807" t="s">
        <v>4849</v>
      </c>
      <c r="C3807" s="1">
        <v>27089</v>
      </c>
      <c r="D3807" t="s">
        <v>4850</v>
      </c>
      <c r="E3807" t="str">
        <f t="shared" si="189"/>
        <v>서울특별시</v>
      </c>
      <c r="F3807" t="str">
        <f t="shared" si="190"/>
        <v xml:space="preserve">은평구 </v>
      </c>
      <c r="G3807" t="str">
        <f t="shared" si="191"/>
        <v>응암동</v>
      </c>
    </row>
    <row r="3808" spans="1:9" x14ac:dyDescent="0.4">
      <c r="A3808">
        <v>3110000</v>
      </c>
      <c r="B3808" t="s">
        <v>4875</v>
      </c>
      <c r="C3808" s="1">
        <v>42531</v>
      </c>
      <c r="D3808" t="s">
        <v>4876</v>
      </c>
      <c r="E3808" t="str">
        <f t="shared" si="189"/>
        <v>서울특별시</v>
      </c>
      <c r="F3808" t="str">
        <f t="shared" si="190"/>
        <v xml:space="preserve">은평구 </v>
      </c>
      <c r="G3808" t="str">
        <f t="shared" si="191"/>
        <v>응암동</v>
      </c>
      <c r="H3808" t="s">
        <v>4877</v>
      </c>
      <c r="I3808">
        <v>3485</v>
      </c>
    </row>
    <row r="3809" spans="1:9" x14ac:dyDescent="0.4">
      <c r="A3809">
        <v>3110000</v>
      </c>
      <c r="B3809" t="s">
        <v>4671</v>
      </c>
      <c r="C3809" s="1">
        <v>37203</v>
      </c>
      <c r="D3809" t="s">
        <v>4672</v>
      </c>
      <c r="E3809" t="str">
        <f t="shared" si="189"/>
        <v>서울특별시</v>
      </c>
      <c r="F3809" t="str">
        <f t="shared" si="190"/>
        <v xml:space="preserve">은평구 </v>
      </c>
      <c r="G3809" t="str">
        <f t="shared" si="191"/>
        <v>응암동</v>
      </c>
      <c r="H3809" t="s">
        <v>4673</v>
      </c>
      <c r="I3809">
        <v>3485</v>
      </c>
    </row>
    <row r="3810" spans="1:9" x14ac:dyDescent="0.4">
      <c r="A3810">
        <v>3110000</v>
      </c>
      <c r="B3810" t="s">
        <v>4668</v>
      </c>
      <c r="C3810" s="1">
        <v>37195</v>
      </c>
      <c r="D3810" t="s">
        <v>4669</v>
      </c>
      <c r="E3810" t="str">
        <f t="shared" si="189"/>
        <v>서울특별시</v>
      </c>
      <c r="F3810" t="str">
        <f t="shared" si="190"/>
        <v xml:space="preserve">은평구 </v>
      </c>
      <c r="G3810" t="str">
        <f t="shared" si="191"/>
        <v>응암동</v>
      </c>
      <c r="H3810" t="s">
        <v>4670</v>
      </c>
      <c r="I3810">
        <v>3485</v>
      </c>
    </row>
    <row r="3811" spans="1:9" x14ac:dyDescent="0.4">
      <c r="A3811">
        <v>3110000</v>
      </c>
      <c r="B3811" t="s">
        <v>4564</v>
      </c>
      <c r="C3811" s="1">
        <v>41627</v>
      </c>
      <c r="D3811" t="s">
        <v>4565</v>
      </c>
      <c r="E3811" t="str">
        <f t="shared" si="189"/>
        <v>서울특별시</v>
      </c>
      <c r="F3811" t="str">
        <f t="shared" si="190"/>
        <v xml:space="preserve">은평구 </v>
      </c>
      <c r="G3811" t="str">
        <f t="shared" si="191"/>
        <v>응암동</v>
      </c>
      <c r="H3811" t="s">
        <v>4566</v>
      </c>
      <c r="I3811">
        <v>3485</v>
      </c>
    </row>
    <row r="3812" spans="1:9" x14ac:dyDescent="0.4">
      <c r="A3812">
        <v>3110000</v>
      </c>
      <c r="B3812" t="s">
        <v>4588</v>
      </c>
      <c r="C3812" s="1">
        <v>41627</v>
      </c>
      <c r="D3812" t="s">
        <v>4565</v>
      </c>
      <c r="E3812" t="str">
        <f t="shared" si="189"/>
        <v>서울특별시</v>
      </c>
      <c r="F3812" t="str">
        <f t="shared" si="190"/>
        <v xml:space="preserve">은평구 </v>
      </c>
      <c r="G3812" t="str">
        <f t="shared" si="191"/>
        <v>응암동</v>
      </c>
      <c r="H3812" t="s">
        <v>4589</v>
      </c>
      <c r="I3812">
        <v>3485</v>
      </c>
    </row>
    <row r="3813" spans="1:9" x14ac:dyDescent="0.4">
      <c r="A3813">
        <v>3110000</v>
      </c>
      <c r="B3813" t="s">
        <v>4528</v>
      </c>
      <c r="C3813" s="1">
        <v>42116</v>
      </c>
      <c r="D3813" t="s">
        <v>4529</v>
      </c>
      <c r="E3813" t="str">
        <f t="shared" si="189"/>
        <v>서울특별시</v>
      </c>
      <c r="F3813" t="str">
        <f t="shared" si="190"/>
        <v xml:space="preserve">은평구 </v>
      </c>
      <c r="G3813" t="str">
        <f t="shared" si="191"/>
        <v>응암동</v>
      </c>
      <c r="H3813" t="s">
        <v>4530</v>
      </c>
      <c r="I3813">
        <v>3485</v>
      </c>
    </row>
    <row r="3814" spans="1:9" x14ac:dyDescent="0.4">
      <c r="A3814">
        <v>3110000</v>
      </c>
      <c r="B3814" t="s">
        <v>4644</v>
      </c>
      <c r="C3814" s="1">
        <v>36787</v>
      </c>
      <c r="D3814" t="s">
        <v>4645</v>
      </c>
      <c r="E3814" t="str">
        <f t="shared" si="189"/>
        <v>서울특별시</v>
      </c>
      <c r="F3814" t="str">
        <f t="shared" si="190"/>
        <v xml:space="preserve">은평구 </v>
      </c>
      <c r="G3814" t="str">
        <f t="shared" si="191"/>
        <v>응암동</v>
      </c>
      <c r="H3814" t="s">
        <v>4646</v>
      </c>
      <c r="I3814">
        <v>3485</v>
      </c>
    </row>
    <row r="3815" spans="1:9" x14ac:dyDescent="0.4">
      <c r="A3815">
        <v>3110000</v>
      </c>
      <c r="B3815" t="s">
        <v>4534</v>
      </c>
      <c r="C3815" s="1">
        <v>42354</v>
      </c>
      <c r="D3815" t="s">
        <v>4535</v>
      </c>
      <c r="E3815" t="str">
        <f t="shared" si="189"/>
        <v>서울특별시</v>
      </c>
      <c r="F3815" t="str">
        <f t="shared" si="190"/>
        <v xml:space="preserve">은평구 </v>
      </c>
      <c r="G3815" t="str">
        <f t="shared" si="191"/>
        <v>응암동</v>
      </c>
      <c r="H3815" t="s">
        <v>4536</v>
      </c>
      <c r="I3815">
        <v>3485</v>
      </c>
    </row>
    <row r="3816" spans="1:9" x14ac:dyDescent="0.4">
      <c r="A3816">
        <v>3110000</v>
      </c>
      <c r="B3816" t="s">
        <v>4525</v>
      </c>
      <c r="C3816" s="1">
        <v>41990</v>
      </c>
      <c r="D3816" t="s">
        <v>4526</v>
      </c>
      <c r="E3816" t="str">
        <f t="shared" si="189"/>
        <v>서울특별시</v>
      </c>
      <c r="F3816" t="str">
        <f t="shared" si="190"/>
        <v xml:space="preserve">은평구 </v>
      </c>
      <c r="G3816" t="str">
        <f t="shared" si="191"/>
        <v>응암동</v>
      </c>
      <c r="H3816" t="s">
        <v>4527</v>
      </c>
      <c r="I3816">
        <v>3485</v>
      </c>
    </row>
    <row r="3817" spans="1:9" x14ac:dyDescent="0.4">
      <c r="A3817">
        <v>3110000</v>
      </c>
      <c r="B3817" t="s">
        <v>4725</v>
      </c>
      <c r="C3817" s="1">
        <v>39563</v>
      </c>
      <c r="D3817" t="s">
        <v>4726</v>
      </c>
      <c r="E3817" t="str">
        <f t="shared" si="189"/>
        <v>서울특별시</v>
      </c>
      <c r="F3817" t="str">
        <f t="shared" si="190"/>
        <v xml:space="preserve">은평구 </v>
      </c>
      <c r="G3817" t="str">
        <f t="shared" si="191"/>
        <v>응암동</v>
      </c>
      <c r="H3817" t="s">
        <v>4727</v>
      </c>
      <c r="I3817">
        <v>3485</v>
      </c>
    </row>
    <row r="3818" spans="1:9" x14ac:dyDescent="0.4">
      <c r="A3818">
        <v>3110000</v>
      </c>
      <c r="B3818" t="s">
        <v>4582</v>
      </c>
      <c r="C3818" s="1">
        <v>41416</v>
      </c>
      <c r="D3818" t="s">
        <v>4583</v>
      </c>
      <c r="E3818" t="str">
        <f t="shared" si="189"/>
        <v>서울특별시</v>
      </c>
      <c r="F3818" t="str">
        <f t="shared" si="190"/>
        <v xml:space="preserve">은평구 </v>
      </c>
      <c r="G3818" t="str">
        <f t="shared" si="191"/>
        <v>응암동</v>
      </c>
      <c r="H3818" t="s">
        <v>4584</v>
      </c>
    </row>
    <row r="3819" spans="1:9" x14ac:dyDescent="0.4">
      <c r="A3819">
        <v>3110000</v>
      </c>
      <c r="B3819" t="s">
        <v>4785</v>
      </c>
      <c r="C3819" s="1">
        <v>40084</v>
      </c>
      <c r="D3819" t="s">
        <v>4786</v>
      </c>
      <c r="E3819" t="str">
        <f t="shared" si="189"/>
        <v>서울특별시</v>
      </c>
      <c r="F3819" t="str">
        <f t="shared" si="190"/>
        <v xml:space="preserve">은평구 </v>
      </c>
      <c r="G3819" t="str">
        <f t="shared" si="191"/>
        <v>응암동</v>
      </c>
      <c r="H3819" t="s">
        <v>4787</v>
      </c>
      <c r="I3819">
        <v>3485</v>
      </c>
    </row>
    <row r="3820" spans="1:9" x14ac:dyDescent="0.4">
      <c r="A3820">
        <v>3110000</v>
      </c>
      <c r="B3820" t="s">
        <v>4602</v>
      </c>
      <c r="C3820" s="1">
        <v>43683</v>
      </c>
      <c r="D3820" t="s">
        <v>4603</v>
      </c>
      <c r="E3820" t="str">
        <f t="shared" si="189"/>
        <v>서울특별시</v>
      </c>
      <c r="F3820" t="str">
        <f t="shared" si="190"/>
        <v xml:space="preserve">은평구 </v>
      </c>
      <c r="G3820" t="str">
        <f t="shared" si="191"/>
        <v>응암동</v>
      </c>
      <c r="H3820" t="s">
        <v>4604</v>
      </c>
      <c r="I3820">
        <v>3485</v>
      </c>
    </row>
    <row r="3821" spans="1:9" x14ac:dyDescent="0.4">
      <c r="A3821">
        <v>3110000</v>
      </c>
      <c r="B3821" t="s">
        <v>4599</v>
      </c>
      <c r="C3821" s="1">
        <v>43683</v>
      </c>
      <c r="D3821" t="s">
        <v>4600</v>
      </c>
      <c r="E3821" t="str">
        <f t="shared" si="189"/>
        <v>서울특별시</v>
      </c>
      <c r="F3821" t="str">
        <f t="shared" si="190"/>
        <v xml:space="preserve">은평구 </v>
      </c>
      <c r="G3821" t="str">
        <f t="shared" si="191"/>
        <v>응암동</v>
      </c>
      <c r="H3821" t="s">
        <v>4601</v>
      </c>
      <c r="I3821">
        <v>3485</v>
      </c>
    </row>
    <row r="3822" spans="1:9" x14ac:dyDescent="0.4">
      <c r="A3822">
        <v>3110000</v>
      </c>
      <c r="B3822" t="s">
        <v>4745</v>
      </c>
      <c r="C3822" s="1">
        <v>37792</v>
      </c>
      <c r="D3822" t="s">
        <v>4746</v>
      </c>
      <c r="E3822" t="str">
        <f t="shared" si="189"/>
        <v>서울특별시</v>
      </c>
      <c r="F3822" t="str">
        <f t="shared" si="190"/>
        <v xml:space="preserve">은평구 </v>
      </c>
      <c r="G3822" t="str">
        <f t="shared" si="191"/>
        <v>응암동</v>
      </c>
      <c r="H3822" t="s">
        <v>4747</v>
      </c>
      <c r="I3822">
        <v>3485</v>
      </c>
    </row>
    <row r="3823" spans="1:9" x14ac:dyDescent="0.4">
      <c r="A3823">
        <v>3110000</v>
      </c>
      <c r="B3823" t="s">
        <v>4531</v>
      </c>
      <c r="C3823" s="1">
        <v>42193</v>
      </c>
      <c r="D3823" t="s">
        <v>4532</v>
      </c>
      <c r="E3823" t="str">
        <f t="shared" si="189"/>
        <v>서울특별시</v>
      </c>
      <c r="F3823" t="str">
        <f t="shared" si="190"/>
        <v xml:space="preserve">은평구 </v>
      </c>
      <c r="G3823" t="str">
        <f t="shared" si="191"/>
        <v>응암동</v>
      </c>
      <c r="H3823" t="s">
        <v>4533</v>
      </c>
      <c r="I3823">
        <v>3485</v>
      </c>
    </row>
    <row r="3824" spans="1:9" x14ac:dyDescent="0.4">
      <c r="A3824">
        <v>3110000</v>
      </c>
      <c r="B3824" t="s">
        <v>4558</v>
      </c>
      <c r="C3824" s="1">
        <v>37029</v>
      </c>
      <c r="D3824" t="s">
        <v>4559</v>
      </c>
      <c r="E3824" t="str">
        <f t="shared" si="189"/>
        <v>서울특별시</v>
      </c>
      <c r="F3824" t="str">
        <f t="shared" si="190"/>
        <v xml:space="preserve">은평구 </v>
      </c>
      <c r="G3824" t="str">
        <f t="shared" si="191"/>
        <v>응암동</v>
      </c>
      <c r="H3824" t="s">
        <v>4560</v>
      </c>
      <c r="I3824">
        <v>3485</v>
      </c>
    </row>
    <row r="3825" spans="1:9" x14ac:dyDescent="0.4">
      <c r="A3825">
        <v>3110000</v>
      </c>
      <c r="B3825" t="s">
        <v>4567</v>
      </c>
      <c r="C3825" s="1">
        <v>41802</v>
      </c>
      <c r="D3825" t="s">
        <v>4568</v>
      </c>
      <c r="E3825" t="str">
        <f t="shared" si="189"/>
        <v>서울특별시</v>
      </c>
      <c r="F3825" t="str">
        <f t="shared" si="190"/>
        <v xml:space="preserve">은평구 </v>
      </c>
      <c r="G3825" t="str">
        <f t="shared" si="191"/>
        <v>응암동</v>
      </c>
      <c r="H3825" t="s">
        <v>4569</v>
      </c>
      <c r="I3825">
        <v>3485</v>
      </c>
    </row>
    <row r="3826" spans="1:9" x14ac:dyDescent="0.4">
      <c r="A3826">
        <v>3110000</v>
      </c>
      <c r="B3826" t="s">
        <v>4783</v>
      </c>
      <c r="C3826" s="1">
        <v>39749</v>
      </c>
      <c r="D3826" t="s">
        <v>4784</v>
      </c>
      <c r="E3826" t="str">
        <f t="shared" si="189"/>
        <v>서울특별시</v>
      </c>
      <c r="F3826" t="str">
        <f t="shared" si="190"/>
        <v xml:space="preserve">은평구 </v>
      </c>
      <c r="G3826" t="str">
        <f t="shared" si="191"/>
        <v>응암동</v>
      </c>
    </row>
    <row r="3827" spans="1:9" x14ac:dyDescent="0.4">
      <c r="A3827">
        <v>3110000</v>
      </c>
      <c r="B3827" t="s">
        <v>4864</v>
      </c>
      <c r="C3827" s="1">
        <v>31045</v>
      </c>
      <c r="D3827" t="s">
        <v>4865</v>
      </c>
      <c r="E3827" t="str">
        <f t="shared" si="189"/>
        <v>서울특별시</v>
      </c>
      <c r="F3827" t="str">
        <f t="shared" si="190"/>
        <v xml:space="preserve">은평구 </v>
      </c>
      <c r="G3827" t="str">
        <f t="shared" si="191"/>
        <v>응암동</v>
      </c>
    </row>
    <row r="3828" spans="1:9" x14ac:dyDescent="0.4">
      <c r="A3828">
        <v>3110000</v>
      </c>
      <c r="B3828" t="s">
        <v>4866</v>
      </c>
      <c r="C3828" s="1">
        <v>31262</v>
      </c>
      <c r="D3828" t="s">
        <v>4865</v>
      </c>
      <c r="E3828" t="str">
        <f t="shared" si="189"/>
        <v>서울특별시</v>
      </c>
      <c r="F3828" t="str">
        <f t="shared" si="190"/>
        <v xml:space="preserve">은평구 </v>
      </c>
      <c r="G3828" t="str">
        <f t="shared" si="191"/>
        <v>응암동</v>
      </c>
    </row>
    <row r="3829" spans="1:9" x14ac:dyDescent="0.4">
      <c r="A3829">
        <v>3110000</v>
      </c>
      <c r="B3829" t="s">
        <v>4680</v>
      </c>
      <c r="C3829" s="1">
        <v>37517</v>
      </c>
      <c r="D3829" t="s">
        <v>4681</v>
      </c>
      <c r="E3829" t="str">
        <f t="shared" si="189"/>
        <v>서울특별시</v>
      </c>
      <c r="F3829" t="str">
        <f t="shared" si="190"/>
        <v xml:space="preserve">은평구 </v>
      </c>
      <c r="G3829" t="str">
        <f t="shared" si="191"/>
        <v>응암동</v>
      </c>
      <c r="H3829" t="s">
        <v>4682</v>
      </c>
      <c r="I3829">
        <v>3461</v>
      </c>
    </row>
    <row r="3830" spans="1:9" x14ac:dyDescent="0.4">
      <c r="A3830">
        <v>3110000</v>
      </c>
      <c r="B3830" t="s">
        <v>4835</v>
      </c>
      <c r="C3830" s="1">
        <v>36596</v>
      </c>
      <c r="D3830" t="s">
        <v>4836</v>
      </c>
      <c r="E3830" t="str">
        <f t="shared" si="189"/>
        <v>서울특별시</v>
      </c>
      <c r="F3830" t="str">
        <f t="shared" si="190"/>
        <v xml:space="preserve">은평구 </v>
      </c>
      <c r="G3830" t="str">
        <f t="shared" si="191"/>
        <v>응암동</v>
      </c>
      <c r="H3830" t="s">
        <v>4837</v>
      </c>
      <c r="I3830">
        <v>3461</v>
      </c>
    </row>
    <row r="3831" spans="1:9" x14ac:dyDescent="0.4">
      <c r="A3831">
        <v>3110000</v>
      </c>
      <c r="B3831" t="s">
        <v>4647</v>
      </c>
      <c r="C3831" s="1">
        <v>27005</v>
      </c>
      <c r="D3831" t="s">
        <v>4648</v>
      </c>
      <c r="E3831" t="str">
        <f t="shared" si="189"/>
        <v>서울특별시</v>
      </c>
      <c r="F3831" t="str">
        <f t="shared" si="190"/>
        <v xml:space="preserve">은평구 </v>
      </c>
      <c r="G3831" t="str">
        <f t="shared" si="191"/>
        <v>응암동</v>
      </c>
      <c r="H3831" t="s">
        <v>4649</v>
      </c>
      <c r="I3831">
        <v>3462</v>
      </c>
    </row>
    <row r="3832" spans="1:9" x14ac:dyDescent="0.4">
      <c r="A3832">
        <v>3000000</v>
      </c>
      <c r="B3832" t="s">
        <v>300</v>
      </c>
      <c r="C3832" s="1">
        <v>31287</v>
      </c>
      <c r="D3832" t="s">
        <v>301</v>
      </c>
      <c r="E3832" t="str">
        <f t="shared" si="189"/>
        <v>서울특별시</v>
      </c>
      <c r="F3832" t="str">
        <f t="shared" si="190"/>
        <v xml:space="preserve">종로구 </v>
      </c>
      <c r="G3832" t="str">
        <f t="shared" si="191"/>
        <v>견지동</v>
      </c>
    </row>
    <row r="3833" spans="1:9" x14ac:dyDescent="0.4">
      <c r="A3833">
        <v>3000000</v>
      </c>
      <c r="B3833" t="s">
        <v>1100</v>
      </c>
      <c r="C3833" s="1">
        <v>27139</v>
      </c>
      <c r="D3833" t="s">
        <v>301</v>
      </c>
      <c r="E3833" t="str">
        <f t="shared" si="189"/>
        <v>서울특별시</v>
      </c>
      <c r="F3833" t="str">
        <f t="shared" si="190"/>
        <v xml:space="preserve">종로구 </v>
      </c>
      <c r="G3833" t="str">
        <f t="shared" si="191"/>
        <v>견지동</v>
      </c>
    </row>
    <row r="3834" spans="1:9" x14ac:dyDescent="0.4">
      <c r="A3834">
        <v>3000000</v>
      </c>
      <c r="B3834" t="s">
        <v>979</v>
      </c>
      <c r="C3834" s="1">
        <v>26952</v>
      </c>
      <c r="D3834" t="s">
        <v>980</v>
      </c>
      <c r="E3834" t="str">
        <f t="shared" si="189"/>
        <v>서울특별시</v>
      </c>
      <c r="F3834" t="str">
        <f t="shared" si="190"/>
        <v xml:space="preserve">종로구 </v>
      </c>
      <c r="G3834" t="str">
        <f t="shared" si="191"/>
        <v>견지동</v>
      </c>
    </row>
    <row r="3835" spans="1:9" x14ac:dyDescent="0.4">
      <c r="A3835">
        <v>3000000</v>
      </c>
      <c r="B3835" t="s">
        <v>1217</v>
      </c>
      <c r="C3835" s="1">
        <v>36378</v>
      </c>
      <c r="D3835" t="s">
        <v>1218</v>
      </c>
      <c r="E3835" t="str">
        <f t="shared" si="189"/>
        <v>서울특별시</v>
      </c>
      <c r="F3835" t="str">
        <f t="shared" si="190"/>
        <v xml:space="preserve">종로구 </v>
      </c>
      <c r="G3835" t="str">
        <f t="shared" si="191"/>
        <v>견지동</v>
      </c>
    </row>
    <row r="3836" spans="1:9" x14ac:dyDescent="0.4">
      <c r="A3836">
        <v>3000000</v>
      </c>
      <c r="B3836" t="s">
        <v>1059</v>
      </c>
      <c r="C3836" s="1">
        <v>27409</v>
      </c>
      <c r="D3836" t="s">
        <v>1060</v>
      </c>
      <c r="E3836" t="str">
        <f t="shared" si="189"/>
        <v>서울특별시</v>
      </c>
      <c r="F3836" t="str">
        <f t="shared" si="190"/>
        <v xml:space="preserve">종로구 </v>
      </c>
      <c r="G3836" t="str">
        <f t="shared" si="191"/>
        <v>견지동</v>
      </c>
      <c r="H3836" t="s">
        <v>1061</v>
      </c>
      <c r="I3836">
        <v>3145</v>
      </c>
    </row>
    <row r="3837" spans="1:9" x14ac:dyDescent="0.4">
      <c r="A3837">
        <v>3000000</v>
      </c>
      <c r="B3837" t="s">
        <v>974</v>
      </c>
      <c r="C3837" s="1">
        <v>26908</v>
      </c>
      <c r="D3837" t="s">
        <v>975</v>
      </c>
      <c r="E3837" t="str">
        <f t="shared" si="189"/>
        <v>서울특별시</v>
      </c>
      <c r="F3837" t="str">
        <f t="shared" si="190"/>
        <v xml:space="preserve">종로구 </v>
      </c>
      <c r="G3837" t="str">
        <f t="shared" si="191"/>
        <v>견지동</v>
      </c>
      <c r="H3837" t="s">
        <v>976</v>
      </c>
      <c r="I3837">
        <v>3145</v>
      </c>
    </row>
    <row r="3838" spans="1:9" x14ac:dyDescent="0.4">
      <c r="A3838">
        <v>3000000</v>
      </c>
      <c r="B3838" t="s">
        <v>827</v>
      </c>
      <c r="C3838" s="1">
        <v>27149</v>
      </c>
      <c r="D3838" t="s">
        <v>828</v>
      </c>
      <c r="E3838" t="str">
        <f t="shared" si="189"/>
        <v>서울특별시</v>
      </c>
      <c r="F3838" t="str">
        <f t="shared" si="190"/>
        <v xml:space="preserve">종로구 </v>
      </c>
      <c r="G3838" t="str">
        <f t="shared" si="191"/>
        <v>견지동</v>
      </c>
    </row>
    <row r="3839" spans="1:9" x14ac:dyDescent="0.4">
      <c r="A3839">
        <v>3000000</v>
      </c>
      <c r="B3839" t="s">
        <v>927</v>
      </c>
      <c r="C3839" s="1">
        <v>30856</v>
      </c>
      <c r="D3839" t="s">
        <v>928</v>
      </c>
      <c r="E3839" t="str">
        <f t="shared" si="189"/>
        <v>서울특별시</v>
      </c>
      <c r="F3839" t="str">
        <f t="shared" si="190"/>
        <v xml:space="preserve">종로구 </v>
      </c>
      <c r="G3839" t="str">
        <f t="shared" si="191"/>
        <v>견지동</v>
      </c>
      <c r="H3839" t="s">
        <v>929</v>
      </c>
      <c r="I3839">
        <v>3149</v>
      </c>
    </row>
    <row r="3840" spans="1:9" x14ac:dyDescent="0.4">
      <c r="A3840">
        <v>3000000</v>
      </c>
      <c r="B3840" t="s">
        <v>1182</v>
      </c>
      <c r="C3840" s="1">
        <v>37294</v>
      </c>
      <c r="D3840" t="s">
        <v>1183</v>
      </c>
      <c r="E3840" t="str">
        <f t="shared" si="189"/>
        <v>서울특별시</v>
      </c>
      <c r="F3840" t="str">
        <f t="shared" si="190"/>
        <v xml:space="preserve">종로구 </v>
      </c>
      <c r="G3840" t="str">
        <f t="shared" si="191"/>
        <v>공평동</v>
      </c>
    </row>
    <row r="3841" spans="1:9" x14ac:dyDescent="0.4">
      <c r="A3841">
        <v>3000000</v>
      </c>
      <c r="B3841" t="s">
        <v>1289</v>
      </c>
      <c r="C3841" s="1">
        <v>36686</v>
      </c>
      <c r="D3841" t="s">
        <v>1290</v>
      </c>
      <c r="E3841" t="str">
        <f t="shared" si="189"/>
        <v>서울특별시</v>
      </c>
      <c r="F3841" t="str">
        <f t="shared" si="190"/>
        <v xml:space="preserve">종로구 </v>
      </c>
      <c r="G3841" t="str">
        <f t="shared" si="191"/>
        <v>공평동</v>
      </c>
      <c r="H3841" t="s">
        <v>1291</v>
      </c>
    </row>
    <row r="3842" spans="1:9" x14ac:dyDescent="0.4">
      <c r="A3842">
        <v>3000000</v>
      </c>
      <c r="B3842" t="s">
        <v>412</v>
      </c>
      <c r="C3842" s="1">
        <v>37244</v>
      </c>
      <c r="D3842" t="s">
        <v>413</v>
      </c>
      <c r="E3842" t="str">
        <f t="shared" si="189"/>
        <v>서울특별시</v>
      </c>
      <c r="F3842" t="str">
        <f t="shared" si="190"/>
        <v xml:space="preserve">종로구 </v>
      </c>
      <c r="G3842" t="str">
        <f t="shared" si="191"/>
        <v>공평동</v>
      </c>
      <c r="H3842" t="s">
        <v>414</v>
      </c>
    </row>
    <row r="3843" spans="1:9" x14ac:dyDescent="0.4">
      <c r="A3843">
        <v>3000000</v>
      </c>
      <c r="B3843" t="s">
        <v>1279</v>
      </c>
      <c r="C3843" s="1">
        <v>37818</v>
      </c>
      <c r="D3843" t="s">
        <v>1280</v>
      </c>
      <c r="E3843" t="str">
        <f t="shared" ref="E3843:E3906" si="192">LEFT(D3843,5)</f>
        <v>서울특별시</v>
      </c>
      <c r="F3843" t="str">
        <f t="shared" ref="F3843:F3906" si="193">MID(D3843,7,4)</f>
        <v xml:space="preserve">종로구 </v>
      </c>
      <c r="G3843" t="str">
        <f t="shared" ref="G3843:G3906" si="194">MID(SUBSTITUTE(D3843," ",""),9,3)</f>
        <v>공평동</v>
      </c>
      <c r="H3843" t="s">
        <v>1281</v>
      </c>
    </row>
    <row r="3844" spans="1:9" x14ac:dyDescent="0.4">
      <c r="A3844">
        <v>3000000</v>
      </c>
      <c r="B3844" t="s">
        <v>430</v>
      </c>
      <c r="C3844" s="1">
        <v>37344</v>
      </c>
      <c r="D3844" t="s">
        <v>431</v>
      </c>
      <c r="E3844" t="str">
        <f t="shared" si="192"/>
        <v>서울특별시</v>
      </c>
      <c r="F3844" t="str">
        <f t="shared" si="193"/>
        <v xml:space="preserve">종로구 </v>
      </c>
      <c r="G3844" t="str">
        <f t="shared" si="194"/>
        <v>관수동</v>
      </c>
      <c r="H3844" t="s">
        <v>432</v>
      </c>
      <c r="I3844">
        <v>3191</v>
      </c>
    </row>
    <row r="3845" spans="1:9" x14ac:dyDescent="0.4">
      <c r="A3845">
        <v>3000000</v>
      </c>
      <c r="B3845" t="s">
        <v>1046</v>
      </c>
      <c r="C3845" s="1">
        <v>27386</v>
      </c>
      <c r="D3845" t="s">
        <v>1047</v>
      </c>
      <c r="E3845" t="str">
        <f t="shared" si="192"/>
        <v>서울특별시</v>
      </c>
      <c r="F3845" t="str">
        <f t="shared" si="193"/>
        <v xml:space="preserve">종로구 </v>
      </c>
      <c r="G3845" t="str">
        <f t="shared" si="194"/>
        <v>관수동</v>
      </c>
    </row>
    <row r="3846" spans="1:9" x14ac:dyDescent="0.4">
      <c r="A3846">
        <v>3000000</v>
      </c>
      <c r="B3846" t="s">
        <v>994</v>
      </c>
      <c r="C3846" s="1">
        <v>27061</v>
      </c>
      <c r="D3846" t="s">
        <v>995</v>
      </c>
      <c r="E3846" t="str">
        <f t="shared" si="192"/>
        <v>서울특별시</v>
      </c>
      <c r="F3846" t="str">
        <f t="shared" si="193"/>
        <v xml:space="preserve">종로구 </v>
      </c>
      <c r="G3846" t="str">
        <f t="shared" si="194"/>
        <v>관수동</v>
      </c>
    </row>
    <row r="3847" spans="1:9" x14ac:dyDescent="0.4">
      <c r="A3847">
        <v>3000000</v>
      </c>
      <c r="B3847" t="s">
        <v>1022</v>
      </c>
      <c r="C3847" s="1">
        <v>30946</v>
      </c>
      <c r="D3847" t="s">
        <v>1023</v>
      </c>
      <c r="E3847" t="str">
        <f t="shared" si="192"/>
        <v>서울특별시</v>
      </c>
      <c r="F3847" t="str">
        <f t="shared" si="193"/>
        <v xml:space="preserve">종로구 </v>
      </c>
      <c r="G3847" t="str">
        <f t="shared" si="194"/>
        <v>관수동</v>
      </c>
      <c r="H3847" t="s">
        <v>1024</v>
      </c>
      <c r="I3847">
        <v>3192</v>
      </c>
    </row>
    <row r="3848" spans="1:9" x14ac:dyDescent="0.4">
      <c r="A3848">
        <v>3000000</v>
      </c>
      <c r="B3848" t="s">
        <v>1075</v>
      </c>
      <c r="C3848" s="1">
        <v>27744</v>
      </c>
      <c r="D3848" t="s">
        <v>1076</v>
      </c>
      <c r="E3848" t="str">
        <f t="shared" si="192"/>
        <v>서울특별시</v>
      </c>
      <c r="F3848" t="str">
        <f t="shared" si="193"/>
        <v xml:space="preserve">종로구 </v>
      </c>
      <c r="G3848" t="str">
        <f t="shared" si="194"/>
        <v>관수동</v>
      </c>
    </row>
    <row r="3849" spans="1:9" x14ac:dyDescent="0.4">
      <c r="A3849">
        <v>3000000</v>
      </c>
      <c r="B3849" t="s">
        <v>990</v>
      </c>
      <c r="C3849" s="1">
        <v>27057</v>
      </c>
      <c r="D3849" t="s">
        <v>991</v>
      </c>
      <c r="E3849" t="str">
        <f t="shared" si="192"/>
        <v>서울특별시</v>
      </c>
      <c r="F3849" t="str">
        <f t="shared" si="193"/>
        <v xml:space="preserve">종로구 </v>
      </c>
      <c r="G3849" t="str">
        <f t="shared" si="194"/>
        <v>관수동</v>
      </c>
    </row>
    <row r="3850" spans="1:9" x14ac:dyDescent="0.4">
      <c r="A3850">
        <v>3000000</v>
      </c>
      <c r="B3850" t="s">
        <v>998</v>
      </c>
      <c r="C3850" s="1">
        <v>27075</v>
      </c>
      <c r="D3850" t="s">
        <v>999</v>
      </c>
      <c r="E3850" t="str">
        <f t="shared" si="192"/>
        <v>서울특별시</v>
      </c>
      <c r="F3850" t="str">
        <f t="shared" si="193"/>
        <v xml:space="preserve">종로구 </v>
      </c>
      <c r="G3850" t="str">
        <f t="shared" si="194"/>
        <v>관수동</v>
      </c>
    </row>
    <row r="3851" spans="1:9" x14ac:dyDescent="0.4">
      <c r="A3851">
        <v>3000000</v>
      </c>
      <c r="B3851" t="s">
        <v>457</v>
      </c>
      <c r="C3851" s="1">
        <v>36356</v>
      </c>
      <c r="D3851" t="s">
        <v>458</v>
      </c>
      <c r="E3851" t="str">
        <f t="shared" si="192"/>
        <v>서울특별시</v>
      </c>
      <c r="F3851" t="str">
        <f t="shared" si="193"/>
        <v xml:space="preserve">종로구 </v>
      </c>
      <c r="G3851" t="str">
        <f t="shared" si="194"/>
        <v>관수동</v>
      </c>
      <c r="H3851" t="s">
        <v>459</v>
      </c>
      <c r="I3851">
        <v>3191</v>
      </c>
    </row>
    <row r="3852" spans="1:9" x14ac:dyDescent="0.4">
      <c r="A3852">
        <v>3000000</v>
      </c>
      <c r="B3852" t="s">
        <v>811</v>
      </c>
      <c r="C3852" s="1">
        <v>31534</v>
      </c>
      <c r="D3852" t="s">
        <v>812</v>
      </c>
      <c r="E3852" t="str">
        <f t="shared" si="192"/>
        <v>서울특별시</v>
      </c>
      <c r="F3852" t="str">
        <f t="shared" si="193"/>
        <v xml:space="preserve">종로구 </v>
      </c>
      <c r="G3852" t="str">
        <f t="shared" si="194"/>
        <v>관수동</v>
      </c>
    </row>
    <row r="3853" spans="1:9" x14ac:dyDescent="0.4">
      <c r="A3853">
        <v>3000000</v>
      </c>
      <c r="B3853" t="s">
        <v>862</v>
      </c>
      <c r="C3853" s="1">
        <v>26192</v>
      </c>
      <c r="D3853" t="s">
        <v>863</v>
      </c>
      <c r="E3853" t="str">
        <f t="shared" si="192"/>
        <v>서울특별시</v>
      </c>
      <c r="F3853" t="str">
        <f t="shared" si="193"/>
        <v xml:space="preserve">종로구 </v>
      </c>
      <c r="G3853" t="str">
        <f t="shared" si="194"/>
        <v>관수동</v>
      </c>
      <c r="H3853" t="s">
        <v>864</v>
      </c>
      <c r="I3853">
        <v>3191</v>
      </c>
    </row>
    <row r="3854" spans="1:9" x14ac:dyDescent="0.4">
      <c r="A3854">
        <v>3000000</v>
      </c>
      <c r="B3854" t="s">
        <v>1330</v>
      </c>
      <c r="C3854" s="1">
        <v>36468</v>
      </c>
      <c r="D3854" t="s">
        <v>1331</v>
      </c>
      <c r="E3854" t="str">
        <f t="shared" si="192"/>
        <v>서울특별시</v>
      </c>
      <c r="F3854" t="str">
        <f t="shared" si="193"/>
        <v xml:space="preserve">종로구 </v>
      </c>
      <c r="G3854" t="str">
        <f t="shared" si="194"/>
        <v>관수동</v>
      </c>
    </row>
    <row r="3855" spans="1:9" x14ac:dyDescent="0.4">
      <c r="A3855">
        <v>3000000</v>
      </c>
      <c r="B3855" t="s">
        <v>1106</v>
      </c>
      <c r="C3855" s="1">
        <v>36867</v>
      </c>
      <c r="D3855" t="s">
        <v>1107</v>
      </c>
      <c r="E3855" t="str">
        <f t="shared" si="192"/>
        <v>서울특별시</v>
      </c>
      <c r="F3855" t="str">
        <f t="shared" si="193"/>
        <v xml:space="preserve">종로구 </v>
      </c>
      <c r="G3855" t="str">
        <f t="shared" si="194"/>
        <v>관수동</v>
      </c>
      <c r="H3855" t="s">
        <v>687</v>
      </c>
      <c r="I3855">
        <v>3192</v>
      </c>
    </row>
    <row r="3856" spans="1:9" x14ac:dyDescent="0.4">
      <c r="A3856">
        <v>3000000</v>
      </c>
      <c r="B3856" t="s">
        <v>685</v>
      </c>
      <c r="C3856" s="1">
        <v>36867</v>
      </c>
      <c r="D3856" t="s">
        <v>686</v>
      </c>
      <c r="E3856" t="str">
        <f t="shared" si="192"/>
        <v>서울특별시</v>
      </c>
      <c r="F3856" t="str">
        <f t="shared" si="193"/>
        <v xml:space="preserve">종로구 </v>
      </c>
      <c r="G3856" t="str">
        <f t="shared" si="194"/>
        <v>관수동</v>
      </c>
      <c r="H3856" t="s">
        <v>687</v>
      </c>
      <c r="I3856">
        <v>3192</v>
      </c>
    </row>
    <row r="3857" spans="1:9" x14ac:dyDescent="0.4">
      <c r="A3857">
        <v>3000000</v>
      </c>
      <c r="B3857" t="s">
        <v>829</v>
      </c>
      <c r="C3857" s="1">
        <v>27149</v>
      </c>
      <c r="D3857" t="s">
        <v>686</v>
      </c>
      <c r="E3857" t="str">
        <f t="shared" si="192"/>
        <v>서울특별시</v>
      </c>
      <c r="F3857" t="str">
        <f t="shared" si="193"/>
        <v xml:space="preserve">종로구 </v>
      </c>
      <c r="G3857" t="str">
        <f t="shared" si="194"/>
        <v>관수동</v>
      </c>
    </row>
    <row r="3858" spans="1:9" x14ac:dyDescent="0.4">
      <c r="A3858">
        <v>3000000</v>
      </c>
      <c r="B3858" t="s">
        <v>855</v>
      </c>
      <c r="C3858" s="1">
        <v>25955</v>
      </c>
      <c r="D3858" t="s">
        <v>856</v>
      </c>
      <c r="E3858" t="str">
        <f t="shared" si="192"/>
        <v>서울특별시</v>
      </c>
      <c r="F3858" t="str">
        <f t="shared" si="193"/>
        <v xml:space="preserve">종로구 </v>
      </c>
      <c r="G3858" t="str">
        <f t="shared" si="194"/>
        <v>관수동</v>
      </c>
    </row>
    <row r="3859" spans="1:9" x14ac:dyDescent="0.4">
      <c r="A3859">
        <v>3000000</v>
      </c>
      <c r="B3859" t="s">
        <v>909</v>
      </c>
      <c r="C3859" s="1">
        <v>29797</v>
      </c>
      <c r="D3859" t="s">
        <v>856</v>
      </c>
      <c r="E3859" t="str">
        <f t="shared" si="192"/>
        <v>서울특별시</v>
      </c>
      <c r="F3859" t="str">
        <f t="shared" si="193"/>
        <v xml:space="preserve">종로구 </v>
      </c>
      <c r="G3859" t="str">
        <f t="shared" si="194"/>
        <v>관수동</v>
      </c>
    </row>
    <row r="3860" spans="1:9" x14ac:dyDescent="0.4">
      <c r="A3860">
        <v>3000000</v>
      </c>
      <c r="B3860" t="s">
        <v>673</v>
      </c>
      <c r="C3860" s="1">
        <v>36630</v>
      </c>
      <c r="D3860" t="s">
        <v>674</v>
      </c>
      <c r="E3860" t="str">
        <f t="shared" si="192"/>
        <v>서울특별시</v>
      </c>
      <c r="F3860" t="str">
        <f t="shared" si="193"/>
        <v xml:space="preserve">종로구 </v>
      </c>
      <c r="G3860" t="str">
        <f t="shared" si="194"/>
        <v>관수동</v>
      </c>
      <c r="H3860" t="s">
        <v>675</v>
      </c>
      <c r="I3860">
        <v>3191</v>
      </c>
    </row>
    <row r="3861" spans="1:9" x14ac:dyDescent="0.4">
      <c r="A3861">
        <v>3000000</v>
      </c>
      <c r="B3861" t="s">
        <v>544</v>
      </c>
      <c r="C3861" s="1">
        <v>36437</v>
      </c>
      <c r="D3861" t="s">
        <v>545</v>
      </c>
      <c r="E3861" t="str">
        <f t="shared" si="192"/>
        <v>서울특별시</v>
      </c>
      <c r="F3861" t="str">
        <f t="shared" si="193"/>
        <v xml:space="preserve">종로구 </v>
      </c>
      <c r="G3861" t="str">
        <f t="shared" si="194"/>
        <v>관철동</v>
      </c>
      <c r="H3861" t="s">
        <v>546</v>
      </c>
      <c r="I3861">
        <v>3190</v>
      </c>
    </row>
    <row r="3862" spans="1:9" x14ac:dyDescent="0.4">
      <c r="A3862">
        <v>3000000</v>
      </c>
      <c r="B3862" t="s">
        <v>634</v>
      </c>
      <c r="C3862" s="1">
        <v>36509</v>
      </c>
      <c r="D3862" t="s">
        <v>635</v>
      </c>
      <c r="E3862" t="str">
        <f t="shared" si="192"/>
        <v>서울특별시</v>
      </c>
      <c r="F3862" t="str">
        <f t="shared" si="193"/>
        <v xml:space="preserve">종로구 </v>
      </c>
      <c r="G3862" t="str">
        <f t="shared" si="194"/>
        <v>관철동</v>
      </c>
      <c r="H3862" t="s">
        <v>636</v>
      </c>
      <c r="I3862">
        <v>3190</v>
      </c>
    </row>
    <row r="3863" spans="1:9" x14ac:dyDescent="0.4">
      <c r="A3863">
        <v>3000000</v>
      </c>
      <c r="B3863" t="s">
        <v>628</v>
      </c>
      <c r="C3863" s="1">
        <v>36502</v>
      </c>
      <c r="D3863" t="s">
        <v>629</v>
      </c>
      <c r="E3863" t="str">
        <f t="shared" si="192"/>
        <v>서울특별시</v>
      </c>
      <c r="F3863" t="str">
        <f t="shared" si="193"/>
        <v xml:space="preserve">종로구 </v>
      </c>
      <c r="G3863" t="str">
        <f t="shared" si="194"/>
        <v>관철동</v>
      </c>
      <c r="H3863" t="s">
        <v>630</v>
      </c>
      <c r="I3863">
        <v>3190</v>
      </c>
    </row>
    <row r="3864" spans="1:9" x14ac:dyDescent="0.4">
      <c r="A3864">
        <v>3000000</v>
      </c>
      <c r="B3864" t="s">
        <v>1343</v>
      </c>
      <c r="C3864" s="1">
        <v>36484</v>
      </c>
      <c r="D3864" t="s">
        <v>1344</v>
      </c>
      <c r="E3864" t="str">
        <f t="shared" si="192"/>
        <v>서울특별시</v>
      </c>
      <c r="F3864" t="str">
        <f t="shared" si="193"/>
        <v xml:space="preserve">종로구 </v>
      </c>
      <c r="G3864" t="str">
        <f t="shared" si="194"/>
        <v>관철동</v>
      </c>
    </row>
    <row r="3865" spans="1:9" x14ac:dyDescent="0.4">
      <c r="A3865">
        <v>3000000</v>
      </c>
      <c r="B3865" t="s">
        <v>1044</v>
      </c>
      <c r="C3865" s="1">
        <v>27375</v>
      </c>
      <c r="D3865" t="s">
        <v>1045</v>
      </c>
      <c r="E3865" t="str">
        <f t="shared" si="192"/>
        <v>서울특별시</v>
      </c>
      <c r="F3865" t="str">
        <f t="shared" si="193"/>
        <v xml:space="preserve">종로구 </v>
      </c>
      <c r="G3865" t="str">
        <f t="shared" si="194"/>
        <v>관철동</v>
      </c>
    </row>
    <row r="3866" spans="1:9" x14ac:dyDescent="0.4">
      <c r="A3866">
        <v>3000000</v>
      </c>
      <c r="B3866" t="s">
        <v>1071</v>
      </c>
      <c r="C3866" s="1">
        <v>27571</v>
      </c>
      <c r="D3866" t="s">
        <v>1045</v>
      </c>
      <c r="E3866" t="str">
        <f t="shared" si="192"/>
        <v>서울특별시</v>
      </c>
      <c r="F3866" t="str">
        <f t="shared" si="193"/>
        <v xml:space="preserve">종로구 </v>
      </c>
      <c r="G3866" t="str">
        <f t="shared" si="194"/>
        <v>관철동</v>
      </c>
    </row>
    <row r="3867" spans="1:9" x14ac:dyDescent="0.4">
      <c r="A3867">
        <v>3000000</v>
      </c>
      <c r="B3867" t="s">
        <v>983</v>
      </c>
      <c r="C3867" s="1">
        <v>26989</v>
      </c>
      <c r="D3867" t="s">
        <v>984</v>
      </c>
      <c r="E3867" t="str">
        <f t="shared" si="192"/>
        <v>서울특별시</v>
      </c>
      <c r="F3867" t="str">
        <f t="shared" si="193"/>
        <v xml:space="preserve">종로구 </v>
      </c>
      <c r="G3867" t="str">
        <f t="shared" si="194"/>
        <v>관철동</v>
      </c>
      <c r="H3867" t="s">
        <v>985</v>
      </c>
      <c r="I3867">
        <v>3190</v>
      </c>
    </row>
    <row r="3868" spans="1:9" x14ac:dyDescent="0.4">
      <c r="A3868">
        <v>3000000</v>
      </c>
      <c r="B3868" t="s">
        <v>886</v>
      </c>
      <c r="C3868" s="1">
        <v>31140</v>
      </c>
      <c r="D3868" t="s">
        <v>887</v>
      </c>
      <c r="E3868" t="str">
        <f t="shared" si="192"/>
        <v>서울특별시</v>
      </c>
      <c r="F3868" t="str">
        <f t="shared" si="193"/>
        <v xml:space="preserve">종로구 </v>
      </c>
      <c r="G3868" t="str">
        <f t="shared" si="194"/>
        <v>관철동</v>
      </c>
    </row>
    <row r="3869" spans="1:9" x14ac:dyDescent="0.4">
      <c r="A3869">
        <v>3000000</v>
      </c>
      <c r="B3869" t="s">
        <v>972</v>
      </c>
      <c r="C3869" s="1">
        <v>26753</v>
      </c>
      <c r="D3869" t="s">
        <v>973</v>
      </c>
      <c r="E3869" t="str">
        <f t="shared" si="192"/>
        <v>서울특별시</v>
      </c>
      <c r="F3869" t="str">
        <f t="shared" si="193"/>
        <v xml:space="preserve">종로구 </v>
      </c>
      <c r="G3869" t="str">
        <f t="shared" si="194"/>
        <v>관철동</v>
      </c>
    </row>
    <row r="3870" spans="1:9" x14ac:dyDescent="0.4">
      <c r="A3870">
        <v>3000000</v>
      </c>
      <c r="B3870" t="s">
        <v>739</v>
      </c>
      <c r="C3870" s="1">
        <v>30838</v>
      </c>
      <c r="D3870" t="s">
        <v>740</v>
      </c>
      <c r="E3870" t="str">
        <f t="shared" si="192"/>
        <v>서울특별시</v>
      </c>
      <c r="F3870" t="str">
        <f t="shared" si="193"/>
        <v xml:space="preserve">종로구 </v>
      </c>
      <c r="G3870" t="str">
        <f t="shared" si="194"/>
        <v>관철동</v>
      </c>
    </row>
    <row r="3871" spans="1:9" x14ac:dyDescent="0.4">
      <c r="A3871">
        <v>3000000</v>
      </c>
      <c r="B3871" t="s">
        <v>565</v>
      </c>
      <c r="C3871" s="1">
        <v>36439</v>
      </c>
      <c r="D3871" t="s">
        <v>566</v>
      </c>
      <c r="E3871" t="str">
        <f t="shared" si="192"/>
        <v>서울특별시</v>
      </c>
      <c r="F3871" t="str">
        <f t="shared" si="193"/>
        <v xml:space="preserve">종로구 </v>
      </c>
      <c r="G3871" t="str">
        <f t="shared" si="194"/>
        <v>관철동</v>
      </c>
      <c r="H3871" t="s">
        <v>567</v>
      </c>
      <c r="I3871">
        <v>3189</v>
      </c>
    </row>
    <row r="3872" spans="1:9" x14ac:dyDescent="0.4">
      <c r="A3872">
        <v>3000000</v>
      </c>
      <c r="B3872" t="s">
        <v>703</v>
      </c>
      <c r="C3872" s="1">
        <v>37964</v>
      </c>
      <c r="D3872" t="s">
        <v>704</v>
      </c>
      <c r="E3872" t="str">
        <f t="shared" si="192"/>
        <v>서울특별시</v>
      </c>
      <c r="F3872" t="str">
        <f t="shared" si="193"/>
        <v xml:space="preserve">종로구 </v>
      </c>
      <c r="G3872" t="str">
        <f t="shared" si="194"/>
        <v>관철동</v>
      </c>
      <c r="H3872" t="s">
        <v>705</v>
      </c>
      <c r="I3872">
        <v>3189</v>
      </c>
    </row>
    <row r="3873" spans="1:9" x14ac:dyDescent="0.4">
      <c r="A3873">
        <v>3000000</v>
      </c>
      <c r="B3873" t="s">
        <v>424</v>
      </c>
      <c r="C3873" s="1">
        <v>37383</v>
      </c>
      <c r="D3873" t="s">
        <v>425</v>
      </c>
      <c r="E3873" t="str">
        <f t="shared" si="192"/>
        <v>서울특별시</v>
      </c>
      <c r="F3873" t="str">
        <f t="shared" si="193"/>
        <v xml:space="preserve">종로구 </v>
      </c>
      <c r="G3873" t="str">
        <f t="shared" si="194"/>
        <v>관철동</v>
      </c>
      <c r="H3873" t="s">
        <v>426</v>
      </c>
      <c r="I3873">
        <v>3189</v>
      </c>
    </row>
    <row r="3874" spans="1:9" x14ac:dyDescent="0.4">
      <c r="A3874">
        <v>3000000</v>
      </c>
      <c r="B3874" t="s">
        <v>454</v>
      </c>
      <c r="C3874" s="1">
        <v>36353</v>
      </c>
      <c r="D3874" t="s">
        <v>455</v>
      </c>
      <c r="E3874" t="str">
        <f t="shared" si="192"/>
        <v>서울특별시</v>
      </c>
      <c r="F3874" t="str">
        <f t="shared" si="193"/>
        <v xml:space="preserve">종로구 </v>
      </c>
      <c r="G3874" t="str">
        <f t="shared" si="194"/>
        <v>관철동</v>
      </c>
      <c r="H3874" t="s">
        <v>456</v>
      </c>
      <c r="I3874">
        <v>3191</v>
      </c>
    </row>
    <row r="3875" spans="1:9" x14ac:dyDescent="0.4">
      <c r="A3875">
        <v>3000000</v>
      </c>
      <c r="B3875" t="s">
        <v>1058</v>
      </c>
      <c r="C3875" s="1">
        <v>27398</v>
      </c>
      <c r="D3875" t="s">
        <v>455</v>
      </c>
      <c r="E3875" t="str">
        <f t="shared" si="192"/>
        <v>서울특별시</v>
      </c>
      <c r="F3875" t="str">
        <f t="shared" si="193"/>
        <v xml:space="preserve">종로구 </v>
      </c>
      <c r="G3875" t="str">
        <f t="shared" si="194"/>
        <v>관철동</v>
      </c>
    </row>
    <row r="3876" spans="1:9" x14ac:dyDescent="0.4">
      <c r="A3876">
        <v>3000000</v>
      </c>
      <c r="B3876" t="s">
        <v>346</v>
      </c>
      <c r="C3876" s="1">
        <v>24485</v>
      </c>
      <c r="D3876" t="s">
        <v>347</v>
      </c>
      <c r="E3876" t="str">
        <f t="shared" si="192"/>
        <v>서울특별시</v>
      </c>
      <c r="F3876" t="str">
        <f t="shared" si="193"/>
        <v xml:space="preserve">종로구 </v>
      </c>
      <c r="G3876" t="str">
        <f t="shared" si="194"/>
        <v>관철동</v>
      </c>
      <c r="H3876" t="s">
        <v>348</v>
      </c>
      <c r="I3876">
        <v>3189</v>
      </c>
    </row>
    <row r="3877" spans="1:9" x14ac:dyDescent="0.4">
      <c r="A3877">
        <v>3000000</v>
      </c>
      <c r="B3877" t="s">
        <v>1112</v>
      </c>
      <c r="C3877" s="1">
        <v>37931</v>
      </c>
      <c r="D3877" t="s">
        <v>1113</v>
      </c>
      <c r="E3877" t="str">
        <f t="shared" si="192"/>
        <v>서울특별시</v>
      </c>
      <c r="F3877" t="str">
        <f t="shared" si="193"/>
        <v xml:space="preserve">종로구 </v>
      </c>
      <c r="G3877" t="str">
        <f t="shared" si="194"/>
        <v>관철동</v>
      </c>
      <c r="H3877" t="s">
        <v>1114</v>
      </c>
    </row>
    <row r="3878" spans="1:9" x14ac:dyDescent="0.4">
      <c r="A3878">
        <v>3000000</v>
      </c>
      <c r="B3878" t="s">
        <v>1313</v>
      </c>
      <c r="C3878" s="1">
        <v>36433</v>
      </c>
      <c r="D3878" t="s">
        <v>1314</v>
      </c>
      <c r="E3878" t="str">
        <f t="shared" si="192"/>
        <v>서울특별시</v>
      </c>
      <c r="F3878" t="str">
        <f t="shared" si="193"/>
        <v xml:space="preserve">종로구 </v>
      </c>
      <c r="G3878" t="str">
        <f t="shared" si="194"/>
        <v>관철동</v>
      </c>
    </row>
    <row r="3879" spans="1:9" x14ac:dyDescent="0.4">
      <c r="A3879">
        <v>3000000</v>
      </c>
      <c r="B3879" t="s">
        <v>284</v>
      </c>
      <c r="C3879" s="1">
        <v>27408</v>
      </c>
      <c r="D3879" t="s">
        <v>285</v>
      </c>
      <c r="E3879" t="str">
        <f t="shared" si="192"/>
        <v>서울특별시</v>
      </c>
      <c r="F3879" t="str">
        <f t="shared" si="193"/>
        <v xml:space="preserve">종로구 </v>
      </c>
      <c r="G3879" t="str">
        <f t="shared" si="194"/>
        <v>관철동</v>
      </c>
      <c r="H3879" t="s">
        <v>286</v>
      </c>
      <c r="I3879">
        <v>3189</v>
      </c>
    </row>
    <row r="3880" spans="1:9" x14ac:dyDescent="0.4">
      <c r="A3880">
        <v>3000000</v>
      </c>
      <c r="B3880" t="s">
        <v>655</v>
      </c>
      <c r="C3880" s="1">
        <v>37869</v>
      </c>
      <c r="D3880" t="s">
        <v>656</v>
      </c>
      <c r="E3880" t="str">
        <f t="shared" si="192"/>
        <v>서울특별시</v>
      </c>
      <c r="F3880" t="str">
        <f t="shared" si="193"/>
        <v xml:space="preserve">종로구 </v>
      </c>
      <c r="G3880" t="str">
        <f t="shared" si="194"/>
        <v>관철동</v>
      </c>
      <c r="H3880" t="s">
        <v>657</v>
      </c>
      <c r="I3880">
        <v>3189</v>
      </c>
    </row>
    <row r="3881" spans="1:9" x14ac:dyDescent="0.4">
      <c r="A3881">
        <v>3000000</v>
      </c>
      <c r="B3881" t="s">
        <v>1198</v>
      </c>
      <c r="C3881" s="1">
        <v>36516</v>
      </c>
      <c r="D3881" t="s">
        <v>1199</v>
      </c>
      <c r="E3881" t="str">
        <f t="shared" si="192"/>
        <v>서울특별시</v>
      </c>
      <c r="F3881" t="str">
        <f t="shared" si="193"/>
        <v xml:space="preserve">종로구 </v>
      </c>
      <c r="G3881" t="str">
        <f t="shared" si="194"/>
        <v>관철동</v>
      </c>
    </row>
    <row r="3882" spans="1:9" x14ac:dyDescent="0.4">
      <c r="A3882">
        <v>3000000</v>
      </c>
      <c r="B3882" t="s">
        <v>302</v>
      </c>
      <c r="C3882" s="1">
        <v>32808</v>
      </c>
      <c r="D3882" t="s">
        <v>303</v>
      </c>
      <c r="E3882" t="str">
        <f t="shared" si="192"/>
        <v>서울특별시</v>
      </c>
      <c r="F3882" t="str">
        <f t="shared" si="193"/>
        <v xml:space="preserve">종로구 </v>
      </c>
      <c r="G3882" t="str">
        <f t="shared" si="194"/>
        <v>관철동</v>
      </c>
      <c r="H3882" t="s">
        <v>304</v>
      </c>
      <c r="I3882">
        <v>3189</v>
      </c>
    </row>
    <row r="3883" spans="1:9" x14ac:dyDescent="0.4">
      <c r="A3883">
        <v>3000000</v>
      </c>
      <c r="B3883" t="s">
        <v>884</v>
      </c>
      <c r="C3883" s="1">
        <v>31128</v>
      </c>
      <c r="D3883" t="s">
        <v>885</v>
      </c>
      <c r="E3883" t="str">
        <f t="shared" si="192"/>
        <v>서울특별시</v>
      </c>
      <c r="F3883" t="str">
        <f t="shared" si="193"/>
        <v xml:space="preserve">종로구 </v>
      </c>
      <c r="G3883" t="str">
        <f t="shared" si="194"/>
        <v>관철동</v>
      </c>
    </row>
    <row r="3884" spans="1:9" x14ac:dyDescent="0.4">
      <c r="A3884">
        <v>3000000</v>
      </c>
      <c r="B3884" t="s">
        <v>1091</v>
      </c>
      <c r="C3884" s="1">
        <v>36656</v>
      </c>
      <c r="D3884" t="s">
        <v>885</v>
      </c>
      <c r="E3884" t="str">
        <f t="shared" si="192"/>
        <v>서울특별시</v>
      </c>
      <c r="F3884" t="str">
        <f t="shared" si="193"/>
        <v xml:space="preserve">종로구 </v>
      </c>
      <c r="G3884" t="str">
        <f t="shared" si="194"/>
        <v>관철동</v>
      </c>
    </row>
    <row r="3885" spans="1:9" x14ac:dyDescent="0.4">
      <c r="A3885">
        <v>3000000</v>
      </c>
      <c r="B3885" t="s">
        <v>847</v>
      </c>
      <c r="C3885" s="1">
        <v>24777</v>
      </c>
      <c r="D3885" t="s">
        <v>848</v>
      </c>
      <c r="E3885" t="str">
        <f t="shared" si="192"/>
        <v>서울특별시</v>
      </c>
      <c r="F3885" t="str">
        <f t="shared" si="193"/>
        <v xml:space="preserve">종로구 </v>
      </c>
      <c r="G3885" t="str">
        <f t="shared" si="194"/>
        <v>관훈동</v>
      </c>
    </row>
    <row r="3886" spans="1:9" x14ac:dyDescent="0.4">
      <c r="A3886">
        <v>3000000</v>
      </c>
      <c r="B3886" t="s">
        <v>626</v>
      </c>
      <c r="C3886" s="1">
        <v>36501</v>
      </c>
      <c r="D3886" t="s">
        <v>627</v>
      </c>
      <c r="E3886" t="str">
        <f t="shared" si="192"/>
        <v>서울특별시</v>
      </c>
      <c r="F3886" t="str">
        <f t="shared" si="193"/>
        <v xml:space="preserve">종로구 </v>
      </c>
      <c r="G3886" t="str">
        <f t="shared" si="194"/>
        <v>관훈동</v>
      </c>
    </row>
    <row r="3887" spans="1:9" x14ac:dyDescent="0.4">
      <c r="A3887">
        <v>3000000</v>
      </c>
      <c r="B3887" t="s">
        <v>956</v>
      </c>
      <c r="C3887" s="1">
        <v>36410</v>
      </c>
      <c r="D3887" t="s">
        <v>957</v>
      </c>
      <c r="E3887" t="str">
        <f t="shared" si="192"/>
        <v>서울특별시</v>
      </c>
      <c r="F3887" t="str">
        <f t="shared" si="193"/>
        <v xml:space="preserve">종로구 </v>
      </c>
      <c r="G3887" t="str">
        <f t="shared" si="194"/>
        <v>관훈동</v>
      </c>
    </row>
    <row r="3888" spans="1:9" x14ac:dyDescent="0.4">
      <c r="A3888">
        <v>3000000</v>
      </c>
      <c r="B3888" t="s">
        <v>1032</v>
      </c>
      <c r="C3888" s="1">
        <v>27159</v>
      </c>
      <c r="D3888" t="s">
        <v>1033</v>
      </c>
      <c r="E3888" t="str">
        <f t="shared" si="192"/>
        <v>서울특별시</v>
      </c>
      <c r="F3888" t="str">
        <f t="shared" si="193"/>
        <v xml:space="preserve">종로구 </v>
      </c>
      <c r="G3888" t="str">
        <f t="shared" si="194"/>
        <v>관훈동</v>
      </c>
      <c r="H3888" t="s">
        <v>1034</v>
      </c>
      <c r="I3888">
        <v>3149</v>
      </c>
    </row>
    <row r="3889" spans="1:9" x14ac:dyDescent="0.4">
      <c r="A3889">
        <v>3000000</v>
      </c>
      <c r="B3889" t="s">
        <v>1101</v>
      </c>
      <c r="C3889" s="1">
        <v>27148</v>
      </c>
      <c r="D3889" t="s">
        <v>1102</v>
      </c>
      <c r="E3889" t="str">
        <f t="shared" si="192"/>
        <v>서울특별시</v>
      </c>
      <c r="F3889" t="str">
        <f t="shared" si="193"/>
        <v xml:space="preserve">종로구 </v>
      </c>
      <c r="G3889" t="str">
        <f t="shared" si="194"/>
        <v>관훈동</v>
      </c>
    </row>
    <row r="3890" spans="1:9" x14ac:dyDescent="0.4">
      <c r="A3890">
        <v>3000000</v>
      </c>
      <c r="B3890" t="s">
        <v>1301</v>
      </c>
      <c r="C3890" s="1">
        <v>27128</v>
      </c>
      <c r="D3890" t="s">
        <v>1302</v>
      </c>
      <c r="E3890" t="str">
        <f t="shared" si="192"/>
        <v>서울특별시</v>
      </c>
      <c r="F3890" t="str">
        <f t="shared" si="193"/>
        <v xml:space="preserve">종로구 </v>
      </c>
      <c r="G3890" t="str">
        <f t="shared" si="194"/>
        <v>관훈동</v>
      </c>
    </row>
    <row r="3891" spans="1:9" x14ac:dyDescent="0.4">
      <c r="A3891">
        <v>3000000</v>
      </c>
      <c r="B3891" t="s">
        <v>667</v>
      </c>
      <c r="C3891" s="1">
        <v>36581</v>
      </c>
      <c r="D3891" t="s">
        <v>668</v>
      </c>
      <c r="E3891" t="str">
        <f t="shared" si="192"/>
        <v>서울특별시</v>
      </c>
      <c r="F3891" t="str">
        <f t="shared" si="193"/>
        <v xml:space="preserve">종로구 </v>
      </c>
      <c r="G3891" t="str">
        <f t="shared" si="194"/>
        <v>교남동</v>
      </c>
      <c r="H3891" t="s">
        <v>669</v>
      </c>
      <c r="I3891">
        <v>3180</v>
      </c>
    </row>
    <row r="3892" spans="1:9" x14ac:dyDescent="0.4">
      <c r="A3892">
        <v>3000000</v>
      </c>
      <c r="B3892" t="s">
        <v>466</v>
      </c>
      <c r="C3892" s="1">
        <v>36385</v>
      </c>
      <c r="D3892" t="s">
        <v>467</v>
      </c>
      <c r="E3892" t="str">
        <f t="shared" si="192"/>
        <v>서울특별시</v>
      </c>
      <c r="F3892" t="str">
        <f t="shared" si="193"/>
        <v xml:space="preserve">종로구 </v>
      </c>
      <c r="G3892" t="str">
        <f t="shared" si="194"/>
        <v>교남동</v>
      </c>
      <c r="H3892" t="s">
        <v>468</v>
      </c>
      <c r="I3892">
        <v>3180</v>
      </c>
    </row>
    <row r="3893" spans="1:9" x14ac:dyDescent="0.4">
      <c r="A3893">
        <v>3000000</v>
      </c>
      <c r="B3893" t="s">
        <v>1017</v>
      </c>
      <c r="C3893" s="1">
        <v>27118</v>
      </c>
      <c r="D3893" t="s">
        <v>1018</v>
      </c>
      <c r="E3893" t="str">
        <f t="shared" si="192"/>
        <v>서울특별시</v>
      </c>
      <c r="F3893" t="str">
        <f t="shared" si="193"/>
        <v xml:space="preserve">종로구 </v>
      </c>
      <c r="G3893" t="str">
        <f t="shared" si="194"/>
        <v>교남동</v>
      </c>
      <c r="H3893" t="s">
        <v>1019</v>
      </c>
    </row>
    <row r="3894" spans="1:9" x14ac:dyDescent="0.4">
      <c r="A3894">
        <v>3000000</v>
      </c>
      <c r="B3894" t="s">
        <v>832</v>
      </c>
      <c r="C3894" s="1">
        <v>27149</v>
      </c>
      <c r="D3894" t="s">
        <v>833</v>
      </c>
      <c r="E3894" t="str">
        <f t="shared" si="192"/>
        <v>서울특별시</v>
      </c>
      <c r="F3894" t="str">
        <f t="shared" si="193"/>
        <v xml:space="preserve">종로구 </v>
      </c>
      <c r="G3894" t="str">
        <f t="shared" si="194"/>
        <v>교북동</v>
      </c>
      <c r="H3894" t="s">
        <v>834</v>
      </c>
    </row>
    <row r="3895" spans="1:9" x14ac:dyDescent="0.4">
      <c r="A3895">
        <v>3000000</v>
      </c>
      <c r="B3895" t="s">
        <v>1283</v>
      </c>
      <c r="C3895" s="1">
        <v>27668</v>
      </c>
      <c r="D3895" t="s">
        <v>1284</v>
      </c>
      <c r="E3895" t="str">
        <f t="shared" si="192"/>
        <v>서울특별시</v>
      </c>
      <c r="F3895" t="str">
        <f t="shared" si="193"/>
        <v xml:space="preserve">종로구 </v>
      </c>
      <c r="G3895" t="str">
        <f t="shared" si="194"/>
        <v>교북동</v>
      </c>
      <c r="H3895" t="s">
        <v>1285</v>
      </c>
    </row>
    <row r="3896" spans="1:9" x14ac:dyDescent="0.4">
      <c r="A3896">
        <v>3000000</v>
      </c>
      <c r="B3896" t="s">
        <v>1253</v>
      </c>
      <c r="C3896" s="1">
        <v>37172</v>
      </c>
      <c r="D3896" t="s">
        <v>1254</v>
      </c>
      <c r="E3896" t="str">
        <f t="shared" si="192"/>
        <v>서울특별시</v>
      </c>
      <c r="F3896" t="str">
        <f t="shared" si="193"/>
        <v xml:space="preserve">종로구 </v>
      </c>
      <c r="G3896" t="str">
        <f t="shared" si="194"/>
        <v>교북동</v>
      </c>
      <c r="H3896" t="s">
        <v>1255</v>
      </c>
    </row>
    <row r="3897" spans="1:9" x14ac:dyDescent="0.4">
      <c r="A3897">
        <v>3000000</v>
      </c>
      <c r="B3897" t="s">
        <v>609</v>
      </c>
      <c r="C3897" s="1">
        <v>36454</v>
      </c>
      <c r="D3897" t="s">
        <v>610</v>
      </c>
      <c r="E3897" t="str">
        <f t="shared" si="192"/>
        <v>서울특별시</v>
      </c>
      <c r="F3897" t="str">
        <f t="shared" si="193"/>
        <v xml:space="preserve">종로구 </v>
      </c>
      <c r="G3897" t="str">
        <f t="shared" si="194"/>
        <v>교북동</v>
      </c>
      <c r="H3897" t="s">
        <v>611</v>
      </c>
    </row>
    <row r="3898" spans="1:9" x14ac:dyDescent="0.4">
      <c r="A3898">
        <v>3000000</v>
      </c>
      <c r="B3898" t="s">
        <v>1321</v>
      </c>
      <c r="C3898" s="1">
        <v>37799</v>
      </c>
      <c r="D3898" t="s">
        <v>1322</v>
      </c>
      <c r="E3898" t="str">
        <f t="shared" si="192"/>
        <v>서울특별시</v>
      </c>
      <c r="F3898" t="str">
        <f t="shared" si="193"/>
        <v xml:space="preserve">종로구 </v>
      </c>
      <c r="G3898" t="str">
        <f t="shared" si="194"/>
        <v>교북동</v>
      </c>
      <c r="H3898" t="s">
        <v>1323</v>
      </c>
    </row>
    <row r="3899" spans="1:9" x14ac:dyDescent="0.4">
      <c r="A3899">
        <v>3000000</v>
      </c>
      <c r="B3899" t="s">
        <v>1027</v>
      </c>
      <c r="C3899" s="1">
        <v>36512</v>
      </c>
      <c r="D3899" t="s">
        <v>1028</v>
      </c>
      <c r="E3899" t="str">
        <f t="shared" si="192"/>
        <v>서울특별시</v>
      </c>
      <c r="F3899" t="str">
        <f t="shared" si="193"/>
        <v xml:space="preserve">종로구 </v>
      </c>
      <c r="G3899" t="str">
        <f t="shared" si="194"/>
        <v>교북동</v>
      </c>
      <c r="H3899" t="s">
        <v>1029</v>
      </c>
    </row>
    <row r="3900" spans="1:9" x14ac:dyDescent="0.4">
      <c r="A3900">
        <v>3000000</v>
      </c>
      <c r="B3900" t="s">
        <v>1206</v>
      </c>
      <c r="C3900" s="1">
        <v>36348</v>
      </c>
      <c r="D3900" t="s">
        <v>1207</v>
      </c>
      <c r="E3900" t="str">
        <f t="shared" si="192"/>
        <v>서울특별시</v>
      </c>
      <c r="F3900" t="str">
        <f t="shared" si="193"/>
        <v xml:space="preserve">종로구 </v>
      </c>
      <c r="G3900" t="str">
        <f t="shared" si="194"/>
        <v>교북동</v>
      </c>
    </row>
    <row r="3901" spans="1:9" x14ac:dyDescent="0.4">
      <c r="A3901">
        <v>3000000</v>
      </c>
      <c r="B3901" t="s">
        <v>364</v>
      </c>
      <c r="C3901" s="1">
        <v>43110</v>
      </c>
      <c r="D3901" t="s">
        <v>365</v>
      </c>
      <c r="E3901" t="str">
        <f t="shared" si="192"/>
        <v>서울특별시</v>
      </c>
      <c r="F3901" t="str">
        <f t="shared" si="193"/>
        <v xml:space="preserve">종로구 </v>
      </c>
      <c r="G3901" t="str">
        <f t="shared" si="194"/>
        <v>낙원동</v>
      </c>
      <c r="H3901" t="s">
        <v>366</v>
      </c>
      <c r="I3901">
        <v>3133</v>
      </c>
    </row>
    <row r="3902" spans="1:9" x14ac:dyDescent="0.4">
      <c r="A3902">
        <v>3000000</v>
      </c>
      <c r="B3902" t="s">
        <v>793</v>
      </c>
      <c r="C3902" s="1">
        <v>40780</v>
      </c>
      <c r="D3902" t="s">
        <v>794</v>
      </c>
      <c r="E3902" t="str">
        <f t="shared" si="192"/>
        <v>서울특별시</v>
      </c>
      <c r="F3902" t="str">
        <f t="shared" si="193"/>
        <v xml:space="preserve">종로구 </v>
      </c>
      <c r="G3902" t="str">
        <f t="shared" si="194"/>
        <v>낙원동</v>
      </c>
      <c r="H3902" t="s">
        <v>795</v>
      </c>
      <c r="I3902">
        <v>3133</v>
      </c>
    </row>
    <row r="3903" spans="1:9" x14ac:dyDescent="0.4">
      <c r="A3903">
        <v>3000000</v>
      </c>
      <c r="B3903" t="s">
        <v>870</v>
      </c>
      <c r="C3903" s="1">
        <v>38854</v>
      </c>
      <c r="D3903" t="s">
        <v>794</v>
      </c>
      <c r="E3903" t="str">
        <f t="shared" si="192"/>
        <v>서울특별시</v>
      </c>
      <c r="F3903" t="str">
        <f t="shared" si="193"/>
        <v xml:space="preserve">종로구 </v>
      </c>
      <c r="G3903" t="str">
        <f t="shared" si="194"/>
        <v>낙원동</v>
      </c>
    </row>
    <row r="3904" spans="1:9" x14ac:dyDescent="0.4">
      <c r="A3904">
        <v>3000000</v>
      </c>
      <c r="B3904" t="s">
        <v>1238</v>
      </c>
      <c r="C3904" s="1">
        <v>37078</v>
      </c>
      <c r="D3904" t="s">
        <v>1239</v>
      </c>
      <c r="E3904" t="str">
        <f t="shared" si="192"/>
        <v>서울특별시</v>
      </c>
      <c r="F3904" t="str">
        <f t="shared" si="193"/>
        <v xml:space="preserve">종로구 </v>
      </c>
      <c r="G3904" t="str">
        <f t="shared" si="194"/>
        <v>낙원동</v>
      </c>
      <c r="H3904" t="s">
        <v>1240</v>
      </c>
      <c r="I3904">
        <v>3139</v>
      </c>
    </row>
    <row r="3905" spans="1:9" x14ac:dyDescent="0.4">
      <c r="A3905">
        <v>3000000</v>
      </c>
      <c r="B3905" t="s">
        <v>1005</v>
      </c>
      <c r="C3905" s="1">
        <v>38162</v>
      </c>
      <c r="D3905" t="s">
        <v>1006</v>
      </c>
      <c r="E3905" t="str">
        <f t="shared" si="192"/>
        <v>서울특별시</v>
      </c>
      <c r="F3905" t="str">
        <f t="shared" si="193"/>
        <v xml:space="preserve">종로구 </v>
      </c>
      <c r="G3905" t="str">
        <f t="shared" si="194"/>
        <v>낙원동</v>
      </c>
      <c r="H3905" t="s">
        <v>1007</v>
      </c>
      <c r="I3905">
        <v>3139</v>
      </c>
    </row>
    <row r="3906" spans="1:9" x14ac:dyDescent="0.4">
      <c r="A3906">
        <v>3000000</v>
      </c>
      <c r="B3906" t="s">
        <v>914</v>
      </c>
      <c r="C3906" s="1">
        <v>30470</v>
      </c>
      <c r="D3906" t="s">
        <v>915</v>
      </c>
      <c r="E3906" t="str">
        <f t="shared" si="192"/>
        <v>서울특별시</v>
      </c>
      <c r="F3906" t="str">
        <f t="shared" si="193"/>
        <v xml:space="preserve">종로구 </v>
      </c>
      <c r="G3906" t="str">
        <f t="shared" si="194"/>
        <v>낙원동</v>
      </c>
    </row>
    <row r="3907" spans="1:9" x14ac:dyDescent="0.4">
      <c r="A3907">
        <v>3000000</v>
      </c>
      <c r="B3907" t="s">
        <v>1328</v>
      </c>
      <c r="C3907" s="1">
        <v>36467</v>
      </c>
      <c r="D3907" t="s">
        <v>1329</v>
      </c>
      <c r="E3907" t="str">
        <f t="shared" ref="E3907:E3970" si="195">LEFT(D3907,5)</f>
        <v>서울특별시</v>
      </c>
      <c r="F3907" t="str">
        <f t="shared" ref="F3907:F3970" si="196">MID(D3907,7,4)</f>
        <v xml:space="preserve">종로구 </v>
      </c>
      <c r="G3907" t="str">
        <f t="shared" ref="G3907:G3970" si="197">MID(SUBSTITUTE(D3907," ",""),9,3)</f>
        <v>낙원동</v>
      </c>
    </row>
    <row r="3908" spans="1:9" x14ac:dyDescent="0.4">
      <c r="A3908">
        <v>3000000</v>
      </c>
      <c r="B3908" t="s">
        <v>409</v>
      </c>
      <c r="C3908" s="1">
        <v>37239</v>
      </c>
      <c r="D3908" t="s">
        <v>410</v>
      </c>
      <c r="E3908" t="str">
        <f t="shared" si="195"/>
        <v>서울특별시</v>
      </c>
      <c r="F3908" t="str">
        <f t="shared" si="196"/>
        <v xml:space="preserve">종로구 </v>
      </c>
      <c r="G3908" t="str">
        <f t="shared" si="197"/>
        <v>낙원동</v>
      </c>
      <c r="H3908" t="s">
        <v>411</v>
      </c>
      <c r="I3908">
        <v>3139</v>
      </c>
    </row>
    <row r="3909" spans="1:9" x14ac:dyDescent="0.4">
      <c r="A3909">
        <v>3000000</v>
      </c>
      <c r="B3909" t="s">
        <v>1020</v>
      </c>
      <c r="C3909" s="1">
        <v>30933</v>
      </c>
      <c r="D3909" t="s">
        <v>1021</v>
      </c>
      <c r="E3909" t="str">
        <f t="shared" si="195"/>
        <v>서울특별시</v>
      </c>
      <c r="F3909" t="str">
        <f t="shared" si="196"/>
        <v xml:space="preserve">종로구 </v>
      </c>
      <c r="G3909" t="str">
        <f t="shared" si="197"/>
        <v>낙원동</v>
      </c>
    </row>
    <row r="3910" spans="1:9" x14ac:dyDescent="0.4">
      <c r="A3910">
        <v>3000000</v>
      </c>
      <c r="B3910" t="s">
        <v>925</v>
      </c>
      <c r="C3910" s="1">
        <v>30832</v>
      </c>
      <c r="D3910" t="s">
        <v>926</v>
      </c>
      <c r="E3910" t="str">
        <f t="shared" si="195"/>
        <v>서울특별시</v>
      </c>
      <c r="F3910" t="str">
        <f t="shared" si="196"/>
        <v xml:space="preserve">종로구 </v>
      </c>
      <c r="G3910" t="str">
        <f t="shared" si="197"/>
        <v>낙원동</v>
      </c>
    </row>
    <row r="3911" spans="1:9" x14ac:dyDescent="0.4">
      <c r="A3911">
        <v>3000000</v>
      </c>
      <c r="B3911" t="s">
        <v>1097</v>
      </c>
      <c r="C3911" s="1">
        <v>36668</v>
      </c>
      <c r="D3911" t="s">
        <v>1098</v>
      </c>
      <c r="E3911" t="str">
        <f t="shared" si="195"/>
        <v>서울특별시</v>
      </c>
      <c r="F3911" t="str">
        <f t="shared" si="196"/>
        <v xml:space="preserve">종로구 </v>
      </c>
      <c r="G3911" t="str">
        <f t="shared" si="197"/>
        <v>낙원동</v>
      </c>
    </row>
    <row r="3912" spans="1:9" x14ac:dyDescent="0.4">
      <c r="A3912">
        <v>3000000</v>
      </c>
      <c r="B3912" t="s">
        <v>930</v>
      </c>
      <c r="C3912" s="1">
        <v>30896</v>
      </c>
      <c r="D3912" t="s">
        <v>931</v>
      </c>
      <c r="E3912" t="str">
        <f t="shared" si="195"/>
        <v>서울특별시</v>
      </c>
      <c r="F3912" t="str">
        <f t="shared" si="196"/>
        <v xml:space="preserve">종로구 </v>
      </c>
      <c r="G3912" t="str">
        <f t="shared" si="197"/>
        <v>낙원동</v>
      </c>
    </row>
    <row r="3913" spans="1:9" x14ac:dyDescent="0.4">
      <c r="A3913">
        <v>3000000</v>
      </c>
      <c r="B3913" t="s">
        <v>527</v>
      </c>
      <c r="C3913" s="1">
        <v>38106</v>
      </c>
      <c r="D3913" t="s">
        <v>528</v>
      </c>
      <c r="E3913" t="str">
        <f t="shared" si="195"/>
        <v>서울특별시</v>
      </c>
      <c r="F3913" t="str">
        <f t="shared" si="196"/>
        <v xml:space="preserve">종로구 </v>
      </c>
      <c r="G3913" t="str">
        <f t="shared" si="197"/>
        <v>낙원동</v>
      </c>
      <c r="H3913" t="s">
        <v>529</v>
      </c>
      <c r="I3913">
        <v>3139</v>
      </c>
    </row>
    <row r="3914" spans="1:9" x14ac:dyDescent="0.4">
      <c r="A3914">
        <v>3000000</v>
      </c>
      <c r="B3914" t="s">
        <v>640</v>
      </c>
      <c r="C3914" s="1">
        <v>37854</v>
      </c>
      <c r="D3914" t="s">
        <v>641</v>
      </c>
      <c r="E3914" t="str">
        <f t="shared" si="195"/>
        <v>서울특별시</v>
      </c>
      <c r="F3914" t="str">
        <f t="shared" si="196"/>
        <v xml:space="preserve">종로구 </v>
      </c>
      <c r="G3914" t="str">
        <f t="shared" si="197"/>
        <v>낙원동</v>
      </c>
      <c r="H3914" t="s">
        <v>642</v>
      </c>
      <c r="I3914">
        <v>3139</v>
      </c>
    </row>
    <row r="3915" spans="1:9" x14ac:dyDescent="0.4">
      <c r="A3915">
        <v>3000000</v>
      </c>
      <c r="B3915" t="s">
        <v>1249</v>
      </c>
      <c r="C3915" s="1">
        <v>37152</v>
      </c>
      <c r="D3915" t="s">
        <v>1250</v>
      </c>
      <c r="E3915" t="str">
        <f t="shared" si="195"/>
        <v>서울특별시</v>
      </c>
      <c r="F3915" t="str">
        <f t="shared" si="196"/>
        <v xml:space="preserve">종로구 </v>
      </c>
      <c r="G3915" t="str">
        <f t="shared" si="197"/>
        <v>낙원동</v>
      </c>
    </row>
    <row r="3916" spans="1:9" x14ac:dyDescent="0.4">
      <c r="A3916">
        <v>3000000</v>
      </c>
      <c r="B3916" t="s">
        <v>272</v>
      </c>
      <c r="C3916" s="1">
        <v>30933</v>
      </c>
      <c r="D3916" t="s">
        <v>273</v>
      </c>
      <c r="E3916" t="str">
        <f t="shared" si="195"/>
        <v>서울특별시</v>
      </c>
      <c r="F3916" t="str">
        <f t="shared" si="196"/>
        <v xml:space="preserve">종로구 </v>
      </c>
      <c r="G3916" t="str">
        <f t="shared" si="197"/>
        <v>낙원동</v>
      </c>
      <c r="H3916" t="s">
        <v>274</v>
      </c>
      <c r="I3916">
        <v>3139</v>
      </c>
    </row>
    <row r="3917" spans="1:9" x14ac:dyDescent="0.4">
      <c r="A3917">
        <v>3000000</v>
      </c>
      <c r="B3917" t="s">
        <v>553</v>
      </c>
      <c r="C3917" s="1">
        <v>37610</v>
      </c>
      <c r="D3917" t="s">
        <v>554</v>
      </c>
      <c r="E3917" t="str">
        <f t="shared" si="195"/>
        <v>서울특별시</v>
      </c>
      <c r="F3917" t="str">
        <f t="shared" si="196"/>
        <v xml:space="preserve">종로구 </v>
      </c>
      <c r="G3917" t="str">
        <f t="shared" si="197"/>
        <v>낙원동</v>
      </c>
      <c r="H3917" t="s">
        <v>555</v>
      </c>
      <c r="I3917">
        <v>3139</v>
      </c>
    </row>
    <row r="3918" spans="1:9" x14ac:dyDescent="0.4">
      <c r="A3918">
        <v>3000000</v>
      </c>
      <c r="B3918" t="s">
        <v>845</v>
      </c>
      <c r="C3918" s="1">
        <v>38741</v>
      </c>
      <c r="D3918" t="s">
        <v>846</v>
      </c>
      <c r="E3918" t="str">
        <f t="shared" si="195"/>
        <v>서울특별시</v>
      </c>
      <c r="F3918" t="str">
        <f t="shared" si="196"/>
        <v xml:space="preserve">종로구 </v>
      </c>
      <c r="G3918" t="str">
        <f t="shared" si="197"/>
        <v>낙원동</v>
      </c>
    </row>
    <row r="3919" spans="1:9" x14ac:dyDescent="0.4">
      <c r="A3919">
        <v>3000000</v>
      </c>
      <c r="B3919" t="s">
        <v>817</v>
      </c>
      <c r="C3919" s="1">
        <v>33218</v>
      </c>
      <c r="D3919" t="s">
        <v>818</v>
      </c>
      <c r="E3919" t="str">
        <f t="shared" si="195"/>
        <v>서울특별시</v>
      </c>
      <c r="F3919" t="str">
        <f t="shared" si="196"/>
        <v xml:space="preserve">종로구 </v>
      </c>
      <c r="G3919" t="str">
        <f t="shared" si="197"/>
        <v>낙원동</v>
      </c>
    </row>
    <row r="3920" spans="1:9" x14ac:dyDescent="0.4">
      <c r="A3920">
        <v>3000000</v>
      </c>
      <c r="B3920" t="s">
        <v>1332</v>
      </c>
      <c r="C3920" s="1">
        <v>36703</v>
      </c>
      <c r="D3920" t="s">
        <v>1333</v>
      </c>
      <c r="E3920" t="str">
        <f t="shared" si="195"/>
        <v>서울특별시</v>
      </c>
      <c r="F3920" t="str">
        <f t="shared" si="196"/>
        <v xml:space="preserve">종로구 </v>
      </c>
      <c r="G3920" t="str">
        <f t="shared" si="197"/>
        <v>낙원동</v>
      </c>
    </row>
    <row r="3921" spans="1:9" x14ac:dyDescent="0.4">
      <c r="A3921">
        <v>3000000</v>
      </c>
      <c r="B3921" t="s">
        <v>562</v>
      </c>
      <c r="C3921" s="1">
        <v>37628</v>
      </c>
      <c r="D3921" t="s">
        <v>563</v>
      </c>
      <c r="E3921" t="str">
        <f t="shared" si="195"/>
        <v>서울특별시</v>
      </c>
      <c r="F3921" t="str">
        <f t="shared" si="196"/>
        <v xml:space="preserve">종로구 </v>
      </c>
      <c r="G3921" t="str">
        <f t="shared" si="197"/>
        <v>낙원동</v>
      </c>
      <c r="H3921" t="s">
        <v>564</v>
      </c>
      <c r="I3921">
        <v>3139</v>
      </c>
    </row>
    <row r="3922" spans="1:9" x14ac:dyDescent="0.4">
      <c r="A3922">
        <v>3000000</v>
      </c>
      <c r="B3922" t="s">
        <v>682</v>
      </c>
      <c r="C3922" s="1">
        <v>27149</v>
      </c>
      <c r="D3922" t="s">
        <v>683</v>
      </c>
      <c r="E3922" t="str">
        <f t="shared" si="195"/>
        <v>서울특별시</v>
      </c>
      <c r="F3922" t="str">
        <f t="shared" si="196"/>
        <v xml:space="preserve">종로구 </v>
      </c>
      <c r="G3922" t="str">
        <f t="shared" si="197"/>
        <v>낙원동</v>
      </c>
      <c r="H3922" t="s">
        <v>684</v>
      </c>
      <c r="I3922">
        <v>3140</v>
      </c>
    </row>
    <row r="3923" spans="1:9" x14ac:dyDescent="0.4">
      <c r="A3923">
        <v>3000000</v>
      </c>
      <c r="B3923" t="s">
        <v>615</v>
      </c>
      <c r="C3923" s="1">
        <v>30823</v>
      </c>
      <c r="D3923" t="s">
        <v>616</v>
      </c>
      <c r="E3923" t="str">
        <f t="shared" si="195"/>
        <v>서울특별시</v>
      </c>
      <c r="F3923" t="str">
        <f t="shared" si="196"/>
        <v xml:space="preserve">종로구 </v>
      </c>
      <c r="G3923" t="str">
        <f t="shared" si="197"/>
        <v>낙원동</v>
      </c>
      <c r="H3923" t="s">
        <v>617</v>
      </c>
      <c r="I3923">
        <v>3140</v>
      </c>
    </row>
    <row r="3924" spans="1:9" x14ac:dyDescent="0.4">
      <c r="A3924">
        <v>3000000</v>
      </c>
      <c r="B3924" t="s">
        <v>721</v>
      </c>
      <c r="C3924" s="1">
        <v>36808</v>
      </c>
      <c r="D3924" t="s">
        <v>722</v>
      </c>
      <c r="E3924" t="str">
        <f t="shared" si="195"/>
        <v>서울특별시</v>
      </c>
      <c r="F3924" t="str">
        <f t="shared" si="196"/>
        <v xml:space="preserve">종로구 </v>
      </c>
      <c r="G3924" t="str">
        <f t="shared" si="197"/>
        <v>낙원동</v>
      </c>
      <c r="H3924" t="s">
        <v>723</v>
      </c>
      <c r="I3924">
        <v>3140</v>
      </c>
    </row>
    <row r="3925" spans="1:9" x14ac:dyDescent="0.4">
      <c r="A3925">
        <v>3000000</v>
      </c>
      <c r="B3925" t="s">
        <v>421</v>
      </c>
      <c r="C3925" s="1">
        <v>37375</v>
      </c>
      <c r="D3925" t="s">
        <v>422</v>
      </c>
      <c r="E3925" t="str">
        <f t="shared" si="195"/>
        <v>서울특별시</v>
      </c>
      <c r="F3925" t="str">
        <f t="shared" si="196"/>
        <v xml:space="preserve">종로구 </v>
      </c>
      <c r="G3925" t="str">
        <f t="shared" si="197"/>
        <v>낙원동</v>
      </c>
      <c r="H3925" t="s">
        <v>423</v>
      </c>
      <c r="I3925">
        <v>3132</v>
      </c>
    </row>
    <row r="3926" spans="1:9" x14ac:dyDescent="0.4">
      <c r="A3926">
        <v>3000000</v>
      </c>
      <c r="B3926" t="s">
        <v>860</v>
      </c>
      <c r="C3926" s="1">
        <v>26161</v>
      </c>
      <c r="D3926" t="s">
        <v>861</v>
      </c>
      <c r="E3926" t="str">
        <f t="shared" si="195"/>
        <v>서울특별시</v>
      </c>
      <c r="F3926" t="str">
        <f t="shared" si="196"/>
        <v xml:space="preserve">종로구 </v>
      </c>
      <c r="G3926" t="str">
        <f t="shared" si="197"/>
        <v>낙원동</v>
      </c>
    </row>
    <row r="3927" spans="1:9" x14ac:dyDescent="0.4">
      <c r="A3927">
        <v>3000000</v>
      </c>
      <c r="B3927" t="s">
        <v>890</v>
      </c>
      <c r="C3927" s="1">
        <v>31205</v>
      </c>
      <c r="D3927" t="s">
        <v>891</v>
      </c>
      <c r="E3927" t="str">
        <f t="shared" si="195"/>
        <v>서울특별시</v>
      </c>
      <c r="F3927" t="str">
        <f t="shared" si="196"/>
        <v xml:space="preserve">종로구 </v>
      </c>
      <c r="G3927" t="str">
        <f t="shared" si="197"/>
        <v>낙원동</v>
      </c>
    </row>
    <row r="3928" spans="1:9" x14ac:dyDescent="0.4">
      <c r="A3928">
        <v>3000000</v>
      </c>
      <c r="B3928" t="s">
        <v>899</v>
      </c>
      <c r="C3928" s="1">
        <v>27778</v>
      </c>
      <c r="D3928" t="s">
        <v>900</v>
      </c>
      <c r="E3928" t="str">
        <f t="shared" si="195"/>
        <v>서울특별시</v>
      </c>
      <c r="F3928" t="str">
        <f t="shared" si="196"/>
        <v xml:space="preserve">종로구 </v>
      </c>
      <c r="G3928" t="str">
        <f t="shared" si="197"/>
        <v>낙원동</v>
      </c>
    </row>
    <row r="3929" spans="1:9" x14ac:dyDescent="0.4">
      <c r="A3929">
        <v>3000000</v>
      </c>
      <c r="B3929" t="s">
        <v>12167</v>
      </c>
      <c r="C3929" s="1">
        <v>37456</v>
      </c>
      <c r="D3929" t="s">
        <v>12168</v>
      </c>
      <c r="E3929" t="str">
        <f t="shared" si="195"/>
        <v>서울특별시</v>
      </c>
      <c r="F3929" t="str">
        <f t="shared" si="196"/>
        <v xml:space="preserve">종로구 </v>
      </c>
      <c r="G3929" t="str">
        <f t="shared" si="197"/>
        <v>낙원동</v>
      </c>
      <c r="H3929" t="s">
        <v>12169</v>
      </c>
      <c r="I3929">
        <v>3132</v>
      </c>
    </row>
    <row r="3930" spans="1:9" x14ac:dyDescent="0.4">
      <c r="A3930">
        <v>3000000</v>
      </c>
      <c r="B3930" t="s">
        <v>275</v>
      </c>
      <c r="C3930" s="1">
        <v>31069</v>
      </c>
      <c r="D3930" t="s">
        <v>276</v>
      </c>
      <c r="E3930" t="str">
        <f t="shared" si="195"/>
        <v>서울특별시</v>
      </c>
      <c r="F3930" t="str">
        <f t="shared" si="196"/>
        <v xml:space="preserve">종로구 </v>
      </c>
      <c r="G3930" t="str">
        <f t="shared" si="197"/>
        <v>낙원동</v>
      </c>
      <c r="H3930" t="s">
        <v>277</v>
      </c>
      <c r="I3930">
        <v>3133</v>
      </c>
    </row>
    <row r="3931" spans="1:9" x14ac:dyDescent="0.4">
      <c r="A3931">
        <v>3000000</v>
      </c>
      <c r="B3931" t="s">
        <v>496</v>
      </c>
      <c r="C3931" s="1">
        <v>37509</v>
      </c>
      <c r="D3931" t="s">
        <v>276</v>
      </c>
      <c r="E3931" t="str">
        <f t="shared" si="195"/>
        <v>서울특별시</v>
      </c>
      <c r="F3931" t="str">
        <f t="shared" si="196"/>
        <v xml:space="preserve">종로구 </v>
      </c>
      <c r="G3931" t="str">
        <f t="shared" si="197"/>
        <v>낙원동</v>
      </c>
      <c r="H3931" t="s">
        <v>277</v>
      </c>
      <c r="I3931">
        <v>3133</v>
      </c>
    </row>
    <row r="3932" spans="1:9" x14ac:dyDescent="0.4">
      <c r="A3932">
        <v>3000000</v>
      </c>
      <c r="B3932" t="s">
        <v>1081</v>
      </c>
      <c r="C3932" s="1">
        <v>36592</v>
      </c>
      <c r="D3932" t="s">
        <v>1082</v>
      </c>
      <c r="E3932" t="str">
        <f t="shared" si="195"/>
        <v>서울특별시</v>
      </c>
      <c r="F3932" t="str">
        <f t="shared" si="196"/>
        <v xml:space="preserve">종로구 </v>
      </c>
      <c r="G3932" t="str">
        <f t="shared" si="197"/>
        <v>내수동</v>
      </c>
    </row>
    <row r="3933" spans="1:9" x14ac:dyDescent="0.4">
      <c r="A3933">
        <v>3000000</v>
      </c>
      <c r="B3933" t="s">
        <v>1002</v>
      </c>
      <c r="C3933" s="1">
        <v>38156</v>
      </c>
      <c r="D3933" t="s">
        <v>1003</v>
      </c>
      <c r="E3933" t="str">
        <f t="shared" si="195"/>
        <v>서울특별시</v>
      </c>
      <c r="F3933" t="str">
        <f t="shared" si="196"/>
        <v xml:space="preserve">종로구 </v>
      </c>
      <c r="G3933" t="str">
        <f t="shared" si="197"/>
        <v>내수동</v>
      </c>
      <c r="H3933" t="s">
        <v>1004</v>
      </c>
      <c r="I3933">
        <v>3173</v>
      </c>
    </row>
    <row r="3934" spans="1:9" x14ac:dyDescent="0.4">
      <c r="A3934">
        <v>3000000</v>
      </c>
      <c r="B3934" t="s">
        <v>1192</v>
      </c>
      <c r="C3934" s="1">
        <v>40856</v>
      </c>
      <c r="D3934" t="s">
        <v>1193</v>
      </c>
      <c r="E3934" t="str">
        <f t="shared" si="195"/>
        <v>서울특별시</v>
      </c>
      <c r="F3934" t="str">
        <f t="shared" si="196"/>
        <v xml:space="preserve">종로구 </v>
      </c>
      <c r="G3934" t="str">
        <f t="shared" si="197"/>
        <v>내수동</v>
      </c>
      <c r="H3934" t="s">
        <v>1194</v>
      </c>
      <c r="I3934">
        <v>3173</v>
      </c>
    </row>
    <row r="3935" spans="1:9" x14ac:dyDescent="0.4">
      <c r="A3935">
        <v>3000000</v>
      </c>
      <c r="B3935" t="s">
        <v>515</v>
      </c>
      <c r="C3935" s="1">
        <v>40241</v>
      </c>
      <c r="D3935" t="s">
        <v>516</v>
      </c>
      <c r="E3935" t="str">
        <f t="shared" si="195"/>
        <v>서울특별시</v>
      </c>
      <c r="F3935" t="str">
        <f t="shared" si="196"/>
        <v xml:space="preserve">종로구 </v>
      </c>
      <c r="G3935" t="str">
        <f t="shared" si="197"/>
        <v>내수동</v>
      </c>
      <c r="H3935" t="s">
        <v>517</v>
      </c>
      <c r="I3935">
        <v>3173</v>
      </c>
    </row>
    <row r="3936" spans="1:9" x14ac:dyDescent="0.4">
      <c r="A3936">
        <v>3000000</v>
      </c>
      <c r="B3936" t="s">
        <v>948</v>
      </c>
      <c r="C3936" s="1">
        <v>40191</v>
      </c>
      <c r="D3936" t="s">
        <v>949</v>
      </c>
      <c r="E3936" t="str">
        <f t="shared" si="195"/>
        <v>서울특별시</v>
      </c>
      <c r="F3936" t="str">
        <f t="shared" si="196"/>
        <v xml:space="preserve">종로구 </v>
      </c>
      <c r="G3936" t="str">
        <f t="shared" si="197"/>
        <v>내수동</v>
      </c>
      <c r="H3936" t="s">
        <v>950</v>
      </c>
      <c r="I3936">
        <v>3173</v>
      </c>
    </row>
    <row r="3937" spans="1:9" x14ac:dyDescent="0.4">
      <c r="A3937">
        <v>3000000</v>
      </c>
      <c r="B3937" t="s">
        <v>1334</v>
      </c>
      <c r="C3937" s="1">
        <v>36468</v>
      </c>
      <c r="D3937" t="s">
        <v>1335</v>
      </c>
      <c r="E3937" t="str">
        <f t="shared" si="195"/>
        <v>서울특별시</v>
      </c>
      <c r="F3937" t="str">
        <f t="shared" si="196"/>
        <v xml:space="preserve">종로구 </v>
      </c>
      <c r="G3937" t="str">
        <f t="shared" si="197"/>
        <v>당주동</v>
      </c>
    </row>
    <row r="3938" spans="1:9" x14ac:dyDescent="0.4">
      <c r="A3938">
        <v>3000000</v>
      </c>
      <c r="B3938" t="s">
        <v>813</v>
      </c>
      <c r="C3938" s="1">
        <v>32975</v>
      </c>
      <c r="D3938" t="s">
        <v>814</v>
      </c>
      <c r="E3938" t="str">
        <f t="shared" si="195"/>
        <v>서울특별시</v>
      </c>
      <c r="F3938" t="str">
        <f t="shared" si="196"/>
        <v xml:space="preserve">종로구 </v>
      </c>
      <c r="G3938" t="str">
        <f t="shared" si="197"/>
        <v>당주동</v>
      </c>
    </row>
    <row r="3939" spans="1:9" x14ac:dyDescent="0.4">
      <c r="A3939">
        <v>3000000</v>
      </c>
      <c r="B3939" t="s">
        <v>724</v>
      </c>
      <c r="C3939" s="1">
        <v>37054</v>
      </c>
      <c r="D3939" t="s">
        <v>725</v>
      </c>
      <c r="E3939" t="str">
        <f t="shared" si="195"/>
        <v>서울특별시</v>
      </c>
      <c r="F3939" t="str">
        <f t="shared" si="196"/>
        <v xml:space="preserve">종로구 </v>
      </c>
      <c r="G3939" t="str">
        <f t="shared" si="197"/>
        <v>당주동</v>
      </c>
      <c r="H3939" t="s">
        <v>726</v>
      </c>
      <c r="I3939">
        <v>3173</v>
      </c>
    </row>
    <row r="3940" spans="1:9" x14ac:dyDescent="0.4">
      <c r="A3940">
        <v>3000000</v>
      </c>
      <c r="B3940" t="s">
        <v>688</v>
      </c>
      <c r="C3940" s="1">
        <v>36873</v>
      </c>
      <c r="D3940" t="s">
        <v>689</v>
      </c>
      <c r="E3940" t="str">
        <f t="shared" si="195"/>
        <v>서울특별시</v>
      </c>
      <c r="F3940" t="str">
        <f t="shared" si="196"/>
        <v xml:space="preserve">종로구 </v>
      </c>
      <c r="G3940" t="str">
        <f t="shared" si="197"/>
        <v>당주동</v>
      </c>
      <c r="H3940" t="s">
        <v>690</v>
      </c>
      <c r="I3940">
        <v>3182</v>
      </c>
    </row>
    <row r="3941" spans="1:9" x14ac:dyDescent="0.4">
      <c r="A3941">
        <v>3000000</v>
      </c>
      <c r="B3941" t="s">
        <v>857</v>
      </c>
      <c r="C3941" s="1">
        <v>25964</v>
      </c>
      <c r="D3941" t="s">
        <v>858</v>
      </c>
      <c r="E3941" t="str">
        <f t="shared" si="195"/>
        <v>서울특별시</v>
      </c>
      <c r="F3941" t="str">
        <f t="shared" si="196"/>
        <v xml:space="preserve">종로구 </v>
      </c>
      <c r="G3941" t="str">
        <f t="shared" si="197"/>
        <v>당주동</v>
      </c>
      <c r="H3941" t="s">
        <v>859</v>
      </c>
      <c r="I3941">
        <v>3182</v>
      </c>
    </row>
    <row r="3942" spans="1:9" x14ac:dyDescent="0.4">
      <c r="A3942">
        <v>3000000</v>
      </c>
      <c r="B3942" t="s">
        <v>1269</v>
      </c>
      <c r="C3942" s="1">
        <v>36990</v>
      </c>
      <c r="D3942" t="s">
        <v>1270</v>
      </c>
      <c r="E3942" t="str">
        <f t="shared" si="195"/>
        <v>서울특별시</v>
      </c>
      <c r="F3942" t="str">
        <f t="shared" si="196"/>
        <v xml:space="preserve">종로구 </v>
      </c>
      <c r="G3942" t="str">
        <f t="shared" si="197"/>
        <v>당주동</v>
      </c>
    </row>
    <row r="3943" spans="1:9" x14ac:dyDescent="0.4">
      <c r="A3943">
        <v>3000000</v>
      </c>
      <c r="B3943" t="s">
        <v>960</v>
      </c>
      <c r="C3943" s="1">
        <v>37599</v>
      </c>
      <c r="D3943" t="s">
        <v>961</v>
      </c>
      <c r="E3943" t="str">
        <f t="shared" si="195"/>
        <v>서울특별시</v>
      </c>
      <c r="F3943" t="str">
        <f t="shared" si="196"/>
        <v xml:space="preserve">종로구 </v>
      </c>
      <c r="G3943" t="str">
        <f t="shared" si="197"/>
        <v>당주동</v>
      </c>
    </row>
    <row r="3944" spans="1:9" x14ac:dyDescent="0.4">
      <c r="A3944">
        <v>3000000</v>
      </c>
      <c r="B3944" t="s">
        <v>807</v>
      </c>
      <c r="C3944" s="1">
        <v>31441</v>
      </c>
      <c r="D3944" t="s">
        <v>808</v>
      </c>
      <c r="E3944" t="str">
        <f t="shared" si="195"/>
        <v>서울특별시</v>
      </c>
      <c r="F3944" t="str">
        <f t="shared" si="196"/>
        <v xml:space="preserve">종로구 </v>
      </c>
      <c r="G3944" t="str">
        <f t="shared" si="197"/>
        <v>당주동</v>
      </c>
    </row>
    <row r="3945" spans="1:9" x14ac:dyDescent="0.4">
      <c r="A3945">
        <v>3000000</v>
      </c>
      <c r="B3945" t="s">
        <v>733</v>
      </c>
      <c r="C3945" s="1">
        <v>37105</v>
      </c>
      <c r="D3945" t="s">
        <v>734</v>
      </c>
      <c r="E3945" t="str">
        <f t="shared" si="195"/>
        <v>서울특별시</v>
      </c>
      <c r="F3945" t="str">
        <f t="shared" si="196"/>
        <v xml:space="preserve">종로구 </v>
      </c>
      <c r="G3945" t="str">
        <f t="shared" si="197"/>
        <v>당주동</v>
      </c>
      <c r="H3945" t="s">
        <v>735</v>
      </c>
      <c r="I3945">
        <v>3182</v>
      </c>
    </row>
    <row r="3946" spans="1:9" x14ac:dyDescent="0.4">
      <c r="A3946">
        <v>3000000</v>
      </c>
      <c r="B3946" t="s">
        <v>764</v>
      </c>
      <c r="C3946" s="1">
        <v>37784</v>
      </c>
      <c r="D3946" t="s">
        <v>765</v>
      </c>
      <c r="E3946" t="str">
        <f t="shared" si="195"/>
        <v>서울특별시</v>
      </c>
      <c r="F3946" t="str">
        <f t="shared" si="196"/>
        <v xml:space="preserve">종로구 </v>
      </c>
      <c r="G3946" t="str">
        <f t="shared" si="197"/>
        <v>당주동</v>
      </c>
      <c r="H3946" t="s">
        <v>766</v>
      </c>
      <c r="I3946">
        <v>3183</v>
      </c>
    </row>
    <row r="3947" spans="1:9" x14ac:dyDescent="0.4">
      <c r="A3947">
        <v>3000000</v>
      </c>
      <c r="B3947" t="s">
        <v>367</v>
      </c>
      <c r="C3947" s="1">
        <v>39105</v>
      </c>
      <c r="D3947" t="s">
        <v>368</v>
      </c>
      <c r="E3947" t="str">
        <f t="shared" si="195"/>
        <v>서울특별시</v>
      </c>
      <c r="F3947" t="str">
        <f t="shared" si="196"/>
        <v xml:space="preserve">종로구 </v>
      </c>
      <c r="G3947" t="str">
        <f t="shared" si="197"/>
        <v>당주동</v>
      </c>
      <c r="H3947" t="s">
        <v>369</v>
      </c>
      <c r="I3947">
        <v>3183</v>
      </c>
    </row>
    <row r="3948" spans="1:9" x14ac:dyDescent="0.4">
      <c r="A3948">
        <v>3000000</v>
      </c>
      <c r="B3948" t="s">
        <v>1138</v>
      </c>
      <c r="C3948" s="1">
        <v>36846</v>
      </c>
      <c r="D3948" t="s">
        <v>1139</v>
      </c>
      <c r="E3948" t="str">
        <f t="shared" si="195"/>
        <v>서울특별시</v>
      </c>
      <c r="F3948" t="str">
        <f t="shared" si="196"/>
        <v xml:space="preserve">종로구 </v>
      </c>
      <c r="G3948" t="str">
        <f t="shared" si="197"/>
        <v>당주동</v>
      </c>
    </row>
    <row r="3949" spans="1:9" x14ac:dyDescent="0.4">
      <c r="A3949">
        <v>3000000</v>
      </c>
      <c r="B3949" t="s">
        <v>1265</v>
      </c>
      <c r="C3949" s="1">
        <v>36977</v>
      </c>
      <c r="D3949" t="s">
        <v>1266</v>
      </c>
      <c r="E3949" t="str">
        <f t="shared" si="195"/>
        <v>서울특별시</v>
      </c>
      <c r="F3949" t="str">
        <f t="shared" si="196"/>
        <v xml:space="preserve">종로구 </v>
      </c>
      <c r="G3949" t="str">
        <f t="shared" si="197"/>
        <v>당주동</v>
      </c>
    </row>
    <row r="3950" spans="1:9" x14ac:dyDescent="0.4">
      <c r="A3950">
        <v>3000000</v>
      </c>
      <c r="B3950" t="s">
        <v>1267</v>
      </c>
      <c r="C3950" s="1">
        <v>36977</v>
      </c>
      <c r="D3950" t="s">
        <v>1268</v>
      </c>
      <c r="E3950" t="str">
        <f t="shared" si="195"/>
        <v>서울특별시</v>
      </c>
      <c r="F3950" t="str">
        <f t="shared" si="196"/>
        <v xml:space="preserve">종로구 </v>
      </c>
      <c r="G3950" t="str">
        <f t="shared" si="197"/>
        <v>당주동</v>
      </c>
    </row>
    <row r="3951" spans="1:9" x14ac:dyDescent="0.4">
      <c r="A3951">
        <v>3000000</v>
      </c>
      <c r="B3951" t="s">
        <v>1349</v>
      </c>
      <c r="C3951" s="1">
        <v>36503</v>
      </c>
      <c r="D3951" t="s">
        <v>1350</v>
      </c>
      <c r="E3951" t="str">
        <f t="shared" si="195"/>
        <v>서울특별시</v>
      </c>
      <c r="F3951" t="str">
        <f t="shared" si="196"/>
        <v xml:space="preserve">종로구 </v>
      </c>
      <c r="G3951" t="str">
        <f t="shared" si="197"/>
        <v>당주동</v>
      </c>
    </row>
    <row r="3952" spans="1:9" x14ac:dyDescent="0.4">
      <c r="A3952">
        <v>3000000</v>
      </c>
      <c r="B3952" t="s">
        <v>577</v>
      </c>
      <c r="C3952" s="1">
        <v>36700</v>
      </c>
      <c r="D3952" t="s">
        <v>578</v>
      </c>
      <c r="E3952" t="str">
        <f t="shared" si="195"/>
        <v>서울특별시</v>
      </c>
      <c r="F3952" t="str">
        <f t="shared" si="196"/>
        <v xml:space="preserve">종로구 </v>
      </c>
      <c r="G3952" t="str">
        <f t="shared" si="197"/>
        <v>당주동</v>
      </c>
      <c r="H3952" t="s">
        <v>579</v>
      </c>
      <c r="I3952">
        <v>3173</v>
      </c>
    </row>
    <row r="3953" spans="1:9" x14ac:dyDescent="0.4">
      <c r="A3953">
        <v>3000000</v>
      </c>
      <c r="B3953" t="s">
        <v>1083</v>
      </c>
      <c r="C3953" s="1">
        <v>36600</v>
      </c>
      <c r="D3953" t="s">
        <v>1084</v>
      </c>
      <c r="E3953" t="str">
        <f t="shared" si="195"/>
        <v>서울특별시</v>
      </c>
      <c r="F3953" t="str">
        <f t="shared" si="196"/>
        <v xml:space="preserve">종로구 </v>
      </c>
      <c r="G3953" t="str">
        <f t="shared" si="197"/>
        <v>당주동</v>
      </c>
    </row>
    <row r="3954" spans="1:9" x14ac:dyDescent="0.4">
      <c r="A3954">
        <v>3000000</v>
      </c>
      <c r="B3954" t="s">
        <v>589</v>
      </c>
      <c r="C3954" s="1">
        <v>36469</v>
      </c>
      <c r="D3954" t="s">
        <v>590</v>
      </c>
      <c r="E3954" t="str">
        <f t="shared" si="195"/>
        <v>서울특별시</v>
      </c>
      <c r="F3954" t="str">
        <f t="shared" si="196"/>
        <v xml:space="preserve">종로구 </v>
      </c>
      <c r="G3954" t="str">
        <f t="shared" si="197"/>
        <v>당주동</v>
      </c>
    </row>
    <row r="3955" spans="1:9" x14ac:dyDescent="0.4">
      <c r="A3955">
        <v>3000000</v>
      </c>
      <c r="B3955" t="s">
        <v>1099</v>
      </c>
      <c r="C3955" s="1">
        <v>36675</v>
      </c>
      <c r="D3955" t="s">
        <v>590</v>
      </c>
      <c r="E3955" t="str">
        <f t="shared" si="195"/>
        <v>서울특별시</v>
      </c>
      <c r="F3955" t="str">
        <f t="shared" si="196"/>
        <v xml:space="preserve">종로구 </v>
      </c>
      <c r="G3955" t="str">
        <f t="shared" si="197"/>
        <v>당주동</v>
      </c>
    </row>
    <row r="3956" spans="1:9" x14ac:dyDescent="0.4">
      <c r="A3956">
        <v>3000000</v>
      </c>
      <c r="B3956" t="s">
        <v>962</v>
      </c>
      <c r="C3956" s="1">
        <v>37601</v>
      </c>
      <c r="D3956" t="s">
        <v>963</v>
      </c>
      <c r="E3956" t="str">
        <f t="shared" si="195"/>
        <v>서울특별시</v>
      </c>
      <c r="F3956" t="str">
        <f t="shared" si="196"/>
        <v xml:space="preserve">종로구 </v>
      </c>
      <c r="G3956" t="str">
        <f t="shared" si="197"/>
        <v>당주동</v>
      </c>
    </row>
    <row r="3957" spans="1:9" x14ac:dyDescent="0.4">
      <c r="A3957">
        <v>3000000</v>
      </c>
      <c r="B3957" t="s">
        <v>964</v>
      </c>
      <c r="C3957" s="1">
        <v>37602</v>
      </c>
      <c r="D3957" t="s">
        <v>963</v>
      </c>
      <c r="E3957" t="str">
        <f t="shared" si="195"/>
        <v>서울특별시</v>
      </c>
      <c r="F3957" t="str">
        <f t="shared" si="196"/>
        <v xml:space="preserve">종로구 </v>
      </c>
      <c r="G3957" t="str">
        <f t="shared" si="197"/>
        <v>당주동</v>
      </c>
    </row>
    <row r="3958" spans="1:9" x14ac:dyDescent="0.4">
      <c r="A3958">
        <v>3000000</v>
      </c>
      <c r="B3958" t="s">
        <v>1057</v>
      </c>
      <c r="C3958" s="1">
        <v>36340</v>
      </c>
      <c r="D3958" t="s">
        <v>963</v>
      </c>
      <c r="E3958" t="str">
        <f t="shared" si="195"/>
        <v>서울특별시</v>
      </c>
      <c r="F3958" t="str">
        <f t="shared" si="196"/>
        <v xml:space="preserve">종로구 </v>
      </c>
      <c r="G3958" t="str">
        <f t="shared" si="197"/>
        <v>당주동</v>
      </c>
    </row>
    <row r="3959" spans="1:9" x14ac:dyDescent="0.4">
      <c r="A3959">
        <v>3000000</v>
      </c>
      <c r="B3959" t="s">
        <v>676</v>
      </c>
      <c r="C3959" s="1">
        <v>27130</v>
      </c>
      <c r="D3959" t="s">
        <v>677</v>
      </c>
      <c r="E3959" t="str">
        <f t="shared" si="195"/>
        <v>서울특별시</v>
      </c>
      <c r="F3959" t="str">
        <f t="shared" si="196"/>
        <v xml:space="preserve">종로구 </v>
      </c>
      <c r="G3959" t="str">
        <f t="shared" si="197"/>
        <v>당주동</v>
      </c>
      <c r="H3959" t="s">
        <v>678</v>
      </c>
      <c r="I3959">
        <v>3173</v>
      </c>
    </row>
    <row r="3960" spans="1:9" x14ac:dyDescent="0.4">
      <c r="A3960">
        <v>3000000</v>
      </c>
      <c r="B3960" t="s">
        <v>1215</v>
      </c>
      <c r="C3960" s="1">
        <v>36368</v>
      </c>
      <c r="D3960" t="s">
        <v>1216</v>
      </c>
      <c r="E3960" t="str">
        <f t="shared" si="195"/>
        <v>서울특별시</v>
      </c>
      <c r="F3960" t="str">
        <f t="shared" si="196"/>
        <v xml:space="preserve">종로구 </v>
      </c>
      <c r="G3960" t="str">
        <f t="shared" si="197"/>
        <v>당주동</v>
      </c>
    </row>
    <row r="3961" spans="1:9" x14ac:dyDescent="0.4">
      <c r="A3961">
        <v>3000000</v>
      </c>
      <c r="B3961" t="s">
        <v>712</v>
      </c>
      <c r="C3961" s="1">
        <v>38069</v>
      </c>
      <c r="D3961" t="s">
        <v>713</v>
      </c>
      <c r="E3961" t="str">
        <f t="shared" si="195"/>
        <v>서울특별시</v>
      </c>
      <c r="F3961" t="str">
        <f t="shared" si="196"/>
        <v xml:space="preserve">종로구 </v>
      </c>
      <c r="G3961" t="str">
        <f t="shared" si="197"/>
        <v>당주동</v>
      </c>
      <c r="H3961" t="s">
        <v>714</v>
      </c>
      <c r="I3961">
        <v>3183</v>
      </c>
    </row>
    <row r="3962" spans="1:9" x14ac:dyDescent="0.4">
      <c r="A3962">
        <v>3000000</v>
      </c>
      <c r="B3962" t="s">
        <v>1209</v>
      </c>
      <c r="C3962" s="1">
        <v>36351</v>
      </c>
      <c r="D3962" t="s">
        <v>713</v>
      </c>
      <c r="E3962" t="str">
        <f t="shared" si="195"/>
        <v>서울특별시</v>
      </c>
      <c r="F3962" t="str">
        <f t="shared" si="196"/>
        <v xml:space="preserve">종로구 </v>
      </c>
      <c r="G3962" t="str">
        <f t="shared" si="197"/>
        <v>당주동</v>
      </c>
    </row>
    <row r="3963" spans="1:9" x14ac:dyDescent="0.4">
      <c r="A3963">
        <v>3000000</v>
      </c>
      <c r="B3963" t="s">
        <v>1126</v>
      </c>
      <c r="C3963" s="1">
        <v>36722</v>
      </c>
      <c r="D3963" t="s">
        <v>1127</v>
      </c>
      <c r="E3963" t="str">
        <f t="shared" si="195"/>
        <v>서울특별시</v>
      </c>
      <c r="F3963" t="str">
        <f t="shared" si="196"/>
        <v xml:space="preserve">종로구 </v>
      </c>
      <c r="G3963" t="str">
        <f t="shared" si="197"/>
        <v>도렴동</v>
      </c>
    </row>
    <row r="3964" spans="1:9" x14ac:dyDescent="0.4">
      <c r="A3964">
        <v>3000000</v>
      </c>
      <c r="B3964" t="s">
        <v>1210</v>
      </c>
      <c r="C3964" s="1">
        <v>36356</v>
      </c>
      <c r="D3964" t="s">
        <v>1211</v>
      </c>
      <c r="E3964" t="str">
        <f t="shared" si="195"/>
        <v>서울특별시</v>
      </c>
      <c r="F3964" t="str">
        <f t="shared" si="196"/>
        <v xml:space="preserve">종로구 </v>
      </c>
      <c r="G3964" t="str">
        <f t="shared" si="197"/>
        <v>도렴동</v>
      </c>
    </row>
    <row r="3965" spans="1:9" x14ac:dyDescent="0.4">
      <c r="A3965">
        <v>3000000</v>
      </c>
      <c r="B3965" t="s">
        <v>1212</v>
      </c>
      <c r="C3965" s="1">
        <v>36362</v>
      </c>
      <c r="D3965" t="s">
        <v>1213</v>
      </c>
      <c r="E3965" t="str">
        <f t="shared" si="195"/>
        <v>서울특별시</v>
      </c>
      <c r="F3965" t="str">
        <f t="shared" si="196"/>
        <v xml:space="preserve">종로구 </v>
      </c>
      <c r="G3965" t="str">
        <f t="shared" si="197"/>
        <v>도렴동</v>
      </c>
      <c r="H3965" t="s">
        <v>1214</v>
      </c>
    </row>
    <row r="3966" spans="1:9" x14ac:dyDescent="0.4">
      <c r="A3966">
        <v>3000000</v>
      </c>
      <c r="B3966" t="s">
        <v>445</v>
      </c>
      <c r="C3966" s="1">
        <v>39822</v>
      </c>
      <c r="D3966" t="s">
        <v>446</v>
      </c>
      <c r="E3966" t="str">
        <f t="shared" si="195"/>
        <v>서울특별시</v>
      </c>
      <c r="F3966" t="str">
        <f t="shared" si="196"/>
        <v xml:space="preserve">종로구 </v>
      </c>
      <c r="G3966" t="str">
        <f t="shared" si="197"/>
        <v>도렴동</v>
      </c>
      <c r="H3966" t="s">
        <v>447</v>
      </c>
    </row>
    <row r="3967" spans="1:9" x14ac:dyDescent="0.4">
      <c r="A3967">
        <v>3000000</v>
      </c>
      <c r="B3967" t="s">
        <v>1219</v>
      </c>
      <c r="C3967" s="1">
        <v>36393</v>
      </c>
      <c r="D3967" t="s">
        <v>1220</v>
      </c>
      <c r="E3967" t="str">
        <f t="shared" si="195"/>
        <v>서울특별시</v>
      </c>
      <c r="F3967" t="str">
        <f t="shared" si="196"/>
        <v xml:space="preserve">종로구 </v>
      </c>
      <c r="G3967" t="str">
        <f t="shared" si="197"/>
        <v>도렴동</v>
      </c>
      <c r="H3967" t="s">
        <v>1221</v>
      </c>
    </row>
    <row r="3968" spans="1:9" x14ac:dyDescent="0.4">
      <c r="A3968">
        <v>3000000</v>
      </c>
      <c r="B3968" t="s">
        <v>741</v>
      </c>
      <c r="C3968" s="1">
        <v>37151</v>
      </c>
      <c r="D3968" t="s">
        <v>742</v>
      </c>
      <c r="E3968" t="str">
        <f t="shared" si="195"/>
        <v>서울특별시</v>
      </c>
      <c r="F3968" t="str">
        <f t="shared" si="196"/>
        <v xml:space="preserve">종로구 </v>
      </c>
      <c r="G3968" t="str">
        <f t="shared" si="197"/>
        <v>돈의동</v>
      </c>
      <c r="H3968" t="s">
        <v>743</v>
      </c>
      <c r="I3968">
        <v>3139</v>
      </c>
    </row>
    <row r="3969" spans="1:9" x14ac:dyDescent="0.4">
      <c r="A3969">
        <v>3000000</v>
      </c>
      <c r="B3969" t="s">
        <v>538</v>
      </c>
      <c r="C3969" s="1">
        <v>36410</v>
      </c>
      <c r="D3969" t="s">
        <v>539</v>
      </c>
      <c r="E3969" t="str">
        <f t="shared" si="195"/>
        <v>서울특별시</v>
      </c>
      <c r="F3969" t="str">
        <f t="shared" si="196"/>
        <v xml:space="preserve">종로구 </v>
      </c>
      <c r="G3969" t="str">
        <f t="shared" si="197"/>
        <v>돈의동</v>
      </c>
      <c r="H3969" t="s">
        <v>540</v>
      </c>
      <c r="I3969">
        <v>3139</v>
      </c>
    </row>
    <row r="3970" spans="1:9" x14ac:dyDescent="0.4">
      <c r="A3970">
        <v>3000000</v>
      </c>
      <c r="B3970" t="s">
        <v>652</v>
      </c>
      <c r="C3970" s="1">
        <v>36557</v>
      </c>
      <c r="D3970" t="s">
        <v>653</v>
      </c>
      <c r="E3970" t="str">
        <f t="shared" si="195"/>
        <v>서울특별시</v>
      </c>
      <c r="F3970" t="str">
        <f t="shared" si="196"/>
        <v xml:space="preserve">종로구 </v>
      </c>
      <c r="G3970" t="str">
        <f t="shared" si="197"/>
        <v>돈의동</v>
      </c>
      <c r="H3970" t="s">
        <v>654</v>
      </c>
      <c r="I3970">
        <v>3139</v>
      </c>
    </row>
    <row r="3971" spans="1:9" x14ac:dyDescent="0.4">
      <c r="A3971">
        <v>3000000</v>
      </c>
      <c r="B3971" t="s">
        <v>1077</v>
      </c>
      <c r="C3971" s="1">
        <v>27744</v>
      </c>
      <c r="D3971" t="s">
        <v>1078</v>
      </c>
      <c r="E3971" t="str">
        <f t="shared" ref="E3971:E4034" si="198">LEFT(D3971,5)</f>
        <v>서울특별시</v>
      </c>
      <c r="F3971" t="str">
        <f t="shared" ref="F3971:F4034" si="199">MID(D3971,7,4)</f>
        <v xml:space="preserve">종로구 </v>
      </c>
      <c r="G3971" t="str">
        <f t="shared" ref="G3971:G4034" si="200">MID(SUBSTITUTE(D3971," ",""),9,3)</f>
        <v>돈의동</v>
      </c>
    </row>
    <row r="3972" spans="1:9" x14ac:dyDescent="0.4">
      <c r="A3972">
        <v>3000000</v>
      </c>
      <c r="B3972" t="s">
        <v>503</v>
      </c>
      <c r="C3972" s="1">
        <v>37529</v>
      </c>
      <c r="D3972" t="s">
        <v>504</v>
      </c>
      <c r="E3972" t="str">
        <f t="shared" si="198"/>
        <v>서울특별시</v>
      </c>
      <c r="F3972" t="str">
        <f t="shared" si="199"/>
        <v xml:space="preserve">종로구 </v>
      </c>
      <c r="G3972" t="str">
        <f t="shared" si="200"/>
        <v>돈의동</v>
      </c>
      <c r="H3972" t="s">
        <v>505</v>
      </c>
      <c r="I3972">
        <v>3133</v>
      </c>
    </row>
    <row r="3973" spans="1:9" x14ac:dyDescent="0.4">
      <c r="A3973">
        <v>3000000</v>
      </c>
      <c r="B3973" t="s">
        <v>1025</v>
      </c>
      <c r="C3973" s="1">
        <v>30961</v>
      </c>
      <c r="D3973" t="s">
        <v>1026</v>
      </c>
      <c r="E3973" t="str">
        <f t="shared" si="198"/>
        <v>서울특별시</v>
      </c>
      <c r="F3973" t="str">
        <f t="shared" si="199"/>
        <v xml:space="preserve">종로구 </v>
      </c>
      <c r="G3973" t="str">
        <f t="shared" si="200"/>
        <v>돈의동</v>
      </c>
    </row>
    <row r="3974" spans="1:9" x14ac:dyDescent="0.4">
      <c r="A3974">
        <v>3000000</v>
      </c>
      <c r="B3974" t="s">
        <v>1316</v>
      </c>
      <c r="C3974" s="1">
        <v>37739</v>
      </c>
      <c r="D3974" t="s">
        <v>1317</v>
      </c>
      <c r="E3974" t="str">
        <f t="shared" si="198"/>
        <v>서울특별시</v>
      </c>
      <c r="F3974" t="str">
        <f t="shared" si="199"/>
        <v xml:space="preserve">종로구 </v>
      </c>
      <c r="G3974" t="str">
        <f t="shared" si="200"/>
        <v>돈의동</v>
      </c>
    </row>
    <row r="3975" spans="1:9" x14ac:dyDescent="0.4">
      <c r="A3975">
        <v>3000000</v>
      </c>
      <c r="B3975" t="s">
        <v>427</v>
      </c>
      <c r="C3975" s="1">
        <v>40683</v>
      </c>
      <c r="D3975" t="s">
        <v>428</v>
      </c>
      <c r="E3975" t="str">
        <f t="shared" si="198"/>
        <v>서울특별시</v>
      </c>
      <c r="F3975" t="str">
        <f t="shared" si="199"/>
        <v xml:space="preserve">종로구 </v>
      </c>
      <c r="G3975" t="str">
        <f t="shared" si="200"/>
        <v>돈의동</v>
      </c>
      <c r="H3975" t="s">
        <v>429</v>
      </c>
      <c r="I3975">
        <v>3133</v>
      </c>
    </row>
    <row r="3976" spans="1:9" x14ac:dyDescent="0.4">
      <c r="A3976">
        <v>3000000</v>
      </c>
      <c r="B3976" t="s">
        <v>311</v>
      </c>
      <c r="C3976" s="1">
        <v>41836</v>
      </c>
      <c r="D3976" t="s">
        <v>312</v>
      </c>
      <c r="E3976" t="str">
        <f t="shared" si="198"/>
        <v>서울특별시</v>
      </c>
      <c r="F3976" t="str">
        <f t="shared" si="199"/>
        <v xml:space="preserve">종로구 </v>
      </c>
      <c r="G3976" t="str">
        <f t="shared" si="200"/>
        <v>돈의동</v>
      </c>
      <c r="H3976" t="s">
        <v>313</v>
      </c>
      <c r="I3976">
        <v>3133</v>
      </c>
    </row>
    <row r="3977" spans="1:9" x14ac:dyDescent="0.4">
      <c r="A3977">
        <v>3000000</v>
      </c>
      <c r="B3977" t="s">
        <v>331</v>
      </c>
      <c r="C3977" s="1">
        <v>42782</v>
      </c>
      <c r="D3977" t="s">
        <v>332</v>
      </c>
      <c r="E3977" t="str">
        <f t="shared" si="198"/>
        <v>서울특별시</v>
      </c>
      <c r="F3977" t="str">
        <f t="shared" si="199"/>
        <v xml:space="preserve">종로구 </v>
      </c>
      <c r="G3977" t="str">
        <f t="shared" si="200"/>
        <v>돈의동</v>
      </c>
      <c r="H3977" t="s">
        <v>333</v>
      </c>
      <c r="I3977">
        <v>3133</v>
      </c>
    </row>
    <row r="3978" spans="1:9" x14ac:dyDescent="0.4">
      <c r="A3978">
        <v>3000000</v>
      </c>
      <c r="B3978" t="s">
        <v>500</v>
      </c>
      <c r="C3978" s="1">
        <v>37518</v>
      </c>
      <c r="D3978" t="s">
        <v>501</v>
      </c>
      <c r="E3978" t="str">
        <f t="shared" si="198"/>
        <v>서울특별시</v>
      </c>
      <c r="F3978" t="str">
        <f t="shared" si="199"/>
        <v xml:space="preserve">종로구 </v>
      </c>
      <c r="G3978" t="str">
        <f t="shared" si="200"/>
        <v>묘동2</v>
      </c>
      <c r="H3978" t="s">
        <v>502</v>
      </c>
      <c r="I3978">
        <v>3139</v>
      </c>
    </row>
    <row r="3979" spans="1:9" x14ac:dyDescent="0.4">
      <c r="A3979">
        <v>3000000</v>
      </c>
      <c r="B3979" t="s">
        <v>992</v>
      </c>
      <c r="C3979" s="1">
        <v>27057</v>
      </c>
      <c r="D3979" t="s">
        <v>993</v>
      </c>
      <c r="E3979" t="str">
        <f t="shared" si="198"/>
        <v>서울특별시</v>
      </c>
      <c r="F3979" t="str">
        <f t="shared" si="199"/>
        <v xml:space="preserve">종로구 </v>
      </c>
      <c r="G3979" t="str">
        <f t="shared" si="200"/>
        <v>무악동</v>
      </c>
    </row>
    <row r="3980" spans="1:9" x14ac:dyDescent="0.4">
      <c r="A3980">
        <v>3000000</v>
      </c>
      <c r="B3980" t="s">
        <v>1177</v>
      </c>
      <c r="C3980" s="1">
        <v>37265</v>
      </c>
      <c r="D3980" t="s">
        <v>1178</v>
      </c>
      <c r="E3980" t="str">
        <f t="shared" si="198"/>
        <v>서울특별시</v>
      </c>
      <c r="F3980" t="str">
        <f t="shared" si="199"/>
        <v xml:space="preserve">종로구 </v>
      </c>
      <c r="G3980" t="str">
        <f t="shared" si="200"/>
        <v>서린동</v>
      </c>
      <c r="H3980" t="s">
        <v>1179</v>
      </c>
      <c r="I3980">
        <v>3188</v>
      </c>
    </row>
    <row r="3981" spans="1:9" x14ac:dyDescent="0.4">
      <c r="A3981">
        <v>3000000</v>
      </c>
      <c r="B3981" t="s">
        <v>905</v>
      </c>
      <c r="C3981" s="1">
        <v>29066</v>
      </c>
      <c r="D3981" t="s">
        <v>906</v>
      </c>
      <c r="E3981" t="str">
        <f t="shared" si="198"/>
        <v>서울특별시</v>
      </c>
      <c r="F3981" t="str">
        <f t="shared" si="199"/>
        <v xml:space="preserve">종로구 </v>
      </c>
      <c r="G3981" t="str">
        <f t="shared" si="200"/>
        <v>서린동</v>
      </c>
    </row>
    <row r="3982" spans="1:9" x14ac:dyDescent="0.4">
      <c r="A3982">
        <v>3000000</v>
      </c>
      <c r="B3982" t="s">
        <v>1300</v>
      </c>
      <c r="C3982" s="1">
        <v>27128</v>
      </c>
      <c r="D3982" t="s">
        <v>906</v>
      </c>
      <c r="E3982" t="str">
        <f t="shared" si="198"/>
        <v>서울특별시</v>
      </c>
      <c r="F3982" t="str">
        <f t="shared" si="199"/>
        <v xml:space="preserve">종로구 </v>
      </c>
      <c r="G3982" t="str">
        <f t="shared" si="200"/>
        <v>서린동</v>
      </c>
    </row>
    <row r="3983" spans="1:9" x14ac:dyDescent="0.4">
      <c r="A3983">
        <v>3000000</v>
      </c>
      <c r="B3983" t="s">
        <v>1072</v>
      </c>
      <c r="C3983" s="1">
        <v>27668</v>
      </c>
      <c r="D3983" t="s">
        <v>1073</v>
      </c>
      <c r="E3983" t="str">
        <f t="shared" si="198"/>
        <v>서울특별시</v>
      </c>
      <c r="F3983" t="str">
        <f t="shared" si="199"/>
        <v xml:space="preserve">종로구 </v>
      </c>
      <c r="G3983" t="str">
        <f t="shared" si="200"/>
        <v>송월동</v>
      </c>
    </row>
    <row r="3984" spans="1:9" x14ac:dyDescent="0.4">
      <c r="A3984">
        <v>3000000</v>
      </c>
      <c r="B3984" t="s">
        <v>784</v>
      </c>
      <c r="C3984" s="1">
        <v>40784</v>
      </c>
      <c r="D3984" t="s">
        <v>785</v>
      </c>
      <c r="E3984" t="str">
        <f t="shared" si="198"/>
        <v>서울특별시</v>
      </c>
      <c r="F3984" t="str">
        <f t="shared" si="199"/>
        <v xml:space="preserve">종로구 </v>
      </c>
      <c r="G3984" t="str">
        <f t="shared" si="200"/>
        <v>수송동</v>
      </c>
      <c r="H3984" t="s">
        <v>786</v>
      </c>
      <c r="I3984">
        <v>3150</v>
      </c>
    </row>
    <row r="3985" spans="1:9" x14ac:dyDescent="0.4">
      <c r="A3985">
        <v>3000000</v>
      </c>
      <c r="B3985" t="s">
        <v>475</v>
      </c>
      <c r="C3985" s="1">
        <v>41375</v>
      </c>
      <c r="D3985" t="s">
        <v>476</v>
      </c>
      <c r="E3985" t="str">
        <f t="shared" si="198"/>
        <v>서울특별시</v>
      </c>
      <c r="F3985" t="str">
        <f t="shared" si="199"/>
        <v xml:space="preserve">종로구 </v>
      </c>
      <c r="G3985" t="str">
        <f t="shared" si="200"/>
        <v>수송동</v>
      </c>
      <c r="H3985" t="s">
        <v>477</v>
      </c>
      <c r="I3985">
        <v>3150</v>
      </c>
    </row>
    <row r="3986" spans="1:9" x14ac:dyDescent="0.4">
      <c r="A3986">
        <v>3000000</v>
      </c>
      <c r="B3986" t="s">
        <v>1147</v>
      </c>
      <c r="C3986" s="1">
        <v>40435</v>
      </c>
      <c r="D3986" t="s">
        <v>1148</v>
      </c>
      <c r="E3986" t="str">
        <f t="shared" si="198"/>
        <v>서울특별시</v>
      </c>
      <c r="F3986" t="str">
        <f t="shared" si="199"/>
        <v xml:space="preserve">종로구 </v>
      </c>
      <c r="G3986" t="str">
        <f t="shared" si="200"/>
        <v>수송동</v>
      </c>
      <c r="H3986" t="s">
        <v>1149</v>
      </c>
      <c r="I3986">
        <v>3150</v>
      </c>
    </row>
    <row r="3987" spans="1:9" x14ac:dyDescent="0.4">
      <c r="A3987">
        <v>3000000</v>
      </c>
      <c r="B3987" t="s">
        <v>1156</v>
      </c>
      <c r="C3987" s="1">
        <v>40532</v>
      </c>
      <c r="D3987" t="s">
        <v>1157</v>
      </c>
      <c r="E3987" t="str">
        <f t="shared" si="198"/>
        <v>서울특별시</v>
      </c>
      <c r="F3987" t="str">
        <f t="shared" si="199"/>
        <v xml:space="preserve">종로구 </v>
      </c>
      <c r="G3987" t="str">
        <f t="shared" si="200"/>
        <v>수송동</v>
      </c>
      <c r="H3987" t="s">
        <v>1158</v>
      </c>
      <c r="I3987">
        <v>3150</v>
      </c>
    </row>
    <row r="3988" spans="1:9" x14ac:dyDescent="0.4">
      <c r="A3988">
        <v>3000000</v>
      </c>
      <c r="B3988" t="s">
        <v>932</v>
      </c>
      <c r="C3988" s="1">
        <v>30905</v>
      </c>
      <c r="D3988" t="s">
        <v>933</v>
      </c>
      <c r="E3988" t="str">
        <f t="shared" si="198"/>
        <v>서울특별시</v>
      </c>
      <c r="F3988" t="str">
        <f t="shared" si="199"/>
        <v xml:space="preserve">종로구 </v>
      </c>
      <c r="G3988" t="str">
        <f t="shared" si="200"/>
        <v>숭인동</v>
      </c>
    </row>
    <row r="3989" spans="1:9" x14ac:dyDescent="0.4">
      <c r="A3989">
        <v>3000000</v>
      </c>
      <c r="B3989" t="s">
        <v>1294</v>
      </c>
      <c r="C3989" s="1">
        <v>36718</v>
      </c>
      <c r="D3989" t="s">
        <v>1295</v>
      </c>
      <c r="E3989" t="str">
        <f t="shared" si="198"/>
        <v>서울특별시</v>
      </c>
      <c r="F3989" t="str">
        <f t="shared" si="199"/>
        <v xml:space="preserve">종로구 </v>
      </c>
      <c r="G3989" t="str">
        <f t="shared" si="200"/>
        <v>숭인동</v>
      </c>
      <c r="H3989" t="s">
        <v>1296</v>
      </c>
      <c r="I3989">
        <v>3116</v>
      </c>
    </row>
    <row r="3990" spans="1:9" x14ac:dyDescent="0.4">
      <c r="A3990">
        <v>3000000</v>
      </c>
      <c r="B3990" t="s">
        <v>892</v>
      </c>
      <c r="C3990" s="1">
        <v>31223</v>
      </c>
      <c r="D3990" t="s">
        <v>893</v>
      </c>
      <c r="E3990" t="str">
        <f t="shared" si="198"/>
        <v>서울특별시</v>
      </c>
      <c r="F3990" t="str">
        <f t="shared" si="199"/>
        <v xml:space="preserve">종로구 </v>
      </c>
      <c r="G3990" t="str">
        <f t="shared" si="200"/>
        <v>숭인동</v>
      </c>
    </row>
    <row r="3991" spans="1:9" x14ac:dyDescent="0.4">
      <c r="A3991">
        <v>3000000</v>
      </c>
      <c r="B3991" t="s">
        <v>493</v>
      </c>
      <c r="C3991" s="1">
        <v>36409</v>
      </c>
      <c r="D3991" t="s">
        <v>494</v>
      </c>
      <c r="E3991" t="str">
        <f t="shared" si="198"/>
        <v>서울특별시</v>
      </c>
      <c r="F3991" t="str">
        <f t="shared" si="199"/>
        <v xml:space="preserve">종로구 </v>
      </c>
      <c r="G3991" t="str">
        <f t="shared" si="200"/>
        <v>숭인동</v>
      </c>
      <c r="H3991" t="s">
        <v>495</v>
      </c>
      <c r="I3991">
        <v>3116</v>
      </c>
    </row>
    <row r="3992" spans="1:9" x14ac:dyDescent="0.4">
      <c r="A3992">
        <v>3000000</v>
      </c>
      <c r="B3992" t="s">
        <v>1092</v>
      </c>
      <c r="C3992" s="1">
        <v>36659</v>
      </c>
      <c r="D3992" t="s">
        <v>1093</v>
      </c>
      <c r="E3992" t="str">
        <f t="shared" si="198"/>
        <v>서울특별시</v>
      </c>
      <c r="F3992" t="str">
        <f t="shared" si="199"/>
        <v xml:space="preserve">종로구 </v>
      </c>
      <c r="G3992" t="str">
        <f t="shared" si="200"/>
        <v>숭인동</v>
      </c>
    </row>
    <row r="3993" spans="1:9" x14ac:dyDescent="0.4">
      <c r="A3993">
        <v>3000000</v>
      </c>
      <c r="B3993" t="s">
        <v>1038</v>
      </c>
      <c r="C3993" s="1">
        <v>27205</v>
      </c>
      <c r="D3993" t="s">
        <v>1039</v>
      </c>
      <c r="E3993" t="str">
        <f t="shared" si="198"/>
        <v>서울특별시</v>
      </c>
      <c r="F3993" t="str">
        <f t="shared" si="199"/>
        <v xml:space="preserve">종로구 </v>
      </c>
      <c r="G3993" t="str">
        <f t="shared" si="200"/>
        <v>숭인동</v>
      </c>
    </row>
    <row r="3994" spans="1:9" x14ac:dyDescent="0.4">
      <c r="A3994">
        <v>3000000</v>
      </c>
      <c r="B3994" t="s">
        <v>361</v>
      </c>
      <c r="C3994" s="1">
        <v>38833</v>
      </c>
      <c r="D3994" t="s">
        <v>362</v>
      </c>
      <c r="E3994" t="str">
        <f t="shared" si="198"/>
        <v>서울특별시</v>
      </c>
      <c r="F3994" t="str">
        <f t="shared" si="199"/>
        <v xml:space="preserve">종로구 </v>
      </c>
      <c r="G3994" t="str">
        <f t="shared" si="200"/>
        <v>숭인동</v>
      </c>
      <c r="H3994" t="s">
        <v>363</v>
      </c>
      <c r="I3994">
        <v>3115</v>
      </c>
    </row>
    <row r="3995" spans="1:9" x14ac:dyDescent="0.4">
      <c r="A3995">
        <v>3000000</v>
      </c>
      <c r="B3995" t="s">
        <v>1274</v>
      </c>
      <c r="C3995" s="1">
        <v>38783</v>
      </c>
      <c r="D3995" t="s">
        <v>1275</v>
      </c>
      <c r="E3995" t="str">
        <f t="shared" si="198"/>
        <v>서울특별시</v>
      </c>
      <c r="F3995" t="str">
        <f t="shared" si="199"/>
        <v xml:space="preserve">종로구 </v>
      </c>
      <c r="G3995" t="str">
        <f t="shared" si="200"/>
        <v>숭인동</v>
      </c>
      <c r="H3995" t="s">
        <v>1276</v>
      </c>
      <c r="I3995">
        <v>3115</v>
      </c>
    </row>
    <row r="3996" spans="1:9" x14ac:dyDescent="0.4">
      <c r="A3996">
        <v>3000000</v>
      </c>
      <c r="B3996" t="s">
        <v>1136</v>
      </c>
      <c r="C3996" s="1">
        <v>36817</v>
      </c>
      <c r="D3996" t="s">
        <v>1137</v>
      </c>
      <c r="E3996" t="str">
        <f t="shared" si="198"/>
        <v>서울특별시</v>
      </c>
      <c r="F3996" t="str">
        <f t="shared" si="199"/>
        <v xml:space="preserve">종로구 </v>
      </c>
      <c r="G3996" t="str">
        <f t="shared" si="200"/>
        <v>숭인동</v>
      </c>
    </row>
    <row r="3997" spans="1:9" x14ac:dyDescent="0.4">
      <c r="A3997">
        <v>3000000</v>
      </c>
      <c r="B3997" t="s">
        <v>484</v>
      </c>
      <c r="C3997" s="1">
        <v>40056</v>
      </c>
      <c r="D3997" t="s">
        <v>485</v>
      </c>
      <c r="E3997" t="str">
        <f t="shared" si="198"/>
        <v>서울특별시</v>
      </c>
      <c r="F3997" t="str">
        <f t="shared" si="199"/>
        <v xml:space="preserve">종로구 </v>
      </c>
      <c r="G3997" t="str">
        <f t="shared" si="200"/>
        <v>숭인동</v>
      </c>
      <c r="H3997" t="s">
        <v>486</v>
      </c>
      <c r="I3997">
        <v>3115</v>
      </c>
    </row>
    <row r="3998" spans="1:9" x14ac:dyDescent="0.4">
      <c r="A3998">
        <v>3000000</v>
      </c>
      <c r="B3998" t="s">
        <v>1052</v>
      </c>
      <c r="C3998" s="1">
        <v>36297</v>
      </c>
      <c r="D3998" t="s">
        <v>1053</v>
      </c>
      <c r="E3998" t="str">
        <f t="shared" si="198"/>
        <v>서울특별시</v>
      </c>
      <c r="F3998" t="str">
        <f t="shared" si="199"/>
        <v xml:space="preserve">종로구 </v>
      </c>
      <c r="G3998" t="str">
        <f t="shared" si="200"/>
        <v>숭인동</v>
      </c>
      <c r="H3998" t="s">
        <v>1054</v>
      </c>
      <c r="I3998">
        <v>3115</v>
      </c>
    </row>
    <row r="3999" spans="1:9" x14ac:dyDescent="0.4">
      <c r="A3999">
        <v>3000000</v>
      </c>
      <c r="B3999" t="s">
        <v>281</v>
      </c>
      <c r="C3999" s="1">
        <v>36294</v>
      </c>
      <c r="D3999" t="s">
        <v>282</v>
      </c>
      <c r="E3999" t="str">
        <f t="shared" si="198"/>
        <v>서울특별시</v>
      </c>
      <c r="F3999" t="str">
        <f t="shared" si="199"/>
        <v xml:space="preserve">종로구 </v>
      </c>
      <c r="G3999" t="str">
        <f t="shared" si="200"/>
        <v>숭인동</v>
      </c>
      <c r="H3999" t="s">
        <v>283</v>
      </c>
      <c r="I3999">
        <v>3115</v>
      </c>
    </row>
    <row r="4000" spans="1:9" x14ac:dyDescent="0.4">
      <c r="A4000">
        <v>3000000</v>
      </c>
      <c r="B4000" t="s">
        <v>1095</v>
      </c>
      <c r="C4000" s="1">
        <v>36662</v>
      </c>
      <c r="D4000" t="s">
        <v>1096</v>
      </c>
      <c r="E4000" t="str">
        <f t="shared" si="198"/>
        <v>서울특별시</v>
      </c>
      <c r="F4000" t="str">
        <f t="shared" si="199"/>
        <v xml:space="preserve">종로구 </v>
      </c>
      <c r="G4000" t="str">
        <f t="shared" si="200"/>
        <v>숭인동</v>
      </c>
    </row>
    <row r="4001" spans="1:9" x14ac:dyDescent="0.4">
      <c r="A4001">
        <v>3000000</v>
      </c>
      <c r="B4001" t="s">
        <v>487</v>
      </c>
      <c r="C4001" s="1">
        <v>40169</v>
      </c>
      <c r="D4001" t="s">
        <v>488</v>
      </c>
      <c r="E4001" t="str">
        <f t="shared" si="198"/>
        <v>서울특별시</v>
      </c>
      <c r="F4001" t="str">
        <f t="shared" si="199"/>
        <v xml:space="preserve">종로구 </v>
      </c>
      <c r="G4001" t="str">
        <f t="shared" si="200"/>
        <v>숭인동</v>
      </c>
      <c r="H4001" t="s">
        <v>489</v>
      </c>
      <c r="I4001">
        <v>3115</v>
      </c>
    </row>
    <row r="4002" spans="1:9" x14ac:dyDescent="0.4">
      <c r="A4002">
        <v>3000000</v>
      </c>
      <c r="B4002" t="s">
        <v>1128</v>
      </c>
      <c r="C4002" s="1">
        <v>36742</v>
      </c>
      <c r="D4002" t="s">
        <v>1129</v>
      </c>
      <c r="E4002" t="str">
        <f t="shared" si="198"/>
        <v>서울특별시</v>
      </c>
      <c r="F4002" t="str">
        <f t="shared" si="199"/>
        <v xml:space="preserve">종로구 </v>
      </c>
      <c r="G4002" t="str">
        <f t="shared" si="200"/>
        <v>숭인동</v>
      </c>
    </row>
    <row r="4003" spans="1:9" x14ac:dyDescent="0.4">
      <c r="A4003">
        <v>3000000</v>
      </c>
      <c r="B4003" t="s">
        <v>291</v>
      </c>
      <c r="C4003" s="1">
        <v>41432</v>
      </c>
      <c r="D4003" t="s">
        <v>292</v>
      </c>
      <c r="E4003" t="str">
        <f t="shared" si="198"/>
        <v>서울특별시</v>
      </c>
      <c r="F4003" t="str">
        <f t="shared" si="199"/>
        <v xml:space="preserve">종로구 </v>
      </c>
      <c r="G4003" t="str">
        <f t="shared" si="200"/>
        <v>숭인동</v>
      </c>
      <c r="H4003" t="s">
        <v>293</v>
      </c>
      <c r="I4003">
        <v>3115</v>
      </c>
    </row>
    <row r="4004" spans="1:9" x14ac:dyDescent="0.4">
      <c r="A4004">
        <v>3000000</v>
      </c>
      <c r="B4004" t="s">
        <v>649</v>
      </c>
      <c r="C4004" s="1">
        <v>36679</v>
      </c>
      <c r="D4004" t="s">
        <v>650</v>
      </c>
      <c r="E4004" t="str">
        <f t="shared" si="198"/>
        <v>서울특별시</v>
      </c>
      <c r="F4004" t="str">
        <f t="shared" si="199"/>
        <v xml:space="preserve">종로구 </v>
      </c>
      <c r="G4004" t="str">
        <f t="shared" si="200"/>
        <v>숭인동</v>
      </c>
      <c r="H4004" t="s">
        <v>651</v>
      </c>
      <c r="I4004">
        <v>3114</v>
      </c>
    </row>
    <row r="4005" spans="1:9" x14ac:dyDescent="0.4">
      <c r="A4005">
        <v>3000000</v>
      </c>
      <c r="B4005" t="s">
        <v>1124</v>
      </c>
      <c r="C4005" s="1">
        <v>36720</v>
      </c>
      <c r="D4005" t="s">
        <v>1125</v>
      </c>
      <c r="E4005" t="str">
        <f t="shared" si="198"/>
        <v>서울특별시</v>
      </c>
      <c r="F4005" t="str">
        <f t="shared" si="199"/>
        <v xml:space="preserve">종로구 </v>
      </c>
      <c r="G4005" t="str">
        <f t="shared" si="200"/>
        <v>숭인동</v>
      </c>
    </row>
    <row r="4006" spans="1:9" x14ac:dyDescent="0.4">
      <c r="A4006">
        <v>3000000</v>
      </c>
      <c r="B4006" t="s">
        <v>518</v>
      </c>
      <c r="C4006" s="1">
        <v>27087</v>
      </c>
      <c r="D4006" t="s">
        <v>519</v>
      </c>
      <c r="E4006" t="str">
        <f t="shared" si="198"/>
        <v>서울특별시</v>
      </c>
      <c r="F4006" t="str">
        <f t="shared" si="199"/>
        <v xml:space="preserve">종로구 </v>
      </c>
      <c r="G4006" t="str">
        <f t="shared" si="200"/>
        <v>숭인동</v>
      </c>
      <c r="H4006" t="s">
        <v>520</v>
      </c>
      <c r="I4006">
        <v>3114</v>
      </c>
    </row>
    <row r="4007" spans="1:9" x14ac:dyDescent="0.4">
      <c r="A4007">
        <v>3000000</v>
      </c>
      <c r="B4007" t="s">
        <v>524</v>
      </c>
      <c r="C4007" s="1">
        <v>26984</v>
      </c>
      <c r="D4007" t="s">
        <v>525</v>
      </c>
      <c r="E4007" t="str">
        <f t="shared" si="198"/>
        <v>서울특별시</v>
      </c>
      <c r="F4007" t="str">
        <f t="shared" si="199"/>
        <v xml:space="preserve">종로구 </v>
      </c>
      <c r="G4007" t="str">
        <f t="shared" si="200"/>
        <v>숭인동</v>
      </c>
      <c r="H4007" t="s">
        <v>526</v>
      </c>
      <c r="I4007">
        <v>3114</v>
      </c>
    </row>
    <row r="4008" spans="1:9" x14ac:dyDescent="0.4">
      <c r="A4008">
        <v>3000000</v>
      </c>
      <c r="B4008" t="s">
        <v>709</v>
      </c>
      <c r="C4008" s="1">
        <v>38048</v>
      </c>
      <c r="D4008" t="s">
        <v>710</v>
      </c>
      <c r="E4008" t="str">
        <f t="shared" si="198"/>
        <v>서울특별시</v>
      </c>
      <c r="F4008" t="str">
        <f t="shared" si="199"/>
        <v xml:space="preserve">종로구 </v>
      </c>
      <c r="G4008" t="str">
        <f t="shared" si="200"/>
        <v>숭인동</v>
      </c>
      <c r="H4008" t="s">
        <v>711</v>
      </c>
      <c r="I4008">
        <v>3114</v>
      </c>
    </row>
    <row r="4009" spans="1:9" x14ac:dyDescent="0.4">
      <c r="A4009">
        <v>3000000</v>
      </c>
      <c r="B4009" t="s">
        <v>606</v>
      </c>
      <c r="C4009" s="1">
        <v>31205</v>
      </c>
      <c r="D4009" t="s">
        <v>607</v>
      </c>
      <c r="E4009" t="str">
        <f t="shared" si="198"/>
        <v>서울특별시</v>
      </c>
      <c r="F4009" t="str">
        <f t="shared" si="199"/>
        <v xml:space="preserve">종로구 </v>
      </c>
      <c r="G4009" t="str">
        <f t="shared" si="200"/>
        <v>숭인동</v>
      </c>
      <c r="H4009" t="s">
        <v>608</v>
      </c>
      <c r="I4009">
        <v>3114</v>
      </c>
    </row>
    <row r="4010" spans="1:9" x14ac:dyDescent="0.4">
      <c r="A4010">
        <v>3000000</v>
      </c>
      <c r="B4010" t="s">
        <v>550</v>
      </c>
      <c r="C4010" s="1">
        <v>37604</v>
      </c>
      <c r="D4010" t="s">
        <v>551</v>
      </c>
      <c r="E4010" t="str">
        <f t="shared" si="198"/>
        <v>서울특별시</v>
      </c>
      <c r="F4010" t="str">
        <f t="shared" si="199"/>
        <v xml:space="preserve">종로구 </v>
      </c>
      <c r="G4010" t="str">
        <f t="shared" si="200"/>
        <v>숭인동</v>
      </c>
      <c r="H4010" t="s">
        <v>552</v>
      </c>
      <c r="I4010">
        <v>3114</v>
      </c>
    </row>
    <row r="4011" spans="1:9" x14ac:dyDescent="0.4">
      <c r="A4011">
        <v>3000000</v>
      </c>
      <c r="B4011" t="s">
        <v>901</v>
      </c>
      <c r="C4011" s="1">
        <v>27789</v>
      </c>
      <c r="D4011" t="s">
        <v>902</v>
      </c>
      <c r="E4011" t="str">
        <f t="shared" si="198"/>
        <v>서울특별시</v>
      </c>
      <c r="F4011" t="str">
        <f t="shared" si="199"/>
        <v xml:space="preserve">종로구 </v>
      </c>
      <c r="G4011" t="str">
        <f t="shared" si="200"/>
        <v>숭인동</v>
      </c>
    </row>
    <row r="4012" spans="1:9" x14ac:dyDescent="0.4">
      <c r="A4012">
        <v>3000000</v>
      </c>
      <c r="B4012" t="s">
        <v>1015</v>
      </c>
      <c r="C4012" s="1">
        <v>38420</v>
      </c>
      <c r="D4012" t="s">
        <v>1016</v>
      </c>
      <c r="E4012" t="str">
        <f t="shared" si="198"/>
        <v>서울특별시</v>
      </c>
      <c r="F4012" t="str">
        <f t="shared" si="199"/>
        <v xml:space="preserve">종로구 </v>
      </c>
      <c r="G4012" t="str">
        <f t="shared" si="200"/>
        <v>신문로</v>
      </c>
    </row>
    <row r="4013" spans="1:9" x14ac:dyDescent="0.4">
      <c r="A4013">
        <v>3000000</v>
      </c>
      <c r="B4013" t="s">
        <v>1008</v>
      </c>
      <c r="C4013" s="1">
        <v>38211</v>
      </c>
      <c r="D4013" t="s">
        <v>1009</v>
      </c>
      <c r="E4013" t="str">
        <f t="shared" si="198"/>
        <v>서울특별시</v>
      </c>
      <c r="F4013" t="str">
        <f t="shared" si="199"/>
        <v xml:space="preserve">종로구 </v>
      </c>
      <c r="G4013" t="str">
        <f t="shared" si="200"/>
        <v>신문로</v>
      </c>
    </row>
    <row r="4014" spans="1:9" x14ac:dyDescent="0.4">
      <c r="A4014">
        <v>3000000</v>
      </c>
      <c r="B4014" t="s">
        <v>1318</v>
      </c>
      <c r="C4014" s="1">
        <v>37760</v>
      </c>
      <c r="D4014" t="s">
        <v>1009</v>
      </c>
      <c r="E4014" t="str">
        <f t="shared" si="198"/>
        <v>서울특별시</v>
      </c>
      <c r="F4014" t="str">
        <f t="shared" si="199"/>
        <v xml:space="preserve">종로구 </v>
      </c>
      <c r="G4014" t="str">
        <f t="shared" si="200"/>
        <v>신문로</v>
      </c>
    </row>
    <row r="4015" spans="1:9" x14ac:dyDescent="0.4">
      <c r="A4015">
        <v>3000000</v>
      </c>
      <c r="B4015" t="s">
        <v>1229</v>
      </c>
      <c r="C4015" s="1">
        <v>37439</v>
      </c>
      <c r="D4015" t="s">
        <v>1230</v>
      </c>
      <c r="E4015" t="str">
        <f t="shared" si="198"/>
        <v>서울특별시</v>
      </c>
      <c r="F4015" t="str">
        <f t="shared" si="199"/>
        <v xml:space="preserve">종로구 </v>
      </c>
      <c r="G4015" t="str">
        <f t="shared" si="200"/>
        <v>신문로</v>
      </c>
    </row>
    <row r="4016" spans="1:9" x14ac:dyDescent="0.4">
      <c r="A4016">
        <v>3000000</v>
      </c>
      <c r="B4016" t="s">
        <v>937</v>
      </c>
      <c r="C4016" s="1">
        <v>36474</v>
      </c>
      <c r="D4016" t="s">
        <v>938</v>
      </c>
      <c r="E4016" t="str">
        <f t="shared" si="198"/>
        <v>서울특별시</v>
      </c>
      <c r="F4016" t="str">
        <f t="shared" si="199"/>
        <v xml:space="preserve">종로구 </v>
      </c>
      <c r="G4016" t="str">
        <f t="shared" si="200"/>
        <v>신문로</v>
      </c>
      <c r="H4016" t="s">
        <v>939</v>
      </c>
      <c r="I4016">
        <v>3182</v>
      </c>
    </row>
    <row r="4017" spans="1:9" x14ac:dyDescent="0.4">
      <c r="A4017">
        <v>3000000</v>
      </c>
      <c r="B4017" t="s">
        <v>954</v>
      </c>
      <c r="C4017" s="1">
        <v>36400</v>
      </c>
      <c r="D4017" t="s">
        <v>955</v>
      </c>
      <c r="E4017" t="str">
        <f t="shared" si="198"/>
        <v>서울특별시</v>
      </c>
      <c r="F4017" t="str">
        <f t="shared" si="199"/>
        <v xml:space="preserve">종로구 </v>
      </c>
      <c r="G4017" t="str">
        <f t="shared" si="200"/>
        <v>신문로</v>
      </c>
    </row>
    <row r="4018" spans="1:9" x14ac:dyDescent="0.4">
      <c r="A4018">
        <v>3000000</v>
      </c>
      <c r="B4018" t="s">
        <v>1208</v>
      </c>
      <c r="C4018" s="1">
        <v>36349</v>
      </c>
      <c r="D4018" t="s">
        <v>955</v>
      </c>
      <c r="E4018" t="str">
        <f t="shared" si="198"/>
        <v>서울특별시</v>
      </c>
      <c r="F4018" t="str">
        <f t="shared" si="199"/>
        <v xml:space="preserve">종로구 </v>
      </c>
      <c r="G4018" t="str">
        <f t="shared" si="200"/>
        <v>신문로</v>
      </c>
    </row>
    <row r="4019" spans="1:9" x14ac:dyDescent="0.4">
      <c r="A4019">
        <v>3000000</v>
      </c>
      <c r="B4019" t="s">
        <v>977</v>
      </c>
      <c r="C4019" s="1">
        <v>26948</v>
      </c>
      <c r="D4019" t="s">
        <v>978</v>
      </c>
      <c r="E4019" t="str">
        <f t="shared" si="198"/>
        <v>서울특별시</v>
      </c>
      <c r="F4019" t="str">
        <f t="shared" si="199"/>
        <v xml:space="preserve">종로구 </v>
      </c>
      <c r="G4019" t="str">
        <f t="shared" si="200"/>
        <v>연건동</v>
      </c>
    </row>
    <row r="4020" spans="1:9" x14ac:dyDescent="0.4">
      <c r="A4020">
        <v>3000000</v>
      </c>
      <c r="B4020" t="s">
        <v>1292</v>
      </c>
      <c r="C4020" s="1">
        <v>31111</v>
      </c>
      <c r="D4020" t="s">
        <v>1293</v>
      </c>
      <c r="E4020" t="str">
        <f t="shared" si="198"/>
        <v>서울특별시</v>
      </c>
      <c r="F4020" t="str">
        <f t="shared" si="199"/>
        <v xml:space="preserve">종로구 </v>
      </c>
      <c r="G4020" t="str">
        <f t="shared" si="200"/>
        <v>연지동</v>
      </c>
    </row>
    <row r="4021" spans="1:9" x14ac:dyDescent="0.4">
      <c r="A4021">
        <v>3000000</v>
      </c>
      <c r="B4021" t="s">
        <v>1186</v>
      </c>
      <c r="C4021" s="1">
        <v>37370</v>
      </c>
      <c r="D4021" t="s">
        <v>1187</v>
      </c>
      <c r="E4021" t="str">
        <f t="shared" si="198"/>
        <v>서울특별시</v>
      </c>
      <c r="F4021" t="str">
        <f t="shared" si="199"/>
        <v xml:space="preserve">종로구 </v>
      </c>
      <c r="G4021" t="str">
        <f t="shared" si="200"/>
        <v>연지동</v>
      </c>
      <c r="H4021" t="s">
        <v>1188</v>
      </c>
      <c r="I4021">
        <v>3129</v>
      </c>
    </row>
    <row r="4022" spans="1:9" x14ac:dyDescent="0.4">
      <c r="A4022">
        <v>3000000</v>
      </c>
      <c r="B4022" t="s">
        <v>1159</v>
      </c>
      <c r="C4022" s="1">
        <v>40602</v>
      </c>
      <c r="D4022" t="s">
        <v>1160</v>
      </c>
      <c r="E4022" t="str">
        <f t="shared" si="198"/>
        <v>서울특별시</v>
      </c>
      <c r="F4022" t="str">
        <f t="shared" si="199"/>
        <v xml:space="preserve">종로구 </v>
      </c>
      <c r="G4022" t="str">
        <f t="shared" si="200"/>
        <v>연지동</v>
      </c>
      <c r="H4022" t="s">
        <v>1161</v>
      </c>
      <c r="I4022">
        <v>3129</v>
      </c>
    </row>
    <row r="4023" spans="1:9" x14ac:dyDescent="0.4">
      <c r="A4023">
        <v>3000000</v>
      </c>
      <c r="B4023" t="s">
        <v>715</v>
      </c>
      <c r="C4023" s="1">
        <v>38097</v>
      </c>
      <c r="D4023" t="s">
        <v>716</v>
      </c>
      <c r="E4023" t="str">
        <f t="shared" si="198"/>
        <v>서울특별시</v>
      </c>
      <c r="F4023" t="str">
        <f t="shared" si="199"/>
        <v xml:space="preserve">종로구 </v>
      </c>
      <c r="G4023" t="str">
        <f t="shared" si="200"/>
        <v>연지동</v>
      </c>
      <c r="H4023" t="s">
        <v>717</v>
      </c>
      <c r="I4023">
        <v>3129</v>
      </c>
    </row>
    <row r="4024" spans="1:9" x14ac:dyDescent="0.4">
      <c r="A4024">
        <v>3000000</v>
      </c>
      <c r="B4024" t="s">
        <v>352</v>
      </c>
      <c r="C4024" s="1">
        <v>40296</v>
      </c>
      <c r="D4024" t="s">
        <v>353</v>
      </c>
      <c r="E4024" t="str">
        <f t="shared" si="198"/>
        <v>서울특별시</v>
      </c>
      <c r="F4024" t="str">
        <f t="shared" si="199"/>
        <v xml:space="preserve">종로구 </v>
      </c>
      <c r="G4024" t="str">
        <f t="shared" si="200"/>
        <v>연지동</v>
      </c>
      <c r="H4024" t="s">
        <v>354</v>
      </c>
      <c r="I4024">
        <v>3129</v>
      </c>
    </row>
    <row r="4025" spans="1:9" x14ac:dyDescent="0.4">
      <c r="A4025">
        <v>3000000</v>
      </c>
      <c r="B4025" t="s">
        <v>1358</v>
      </c>
      <c r="C4025" s="1">
        <v>36585</v>
      </c>
      <c r="D4025" t="s">
        <v>1359</v>
      </c>
      <c r="E4025" t="str">
        <f t="shared" si="198"/>
        <v>서울특별시</v>
      </c>
      <c r="F4025" t="str">
        <f t="shared" si="199"/>
        <v xml:space="preserve">종로구 </v>
      </c>
      <c r="G4025" t="str">
        <f t="shared" si="200"/>
        <v>연지동</v>
      </c>
    </row>
    <row r="4026" spans="1:9" x14ac:dyDescent="0.4">
      <c r="A4026">
        <v>3000000</v>
      </c>
      <c r="B4026" t="s">
        <v>323</v>
      </c>
      <c r="C4026" s="1">
        <v>42185</v>
      </c>
      <c r="D4026" t="s">
        <v>324</v>
      </c>
      <c r="E4026" t="str">
        <f t="shared" si="198"/>
        <v>서울특별시</v>
      </c>
      <c r="F4026" t="str">
        <f t="shared" si="199"/>
        <v xml:space="preserve">종로구 </v>
      </c>
      <c r="G4026" t="str">
        <f t="shared" si="200"/>
        <v>연지동</v>
      </c>
      <c r="H4026" t="s">
        <v>325</v>
      </c>
      <c r="I4026">
        <v>3129</v>
      </c>
    </row>
    <row r="4027" spans="1:9" x14ac:dyDescent="0.4">
      <c r="A4027">
        <v>3000000</v>
      </c>
      <c r="B4027" t="s">
        <v>1251</v>
      </c>
      <c r="C4027" s="1">
        <v>37158</v>
      </c>
      <c r="D4027" t="s">
        <v>1252</v>
      </c>
      <c r="E4027" t="str">
        <f t="shared" si="198"/>
        <v>서울특별시</v>
      </c>
      <c r="F4027" t="str">
        <f t="shared" si="199"/>
        <v xml:space="preserve">종로구 </v>
      </c>
      <c r="G4027" t="str">
        <f t="shared" si="200"/>
        <v>연지동</v>
      </c>
    </row>
    <row r="4028" spans="1:9" x14ac:dyDescent="0.4">
      <c r="A4028">
        <v>3000000</v>
      </c>
      <c r="B4028" t="s">
        <v>314</v>
      </c>
      <c r="C4028" s="1">
        <v>41968</v>
      </c>
      <c r="D4028" t="s">
        <v>315</v>
      </c>
      <c r="E4028" t="str">
        <f t="shared" si="198"/>
        <v>서울특별시</v>
      </c>
      <c r="F4028" t="str">
        <f t="shared" si="199"/>
        <v xml:space="preserve">종로구 </v>
      </c>
      <c r="G4028" t="str">
        <f t="shared" si="200"/>
        <v>연지동</v>
      </c>
      <c r="H4028" t="s">
        <v>316</v>
      </c>
      <c r="I4028">
        <v>3129</v>
      </c>
    </row>
    <row r="4029" spans="1:9" x14ac:dyDescent="0.4">
      <c r="A4029">
        <v>3000000</v>
      </c>
      <c r="B4029" t="s">
        <v>451</v>
      </c>
      <c r="C4029" s="1">
        <v>39926</v>
      </c>
      <c r="D4029" t="s">
        <v>452</v>
      </c>
      <c r="E4029" t="str">
        <f t="shared" si="198"/>
        <v>서울특별시</v>
      </c>
      <c r="F4029" t="str">
        <f t="shared" si="199"/>
        <v xml:space="preserve">종로구 </v>
      </c>
      <c r="G4029" t="str">
        <f t="shared" si="200"/>
        <v>연지동</v>
      </c>
      <c r="H4029" t="s">
        <v>453</v>
      </c>
      <c r="I4029">
        <v>3129</v>
      </c>
    </row>
    <row r="4030" spans="1:9" x14ac:dyDescent="0.4">
      <c r="A4030">
        <v>3000000</v>
      </c>
      <c r="B4030" t="s">
        <v>1233</v>
      </c>
      <c r="C4030" s="1">
        <v>37460</v>
      </c>
      <c r="D4030" t="s">
        <v>1234</v>
      </c>
      <c r="E4030" t="str">
        <f t="shared" si="198"/>
        <v>서울특별시</v>
      </c>
      <c r="F4030" t="str">
        <f t="shared" si="199"/>
        <v xml:space="preserve">종로구 </v>
      </c>
      <c r="G4030" t="str">
        <f t="shared" si="200"/>
        <v>연지동</v>
      </c>
    </row>
    <row r="4031" spans="1:9" x14ac:dyDescent="0.4">
      <c r="A4031">
        <v>3000000</v>
      </c>
      <c r="B4031" t="s">
        <v>294</v>
      </c>
      <c r="C4031" s="1">
        <v>41480</v>
      </c>
      <c r="D4031" t="s">
        <v>295</v>
      </c>
      <c r="E4031" t="str">
        <f t="shared" si="198"/>
        <v>서울특별시</v>
      </c>
      <c r="F4031" t="str">
        <f t="shared" si="199"/>
        <v xml:space="preserve">종로구 </v>
      </c>
      <c r="G4031" t="str">
        <f t="shared" si="200"/>
        <v>연지동</v>
      </c>
      <c r="H4031" t="s">
        <v>296</v>
      </c>
      <c r="I4031">
        <v>3129</v>
      </c>
    </row>
    <row r="4032" spans="1:9" x14ac:dyDescent="0.4">
      <c r="A4032">
        <v>3000000</v>
      </c>
      <c r="B4032" t="s">
        <v>1079</v>
      </c>
      <c r="C4032" s="1">
        <v>27744</v>
      </c>
      <c r="D4032" t="s">
        <v>1080</v>
      </c>
      <c r="E4032" t="str">
        <f t="shared" si="198"/>
        <v>서울특별시</v>
      </c>
      <c r="F4032" t="str">
        <f t="shared" si="199"/>
        <v xml:space="preserve">종로구 </v>
      </c>
      <c r="G4032" t="str">
        <f t="shared" si="200"/>
        <v>예지동</v>
      </c>
    </row>
    <row r="4033" spans="1:9" x14ac:dyDescent="0.4">
      <c r="A4033">
        <v>3000000</v>
      </c>
      <c r="B4033" t="s">
        <v>1256</v>
      </c>
      <c r="C4033" s="1">
        <v>37182</v>
      </c>
      <c r="D4033" t="s">
        <v>1257</v>
      </c>
      <c r="E4033" t="str">
        <f t="shared" si="198"/>
        <v>서울특별시</v>
      </c>
      <c r="F4033" t="str">
        <f t="shared" si="199"/>
        <v xml:space="preserve">종로구 </v>
      </c>
      <c r="G4033" t="str">
        <f t="shared" si="200"/>
        <v>예지동</v>
      </c>
      <c r="H4033" t="s">
        <v>1258</v>
      </c>
      <c r="I4033">
        <v>3194</v>
      </c>
    </row>
    <row r="4034" spans="1:9" x14ac:dyDescent="0.4">
      <c r="A4034">
        <v>3000000</v>
      </c>
      <c r="B4034" t="s">
        <v>849</v>
      </c>
      <c r="C4034" s="1">
        <v>25010</v>
      </c>
      <c r="D4034" t="s">
        <v>850</v>
      </c>
      <c r="E4034" t="str">
        <f t="shared" si="198"/>
        <v>서울특별시</v>
      </c>
      <c r="F4034" t="str">
        <f t="shared" si="199"/>
        <v xml:space="preserve">종로구 </v>
      </c>
      <c r="G4034" t="str">
        <f t="shared" si="200"/>
        <v>예지동</v>
      </c>
    </row>
    <row r="4035" spans="1:9" x14ac:dyDescent="0.4">
      <c r="A4035">
        <v>3000000</v>
      </c>
      <c r="B4035" t="s">
        <v>951</v>
      </c>
      <c r="C4035" s="1">
        <v>36399</v>
      </c>
      <c r="D4035" t="s">
        <v>952</v>
      </c>
      <c r="E4035" t="str">
        <f t="shared" ref="E4035:E4098" si="201">LEFT(D4035,5)</f>
        <v>서울특별시</v>
      </c>
      <c r="F4035" t="str">
        <f t="shared" ref="F4035:F4098" si="202">MID(D4035,7,4)</f>
        <v xml:space="preserve">종로구 </v>
      </c>
      <c r="G4035" t="str">
        <f t="shared" ref="G4035:G4070" si="203">MID(SUBSTITUTE(D4035," ",""),9,3)</f>
        <v>와룡동</v>
      </c>
      <c r="H4035" t="s">
        <v>953</v>
      </c>
      <c r="I4035">
        <v>3134</v>
      </c>
    </row>
    <row r="4036" spans="1:9" x14ac:dyDescent="0.4">
      <c r="A4036">
        <v>3000000</v>
      </c>
      <c r="B4036" t="s">
        <v>1050</v>
      </c>
      <c r="C4036" s="1">
        <v>36258</v>
      </c>
      <c r="D4036" t="s">
        <v>1051</v>
      </c>
      <c r="E4036" t="str">
        <f t="shared" si="201"/>
        <v>서울특별시</v>
      </c>
      <c r="F4036" t="str">
        <f t="shared" si="202"/>
        <v xml:space="preserve">종로구 </v>
      </c>
      <c r="G4036" t="str">
        <f t="shared" si="203"/>
        <v>와룡동</v>
      </c>
    </row>
    <row r="4037" spans="1:9" x14ac:dyDescent="0.4">
      <c r="A4037">
        <v>3000000</v>
      </c>
      <c r="B4037" t="s">
        <v>821</v>
      </c>
      <c r="C4037" s="1">
        <v>33530</v>
      </c>
      <c r="D4037" t="s">
        <v>822</v>
      </c>
      <c r="E4037" t="str">
        <f t="shared" si="201"/>
        <v>서울특별시</v>
      </c>
      <c r="F4037" t="str">
        <f t="shared" si="202"/>
        <v xml:space="preserve">종로구 </v>
      </c>
      <c r="G4037" t="str">
        <f t="shared" si="203"/>
        <v>와룡동</v>
      </c>
    </row>
    <row r="4038" spans="1:9" x14ac:dyDescent="0.4">
      <c r="A4038">
        <v>3000000</v>
      </c>
      <c r="B4038" t="s">
        <v>761</v>
      </c>
      <c r="C4038" s="1">
        <v>36991</v>
      </c>
      <c r="D4038" t="s">
        <v>762</v>
      </c>
      <c r="E4038" t="str">
        <f t="shared" si="201"/>
        <v>서울특별시</v>
      </c>
      <c r="F4038" t="str">
        <f t="shared" si="202"/>
        <v xml:space="preserve">종로구 </v>
      </c>
      <c r="G4038" t="str">
        <f t="shared" si="203"/>
        <v>와룡동</v>
      </c>
      <c r="H4038" t="s">
        <v>763</v>
      </c>
      <c r="I4038">
        <v>3134</v>
      </c>
    </row>
    <row r="4039" spans="1:9" x14ac:dyDescent="0.4">
      <c r="A4039">
        <v>3000000</v>
      </c>
      <c r="B4039" t="s">
        <v>664</v>
      </c>
      <c r="C4039" s="1">
        <v>36579</v>
      </c>
      <c r="D4039" t="s">
        <v>665</v>
      </c>
      <c r="E4039" t="str">
        <f t="shared" si="201"/>
        <v>서울특별시</v>
      </c>
      <c r="F4039" t="str">
        <f t="shared" si="202"/>
        <v xml:space="preserve">종로구 </v>
      </c>
      <c r="G4039" t="str">
        <f t="shared" si="203"/>
        <v>운니동</v>
      </c>
      <c r="H4039" t="s">
        <v>666</v>
      </c>
      <c r="I4039">
        <v>3131</v>
      </c>
    </row>
    <row r="4040" spans="1:9" x14ac:dyDescent="0.4">
      <c r="A4040">
        <v>3000000</v>
      </c>
      <c r="B4040" t="s">
        <v>1286</v>
      </c>
      <c r="C4040" s="1">
        <v>27844</v>
      </c>
      <c r="D4040" t="s">
        <v>1287</v>
      </c>
      <c r="E4040" t="str">
        <f t="shared" si="201"/>
        <v>서울특별시</v>
      </c>
      <c r="F4040" t="str">
        <f t="shared" si="202"/>
        <v xml:space="preserve">종로구 </v>
      </c>
      <c r="G4040" t="str">
        <f t="shared" si="203"/>
        <v>운니동</v>
      </c>
      <c r="H4040" t="s">
        <v>1288</v>
      </c>
      <c r="I4040">
        <v>3131</v>
      </c>
    </row>
    <row r="4041" spans="1:9" x14ac:dyDescent="0.4">
      <c r="A4041">
        <v>3000000</v>
      </c>
      <c r="B4041" t="s">
        <v>1036</v>
      </c>
      <c r="C4041" s="1">
        <v>27187</v>
      </c>
      <c r="D4041" t="s">
        <v>1037</v>
      </c>
      <c r="E4041" t="str">
        <f t="shared" si="201"/>
        <v>서울특별시</v>
      </c>
      <c r="F4041" t="str">
        <f t="shared" si="202"/>
        <v xml:space="preserve">종로구 </v>
      </c>
      <c r="G4041" t="str">
        <f t="shared" si="203"/>
        <v>운니동</v>
      </c>
    </row>
    <row r="4042" spans="1:9" x14ac:dyDescent="0.4">
      <c r="A4042">
        <v>3000000</v>
      </c>
      <c r="B4042" t="s">
        <v>1271</v>
      </c>
      <c r="C4042" s="1">
        <v>36998</v>
      </c>
      <c r="D4042" t="s">
        <v>1272</v>
      </c>
      <c r="E4042" t="str">
        <f t="shared" si="201"/>
        <v>서울특별시</v>
      </c>
      <c r="F4042" t="str">
        <f t="shared" si="202"/>
        <v xml:space="preserve">종로구 </v>
      </c>
      <c r="G4042" t="str">
        <f t="shared" si="203"/>
        <v>운니동</v>
      </c>
    </row>
    <row r="4043" spans="1:9" x14ac:dyDescent="0.4">
      <c r="A4043">
        <v>3000000</v>
      </c>
      <c r="B4043" t="s">
        <v>940</v>
      </c>
      <c r="C4043" s="1">
        <v>36479</v>
      </c>
      <c r="D4043" t="s">
        <v>941</v>
      </c>
      <c r="E4043" t="str">
        <f t="shared" si="201"/>
        <v>서울특별시</v>
      </c>
      <c r="F4043" t="str">
        <f t="shared" si="202"/>
        <v xml:space="preserve">종로구 </v>
      </c>
      <c r="G4043" t="str">
        <f t="shared" si="203"/>
        <v>원남동</v>
      </c>
    </row>
    <row r="4044" spans="1:9" x14ac:dyDescent="0.4">
      <c r="A4044">
        <v>3000000</v>
      </c>
      <c r="B4044" t="s">
        <v>1326</v>
      </c>
      <c r="C4044" s="1">
        <v>36461</v>
      </c>
      <c r="D4044" t="s">
        <v>1327</v>
      </c>
      <c r="E4044" t="str">
        <f t="shared" si="201"/>
        <v>서울특별시</v>
      </c>
      <c r="F4044" t="str">
        <f t="shared" si="202"/>
        <v xml:space="preserve">종로구 </v>
      </c>
      <c r="G4044" t="str">
        <f t="shared" si="203"/>
        <v>원남동</v>
      </c>
    </row>
    <row r="4045" spans="1:9" x14ac:dyDescent="0.4">
      <c r="A4045">
        <v>3000000</v>
      </c>
      <c r="B4045" t="s">
        <v>343</v>
      </c>
      <c r="C4045" s="1">
        <v>38709</v>
      </c>
      <c r="D4045" t="s">
        <v>344</v>
      </c>
      <c r="E4045" t="str">
        <f t="shared" si="201"/>
        <v>서울특별시</v>
      </c>
      <c r="F4045" t="str">
        <f t="shared" si="202"/>
        <v xml:space="preserve">종로구 </v>
      </c>
      <c r="G4045" t="str">
        <f t="shared" si="203"/>
        <v>원남동</v>
      </c>
      <c r="H4045" t="s">
        <v>345</v>
      </c>
      <c r="I4045">
        <v>3136</v>
      </c>
    </row>
    <row r="4046" spans="1:9" x14ac:dyDescent="0.4">
      <c r="A4046">
        <v>3000000</v>
      </c>
      <c r="B4046" t="s">
        <v>1222</v>
      </c>
      <c r="C4046" s="1">
        <v>37806</v>
      </c>
      <c r="D4046" t="s">
        <v>1223</v>
      </c>
      <c r="E4046" t="str">
        <f t="shared" si="201"/>
        <v>서울특별시</v>
      </c>
      <c r="F4046" t="str">
        <f t="shared" si="202"/>
        <v xml:space="preserve">종로구 </v>
      </c>
      <c r="G4046" t="str">
        <f t="shared" si="203"/>
        <v>원남동</v>
      </c>
      <c r="H4046" t="s">
        <v>1224</v>
      </c>
      <c r="I4046">
        <v>3136</v>
      </c>
    </row>
    <row r="4047" spans="1:9" x14ac:dyDescent="0.4">
      <c r="A4047">
        <v>3000000</v>
      </c>
      <c r="B4047" t="s">
        <v>981</v>
      </c>
      <c r="C4047" s="1">
        <v>26955</v>
      </c>
      <c r="D4047" t="s">
        <v>982</v>
      </c>
      <c r="E4047" t="str">
        <f t="shared" si="201"/>
        <v>서울특별시</v>
      </c>
      <c r="F4047" t="str">
        <f t="shared" si="202"/>
        <v xml:space="preserve">종로구 </v>
      </c>
      <c r="G4047" t="str">
        <f t="shared" si="203"/>
        <v>원남동</v>
      </c>
    </row>
    <row r="4048" spans="1:9" x14ac:dyDescent="0.4">
      <c r="A4048">
        <v>3000000</v>
      </c>
      <c r="B4048" t="s">
        <v>1195</v>
      </c>
      <c r="C4048" s="1">
        <v>41046</v>
      </c>
      <c r="D4048" t="s">
        <v>1196</v>
      </c>
      <c r="E4048" t="str">
        <f t="shared" si="201"/>
        <v>서울특별시</v>
      </c>
      <c r="F4048" t="str">
        <f t="shared" si="202"/>
        <v xml:space="preserve">종로구 </v>
      </c>
      <c r="G4048" t="str">
        <f t="shared" si="203"/>
        <v>원남동</v>
      </c>
      <c r="H4048" t="s">
        <v>1197</v>
      </c>
      <c r="I4048">
        <v>3136</v>
      </c>
    </row>
    <row r="4049" spans="1:9" x14ac:dyDescent="0.4">
      <c r="A4049">
        <v>3000000</v>
      </c>
      <c r="B4049" t="s">
        <v>397</v>
      </c>
      <c r="C4049" s="1">
        <v>39549</v>
      </c>
      <c r="D4049" t="s">
        <v>398</v>
      </c>
      <c r="E4049" t="str">
        <f t="shared" si="201"/>
        <v>서울특별시</v>
      </c>
      <c r="F4049" t="str">
        <f t="shared" si="202"/>
        <v xml:space="preserve">종로구 </v>
      </c>
      <c r="G4049" t="str">
        <f t="shared" si="203"/>
        <v>원남동</v>
      </c>
      <c r="H4049" t="s">
        <v>399</v>
      </c>
      <c r="I4049">
        <v>3136</v>
      </c>
    </row>
    <row r="4050" spans="1:9" x14ac:dyDescent="0.4">
      <c r="A4050">
        <v>3000000</v>
      </c>
      <c r="B4050" t="s">
        <v>805</v>
      </c>
      <c r="C4050" s="1">
        <v>27748</v>
      </c>
      <c r="D4050" t="s">
        <v>806</v>
      </c>
      <c r="E4050" t="str">
        <f t="shared" si="201"/>
        <v>서울특별시</v>
      </c>
      <c r="F4050" t="str">
        <f t="shared" si="202"/>
        <v xml:space="preserve">종로구 </v>
      </c>
      <c r="G4050" t="str">
        <f t="shared" si="203"/>
        <v>익선동</v>
      </c>
    </row>
    <row r="4051" spans="1:9" x14ac:dyDescent="0.4">
      <c r="A4051">
        <v>3000000</v>
      </c>
      <c r="B4051" t="s">
        <v>897</v>
      </c>
      <c r="C4051" s="1">
        <v>27771</v>
      </c>
      <c r="D4051" t="s">
        <v>898</v>
      </c>
      <c r="E4051" t="str">
        <f t="shared" si="201"/>
        <v>서울특별시</v>
      </c>
      <c r="F4051" t="str">
        <f t="shared" si="202"/>
        <v xml:space="preserve">종로구 </v>
      </c>
      <c r="G4051" t="str">
        <f t="shared" si="203"/>
        <v>익선동</v>
      </c>
    </row>
    <row r="4052" spans="1:9" x14ac:dyDescent="0.4">
      <c r="A4052">
        <v>3000000</v>
      </c>
      <c r="B4052" t="s">
        <v>1324</v>
      </c>
      <c r="C4052" s="1">
        <v>36455</v>
      </c>
      <c r="D4052" t="s">
        <v>1325</v>
      </c>
      <c r="E4052" t="str">
        <f t="shared" si="201"/>
        <v>서울특별시</v>
      </c>
      <c r="F4052" t="str">
        <f t="shared" si="202"/>
        <v xml:space="preserve">종로구 </v>
      </c>
      <c r="G4052" t="str">
        <f t="shared" si="203"/>
        <v>익선동</v>
      </c>
    </row>
    <row r="4053" spans="1:9" x14ac:dyDescent="0.4">
      <c r="A4053">
        <v>3000000</v>
      </c>
      <c r="B4053" t="s">
        <v>910</v>
      </c>
      <c r="C4053" s="1">
        <v>29799</v>
      </c>
      <c r="D4053" t="s">
        <v>911</v>
      </c>
      <c r="E4053" t="str">
        <f t="shared" si="201"/>
        <v>서울특별시</v>
      </c>
      <c r="F4053" t="str">
        <f t="shared" si="202"/>
        <v xml:space="preserve">종로구 </v>
      </c>
      <c r="G4053" t="str">
        <f t="shared" si="203"/>
        <v>익선동</v>
      </c>
    </row>
    <row r="4054" spans="1:9" x14ac:dyDescent="0.4">
      <c r="A4054">
        <v>3000000</v>
      </c>
      <c r="B4054" t="s">
        <v>986</v>
      </c>
      <c r="C4054" s="1">
        <v>26999</v>
      </c>
      <c r="D4054" t="s">
        <v>987</v>
      </c>
      <c r="E4054" t="str">
        <f t="shared" si="201"/>
        <v>서울특별시</v>
      </c>
      <c r="F4054" t="str">
        <f t="shared" si="202"/>
        <v xml:space="preserve">종로구 </v>
      </c>
      <c r="G4054" t="str">
        <f t="shared" si="203"/>
        <v>익선동</v>
      </c>
      <c r="H4054" t="s">
        <v>988</v>
      </c>
      <c r="I4054">
        <v>3132</v>
      </c>
    </row>
    <row r="4055" spans="1:9" x14ac:dyDescent="0.4">
      <c r="A4055">
        <v>3000000</v>
      </c>
      <c r="B4055" t="s">
        <v>509</v>
      </c>
      <c r="C4055" s="1">
        <v>39933</v>
      </c>
      <c r="D4055" t="s">
        <v>510</v>
      </c>
      <c r="E4055" t="str">
        <f t="shared" si="201"/>
        <v>서울특별시</v>
      </c>
      <c r="F4055" t="str">
        <f t="shared" si="202"/>
        <v xml:space="preserve">종로구 </v>
      </c>
      <c r="G4055" t="str">
        <f t="shared" si="203"/>
        <v>인사동</v>
      </c>
      <c r="H4055" t="s">
        <v>511</v>
      </c>
      <c r="I4055">
        <v>3164</v>
      </c>
    </row>
    <row r="4056" spans="1:9" x14ac:dyDescent="0.4">
      <c r="A4056">
        <v>3000000</v>
      </c>
      <c r="B4056" t="s">
        <v>830</v>
      </c>
      <c r="C4056" s="1">
        <v>27149</v>
      </c>
      <c r="D4056" t="s">
        <v>831</v>
      </c>
      <c r="E4056" t="str">
        <f t="shared" si="201"/>
        <v>서울특별시</v>
      </c>
      <c r="F4056" t="str">
        <f t="shared" si="202"/>
        <v xml:space="preserve">종로구 </v>
      </c>
      <c r="G4056" t="str">
        <f t="shared" si="203"/>
        <v>인사동</v>
      </c>
    </row>
    <row r="4057" spans="1:9" x14ac:dyDescent="0.4">
      <c r="A4057">
        <v>3000000</v>
      </c>
      <c r="B4057" t="s">
        <v>287</v>
      </c>
      <c r="C4057" s="1">
        <v>27619</v>
      </c>
      <c r="D4057" t="s">
        <v>288</v>
      </c>
      <c r="E4057" t="str">
        <f t="shared" si="201"/>
        <v>서울특별시</v>
      </c>
      <c r="F4057" t="str">
        <f t="shared" si="202"/>
        <v xml:space="preserve">종로구 </v>
      </c>
      <c r="G4057" t="str">
        <f t="shared" si="203"/>
        <v>인사동</v>
      </c>
    </row>
    <row r="4058" spans="1:9" x14ac:dyDescent="0.4">
      <c r="A4058">
        <v>3000000</v>
      </c>
      <c r="B4058" t="s">
        <v>1297</v>
      </c>
      <c r="C4058" s="1">
        <v>43453</v>
      </c>
      <c r="D4058" t="s">
        <v>1298</v>
      </c>
      <c r="E4058" t="str">
        <f t="shared" si="201"/>
        <v>서울특별시</v>
      </c>
      <c r="F4058" t="str">
        <f t="shared" si="202"/>
        <v xml:space="preserve">종로구 </v>
      </c>
      <c r="G4058" t="str">
        <f t="shared" si="203"/>
        <v>인사동</v>
      </c>
      <c r="H4058" t="s">
        <v>1299</v>
      </c>
      <c r="I4058">
        <v>3164</v>
      </c>
    </row>
    <row r="4059" spans="1:9" x14ac:dyDescent="0.4">
      <c r="A4059">
        <v>3000000</v>
      </c>
      <c r="B4059" t="s">
        <v>1122</v>
      </c>
      <c r="C4059" s="1">
        <v>38097</v>
      </c>
      <c r="D4059" t="s">
        <v>1123</v>
      </c>
      <c r="E4059" t="str">
        <f t="shared" si="201"/>
        <v>서울특별시</v>
      </c>
      <c r="F4059" t="str">
        <f t="shared" si="202"/>
        <v xml:space="preserve">종로구 </v>
      </c>
      <c r="G4059" t="str">
        <f t="shared" si="203"/>
        <v>인의동</v>
      </c>
    </row>
    <row r="4060" spans="1:9" x14ac:dyDescent="0.4">
      <c r="A4060">
        <v>3000000</v>
      </c>
      <c r="B4060" t="s">
        <v>781</v>
      </c>
      <c r="C4060" s="1">
        <v>40690</v>
      </c>
      <c r="D4060" t="s">
        <v>782</v>
      </c>
      <c r="E4060" t="str">
        <f t="shared" si="201"/>
        <v>서울특별시</v>
      </c>
      <c r="F4060" t="str">
        <f t="shared" si="202"/>
        <v xml:space="preserve">종로구 </v>
      </c>
      <c r="G4060" t="str">
        <f t="shared" si="203"/>
        <v>인의동</v>
      </c>
      <c r="H4060" t="s">
        <v>783</v>
      </c>
      <c r="I4060">
        <v>3130</v>
      </c>
    </row>
    <row r="4061" spans="1:9" x14ac:dyDescent="0.4">
      <c r="A4061">
        <v>3000000</v>
      </c>
      <c r="B4061" t="s">
        <v>317</v>
      </c>
      <c r="C4061" s="1">
        <v>41995</v>
      </c>
      <c r="D4061" t="s">
        <v>318</v>
      </c>
      <c r="E4061" t="str">
        <f t="shared" si="201"/>
        <v>서울특별시</v>
      </c>
      <c r="F4061" t="str">
        <f t="shared" si="202"/>
        <v xml:space="preserve">종로구 </v>
      </c>
      <c r="G4061" t="str">
        <f t="shared" si="203"/>
        <v>인의동</v>
      </c>
      <c r="H4061" t="s">
        <v>319</v>
      </c>
      <c r="I4061">
        <v>3136</v>
      </c>
    </row>
    <row r="4062" spans="1:9" x14ac:dyDescent="0.4">
      <c r="A4062">
        <v>3000000</v>
      </c>
      <c r="B4062" t="s">
        <v>568</v>
      </c>
      <c r="C4062" s="1">
        <v>37636</v>
      </c>
      <c r="D4062" t="s">
        <v>569</v>
      </c>
      <c r="E4062" t="str">
        <f t="shared" si="201"/>
        <v>서울특별시</v>
      </c>
      <c r="F4062" t="str">
        <f t="shared" si="202"/>
        <v xml:space="preserve">종로구 </v>
      </c>
      <c r="G4062" t="str">
        <f t="shared" si="203"/>
        <v>장사동</v>
      </c>
      <c r="H4062" t="s">
        <v>570</v>
      </c>
      <c r="I4062">
        <v>3193</v>
      </c>
    </row>
    <row r="4063" spans="1:9" x14ac:dyDescent="0.4">
      <c r="A4063">
        <v>3000000</v>
      </c>
      <c r="B4063" t="s">
        <v>1064</v>
      </c>
      <c r="C4063" s="1">
        <v>27455</v>
      </c>
      <c r="D4063" t="s">
        <v>1065</v>
      </c>
      <c r="E4063" t="str">
        <f t="shared" si="201"/>
        <v>서울특별시</v>
      </c>
      <c r="F4063" t="str">
        <f t="shared" si="202"/>
        <v xml:space="preserve">종로구 </v>
      </c>
      <c r="G4063" t="str">
        <f t="shared" si="203"/>
        <v>장사동</v>
      </c>
    </row>
    <row r="4064" spans="1:9" x14ac:dyDescent="0.4">
      <c r="A4064">
        <v>3000000</v>
      </c>
      <c r="B4064" t="s">
        <v>679</v>
      </c>
      <c r="C4064" s="1">
        <v>27148</v>
      </c>
      <c r="D4064" t="s">
        <v>680</v>
      </c>
      <c r="E4064" t="str">
        <f t="shared" si="201"/>
        <v>서울특별시</v>
      </c>
      <c r="F4064" t="str">
        <f t="shared" si="202"/>
        <v xml:space="preserve">종로구 </v>
      </c>
      <c r="G4064" t="str">
        <f t="shared" si="203"/>
        <v>장사동</v>
      </c>
      <c r="H4064" t="s">
        <v>681</v>
      </c>
      <c r="I4064">
        <v>3193</v>
      </c>
    </row>
    <row r="4065" spans="1:9" x14ac:dyDescent="0.4">
      <c r="A4065">
        <v>3000000</v>
      </c>
      <c r="B4065" t="s">
        <v>825</v>
      </c>
      <c r="C4065" s="1">
        <v>33966</v>
      </c>
      <c r="D4065" t="s">
        <v>826</v>
      </c>
      <c r="E4065" t="str">
        <f t="shared" si="201"/>
        <v>서울특별시</v>
      </c>
      <c r="F4065" t="str">
        <f t="shared" si="202"/>
        <v xml:space="preserve">종로구 </v>
      </c>
      <c r="G4065" t="str">
        <f t="shared" si="203"/>
        <v>장사동</v>
      </c>
    </row>
    <row r="4066" spans="1:9" x14ac:dyDescent="0.4">
      <c r="A4066">
        <v>3000000</v>
      </c>
      <c r="B4066" t="s">
        <v>1094</v>
      </c>
      <c r="C4066" s="1">
        <v>36661</v>
      </c>
      <c r="D4066" t="s">
        <v>826</v>
      </c>
      <c r="E4066" t="str">
        <f t="shared" si="201"/>
        <v>서울특별시</v>
      </c>
      <c r="F4066" t="str">
        <f t="shared" si="202"/>
        <v xml:space="preserve">종로구 </v>
      </c>
      <c r="G4066" t="str">
        <f t="shared" si="203"/>
        <v>장사동</v>
      </c>
      <c r="H4066" t="s">
        <v>681</v>
      </c>
      <c r="I4066">
        <v>3193</v>
      </c>
    </row>
    <row r="4067" spans="1:9" x14ac:dyDescent="0.4">
      <c r="A4067">
        <v>3000000</v>
      </c>
      <c r="B4067" t="s">
        <v>394</v>
      </c>
      <c r="C4067" s="1">
        <v>39205</v>
      </c>
      <c r="D4067" t="s">
        <v>395</v>
      </c>
      <c r="E4067" t="str">
        <f t="shared" si="201"/>
        <v>서울특별시</v>
      </c>
      <c r="F4067" t="str">
        <f t="shared" si="202"/>
        <v xml:space="preserve">종로구 </v>
      </c>
      <c r="G4067" t="str">
        <f t="shared" si="203"/>
        <v>장사동</v>
      </c>
      <c r="H4067" t="s">
        <v>396</v>
      </c>
      <c r="I4067">
        <v>3193</v>
      </c>
    </row>
    <row r="4068" spans="1:9" x14ac:dyDescent="0.4">
      <c r="A4068">
        <v>3000000</v>
      </c>
      <c r="B4068" t="s">
        <v>530</v>
      </c>
      <c r="C4068" s="1">
        <v>38324</v>
      </c>
      <c r="D4068" t="s">
        <v>531</v>
      </c>
      <c r="E4068" t="str">
        <f t="shared" si="201"/>
        <v>서울특별시</v>
      </c>
      <c r="F4068" t="str">
        <f t="shared" si="202"/>
        <v xml:space="preserve">종로구 </v>
      </c>
      <c r="G4068" t="str">
        <f t="shared" si="203"/>
        <v>장사동</v>
      </c>
      <c r="H4068" t="s">
        <v>532</v>
      </c>
      <c r="I4068">
        <v>3193</v>
      </c>
    </row>
    <row r="4069" spans="1:9" x14ac:dyDescent="0.4">
      <c r="A4069">
        <v>3000000</v>
      </c>
      <c r="B4069" t="s">
        <v>591</v>
      </c>
      <c r="C4069" s="1">
        <v>36470</v>
      </c>
      <c r="D4069" t="s">
        <v>592</v>
      </c>
      <c r="E4069" t="str">
        <f t="shared" si="201"/>
        <v>서울특별시</v>
      </c>
      <c r="F4069" t="str">
        <f t="shared" si="202"/>
        <v xml:space="preserve">종로구 </v>
      </c>
      <c r="G4069" t="str">
        <f>MID(SUBSTITUTE(D4069," ",""),9,2)</f>
        <v>재동</v>
      </c>
      <c r="H4069" t="s">
        <v>593</v>
      </c>
      <c r="I4069">
        <v>3059</v>
      </c>
    </row>
    <row r="4070" spans="1:9" x14ac:dyDescent="0.4">
      <c r="A4070">
        <v>3000000</v>
      </c>
      <c r="B4070" t="s">
        <v>1263</v>
      </c>
      <c r="C4070" s="1">
        <v>36966</v>
      </c>
      <c r="D4070" t="s">
        <v>1264</v>
      </c>
      <c r="E4070" t="str">
        <f t="shared" si="201"/>
        <v>서울특별시</v>
      </c>
      <c r="F4070" t="str">
        <f t="shared" si="202"/>
        <v xml:space="preserve">종로구 </v>
      </c>
      <c r="G4070" t="str">
        <f t="shared" si="203"/>
        <v>적선동</v>
      </c>
    </row>
    <row r="4071" spans="1:9" x14ac:dyDescent="0.4">
      <c r="A4071">
        <v>3000000</v>
      </c>
      <c r="B4071" t="s">
        <v>965</v>
      </c>
      <c r="C4071" s="1">
        <v>40191</v>
      </c>
      <c r="D4071" t="s">
        <v>966</v>
      </c>
      <c r="E4071" t="str">
        <f t="shared" si="201"/>
        <v>서울특별시</v>
      </c>
      <c r="F4071" t="str">
        <f t="shared" si="202"/>
        <v xml:space="preserve">종로구 </v>
      </c>
      <c r="G4071" t="str">
        <f>MID(SUBSTITUTE(D4071," ",""),9,2)</f>
        <v>종로</v>
      </c>
      <c r="H4071" t="s">
        <v>967</v>
      </c>
      <c r="I4071">
        <v>3157</v>
      </c>
    </row>
    <row r="4072" spans="1:9" x14ac:dyDescent="0.4">
      <c r="A4072">
        <v>3000000</v>
      </c>
      <c r="B4072" t="s">
        <v>1055</v>
      </c>
      <c r="C4072" s="1">
        <v>36333</v>
      </c>
      <c r="D4072" t="s">
        <v>1056</v>
      </c>
      <c r="E4072" t="str">
        <f t="shared" si="201"/>
        <v>서울특별시</v>
      </c>
      <c r="F4072" t="str">
        <f t="shared" si="202"/>
        <v xml:space="preserve">종로구 </v>
      </c>
      <c r="G4072" t="str">
        <f t="shared" ref="G4072:G4135" si="204">MID(SUBSTITUTE(D4072," ",""),9,2)</f>
        <v>종로</v>
      </c>
    </row>
    <row r="4073" spans="1:9" x14ac:dyDescent="0.4">
      <c r="A4073">
        <v>3000000</v>
      </c>
      <c r="B4073" t="s">
        <v>865</v>
      </c>
      <c r="C4073" s="1">
        <v>40406</v>
      </c>
      <c r="D4073" t="s">
        <v>866</v>
      </c>
      <c r="E4073" t="str">
        <f t="shared" si="201"/>
        <v>서울특별시</v>
      </c>
      <c r="F4073" t="str">
        <f t="shared" si="202"/>
        <v xml:space="preserve">종로구 </v>
      </c>
      <c r="G4073" t="str">
        <f t="shared" si="204"/>
        <v>종로</v>
      </c>
      <c r="H4073" t="s">
        <v>867</v>
      </c>
      <c r="I4073">
        <v>3157</v>
      </c>
    </row>
    <row r="4074" spans="1:9" x14ac:dyDescent="0.4">
      <c r="A4074">
        <v>3000000</v>
      </c>
      <c r="B4074" t="s">
        <v>1200</v>
      </c>
      <c r="C4074" s="1">
        <v>39790</v>
      </c>
      <c r="D4074" t="s">
        <v>1201</v>
      </c>
      <c r="E4074" t="str">
        <f t="shared" si="201"/>
        <v>서울특별시</v>
      </c>
      <c r="F4074" t="str">
        <f t="shared" si="202"/>
        <v xml:space="preserve">종로구 </v>
      </c>
      <c r="G4074" t="str">
        <f t="shared" si="204"/>
        <v>종로</v>
      </c>
      <c r="H4074" t="s">
        <v>1202</v>
      </c>
      <c r="I4074">
        <v>3157</v>
      </c>
    </row>
    <row r="4075" spans="1:9" x14ac:dyDescent="0.4">
      <c r="A4075">
        <v>3000000</v>
      </c>
      <c r="B4075" t="s">
        <v>478</v>
      </c>
      <c r="C4075" s="1">
        <v>41421</v>
      </c>
      <c r="D4075" t="s">
        <v>479</v>
      </c>
      <c r="E4075" t="str">
        <f t="shared" si="201"/>
        <v>서울특별시</v>
      </c>
      <c r="F4075" t="str">
        <f t="shared" si="202"/>
        <v xml:space="preserve">종로구 </v>
      </c>
      <c r="G4075" t="str">
        <f t="shared" si="204"/>
        <v>종로</v>
      </c>
      <c r="H4075" t="s">
        <v>480</v>
      </c>
      <c r="I4075">
        <v>3157</v>
      </c>
    </row>
    <row r="4076" spans="1:9" x14ac:dyDescent="0.4">
      <c r="A4076">
        <v>3000000</v>
      </c>
      <c r="B4076" t="s">
        <v>1231</v>
      </c>
      <c r="C4076" s="1">
        <v>37442</v>
      </c>
      <c r="D4076" t="s">
        <v>1232</v>
      </c>
      <c r="E4076" t="str">
        <f t="shared" si="201"/>
        <v>서울특별시</v>
      </c>
      <c r="F4076" t="str">
        <f t="shared" si="202"/>
        <v xml:space="preserve">종로구 </v>
      </c>
      <c r="G4076" t="str">
        <f t="shared" si="204"/>
        <v>종로</v>
      </c>
    </row>
    <row r="4077" spans="1:9" x14ac:dyDescent="0.4">
      <c r="A4077">
        <v>3000000</v>
      </c>
      <c r="B4077" t="s">
        <v>895</v>
      </c>
      <c r="C4077" s="1">
        <v>31227</v>
      </c>
      <c r="D4077" t="s">
        <v>896</v>
      </c>
      <c r="E4077" t="str">
        <f t="shared" si="201"/>
        <v>서울특별시</v>
      </c>
      <c r="F4077" t="str">
        <f t="shared" si="202"/>
        <v xml:space="preserve">종로구 </v>
      </c>
      <c r="G4077" t="str">
        <f t="shared" si="204"/>
        <v>종로</v>
      </c>
    </row>
    <row r="4078" spans="1:9" x14ac:dyDescent="0.4">
      <c r="A4078">
        <v>3000000</v>
      </c>
      <c r="B4078" t="s">
        <v>1345</v>
      </c>
      <c r="C4078" s="1">
        <v>36494</v>
      </c>
      <c r="D4078" t="s">
        <v>1346</v>
      </c>
      <c r="E4078" t="str">
        <f t="shared" si="201"/>
        <v>서울특별시</v>
      </c>
      <c r="F4078" t="str">
        <f t="shared" si="202"/>
        <v xml:space="preserve">종로구 </v>
      </c>
      <c r="G4078" t="str">
        <f t="shared" si="204"/>
        <v>종로</v>
      </c>
    </row>
    <row r="4079" spans="1:9" x14ac:dyDescent="0.4">
      <c r="A4079">
        <v>3000000</v>
      </c>
      <c r="B4079" t="s">
        <v>1347</v>
      </c>
      <c r="C4079" s="1">
        <v>36500</v>
      </c>
      <c r="D4079" t="s">
        <v>1348</v>
      </c>
      <c r="E4079" t="str">
        <f t="shared" si="201"/>
        <v>서울특별시</v>
      </c>
      <c r="F4079" t="str">
        <f t="shared" si="202"/>
        <v xml:space="preserve">종로구 </v>
      </c>
      <c r="G4079" t="str">
        <f t="shared" si="204"/>
        <v>종로</v>
      </c>
    </row>
    <row r="4080" spans="1:9" x14ac:dyDescent="0.4">
      <c r="A4080">
        <v>3000000</v>
      </c>
      <c r="B4080" t="s">
        <v>618</v>
      </c>
      <c r="C4080" s="1">
        <v>30824</v>
      </c>
      <c r="D4080" t="s">
        <v>619</v>
      </c>
      <c r="E4080" t="str">
        <f t="shared" si="201"/>
        <v>서울특별시</v>
      </c>
      <c r="F4080" t="str">
        <f t="shared" si="202"/>
        <v xml:space="preserve">종로구 </v>
      </c>
      <c r="G4080" t="str">
        <f t="shared" si="204"/>
        <v>종로</v>
      </c>
      <c r="H4080" t="s">
        <v>620</v>
      </c>
      <c r="I4080">
        <v>3164</v>
      </c>
    </row>
    <row r="4081" spans="1:9" x14ac:dyDescent="0.4">
      <c r="A4081">
        <v>3000000</v>
      </c>
      <c r="B4081" t="s">
        <v>1035</v>
      </c>
      <c r="C4081" s="1">
        <v>27179</v>
      </c>
      <c r="D4081" t="s">
        <v>619</v>
      </c>
      <c r="E4081" t="str">
        <f t="shared" si="201"/>
        <v>서울특별시</v>
      </c>
      <c r="F4081" t="str">
        <f t="shared" si="202"/>
        <v xml:space="preserve">종로구 </v>
      </c>
      <c r="G4081" t="str">
        <f t="shared" si="204"/>
        <v>종로</v>
      </c>
    </row>
    <row r="4082" spans="1:9" x14ac:dyDescent="0.4">
      <c r="A4082">
        <v>3000000</v>
      </c>
      <c r="B4082" t="s">
        <v>337</v>
      </c>
      <c r="C4082" s="1">
        <v>43096</v>
      </c>
      <c r="D4082" t="s">
        <v>338</v>
      </c>
      <c r="E4082" t="str">
        <f t="shared" si="201"/>
        <v>서울특별시</v>
      </c>
      <c r="F4082" t="str">
        <f t="shared" si="202"/>
        <v xml:space="preserve">종로구 </v>
      </c>
      <c r="G4082" t="str">
        <f t="shared" si="204"/>
        <v>종로</v>
      </c>
      <c r="H4082" t="s">
        <v>339</v>
      </c>
      <c r="I4082">
        <v>3193</v>
      </c>
    </row>
    <row r="4083" spans="1:9" x14ac:dyDescent="0.4">
      <c r="A4083">
        <v>3000000</v>
      </c>
      <c r="B4083" t="s">
        <v>918</v>
      </c>
      <c r="C4083" s="1">
        <v>30768</v>
      </c>
      <c r="D4083" t="s">
        <v>919</v>
      </c>
      <c r="E4083" t="str">
        <f t="shared" si="201"/>
        <v>서울특별시</v>
      </c>
      <c r="F4083" t="str">
        <f t="shared" si="202"/>
        <v xml:space="preserve">종로구 </v>
      </c>
      <c r="G4083" t="str">
        <f t="shared" si="204"/>
        <v>종로</v>
      </c>
      <c r="H4083" t="s">
        <v>920</v>
      </c>
      <c r="I4083">
        <v>3193</v>
      </c>
    </row>
    <row r="4084" spans="1:9" x14ac:dyDescent="0.4">
      <c r="A4084">
        <v>3000000</v>
      </c>
      <c r="B4084" t="s">
        <v>1175</v>
      </c>
      <c r="C4084" s="1">
        <v>37251</v>
      </c>
      <c r="D4084" t="s">
        <v>1176</v>
      </c>
      <c r="E4084" t="str">
        <f t="shared" si="201"/>
        <v>서울특별시</v>
      </c>
      <c r="F4084" t="str">
        <f t="shared" si="202"/>
        <v xml:space="preserve">종로구 </v>
      </c>
      <c r="G4084" t="str">
        <f t="shared" si="204"/>
        <v>종로</v>
      </c>
    </row>
    <row r="4085" spans="1:9" x14ac:dyDescent="0.4">
      <c r="A4085">
        <v>3000000</v>
      </c>
      <c r="B4085" t="s">
        <v>600</v>
      </c>
      <c r="C4085" s="1">
        <v>45139</v>
      </c>
      <c r="D4085" t="s">
        <v>601</v>
      </c>
      <c r="E4085" t="str">
        <f t="shared" si="201"/>
        <v>서울특별시</v>
      </c>
      <c r="F4085" t="str">
        <f t="shared" si="202"/>
        <v xml:space="preserve">종로구 </v>
      </c>
      <c r="G4085" t="str">
        <f t="shared" si="204"/>
        <v>종로</v>
      </c>
      <c r="H4085" t="s">
        <v>602</v>
      </c>
      <c r="I4085">
        <v>3139</v>
      </c>
    </row>
    <row r="4086" spans="1:9" x14ac:dyDescent="0.4">
      <c r="A4086">
        <v>3000000</v>
      </c>
      <c r="B4086" t="s">
        <v>767</v>
      </c>
      <c r="C4086" s="1">
        <v>38097</v>
      </c>
      <c r="D4086" t="s">
        <v>768</v>
      </c>
      <c r="E4086" t="str">
        <f t="shared" si="201"/>
        <v>서울특별시</v>
      </c>
      <c r="F4086" t="str">
        <f t="shared" si="202"/>
        <v xml:space="preserve">종로구 </v>
      </c>
      <c r="G4086" t="str">
        <f t="shared" si="204"/>
        <v>종로</v>
      </c>
      <c r="H4086" t="s">
        <v>769</v>
      </c>
      <c r="I4086">
        <v>3139</v>
      </c>
    </row>
    <row r="4087" spans="1:9" x14ac:dyDescent="0.4">
      <c r="A4087">
        <v>3000000</v>
      </c>
      <c r="B4087" t="s">
        <v>1305</v>
      </c>
      <c r="C4087" s="1">
        <v>38460</v>
      </c>
      <c r="D4087" t="s">
        <v>1306</v>
      </c>
      <c r="E4087" t="str">
        <f t="shared" si="201"/>
        <v>서울특별시</v>
      </c>
      <c r="F4087" t="str">
        <f t="shared" si="202"/>
        <v xml:space="preserve">종로구 </v>
      </c>
      <c r="G4087" t="str">
        <f t="shared" si="204"/>
        <v>종로</v>
      </c>
      <c r="H4087" t="s">
        <v>1307</v>
      </c>
      <c r="I4087">
        <v>3139</v>
      </c>
    </row>
    <row r="4088" spans="1:9" x14ac:dyDescent="0.4">
      <c r="A4088">
        <v>3000000</v>
      </c>
      <c r="B4088" t="s">
        <v>770</v>
      </c>
      <c r="C4088" s="1">
        <v>44848</v>
      </c>
      <c r="D4088" t="s">
        <v>771</v>
      </c>
      <c r="E4088" t="str">
        <f t="shared" si="201"/>
        <v>서울특별시</v>
      </c>
      <c r="F4088" t="str">
        <f t="shared" si="202"/>
        <v xml:space="preserve">종로구 </v>
      </c>
      <c r="G4088" t="str">
        <f t="shared" si="204"/>
        <v>종로</v>
      </c>
      <c r="H4088" t="s">
        <v>772</v>
      </c>
      <c r="I4088">
        <v>3195</v>
      </c>
    </row>
    <row r="4089" spans="1:9" x14ac:dyDescent="0.4">
      <c r="A4089">
        <v>3000000</v>
      </c>
      <c r="B4089" t="s">
        <v>326</v>
      </c>
      <c r="C4089" s="1">
        <v>42416</v>
      </c>
      <c r="D4089" t="s">
        <v>327</v>
      </c>
      <c r="E4089" t="str">
        <f t="shared" si="201"/>
        <v>서울특별시</v>
      </c>
      <c r="F4089" t="str">
        <f t="shared" si="202"/>
        <v xml:space="preserve">종로구 </v>
      </c>
      <c r="G4089" t="str">
        <f t="shared" si="204"/>
        <v>종로</v>
      </c>
      <c r="H4089" t="s">
        <v>328</v>
      </c>
      <c r="I4089">
        <v>3130</v>
      </c>
    </row>
    <row r="4090" spans="1:9" x14ac:dyDescent="0.4">
      <c r="A4090">
        <v>3000000</v>
      </c>
      <c r="B4090" t="s">
        <v>329</v>
      </c>
      <c r="C4090" s="1">
        <v>42417</v>
      </c>
      <c r="D4090" t="s">
        <v>330</v>
      </c>
      <c r="E4090" t="str">
        <f t="shared" si="201"/>
        <v>서울특별시</v>
      </c>
      <c r="F4090" t="str">
        <f t="shared" si="202"/>
        <v xml:space="preserve">종로구 </v>
      </c>
      <c r="G4090" t="str">
        <f t="shared" si="204"/>
        <v>종로</v>
      </c>
      <c r="H4090" t="s">
        <v>328</v>
      </c>
      <c r="I4090">
        <v>3130</v>
      </c>
    </row>
    <row r="4091" spans="1:9" x14ac:dyDescent="0.4">
      <c r="A4091">
        <v>3000000</v>
      </c>
      <c r="B4091" t="s">
        <v>442</v>
      </c>
      <c r="C4091" s="1">
        <v>39743</v>
      </c>
      <c r="D4091" t="s">
        <v>443</v>
      </c>
      <c r="E4091" t="str">
        <f t="shared" si="201"/>
        <v>서울특별시</v>
      </c>
      <c r="F4091" t="str">
        <f t="shared" si="202"/>
        <v xml:space="preserve">종로구 </v>
      </c>
      <c r="G4091" t="str">
        <f t="shared" si="204"/>
        <v>종로</v>
      </c>
      <c r="H4091" t="s">
        <v>444</v>
      </c>
      <c r="I4091">
        <v>3129</v>
      </c>
    </row>
    <row r="4092" spans="1:9" x14ac:dyDescent="0.4">
      <c r="A4092">
        <v>3000000</v>
      </c>
      <c r="B4092" t="s">
        <v>894</v>
      </c>
      <c r="C4092" s="1">
        <v>31227</v>
      </c>
      <c r="D4092" t="s">
        <v>443</v>
      </c>
      <c r="E4092" t="str">
        <f t="shared" si="201"/>
        <v>서울특별시</v>
      </c>
      <c r="F4092" t="str">
        <f t="shared" si="202"/>
        <v xml:space="preserve">종로구 </v>
      </c>
      <c r="G4092" t="str">
        <f t="shared" si="204"/>
        <v>종로</v>
      </c>
    </row>
    <row r="4093" spans="1:9" x14ac:dyDescent="0.4">
      <c r="A4093">
        <v>3000000</v>
      </c>
      <c r="B4093" t="s">
        <v>1225</v>
      </c>
      <c r="C4093" s="1">
        <v>37419</v>
      </c>
      <c r="D4093" t="s">
        <v>1226</v>
      </c>
      <c r="E4093" t="str">
        <f t="shared" si="201"/>
        <v>서울특별시</v>
      </c>
      <c r="F4093" t="str">
        <f t="shared" si="202"/>
        <v xml:space="preserve">종로구 </v>
      </c>
      <c r="G4093" t="str">
        <f t="shared" si="204"/>
        <v>종로</v>
      </c>
      <c r="H4093" t="s">
        <v>420</v>
      </c>
      <c r="I4093">
        <v>3129</v>
      </c>
    </row>
    <row r="4094" spans="1:9" x14ac:dyDescent="0.4">
      <c r="A4094">
        <v>3000000</v>
      </c>
      <c r="B4094" t="s">
        <v>418</v>
      </c>
      <c r="C4094" s="1">
        <v>37365</v>
      </c>
      <c r="D4094" t="s">
        <v>419</v>
      </c>
      <c r="E4094" t="str">
        <f t="shared" si="201"/>
        <v>서울특별시</v>
      </c>
      <c r="F4094" t="str">
        <f t="shared" si="202"/>
        <v xml:space="preserve">종로구 </v>
      </c>
      <c r="G4094" t="str">
        <f t="shared" si="204"/>
        <v>종로</v>
      </c>
      <c r="H4094" t="s">
        <v>420</v>
      </c>
      <c r="I4094">
        <v>3129</v>
      </c>
    </row>
    <row r="4095" spans="1:9" x14ac:dyDescent="0.4">
      <c r="A4095">
        <v>3000000</v>
      </c>
      <c r="B4095" t="s">
        <v>597</v>
      </c>
      <c r="C4095" s="1">
        <v>43544</v>
      </c>
      <c r="D4095" t="s">
        <v>598</v>
      </c>
      <c r="E4095" t="str">
        <f t="shared" si="201"/>
        <v>서울특별시</v>
      </c>
      <c r="F4095" t="str">
        <f t="shared" si="202"/>
        <v xml:space="preserve">종로구 </v>
      </c>
      <c r="G4095" t="str">
        <f t="shared" si="204"/>
        <v>종로</v>
      </c>
      <c r="H4095" t="s">
        <v>599</v>
      </c>
      <c r="I4095">
        <v>3129</v>
      </c>
    </row>
    <row r="4096" spans="1:9" x14ac:dyDescent="0.4">
      <c r="A4096">
        <v>3000000</v>
      </c>
      <c r="B4096" t="s">
        <v>802</v>
      </c>
      <c r="C4096" s="1">
        <v>41060</v>
      </c>
      <c r="D4096" t="s">
        <v>803</v>
      </c>
      <c r="E4096" t="str">
        <f t="shared" si="201"/>
        <v>서울특별시</v>
      </c>
      <c r="F4096" t="str">
        <f t="shared" si="202"/>
        <v xml:space="preserve">종로구 </v>
      </c>
      <c r="G4096" t="str">
        <f t="shared" si="204"/>
        <v>종로</v>
      </c>
      <c r="H4096" t="s">
        <v>804</v>
      </c>
      <c r="I4096">
        <v>3196</v>
      </c>
    </row>
    <row r="4097" spans="1:9" x14ac:dyDescent="0.4">
      <c r="A4097">
        <v>3000000</v>
      </c>
      <c r="B4097" t="s">
        <v>1184</v>
      </c>
      <c r="C4097" s="1">
        <v>37368</v>
      </c>
      <c r="D4097" t="s">
        <v>1185</v>
      </c>
      <c r="E4097" t="str">
        <f t="shared" si="201"/>
        <v>서울특별시</v>
      </c>
      <c r="F4097" t="str">
        <f t="shared" si="202"/>
        <v xml:space="preserve">종로구 </v>
      </c>
      <c r="G4097" t="str">
        <f t="shared" si="204"/>
        <v>종로</v>
      </c>
    </row>
    <row r="4098" spans="1:9" x14ac:dyDescent="0.4">
      <c r="A4098">
        <v>3000000</v>
      </c>
      <c r="B4098" t="s">
        <v>1162</v>
      </c>
      <c r="C4098" s="1">
        <v>40634</v>
      </c>
      <c r="D4098" t="s">
        <v>1163</v>
      </c>
      <c r="E4098" t="str">
        <f t="shared" si="201"/>
        <v>서울특별시</v>
      </c>
      <c r="F4098" t="str">
        <f t="shared" si="202"/>
        <v xml:space="preserve">종로구 </v>
      </c>
      <c r="G4098" t="str">
        <f t="shared" si="204"/>
        <v>종로</v>
      </c>
    </row>
    <row r="4099" spans="1:9" x14ac:dyDescent="0.4">
      <c r="A4099">
        <v>3000000</v>
      </c>
      <c r="B4099" t="s">
        <v>1120</v>
      </c>
      <c r="C4099" s="1">
        <v>38090</v>
      </c>
      <c r="D4099" t="s">
        <v>1121</v>
      </c>
      <c r="E4099" t="str">
        <f t="shared" ref="E4099:E4162" si="205">LEFT(D4099,5)</f>
        <v>서울특별시</v>
      </c>
      <c r="F4099" t="str">
        <f t="shared" ref="F4099:F4162" si="206">MID(D4099,7,4)</f>
        <v xml:space="preserve">종로구 </v>
      </c>
      <c r="G4099" t="str">
        <f t="shared" si="204"/>
        <v>종로</v>
      </c>
    </row>
    <row r="4100" spans="1:9" x14ac:dyDescent="0.4">
      <c r="A4100">
        <v>3000000</v>
      </c>
      <c r="B4100" t="s">
        <v>727</v>
      </c>
      <c r="C4100" s="1">
        <v>37445</v>
      </c>
      <c r="D4100" t="s">
        <v>728</v>
      </c>
      <c r="E4100" t="str">
        <f t="shared" si="205"/>
        <v>서울특별시</v>
      </c>
      <c r="F4100" t="str">
        <f t="shared" si="206"/>
        <v xml:space="preserve">종로구 </v>
      </c>
      <c r="G4100" t="str">
        <f t="shared" si="204"/>
        <v>종로</v>
      </c>
      <c r="H4100" t="s">
        <v>729</v>
      </c>
      <c r="I4100">
        <v>3196</v>
      </c>
    </row>
    <row r="4101" spans="1:9" x14ac:dyDescent="0.4">
      <c r="A4101">
        <v>3000000</v>
      </c>
      <c r="B4101" t="s">
        <v>1089</v>
      </c>
      <c r="C4101" s="1">
        <v>36637</v>
      </c>
      <c r="D4101" t="s">
        <v>1090</v>
      </c>
      <c r="E4101" t="str">
        <f t="shared" si="205"/>
        <v>서울특별시</v>
      </c>
      <c r="F4101" t="str">
        <f t="shared" si="206"/>
        <v xml:space="preserve">종로구 </v>
      </c>
      <c r="G4101" t="str">
        <f t="shared" si="204"/>
        <v>종로</v>
      </c>
    </row>
    <row r="4102" spans="1:9" x14ac:dyDescent="0.4">
      <c r="A4102">
        <v>3000000</v>
      </c>
      <c r="B4102" t="s">
        <v>358</v>
      </c>
      <c r="C4102" s="1">
        <v>38817</v>
      </c>
      <c r="D4102" t="s">
        <v>359</v>
      </c>
      <c r="E4102" t="str">
        <f t="shared" si="205"/>
        <v>서울특별시</v>
      </c>
      <c r="F4102" t="str">
        <f t="shared" si="206"/>
        <v xml:space="preserve">종로구 </v>
      </c>
      <c r="G4102" t="str">
        <f t="shared" si="204"/>
        <v>종로</v>
      </c>
      <c r="H4102" t="s">
        <v>360</v>
      </c>
      <c r="I4102">
        <v>3126</v>
      </c>
    </row>
    <row r="4103" spans="1:9" x14ac:dyDescent="0.4">
      <c r="A4103">
        <v>3000000</v>
      </c>
      <c r="B4103" t="s">
        <v>1153</v>
      </c>
      <c r="C4103" s="1">
        <v>40513</v>
      </c>
      <c r="D4103" t="s">
        <v>1154</v>
      </c>
      <c r="E4103" t="str">
        <f t="shared" si="205"/>
        <v>서울특별시</v>
      </c>
      <c r="F4103" t="str">
        <f t="shared" si="206"/>
        <v xml:space="preserve">종로구 </v>
      </c>
      <c r="G4103" t="str">
        <f t="shared" si="204"/>
        <v>종로</v>
      </c>
      <c r="H4103" t="s">
        <v>1155</v>
      </c>
      <c r="I4103">
        <v>3196</v>
      </c>
    </row>
    <row r="4104" spans="1:9" x14ac:dyDescent="0.4">
      <c r="A4104">
        <v>3000000</v>
      </c>
      <c r="B4104" t="s">
        <v>541</v>
      </c>
      <c r="C4104" s="1">
        <v>38462</v>
      </c>
      <c r="D4104" t="s">
        <v>542</v>
      </c>
      <c r="E4104" t="str">
        <f t="shared" si="205"/>
        <v>서울특별시</v>
      </c>
      <c r="F4104" t="str">
        <f t="shared" si="206"/>
        <v xml:space="preserve">종로구 </v>
      </c>
      <c r="G4104" t="str">
        <f t="shared" si="204"/>
        <v>종로</v>
      </c>
      <c r="H4104" t="s">
        <v>543</v>
      </c>
      <c r="I4104">
        <v>3196</v>
      </c>
    </row>
    <row r="4105" spans="1:9" x14ac:dyDescent="0.4">
      <c r="A4105">
        <v>3000000</v>
      </c>
      <c r="B4105" t="s">
        <v>1115</v>
      </c>
      <c r="C4105" s="1">
        <v>37963</v>
      </c>
      <c r="D4105" t="s">
        <v>1116</v>
      </c>
      <c r="E4105" t="str">
        <f t="shared" si="205"/>
        <v>서울특별시</v>
      </c>
      <c r="F4105" t="str">
        <f t="shared" si="206"/>
        <v xml:space="preserve">종로구 </v>
      </c>
      <c r="G4105" t="str">
        <f t="shared" si="204"/>
        <v>종로</v>
      </c>
      <c r="H4105" t="s">
        <v>1117</v>
      </c>
      <c r="I4105">
        <v>3197</v>
      </c>
    </row>
    <row r="4106" spans="1:9" x14ac:dyDescent="0.4">
      <c r="A4106">
        <v>3000000</v>
      </c>
      <c r="B4106" t="s">
        <v>1110</v>
      </c>
      <c r="C4106" s="1">
        <v>36917</v>
      </c>
      <c r="D4106" t="s">
        <v>1111</v>
      </c>
      <c r="E4106" t="str">
        <f t="shared" si="205"/>
        <v>서울특별시</v>
      </c>
      <c r="F4106" t="str">
        <f t="shared" si="206"/>
        <v xml:space="preserve">종로구 </v>
      </c>
      <c r="G4106" t="str">
        <f t="shared" si="204"/>
        <v>종로</v>
      </c>
      <c r="H4106" t="s">
        <v>754</v>
      </c>
      <c r="I4106">
        <v>3197</v>
      </c>
    </row>
    <row r="4107" spans="1:9" x14ac:dyDescent="0.4">
      <c r="A4107">
        <v>3000000</v>
      </c>
      <c r="B4107" t="s">
        <v>752</v>
      </c>
      <c r="C4107" s="1">
        <v>37008</v>
      </c>
      <c r="D4107" t="s">
        <v>753</v>
      </c>
      <c r="E4107" t="str">
        <f t="shared" si="205"/>
        <v>서울특별시</v>
      </c>
      <c r="F4107" t="str">
        <f t="shared" si="206"/>
        <v xml:space="preserve">종로구 </v>
      </c>
      <c r="G4107" t="str">
        <f t="shared" si="204"/>
        <v>종로</v>
      </c>
      <c r="H4107" t="s">
        <v>754</v>
      </c>
      <c r="I4107">
        <v>3197</v>
      </c>
    </row>
    <row r="4108" spans="1:9" x14ac:dyDescent="0.4">
      <c r="A4108">
        <v>3000000</v>
      </c>
      <c r="B4108" t="s">
        <v>278</v>
      </c>
      <c r="C4108" s="1">
        <v>36273</v>
      </c>
      <c r="D4108" t="s">
        <v>279</v>
      </c>
      <c r="E4108" t="str">
        <f t="shared" si="205"/>
        <v>서울특별시</v>
      </c>
      <c r="F4108" t="str">
        <f t="shared" si="206"/>
        <v xml:space="preserve">종로구 </v>
      </c>
      <c r="G4108" t="str">
        <f t="shared" si="204"/>
        <v>종로</v>
      </c>
      <c r="H4108" t="s">
        <v>280</v>
      </c>
      <c r="I4108">
        <v>3197</v>
      </c>
    </row>
    <row r="4109" spans="1:9" x14ac:dyDescent="0.4">
      <c r="A4109">
        <v>3000000</v>
      </c>
      <c r="B4109" t="s">
        <v>631</v>
      </c>
      <c r="C4109" s="1">
        <v>36504</v>
      </c>
      <c r="D4109" t="s">
        <v>632</v>
      </c>
      <c r="E4109" t="str">
        <f t="shared" si="205"/>
        <v>서울특별시</v>
      </c>
      <c r="F4109" t="str">
        <f t="shared" si="206"/>
        <v xml:space="preserve">종로구 </v>
      </c>
      <c r="G4109" t="str">
        <f t="shared" si="204"/>
        <v>종로</v>
      </c>
      <c r="H4109" t="s">
        <v>633</v>
      </c>
      <c r="I4109">
        <v>3197</v>
      </c>
    </row>
    <row r="4110" spans="1:9" x14ac:dyDescent="0.4">
      <c r="A4110">
        <v>3000000</v>
      </c>
      <c r="B4110" t="s">
        <v>718</v>
      </c>
      <c r="C4110" s="1">
        <v>36719</v>
      </c>
      <c r="D4110" t="s">
        <v>719</v>
      </c>
      <c r="E4110" t="str">
        <f t="shared" si="205"/>
        <v>서울특별시</v>
      </c>
      <c r="F4110" t="str">
        <f t="shared" si="206"/>
        <v xml:space="preserve">종로구 </v>
      </c>
      <c r="G4110" t="str">
        <f t="shared" si="204"/>
        <v>종로</v>
      </c>
      <c r="H4110" t="s">
        <v>720</v>
      </c>
      <c r="I4110">
        <v>3197</v>
      </c>
    </row>
    <row r="4111" spans="1:9" x14ac:dyDescent="0.4">
      <c r="A4111">
        <v>3000000</v>
      </c>
      <c r="B4111" t="s">
        <v>433</v>
      </c>
      <c r="C4111" s="1">
        <v>41065</v>
      </c>
      <c r="D4111" t="s">
        <v>434</v>
      </c>
      <c r="E4111" t="str">
        <f t="shared" si="205"/>
        <v>서울특별시</v>
      </c>
      <c r="F4111" t="str">
        <f t="shared" si="206"/>
        <v xml:space="preserve">종로구 </v>
      </c>
      <c r="G4111" t="str">
        <f t="shared" si="204"/>
        <v>종로</v>
      </c>
      <c r="H4111" t="s">
        <v>435</v>
      </c>
      <c r="I4111">
        <v>3197</v>
      </c>
    </row>
    <row r="4112" spans="1:9" x14ac:dyDescent="0.4">
      <c r="A4112">
        <v>3000000</v>
      </c>
      <c r="B4112" t="s">
        <v>799</v>
      </c>
      <c r="C4112" s="1">
        <v>41012</v>
      </c>
      <c r="D4112" t="s">
        <v>800</v>
      </c>
      <c r="E4112" t="str">
        <f t="shared" si="205"/>
        <v>서울특별시</v>
      </c>
      <c r="F4112" t="str">
        <f t="shared" si="206"/>
        <v xml:space="preserve">종로구 </v>
      </c>
      <c r="G4112" t="str">
        <f t="shared" si="204"/>
        <v>종로</v>
      </c>
      <c r="H4112" t="s">
        <v>801</v>
      </c>
      <c r="I4112">
        <v>3197</v>
      </c>
    </row>
    <row r="4113" spans="1:9" x14ac:dyDescent="0.4">
      <c r="A4113">
        <v>3000000</v>
      </c>
      <c r="B4113" t="s">
        <v>379</v>
      </c>
      <c r="C4113" s="1">
        <v>40490</v>
      </c>
      <c r="D4113" t="s">
        <v>380</v>
      </c>
      <c r="E4113" t="str">
        <f t="shared" si="205"/>
        <v>서울특별시</v>
      </c>
      <c r="F4113" t="str">
        <f t="shared" si="206"/>
        <v xml:space="preserve">종로구 </v>
      </c>
      <c r="G4113" t="str">
        <f t="shared" si="204"/>
        <v>종로</v>
      </c>
      <c r="H4113" t="s">
        <v>381</v>
      </c>
      <c r="I4113">
        <v>3197</v>
      </c>
    </row>
    <row r="4114" spans="1:9" x14ac:dyDescent="0.4">
      <c r="A4114">
        <v>3000000</v>
      </c>
      <c r="B4114" t="s">
        <v>439</v>
      </c>
      <c r="C4114" s="1">
        <v>39696</v>
      </c>
      <c r="D4114" t="s">
        <v>440</v>
      </c>
      <c r="E4114" t="str">
        <f t="shared" si="205"/>
        <v>서울특별시</v>
      </c>
      <c r="F4114" t="str">
        <f t="shared" si="206"/>
        <v xml:space="preserve">종로구 </v>
      </c>
      <c r="G4114" t="str">
        <f t="shared" si="204"/>
        <v>종로</v>
      </c>
      <c r="H4114" t="s">
        <v>441</v>
      </c>
      <c r="I4114">
        <v>3197</v>
      </c>
    </row>
    <row r="4115" spans="1:9" x14ac:dyDescent="0.4">
      <c r="A4115">
        <v>3000000</v>
      </c>
      <c r="B4115" t="s">
        <v>580</v>
      </c>
      <c r="C4115" s="1">
        <v>36710</v>
      </c>
      <c r="D4115" t="s">
        <v>581</v>
      </c>
      <c r="E4115" t="str">
        <f t="shared" si="205"/>
        <v>서울특별시</v>
      </c>
      <c r="F4115" t="str">
        <f t="shared" si="206"/>
        <v xml:space="preserve">종로구 </v>
      </c>
      <c r="G4115" t="str">
        <f t="shared" si="204"/>
        <v>종로</v>
      </c>
      <c r="H4115" t="s">
        <v>582</v>
      </c>
      <c r="I4115">
        <v>3197</v>
      </c>
    </row>
    <row r="4116" spans="1:9" x14ac:dyDescent="0.4">
      <c r="A4116">
        <v>3000000</v>
      </c>
      <c r="B4116" t="s">
        <v>583</v>
      </c>
      <c r="C4116" s="1">
        <v>36711</v>
      </c>
      <c r="D4116" t="s">
        <v>584</v>
      </c>
      <c r="E4116" t="str">
        <f t="shared" si="205"/>
        <v>서울특별시</v>
      </c>
      <c r="F4116" t="str">
        <f t="shared" si="206"/>
        <v xml:space="preserve">종로구 </v>
      </c>
      <c r="G4116" t="str">
        <f t="shared" si="204"/>
        <v>종로</v>
      </c>
      <c r="H4116" t="s">
        <v>585</v>
      </c>
      <c r="I4116">
        <v>3197</v>
      </c>
    </row>
    <row r="4117" spans="1:9" x14ac:dyDescent="0.4">
      <c r="A4117">
        <v>3000000</v>
      </c>
      <c r="B4117" t="s">
        <v>646</v>
      </c>
      <c r="C4117" s="1">
        <v>36675</v>
      </c>
      <c r="D4117" t="s">
        <v>647</v>
      </c>
      <c r="E4117" t="str">
        <f t="shared" si="205"/>
        <v>서울특별시</v>
      </c>
      <c r="F4117" t="str">
        <f t="shared" si="206"/>
        <v xml:space="preserve">종로구 </v>
      </c>
      <c r="G4117" t="str">
        <f t="shared" si="204"/>
        <v>종로</v>
      </c>
      <c r="H4117" t="s">
        <v>648</v>
      </c>
      <c r="I4117">
        <v>3197</v>
      </c>
    </row>
    <row r="4118" spans="1:9" x14ac:dyDescent="0.4">
      <c r="A4118">
        <v>3000000</v>
      </c>
      <c r="B4118" t="s">
        <v>621</v>
      </c>
      <c r="C4118" s="1">
        <v>36484</v>
      </c>
      <c r="D4118" t="s">
        <v>622</v>
      </c>
      <c r="E4118" t="str">
        <f t="shared" si="205"/>
        <v>서울특별시</v>
      </c>
      <c r="F4118" t="str">
        <f t="shared" si="206"/>
        <v xml:space="preserve">종로구 </v>
      </c>
      <c r="G4118" t="str">
        <f t="shared" si="204"/>
        <v>종로</v>
      </c>
      <c r="H4118" t="s">
        <v>623</v>
      </c>
      <c r="I4118">
        <v>3197</v>
      </c>
    </row>
    <row r="4119" spans="1:9" x14ac:dyDescent="0.4">
      <c r="A4119">
        <v>3000000</v>
      </c>
      <c r="B4119" t="s">
        <v>586</v>
      </c>
      <c r="C4119" s="1">
        <v>36468</v>
      </c>
      <c r="D4119" t="s">
        <v>587</v>
      </c>
      <c r="E4119" t="str">
        <f t="shared" si="205"/>
        <v>서울특별시</v>
      </c>
      <c r="F4119" t="str">
        <f t="shared" si="206"/>
        <v xml:space="preserve">종로구 </v>
      </c>
      <c r="G4119" t="str">
        <f t="shared" si="204"/>
        <v>종로</v>
      </c>
      <c r="H4119" t="s">
        <v>588</v>
      </c>
      <c r="I4119">
        <v>3197</v>
      </c>
    </row>
    <row r="4120" spans="1:9" x14ac:dyDescent="0.4">
      <c r="A4120">
        <v>3000000</v>
      </c>
      <c r="B4120" t="s">
        <v>787</v>
      </c>
      <c r="C4120" s="1">
        <v>40702</v>
      </c>
      <c r="D4120" t="s">
        <v>788</v>
      </c>
      <c r="E4120" t="str">
        <f t="shared" si="205"/>
        <v>서울특별시</v>
      </c>
      <c r="F4120" t="str">
        <f t="shared" si="206"/>
        <v xml:space="preserve">종로구 </v>
      </c>
      <c r="G4120" t="str">
        <f t="shared" si="204"/>
        <v>종로</v>
      </c>
      <c r="H4120" t="s">
        <v>789</v>
      </c>
      <c r="I4120">
        <v>3197</v>
      </c>
    </row>
    <row r="4121" spans="1:9" x14ac:dyDescent="0.4">
      <c r="A4121">
        <v>3000000</v>
      </c>
      <c r="B4121" t="s">
        <v>1010</v>
      </c>
      <c r="C4121" s="1">
        <v>38234</v>
      </c>
      <c r="D4121" t="s">
        <v>1011</v>
      </c>
      <c r="E4121" t="str">
        <f t="shared" si="205"/>
        <v>서울특별시</v>
      </c>
      <c r="F4121" t="str">
        <f t="shared" si="206"/>
        <v xml:space="preserve">종로구 </v>
      </c>
      <c r="G4121" t="str">
        <f t="shared" si="204"/>
        <v>종로</v>
      </c>
    </row>
    <row r="4122" spans="1:9" x14ac:dyDescent="0.4">
      <c r="A4122">
        <v>3000000</v>
      </c>
      <c r="B4122" t="s">
        <v>1273</v>
      </c>
      <c r="C4122" s="1">
        <v>38771</v>
      </c>
      <c r="D4122" t="s">
        <v>1011</v>
      </c>
      <c r="E4122" t="str">
        <f t="shared" si="205"/>
        <v>서울특별시</v>
      </c>
      <c r="F4122" t="str">
        <f t="shared" si="206"/>
        <v xml:space="preserve">종로구 </v>
      </c>
      <c r="G4122" t="str">
        <f t="shared" si="204"/>
        <v>종로</v>
      </c>
    </row>
    <row r="4123" spans="1:9" x14ac:dyDescent="0.4">
      <c r="A4123">
        <v>3000000</v>
      </c>
      <c r="B4123" t="s">
        <v>340</v>
      </c>
      <c r="C4123" s="1">
        <v>38630</v>
      </c>
      <c r="D4123" t="s">
        <v>341</v>
      </c>
      <c r="E4123" t="str">
        <f t="shared" si="205"/>
        <v>서울특별시</v>
      </c>
      <c r="F4123" t="str">
        <f t="shared" si="206"/>
        <v xml:space="preserve">종로구 </v>
      </c>
      <c r="G4123" t="str">
        <f t="shared" si="204"/>
        <v>종로</v>
      </c>
      <c r="H4123" t="s">
        <v>342</v>
      </c>
      <c r="I4123">
        <v>3197</v>
      </c>
    </row>
    <row r="4124" spans="1:9" x14ac:dyDescent="0.4">
      <c r="A4124">
        <v>3000000</v>
      </c>
      <c r="B4124" t="s">
        <v>559</v>
      </c>
      <c r="C4124" s="1">
        <v>37550</v>
      </c>
      <c r="D4124" t="s">
        <v>560</v>
      </c>
      <c r="E4124" t="str">
        <f t="shared" si="205"/>
        <v>서울특별시</v>
      </c>
      <c r="F4124" t="str">
        <f t="shared" si="206"/>
        <v xml:space="preserve">종로구 </v>
      </c>
      <c r="G4124" t="str">
        <f t="shared" si="204"/>
        <v>종로</v>
      </c>
      <c r="H4124" t="s">
        <v>561</v>
      </c>
      <c r="I4124">
        <v>3197</v>
      </c>
    </row>
    <row r="4125" spans="1:9" x14ac:dyDescent="0.4">
      <c r="A4125">
        <v>3000000</v>
      </c>
      <c r="B4125" t="s">
        <v>490</v>
      </c>
      <c r="C4125" s="1">
        <v>36406</v>
      </c>
      <c r="D4125" t="s">
        <v>491</v>
      </c>
      <c r="E4125" t="str">
        <f t="shared" si="205"/>
        <v>서울특별시</v>
      </c>
      <c r="F4125" t="str">
        <f t="shared" si="206"/>
        <v xml:space="preserve">종로구 </v>
      </c>
      <c r="G4125" t="str">
        <f t="shared" si="204"/>
        <v>종로</v>
      </c>
      <c r="H4125" t="s">
        <v>492</v>
      </c>
      <c r="I4125">
        <v>3197</v>
      </c>
    </row>
    <row r="4126" spans="1:9" x14ac:dyDescent="0.4">
      <c r="A4126">
        <v>3000000</v>
      </c>
      <c r="B4126" t="s">
        <v>1340</v>
      </c>
      <c r="C4126" s="1">
        <v>36472</v>
      </c>
      <c r="D4126" t="s">
        <v>1341</v>
      </c>
      <c r="E4126" t="str">
        <f t="shared" si="205"/>
        <v>서울특별시</v>
      </c>
      <c r="F4126" t="str">
        <f t="shared" si="206"/>
        <v xml:space="preserve">종로구 </v>
      </c>
      <c r="G4126" t="str">
        <f t="shared" si="204"/>
        <v>종로</v>
      </c>
    </row>
    <row r="4127" spans="1:9" x14ac:dyDescent="0.4">
      <c r="A4127">
        <v>3000000</v>
      </c>
      <c r="B4127" t="s">
        <v>749</v>
      </c>
      <c r="C4127" s="1">
        <v>36955</v>
      </c>
      <c r="D4127" t="s">
        <v>750</v>
      </c>
      <c r="E4127" t="str">
        <f t="shared" si="205"/>
        <v>서울특별시</v>
      </c>
      <c r="F4127" t="str">
        <f t="shared" si="206"/>
        <v xml:space="preserve">종로구 </v>
      </c>
      <c r="G4127" t="str">
        <f t="shared" si="204"/>
        <v>종로</v>
      </c>
      <c r="H4127" t="s">
        <v>751</v>
      </c>
      <c r="I4127">
        <v>3196</v>
      </c>
    </row>
    <row r="4128" spans="1:9" x14ac:dyDescent="0.4">
      <c r="A4128">
        <v>3000000</v>
      </c>
      <c r="B4128" t="s">
        <v>391</v>
      </c>
      <c r="C4128" s="1">
        <v>39154</v>
      </c>
      <c r="D4128" t="s">
        <v>392</v>
      </c>
      <c r="E4128" t="str">
        <f t="shared" si="205"/>
        <v>서울특별시</v>
      </c>
      <c r="F4128" t="str">
        <f t="shared" si="206"/>
        <v xml:space="preserve">종로구 </v>
      </c>
      <c r="G4128" t="str">
        <f t="shared" si="204"/>
        <v>종로</v>
      </c>
      <c r="H4128" t="s">
        <v>393</v>
      </c>
      <c r="I4128">
        <v>3196</v>
      </c>
    </row>
    <row r="4129" spans="1:9" x14ac:dyDescent="0.4">
      <c r="A4129">
        <v>3000000</v>
      </c>
      <c r="B4129" t="s">
        <v>355</v>
      </c>
      <c r="C4129" s="1">
        <v>40389</v>
      </c>
      <c r="D4129" t="s">
        <v>356</v>
      </c>
      <c r="E4129" t="str">
        <f t="shared" si="205"/>
        <v>서울특별시</v>
      </c>
      <c r="F4129" t="str">
        <f t="shared" si="206"/>
        <v xml:space="preserve">종로구 </v>
      </c>
      <c r="G4129" t="str">
        <f t="shared" si="204"/>
        <v>종로</v>
      </c>
      <c r="H4129" t="s">
        <v>357</v>
      </c>
      <c r="I4129">
        <v>3126</v>
      </c>
    </row>
    <row r="4130" spans="1:9" x14ac:dyDescent="0.4">
      <c r="A4130">
        <v>3000000</v>
      </c>
      <c r="B4130" t="s">
        <v>415</v>
      </c>
      <c r="C4130" s="1">
        <v>37810</v>
      </c>
      <c r="D4130" t="s">
        <v>416</v>
      </c>
      <c r="E4130" t="str">
        <f t="shared" si="205"/>
        <v>서울특별시</v>
      </c>
      <c r="F4130" t="str">
        <f t="shared" si="206"/>
        <v xml:space="preserve">종로구 </v>
      </c>
      <c r="G4130" t="str">
        <f t="shared" si="204"/>
        <v>종로</v>
      </c>
      <c r="H4130" t="s">
        <v>417</v>
      </c>
      <c r="I4130">
        <v>3126</v>
      </c>
    </row>
    <row r="4131" spans="1:9" x14ac:dyDescent="0.4">
      <c r="A4131">
        <v>3000000</v>
      </c>
      <c r="B4131" t="s">
        <v>1087</v>
      </c>
      <c r="C4131" s="1">
        <v>36616</v>
      </c>
      <c r="D4131" t="s">
        <v>1088</v>
      </c>
      <c r="E4131" t="str">
        <f t="shared" si="205"/>
        <v>서울특별시</v>
      </c>
      <c r="F4131" t="str">
        <f t="shared" si="206"/>
        <v xml:space="preserve">종로구 </v>
      </c>
      <c r="G4131" t="str">
        <f t="shared" si="204"/>
        <v>종로</v>
      </c>
    </row>
    <row r="4132" spans="1:9" x14ac:dyDescent="0.4">
      <c r="A4132">
        <v>3000000</v>
      </c>
      <c r="B4132" t="s">
        <v>730</v>
      </c>
      <c r="C4132" s="1">
        <v>37453</v>
      </c>
      <c r="D4132" t="s">
        <v>731</v>
      </c>
      <c r="E4132" t="str">
        <f t="shared" si="205"/>
        <v>서울특별시</v>
      </c>
      <c r="F4132" t="str">
        <f t="shared" si="206"/>
        <v xml:space="preserve">종로구 </v>
      </c>
      <c r="G4132" t="str">
        <f t="shared" si="204"/>
        <v>종로</v>
      </c>
      <c r="H4132" t="s">
        <v>732</v>
      </c>
      <c r="I4132">
        <v>3126</v>
      </c>
    </row>
    <row r="4133" spans="1:9" x14ac:dyDescent="0.4">
      <c r="A4133">
        <v>3000000</v>
      </c>
      <c r="B4133" t="s">
        <v>472</v>
      </c>
      <c r="C4133" s="1">
        <v>41247</v>
      </c>
      <c r="D4133" t="s">
        <v>473</v>
      </c>
      <c r="E4133" t="str">
        <f t="shared" si="205"/>
        <v>서울특별시</v>
      </c>
      <c r="F4133" t="str">
        <f t="shared" si="206"/>
        <v xml:space="preserve">종로구 </v>
      </c>
      <c r="G4133" t="str">
        <f t="shared" si="204"/>
        <v>종로</v>
      </c>
      <c r="H4133" t="s">
        <v>474</v>
      </c>
      <c r="I4133">
        <v>3126</v>
      </c>
    </row>
    <row r="4134" spans="1:9" x14ac:dyDescent="0.4">
      <c r="A4134">
        <v>3000000</v>
      </c>
      <c r="B4134" t="s">
        <v>12161</v>
      </c>
      <c r="C4134" s="1">
        <v>42061</v>
      </c>
      <c r="D4134" t="s">
        <v>12162</v>
      </c>
      <c r="E4134" t="str">
        <f t="shared" si="205"/>
        <v>서울특별시</v>
      </c>
      <c r="F4134" t="str">
        <f t="shared" si="206"/>
        <v xml:space="preserve">종로구 </v>
      </c>
      <c r="G4134" t="str">
        <f t="shared" si="204"/>
        <v>종로</v>
      </c>
      <c r="H4134" t="s">
        <v>12163</v>
      </c>
      <c r="I4134">
        <v>3126</v>
      </c>
    </row>
    <row r="4135" spans="1:9" x14ac:dyDescent="0.4">
      <c r="A4135">
        <v>3000000</v>
      </c>
      <c r="B4135" t="s">
        <v>320</v>
      </c>
      <c r="C4135" s="1">
        <v>42061</v>
      </c>
      <c r="D4135" t="s">
        <v>321</v>
      </c>
      <c r="E4135" t="str">
        <f t="shared" si="205"/>
        <v>서울특별시</v>
      </c>
      <c r="F4135" t="str">
        <f t="shared" si="206"/>
        <v xml:space="preserve">종로구 </v>
      </c>
      <c r="G4135" t="str">
        <f t="shared" si="204"/>
        <v>종로</v>
      </c>
      <c r="H4135" t="s">
        <v>322</v>
      </c>
      <c r="I4135">
        <v>3126</v>
      </c>
    </row>
    <row r="4136" spans="1:9" x14ac:dyDescent="0.4">
      <c r="A4136">
        <v>3000000</v>
      </c>
      <c r="B4136" t="s">
        <v>571</v>
      </c>
      <c r="C4136" s="1">
        <v>37642</v>
      </c>
      <c r="D4136" t="s">
        <v>572</v>
      </c>
      <c r="E4136" t="str">
        <f t="shared" si="205"/>
        <v>서울특별시</v>
      </c>
      <c r="F4136" t="str">
        <f t="shared" si="206"/>
        <v xml:space="preserve">종로구 </v>
      </c>
      <c r="G4136" t="str">
        <f t="shared" ref="G4136:G4178" si="207">MID(SUBSTITUTE(D4136," ",""),9,2)</f>
        <v>종로</v>
      </c>
      <c r="H4136" t="s">
        <v>573</v>
      </c>
      <c r="I4136">
        <v>3126</v>
      </c>
    </row>
    <row r="4137" spans="1:9" x14ac:dyDescent="0.4">
      <c r="A4137">
        <v>3000000</v>
      </c>
      <c r="B4137" t="s">
        <v>996</v>
      </c>
      <c r="C4137" s="1">
        <v>27068</v>
      </c>
      <c r="D4137" t="s">
        <v>997</v>
      </c>
      <c r="E4137" t="str">
        <f t="shared" si="205"/>
        <v>서울특별시</v>
      </c>
      <c r="F4137" t="str">
        <f t="shared" si="206"/>
        <v xml:space="preserve">종로구 </v>
      </c>
      <c r="G4137" t="str">
        <f t="shared" si="207"/>
        <v>종로</v>
      </c>
    </row>
    <row r="4138" spans="1:9" x14ac:dyDescent="0.4">
      <c r="A4138">
        <v>3000000</v>
      </c>
      <c r="B4138" t="s">
        <v>934</v>
      </c>
      <c r="C4138" s="1">
        <v>40665</v>
      </c>
      <c r="D4138" t="s">
        <v>935</v>
      </c>
      <c r="E4138" t="str">
        <f t="shared" si="205"/>
        <v>서울특별시</v>
      </c>
      <c r="F4138" t="str">
        <f t="shared" si="206"/>
        <v xml:space="preserve">종로구 </v>
      </c>
      <c r="G4138" t="str">
        <f t="shared" si="207"/>
        <v>종로</v>
      </c>
      <c r="H4138" t="s">
        <v>936</v>
      </c>
      <c r="I4138">
        <v>3126</v>
      </c>
    </row>
    <row r="4139" spans="1:9" x14ac:dyDescent="0.4">
      <c r="A4139">
        <v>3000000</v>
      </c>
      <c r="B4139" t="s">
        <v>1338</v>
      </c>
      <c r="C4139" s="1">
        <v>40665</v>
      </c>
      <c r="D4139" t="s">
        <v>1339</v>
      </c>
      <c r="E4139" t="str">
        <f t="shared" si="205"/>
        <v>서울특별시</v>
      </c>
      <c r="F4139" t="str">
        <f t="shared" si="206"/>
        <v xml:space="preserve">종로구 </v>
      </c>
      <c r="G4139" t="str">
        <f t="shared" si="207"/>
        <v>종로</v>
      </c>
    </row>
    <row r="4140" spans="1:9" x14ac:dyDescent="0.4">
      <c r="A4140">
        <v>3000000</v>
      </c>
      <c r="B4140" t="s">
        <v>1103</v>
      </c>
      <c r="C4140" s="1">
        <v>36866</v>
      </c>
      <c r="D4140" t="s">
        <v>1104</v>
      </c>
      <c r="E4140" t="str">
        <f t="shared" si="205"/>
        <v>서울특별시</v>
      </c>
      <c r="F4140" t="str">
        <f t="shared" si="206"/>
        <v xml:space="preserve">종로구 </v>
      </c>
      <c r="G4140" t="str">
        <f t="shared" si="207"/>
        <v>종로</v>
      </c>
      <c r="H4140" t="s">
        <v>1105</v>
      </c>
      <c r="I4140">
        <v>3197</v>
      </c>
    </row>
    <row r="4141" spans="1:9" x14ac:dyDescent="0.4">
      <c r="A4141">
        <v>3000000</v>
      </c>
      <c r="B4141" t="s">
        <v>1030</v>
      </c>
      <c r="C4141" s="1">
        <v>36512</v>
      </c>
      <c r="D4141" t="s">
        <v>1031</v>
      </c>
      <c r="E4141" t="str">
        <f t="shared" si="205"/>
        <v>서울특별시</v>
      </c>
      <c r="F4141" t="str">
        <f t="shared" si="206"/>
        <v xml:space="preserve">종로구 </v>
      </c>
      <c r="G4141" t="str">
        <f t="shared" si="207"/>
        <v>종로</v>
      </c>
    </row>
    <row r="4142" spans="1:9" x14ac:dyDescent="0.4">
      <c r="A4142">
        <v>3000000</v>
      </c>
      <c r="B4142" t="s">
        <v>1235</v>
      </c>
      <c r="C4142" s="1">
        <v>37505</v>
      </c>
      <c r="D4142" t="s">
        <v>1236</v>
      </c>
      <c r="E4142" t="str">
        <f t="shared" si="205"/>
        <v>서울특별시</v>
      </c>
      <c r="F4142" t="str">
        <f t="shared" si="206"/>
        <v xml:space="preserve">종로구 </v>
      </c>
      <c r="G4142" t="str">
        <f t="shared" si="207"/>
        <v>종로</v>
      </c>
      <c r="H4142" t="s">
        <v>1237</v>
      </c>
      <c r="I4142">
        <v>3126</v>
      </c>
    </row>
    <row r="4143" spans="1:9" x14ac:dyDescent="0.4">
      <c r="A4143">
        <v>3000000</v>
      </c>
      <c r="B4143" t="s">
        <v>1150</v>
      </c>
      <c r="C4143" s="1">
        <v>40472</v>
      </c>
      <c r="D4143" t="s">
        <v>1151</v>
      </c>
      <c r="E4143" t="str">
        <f t="shared" si="205"/>
        <v>서울특별시</v>
      </c>
      <c r="F4143" t="str">
        <f t="shared" si="206"/>
        <v xml:space="preserve">종로구 </v>
      </c>
      <c r="G4143" t="str">
        <f t="shared" si="207"/>
        <v>종로</v>
      </c>
      <c r="H4143" t="s">
        <v>1152</v>
      </c>
      <c r="I4143">
        <v>3126</v>
      </c>
    </row>
    <row r="4144" spans="1:9" x14ac:dyDescent="0.4">
      <c r="A4144">
        <v>3000000</v>
      </c>
      <c r="B4144" t="s">
        <v>612</v>
      </c>
      <c r="C4144" s="1">
        <v>30768</v>
      </c>
      <c r="D4144" t="s">
        <v>613</v>
      </c>
      <c r="E4144" t="str">
        <f t="shared" si="205"/>
        <v>서울특별시</v>
      </c>
      <c r="F4144" t="str">
        <f t="shared" si="206"/>
        <v xml:space="preserve">종로구 </v>
      </c>
      <c r="G4144" t="str">
        <f t="shared" si="207"/>
        <v>종로</v>
      </c>
      <c r="H4144" t="s">
        <v>614</v>
      </c>
      <c r="I4144">
        <v>3197</v>
      </c>
    </row>
    <row r="4145" spans="1:9" x14ac:dyDescent="0.4">
      <c r="A4145">
        <v>3000000</v>
      </c>
      <c r="B4145" t="s">
        <v>942</v>
      </c>
      <c r="C4145" s="1">
        <v>41408</v>
      </c>
      <c r="D4145" t="s">
        <v>943</v>
      </c>
      <c r="E4145" t="str">
        <f t="shared" si="205"/>
        <v>서울특별시</v>
      </c>
      <c r="F4145" t="str">
        <f t="shared" si="206"/>
        <v xml:space="preserve">종로구 </v>
      </c>
      <c r="G4145" t="str">
        <f t="shared" si="207"/>
        <v>종로</v>
      </c>
      <c r="H4145" t="s">
        <v>944</v>
      </c>
      <c r="I4145">
        <v>3126</v>
      </c>
    </row>
    <row r="4146" spans="1:9" x14ac:dyDescent="0.4">
      <c r="A4146">
        <v>3000000</v>
      </c>
      <c r="B4146" t="s">
        <v>1189</v>
      </c>
      <c r="C4146" s="1">
        <v>40711</v>
      </c>
      <c r="D4146" t="s">
        <v>1190</v>
      </c>
      <c r="E4146" t="str">
        <f t="shared" si="205"/>
        <v>서울특별시</v>
      </c>
      <c r="F4146" t="str">
        <f t="shared" si="206"/>
        <v xml:space="preserve">종로구 </v>
      </c>
      <c r="G4146" t="str">
        <f t="shared" si="207"/>
        <v>종로</v>
      </c>
      <c r="H4146" t="s">
        <v>1191</v>
      </c>
      <c r="I4146">
        <v>3126</v>
      </c>
    </row>
    <row r="4147" spans="1:9" x14ac:dyDescent="0.4">
      <c r="A4147">
        <v>3000000</v>
      </c>
      <c r="B4147" t="s">
        <v>888</v>
      </c>
      <c r="C4147" s="1">
        <v>31185</v>
      </c>
      <c r="D4147" t="s">
        <v>889</v>
      </c>
      <c r="E4147" t="str">
        <f t="shared" si="205"/>
        <v>서울특별시</v>
      </c>
      <c r="F4147" t="str">
        <f t="shared" si="206"/>
        <v xml:space="preserve">종로구 </v>
      </c>
      <c r="G4147" t="str">
        <f t="shared" si="207"/>
        <v>종로</v>
      </c>
    </row>
    <row r="4148" spans="1:9" x14ac:dyDescent="0.4">
      <c r="A4148">
        <v>3000000</v>
      </c>
      <c r="B4148" t="s">
        <v>385</v>
      </c>
      <c r="C4148" s="1">
        <v>40646</v>
      </c>
      <c r="D4148" t="s">
        <v>386</v>
      </c>
      <c r="E4148" t="str">
        <f t="shared" si="205"/>
        <v>서울특별시</v>
      </c>
      <c r="F4148" t="str">
        <f t="shared" si="206"/>
        <v xml:space="preserve">종로구 </v>
      </c>
      <c r="G4148" t="str">
        <f t="shared" si="207"/>
        <v>종로</v>
      </c>
      <c r="H4148" t="s">
        <v>387</v>
      </c>
      <c r="I4148">
        <v>3126</v>
      </c>
    </row>
    <row r="4149" spans="1:9" x14ac:dyDescent="0.4">
      <c r="A4149">
        <v>3000000</v>
      </c>
      <c r="B4149" t="s">
        <v>594</v>
      </c>
      <c r="C4149" s="1">
        <v>40655</v>
      </c>
      <c r="D4149" t="s">
        <v>595</v>
      </c>
      <c r="E4149" t="str">
        <f t="shared" si="205"/>
        <v>서울특별시</v>
      </c>
      <c r="F4149" t="str">
        <f t="shared" si="206"/>
        <v xml:space="preserve">종로구 </v>
      </c>
      <c r="G4149" t="str">
        <f t="shared" si="207"/>
        <v>종로</v>
      </c>
      <c r="H4149" t="s">
        <v>596</v>
      </c>
      <c r="I4149">
        <v>3126</v>
      </c>
    </row>
    <row r="4150" spans="1:9" x14ac:dyDescent="0.4">
      <c r="A4150">
        <v>3000000</v>
      </c>
      <c r="B4150" t="s">
        <v>1336</v>
      </c>
      <c r="C4150" s="1">
        <v>36469</v>
      </c>
      <c r="D4150" t="s">
        <v>1337</v>
      </c>
      <c r="E4150" t="str">
        <f t="shared" si="205"/>
        <v>서울특별시</v>
      </c>
      <c r="F4150" t="str">
        <f t="shared" si="206"/>
        <v xml:space="preserve">종로구 </v>
      </c>
      <c r="G4150" t="str">
        <f t="shared" si="207"/>
        <v>종로</v>
      </c>
    </row>
    <row r="4151" spans="1:9" x14ac:dyDescent="0.4">
      <c r="A4151">
        <v>3000000</v>
      </c>
      <c r="B4151" t="s">
        <v>877</v>
      </c>
      <c r="C4151" s="1">
        <v>38933</v>
      </c>
      <c r="D4151" t="s">
        <v>878</v>
      </c>
      <c r="E4151" t="str">
        <f t="shared" si="205"/>
        <v>서울특별시</v>
      </c>
      <c r="F4151" t="str">
        <f t="shared" si="206"/>
        <v xml:space="preserve">종로구 </v>
      </c>
      <c r="G4151" t="str">
        <f t="shared" si="207"/>
        <v>종로</v>
      </c>
    </row>
    <row r="4152" spans="1:9" x14ac:dyDescent="0.4">
      <c r="A4152">
        <v>3000000</v>
      </c>
      <c r="B4152" t="s">
        <v>556</v>
      </c>
      <c r="C4152" s="1">
        <v>38106</v>
      </c>
      <c r="D4152" t="s">
        <v>557</v>
      </c>
      <c r="E4152" t="str">
        <f t="shared" si="205"/>
        <v>서울특별시</v>
      </c>
      <c r="F4152" t="str">
        <f t="shared" si="206"/>
        <v xml:space="preserve">종로구 </v>
      </c>
      <c r="G4152" t="str">
        <f t="shared" si="207"/>
        <v>종로</v>
      </c>
      <c r="H4152" t="s">
        <v>558</v>
      </c>
      <c r="I4152">
        <v>3126</v>
      </c>
    </row>
    <row r="4153" spans="1:9" x14ac:dyDescent="0.4">
      <c r="A4153">
        <v>3000000</v>
      </c>
      <c r="B4153" t="s">
        <v>796</v>
      </c>
      <c r="C4153" s="1">
        <v>40781</v>
      </c>
      <c r="D4153" t="s">
        <v>797</v>
      </c>
      <c r="E4153" t="str">
        <f t="shared" si="205"/>
        <v>서울특별시</v>
      </c>
      <c r="F4153" t="str">
        <f t="shared" si="206"/>
        <v xml:space="preserve">종로구 </v>
      </c>
      <c r="G4153" t="str">
        <f t="shared" si="207"/>
        <v>종로</v>
      </c>
      <c r="H4153" t="s">
        <v>798</v>
      </c>
      <c r="I4153">
        <v>3126</v>
      </c>
    </row>
    <row r="4154" spans="1:9" x14ac:dyDescent="0.4">
      <c r="A4154">
        <v>3000000</v>
      </c>
      <c r="B4154" t="s">
        <v>879</v>
      </c>
      <c r="C4154" s="1">
        <v>38937</v>
      </c>
      <c r="D4154" t="s">
        <v>880</v>
      </c>
      <c r="E4154" t="str">
        <f t="shared" si="205"/>
        <v>서울특별시</v>
      </c>
      <c r="F4154" t="str">
        <f t="shared" si="206"/>
        <v xml:space="preserve">종로구 </v>
      </c>
      <c r="G4154" t="str">
        <f t="shared" si="207"/>
        <v>종로</v>
      </c>
      <c r="H4154" t="s">
        <v>881</v>
      </c>
      <c r="I4154">
        <v>3126</v>
      </c>
    </row>
    <row r="4155" spans="1:9" x14ac:dyDescent="0.4">
      <c r="A4155">
        <v>3000000</v>
      </c>
      <c r="B4155" t="s">
        <v>603</v>
      </c>
      <c r="C4155" s="1">
        <v>31070</v>
      </c>
      <c r="D4155" t="s">
        <v>604</v>
      </c>
      <c r="E4155" t="str">
        <f t="shared" si="205"/>
        <v>서울특별시</v>
      </c>
      <c r="F4155" t="str">
        <f t="shared" si="206"/>
        <v xml:space="preserve">종로구 </v>
      </c>
      <c r="G4155" t="str">
        <f t="shared" si="207"/>
        <v>종로</v>
      </c>
      <c r="H4155" t="s">
        <v>605</v>
      </c>
      <c r="I4155">
        <v>3126</v>
      </c>
    </row>
    <row r="4156" spans="1:9" x14ac:dyDescent="0.4">
      <c r="A4156">
        <v>3000000</v>
      </c>
      <c r="B4156" t="s">
        <v>512</v>
      </c>
      <c r="C4156" s="1">
        <v>40193</v>
      </c>
      <c r="D4156" t="s">
        <v>513</v>
      </c>
      <c r="E4156" t="str">
        <f t="shared" si="205"/>
        <v>서울특별시</v>
      </c>
      <c r="F4156" t="str">
        <f t="shared" si="206"/>
        <v xml:space="preserve">종로구 </v>
      </c>
      <c r="G4156" t="str">
        <f t="shared" si="207"/>
        <v>종로</v>
      </c>
      <c r="H4156" t="s">
        <v>514</v>
      </c>
      <c r="I4156">
        <v>3129</v>
      </c>
    </row>
    <row r="4157" spans="1:9" x14ac:dyDescent="0.4">
      <c r="A4157">
        <v>3000000</v>
      </c>
      <c r="B4157" t="s">
        <v>406</v>
      </c>
      <c r="C4157" s="1">
        <v>37230</v>
      </c>
      <c r="D4157" t="s">
        <v>407</v>
      </c>
      <c r="E4157" t="str">
        <f t="shared" si="205"/>
        <v>서울특별시</v>
      </c>
      <c r="F4157" t="str">
        <f t="shared" si="206"/>
        <v xml:space="preserve">종로구 </v>
      </c>
      <c r="G4157" t="str">
        <f t="shared" si="207"/>
        <v>종로</v>
      </c>
      <c r="H4157" t="s">
        <v>408</v>
      </c>
      <c r="I4157">
        <v>3124</v>
      </c>
    </row>
    <row r="4158" spans="1:9" x14ac:dyDescent="0.4">
      <c r="A4158">
        <v>3000000</v>
      </c>
      <c r="B4158" t="s">
        <v>388</v>
      </c>
      <c r="C4158" s="1">
        <v>40647</v>
      </c>
      <c r="D4158" t="s">
        <v>389</v>
      </c>
      <c r="E4158" t="str">
        <f t="shared" si="205"/>
        <v>서울특별시</v>
      </c>
      <c r="F4158" t="str">
        <f t="shared" si="206"/>
        <v xml:space="preserve">종로구 </v>
      </c>
      <c r="G4158" t="str">
        <f t="shared" si="207"/>
        <v>종로</v>
      </c>
      <c r="H4158" t="s">
        <v>390</v>
      </c>
      <c r="I4158">
        <v>3124</v>
      </c>
    </row>
    <row r="4159" spans="1:9" x14ac:dyDescent="0.4">
      <c r="A4159">
        <v>3000000</v>
      </c>
      <c r="B4159" t="s">
        <v>1315</v>
      </c>
      <c r="C4159" s="1">
        <v>37732</v>
      </c>
      <c r="D4159" t="s">
        <v>389</v>
      </c>
      <c r="E4159" t="str">
        <f t="shared" si="205"/>
        <v>서울특별시</v>
      </c>
      <c r="F4159" t="str">
        <f t="shared" si="206"/>
        <v xml:space="preserve">종로구 </v>
      </c>
      <c r="G4159" t="str">
        <f t="shared" si="207"/>
        <v>종로</v>
      </c>
    </row>
    <row r="4160" spans="1:9" x14ac:dyDescent="0.4">
      <c r="A4160">
        <v>3000000</v>
      </c>
      <c r="B4160" t="s">
        <v>697</v>
      </c>
      <c r="C4160" s="1">
        <v>37889</v>
      </c>
      <c r="D4160" t="s">
        <v>698</v>
      </c>
      <c r="E4160" t="str">
        <f t="shared" si="205"/>
        <v>서울특별시</v>
      </c>
      <c r="F4160" t="str">
        <f t="shared" si="206"/>
        <v xml:space="preserve">종로구 </v>
      </c>
      <c r="G4160" t="str">
        <f t="shared" si="207"/>
        <v>종로</v>
      </c>
      <c r="H4160" t="s">
        <v>699</v>
      </c>
      <c r="I4160">
        <v>3124</v>
      </c>
    </row>
    <row r="4161" spans="1:9" x14ac:dyDescent="0.4">
      <c r="A4161">
        <v>3000000</v>
      </c>
      <c r="B4161" t="s">
        <v>448</v>
      </c>
      <c r="C4161" s="1">
        <v>39827</v>
      </c>
      <c r="D4161" t="s">
        <v>449</v>
      </c>
      <c r="E4161" t="str">
        <f t="shared" si="205"/>
        <v>서울특별시</v>
      </c>
      <c r="F4161" t="str">
        <f t="shared" si="206"/>
        <v xml:space="preserve">종로구 </v>
      </c>
      <c r="G4161" t="str">
        <f t="shared" si="207"/>
        <v>종로</v>
      </c>
      <c r="H4161" t="s">
        <v>450</v>
      </c>
      <c r="I4161">
        <v>3125</v>
      </c>
    </row>
    <row r="4162" spans="1:9" x14ac:dyDescent="0.4">
      <c r="A4162">
        <v>3000000</v>
      </c>
      <c r="B4162" t="s">
        <v>882</v>
      </c>
      <c r="C4162" s="1">
        <v>39049</v>
      </c>
      <c r="D4162" t="s">
        <v>883</v>
      </c>
      <c r="E4162" t="str">
        <f t="shared" si="205"/>
        <v>서울특별시</v>
      </c>
      <c r="F4162" t="str">
        <f t="shared" si="206"/>
        <v xml:space="preserve">종로구 </v>
      </c>
      <c r="G4162" t="str">
        <f t="shared" si="207"/>
        <v>종로</v>
      </c>
    </row>
    <row r="4163" spans="1:9" x14ac:dyDescent="0.4">
      <c r="A4163">
        <v>3000000</v>
      </c>
      <c r="B4163" t="s">
        <v>1169</v>
      </c>
      <c r="C4163" s="1">
        <v>37811</v>
      </c>
      <c r="D4163" t="s">
        <v>1170</v>
      </c>
      <c r="E4163" t="str">
        <f t="shared" ref="E4163:E4226" si="208">LEFT(D4163,5)</f>
        <v>서울특별시</v>
      </c>
      <c r="F4163" t="str">
        <f t="shared" ref="F4163:F4226" si="209">MID(D4163,7,4)</f>
        <v xml:space="preserve">종로구 </v>
      </c>
      <c r="G4163" t="str">
        <f t="shared" si="207"/>
        <v>종로</v>
      </c>
      <c r="H4163" t="s">
        <v>1171</v>
      </c>
      <c r="I4163">
        <v>3125</v>
      </c>
    </row>
    <row r="4164" spans="1:9" x14ac:dyDescent="0.4">
      <c r="A4164">
        <v>3000000</v>
      </c>
      <c r="B4164" t="s">
        <v>1066</v>
      </c>
      <c r="C4164" s="1">
        <v>27507</v>
      </c>
      <c r="D4164" t="s">
        <v>1067</v>
      </c>
      <c r="E4164" t="str">
        <f t="shared" si="208"/>
        <v>서울특별시</v>
      </c>
      <c r="F4164" t="str">
        <f t="shared" si="209"/>
        <v xml:space="preserve">종로구 </v>
      </c>
      <c r="G4164" t="str">
        <f t="shared" si="207"/>
        <v>종로</v>
      </c>
      <c r="H4164" t="s">
        <v>1068</v>
      </c>
      <c r="I4164">
        <v>3124</v>
      </c>
    </row>
    <row r="4165" spans="1:9" x14ac:dyDescent="0.4">
      <c r="A4165">
        <v>3000000</v>
      </c>
      <c r="B4165" t="s">
        <v>923</v>
      </c>
      <c r="C4165" s="1">
        <v>30831</v>
      </c>
      <c r="D4165" t="s">
        <v>924</v>
      </c>
      <c r="E4165" t="str">
        <f t="shared" si="208"/>
        <v>서울특별시</v>
      </c>
      <c r="F4165" t="str">
        <f t="shared" si="209"/>
        <v xml:space="preserve">종로구 </v>
      </c>
      <c r="G4165" t="str">
        <f t="shared" si="207"/>
        <v>종로</v>
      </c>
    </row>
    <row r="4166" spans="1:9" x14ac:dyDescent="0.4">
      <c r="A4166">
        <v>3000000</v>
      </c>
      <c r="B4166" t="s">
        <v>460</v>
      </c>
      <c r="C4166" s="1">
        <v>36382</v>
      </c>
      <c r="D4166" t="s">
        <v>461</v>
      </c>
      <c r="E4166" t="str">
        <f t="shared" si="208"/>
        <v>서울특별시</v>
      </c>
      <c r="F4166" t="str">
        <f t="shared" si="209"/>
        <v xml:space="preserve">종로구 </v>
      </c>
      <c r="G4166" t="str">
        <f t="shared" si="207"/>
        <v>종로</v>
      </c>
      <c r="H4166" t="s">
        <v>462</v>
      </c>
      <c r="I4166">
        <v>3124</v>
      </c>
    </row>
    <row r="4167" spans="1:9" x14ac:dyDescent="0.4">
      <c r="A4167">
        <v>3000000</v>
      </c>
      <c r="B4167" t="s">
        <v>921</v>
      </c>
      <c r="C4167" s="1">
        <v>30824</v>
      </c>
      <c r="D4167" t="s">
        <v>922</v>
      </c>
      <c r="E4167" t="str">
        <f t="shared" si="208"/>
        <v>서울특별시</v>
      </c>
      <c r="F4167" t="str">
        <f t="shared" si="209"/>
        <v xml:space="preserve">종로구 </v>
      </c>
      <c r="G4167" t="str">
        <f t="shared" si="207"/>
        <v>종로</v>
      </c>
    </row>
    <row r="4168" spans="1:9" x14ac:dyDescent="0.4">
      <c r="A4168">
        <v>3000000</v>
      </c>
      <c r="B4168" t="s">
        <v>1203</v>
      </c>
      <c r="C4168" s="1">
        <v>39855</v>
      </c>
      <c r="D4168" t="s">
        <v>1204</v>
      </c>
      <c r="E4168" t="str">
        <f t="shared" si="208"/>
        <v>서울특별시</v>
      </c>
      <c r="F4168" t="str">
        <f t="shared" si="209"/>
        <v xml:space="preserve">종로구 </v>
      </c>
      <c r="G4168" t="str">
        <f t="shared" si="207"/>
        <v>종로</v>
      </c>
      <c r="H4168" t="s">
        <v>1205</v>
      </c>
      <c r="I4168">
        <v>3125</v>
      </c>
    </row>
    <row r="4169" spans="1:9" x14ac:dyDescent="0.4">
      <c r="A4169">
        <v>3000000</v>
      </c>
      <c r="B4169" t="s">
        <v>1048</v>
      </c>
      <c r="C4169" s="1">
        <v>34544</v>
      </c>
      <c r="D4169" t="s">
        <v>1049</v>
      </c>
      <c r="E4169" t="str">
        <f t="shared" si="208"/>
        <v>서울특별시</v>
      </c>
      <c r="F4169" t="str">
        <f t="shared" si="209"/>
        <v xml:space="preserve">종로구 </v>
      </c>
      <c r="G4169" t="str">
        <f t="shared" si="207"/>
        <v>종로</v>
      </c>
    </row>
    <row r="4170" spans="1:9" x14ac:dyDescent="0.4">
      <c r="A4170">
        <v>3000000</v>
      </c>
      <c r="B4170" t="s">
        <v>958</v>
      </c>
      <c r="C4170" s="1">
        <v>37560</v>
      </c>
      <c r="D4170" t="s">
        <v>959</v>
      </c>
      <c r="E4170" t="str">
        <f t="shared" si="208"/>
        <v>서울특별시</v>
      </c>
      <c r="F4170" t="str">
        <f t="shared" si="209"/>
        <v xml:space="preserve">종로구 </v>
      </c>
      <c r="G4170" t="str">
        <f t="shared" si="207"/>
        <v>종로</v>
      </c>
    </row>
    <row r="4171" spans="1:9" x14ac:dyDescent="0.4">
      <c r="A4171">
        <v>3000000</v>
      </c>
      <c r="B4171" t="s">
        <v>481</v>
      </c>
      <c r="C4171" s="1">
        <v>39962</v>
      </c>
      <c r="D4171" t="s">
        <v>482</v>
      </c>
      <c r="E4171" t="str">
        <f t="shared" si="208"/>
        <v>서울특별시</v>
      </c>
      <c r="F4171" t="str">
        <f t="shared" si="209"/>
        <v xml:space="preserve">종로구 </v>
      </c>
      <c r="G4171" t="str">
        <f t="shared" si="207"/>
        <v>종로</v>
      </c>
      <c r="H4171" t="s">
        <v>483</v>
      </c>
      <c r="I4171">
        <v>3125</v>
      </c>
    </row>
    <row r="4172" spans="1:9" x14ac:dyDescent="0.4">
      <c r="A4172">
        <v>3000000</v>
      </c>
      <c r="B4172" t="s">
        <v>400</v>
      </c>
      <c r="C4172" s="1">
        <v>39596</v>
      </c>
      <c r="D4172" t="s">
        <v>401</v>
      </c>
      <c r="E4172" t="str">
        <f t="shared" si="208"/>
        <v>서울특별시</v>
      </c>
      <c r="F4172" t="str">
        <f t="shared" si="209"/>
        <v xml:space="preserve">종로구 </v>
      </c>
      <c r="G4172" t="str">
        <f t="shared" si="207"/>
        <v>종로</v>
      </c>
      <c r="H4172" t="s">
        <v>402</v>
      </c>
      <c r="I4172">
        <v>3125</v>
      </c>
    </row>
    <row r="4173" spans="1:9" x14ac:dyDescent="0.4">
      <c r="A4173">
        <v>3000000</v>
      </c>
      <c r="B4173" t="s">
        <v>1277</v>
      </c>
      <c r="C4173" s="1">
        <v>38810</v>
      </c>
      <c r="D4173" t="s">
        <v>1278</v>
      </c>
      <c r="E4173" t="str">
        <f t="shared" si="208"/>
        <v>서울특별시</v>
      </c>
      <c r="F4173" t="str">
        <f t="shared" si="209"/>
        <v xml:space="preserve">종로구 </v>
      </c>
      <c r="G4173" t="str">
        <f t="shared" si="207"/>
        <v>종로</v>
      </c>
    </row>
    <row r="4174" spans="1:9" x14ac:dyDescent="0.4">
      <c r="A4174">
        <v>3000000</v>
      </c>
      <c r="B4174" t="s">
        <v>758</v>
      </c>
      <c r="C4174" s="1">
        <v>45541</v>
      </c>
      <c r="D4174" t="s">
        <v>759</v>
      </c>
      <c r="E4174" t="str">
        <f t="shared" si="208"/>
        <v>서울특별시</v>
      </c>
      <c r="F4174" t="str">
        <f t="shared" si="209"/>
        <v xml:space="preserve">종로구 </v>
      </c>
      <c r="G4174" t="str">
        <f t="shared" si="207"/>
        <v>종로</v>
      </c>
      <c r="H4174" t="s">
        <v>760</v>
      </c>
      <c r="I4174">
        <v>3125</v>
      </c>
    </row>
    <row r="4175" spans="1:9" x14ac:dyDescent="0.4">
      <c r="A4175">
        <v>3000000</v>
      </c>
      <c r="B4175" t="s">
        <v>790</v>
      </c>
      <c r="C4175" s="1">
        <v>40742</v>
      </c>
      <c r="D4175" t="s">
        <v>791</v>
      </c>
      <c r="E4175" t="str">
        <f t="shared" si="208"/>
        <v>서울특별시</v>
      </c>
      <c r="F4175" t="str">
        <f t="shared" si="209"/>
        <v xml:space="preserve">종로구 </v>
      </c>
      <c r="G4175" t="str">
        <f t="shared" si="207"/>
        <v>종로</v>
      </c>
      <c r="H4175" t="s">
        <v>792</v>
      </c>
      <c r="I4175">
        <v>3125</v>
      </c>
    </row>
    <row r="4176" spans="1:9" x14ac:dyDescent="0.4">
      <c r="A4176">
        <v>3000000</v>
      </c>
      <c r="B4176" t="s">
        <v>694</v>
      </c>
      <c r="C4176" s="1">
        <v>37873</v>
      </c>
      <c r="D4176" t="s">
        <v>695</v>
      </c>
      <c r="E4176" t="str">
        <f t="shared" si="208"/>
        <v>서울특별시</v>
      </c>
      <c r="F4176" t="str">
        <f t="shared" si="209"/>
        <v xml:space="preserve">종로구 </v>
      </c>
      <c r="G4176" t="str">
        <f t="shared" si="207"/>
        <v>종로</v>
      </c>
      <c r="H4176" t="s">
        <v>696</v>
      </c>
      <c r="I4176">
        <v>3125</v>
      </c>
    </row>
    <row r="4177" spans="1:9" x14ac:dyDescent="0.4">
      <c r="A4177">
        <v>3000000</v>
      </c>
      <c r="B4177" t="s">
        <v>1308</v>
      </c>
      <c r="C4177" s="1">
        <v>38561</v>
      </c>
      <c r="D4177" t="s">
        <v>1309</v>
      </c>
      <c r="E4177" t="str">
        <f t="shared" si="208"/>
        <v>서울특별시</v>
      </c>
      <c r="F4177" t="str">
        <f t="shared" si="209"/>
        <v xml:space="preserve">종로구 </v>
      </c>
      <c r="G4177" t="str">
        <f t="shared" si="207"/>
        <v>종로</v>
      </c>
      <c r="H4177" t="s">
        <v>1310</v>
      </c>
      <c r="I4177">
        <v>3125</v>
      </c>
    </row>
    <row r="4178" spans="1:9" x14ac:dyDescent="0.4">
      <c r="A4178">
        <v>3000000</v>
      </c>
      <c r="B4178" t="s">
        <v>1303</v>
      </c>
      <c r="C4178" s="1">
        <v>27129</v>
      </c>
      <c r="D4178" t="s">
        <v>1304</v>
      </c>
      <c r="E4178" t="str">
        <f t="shared" si="208"/>
        <v>서울특별시</v>
      </c>
      <c r="F4178" t="str">
        <f t="shared" si="209"/>
        <v xml:space="preserve">종로구 </v>
      </c>
      <c r="G4178" t="str">
        <f t="shared" si="207"/>
        <v>종로</v>
      </c>
    </row>
    <row r="4179" spans="1:9" x14ac:dyDescent="0.4">
      <c r="A4179">
        <v>3000000</v>
      </c>
      <c r="B4179" t="s">
        <v>308</v>
      </c>
      <c r="C4179" s="1">
        <v>41821</v>
      </c>
      <c r="D4179" t="s">
        <v>309</v>
      </c>
      <c r="E4179" t="str">
        <f t="shared" si="208"/>
        <v>서울특별시</v>
      </c>
      <c r="F4179" t="str">
        <f t="shared" si="209"/>
        <v xml:space="preserve">종로구 </v>
      </c>
      <c r="G4179" t="str">
        <f t="shared" ref="G4179:G4226" si="210">MID(SUBSTITUTE(D4179," ",""),9,3)</f>
        <v>창신동</v>
      </c>
      <c r="H4179" t="s">
        <v>310</v>
      </c>
      <c r="I4179">
        <v>3105</v>
      </c>
    </row>
    <row r="4180" spans="1:9" x14ac:dyDescent="0.4">
      <c r="A4180">
        <v>3000000</v>
      </c>
      <c r="B4180" t="s">
        <v>1259</v>
      </c>
      <c r="C4180" s="1">
        <v>37214</v>
      </c>
      <c r="D4180" t="s">
        <v>1260</v>
      </c>
      <c r="E4180" t="str">
        <f t="shared" si="208"/>
        <v>서울특별시</v>
      </c>
      <c r="F4180" t="str">
        <f t="shared" si="209"/>
        <v xml:space="preserve">종로구 </v>
      </c>
      <c r="G4180" t="str">
        <f t="shared" si="210"/>
        <v>창신동</v>
      </c>
    </row>
    <row r="4181" spans="1:9" x14ac:dyDescent="0.4">
      <c r="A4181">
        <v>3000000</v>
      </c>
      <c r="B4181" t="s">
        <v>1342</v>
      </c>
      <c r="C4181" s="1">
        <v>36477</v>
      </c>
      <c r="D4181" t="s">
        <v>1260</v>
      </c>
      <c r="E4181" t="str">
        <f t="shared" si="208"/>
        <v>서울특별시</v>
      </c>
      <c r="F4181" t="str">
        <f t="shared" si="209"/>
        <v xml:space="preserve">종로구 </v>
      </c>
      <c r="G4181" t="str">
        <f t="shared" si="210"/>
        <v>창신동</v>
      </c>
    </row>
    <row r="4182" spans="1:9" x14ac:dyDescent="0.4">
      <c r="A4182">
        <v>3000000</v>
      </c>
      <c r="B4182" t="s">
        <v>349</v>
      </c>
      <c r="C4182" s="1">
        <v>26394</v>
      </c>
      <c r="D4182" t="s">
        <v>350</v>
      </c>
      <c r="E4182" t="str">
        <f t="shared" si="208"/>
        <v>서울특별시</v>
      </c>
      <c r="F4182" t="str">
        <f t="shared" si="209"/>
        <v xml:space="preserve">종로구 </v>
      </c>
      <c r="G4182" t="str">
        <f t="shared" si="210"/>
        <v>창신동</v>
      </c>
      <c r="H4182" t="s">
        <v>351</v>
      </c>
      <c r="I4182">
        <v>3104</v>
      </c>
    </row>
    <row r="4183" spans="1:9" x14ac:dyDescent="0.4">
      <c r="A4183">
        <v>3000000</v>
      </c>
      <c r="B4183" t="s">
        <v>1351</v>
      </c>
      <c r="C4183" s="1">
        <v>36509</v>
      </c>
      <c r="D4183" t="s">
        <v>1352</v>
      </c>
      <c r="E4183" t="str">
        <f t="shared" si="208"/>
        <v>서울특별시</v>
      </c>
      <c r="F4183" t="str">
        <f t="shared" si="209"/>
        <v xml:space="preserve">종로구 </v>
      </c>
      <c r="G4183" t="str">
        <f t="shared" si="210"/>
        <v>창신동</v>
      </c>
    </row>
    <row r="4184" spans="1:9" x14ac:dyDescent="0.4">
      <c r="A4184">
        <v>3000000</v>
      </c>
      <c r="B4184" t="s">
        <v>1143</v>
      </c>
      <c r="C4184" s="1">
        <v>36857</v>
      </c>
      <c r="D4184" t="s">
        <v>1144</v>
      </c>
      <c r="E4184" t="str">
        <f t="shared" si="208"/>
        <v>서울특별시</v>
      </c>
      <c r="F4184" t="str">
        <f t="shared" si="209"/>
        <v xml:space="preserve">종로구 </v>
      </c>
      <c r="G4184" t="str">
        <f t="shared" si="210"/>
        <v>창신동</v>
      </c>
    </row>
    <row r="4185" spans="1:9" x14ac:dyDescent="0.4">
      <c r="A4185">
        <v>3000000</v>
      </c>
      <c r="B4185" t="s">
        <v>1241</v>
      </c>
      <c r="C4185" s="1">
        <v>37124</v>
      </c>
      <c r="D4185" t="s">
        <v>1242</v>
      </c>
      <c r="E4185" t="str">
        <f t="shared" si="208"/>
        <v>서울특별시</v>
      </c>
      <c r="F4185" t="str">
        <f t="shared" si="209"/>
        <v xml:space="preserve">종로구 </v>
      </c>
      <c r="G4185" t="str">
        <f t="shared" si="210"/>
        <v>창신동</v>
      </c>
    </row>
    <row r="4186" spans="1:9" x14ac:dyDescent="0.4">
      <c r="A4186">
        <v>3000000</v>
      </c>
      <c r="B4186" t="s">
        <v>376</v>
      </c>
      <c r="C4186" s="1">
        <v>40424</v>
      </c>
      <c r="D4186" t="s">
        <v>377</v>
      </c>
      <c r="E4186" t="str">
        <f t="shared" si="208"/>
        <v>서울특별시</v>
      </c>
      <c r="F4186" t="str">
        <f t="shared" si="209"/>
        <v xml:space="preserve">종로구 </v>
      </c>
      <c r="G4186" t="str">
        <f t="shared" si="210"/>
        <v>창신동</v>
      </c>
      <c r="H4186" t="s">
        <v>378</v>
      </c>
      <c r="I4186">
        <v>3121</v>
      </c>
    </row>
    <row r="4187" spans="1:9" x14ac:dyDescent="0.4">
      <c r="A4187">
        <v>3000000</v>
      </c>
      <c r="B4187" t="s">
        <v>1130</v>
      </c>
      <c r="C4187" s="1">
        <v>36752</v>
      </c>
      <c r="D4187" t="s">
        <v>1131</v>
      </c>
      <c r="E4187" t="str">
        <f t="shared" si="208"/>
        <v>서울특별시</v>
      </c>
      <c r="F4187" t="str">
        <f t="shared" si="209"/>
        <v xml:space="preserve">종로구 </v>
      </c>
      <c r="G4187" t="str">
        <f t="shared" si="210"/>
        <v>창신동</v>
      </c>
    </row>
    <row r="4188" spans="1:9" x14ac:dyDescent="0.4">
      <c r="A4188">
        <v>3000000</v>
      </c>
      <c r="B4188" t="s">
        <v>1062</v>
      </c>
      <c r="C4188" s="1">
        <v>27416</v>
      </c>
      <c r="D4188" t="s">
        <v>1063</v>
      </c>
      <c r="E4188" t="str">
        <f t="shared" si="208"/>
        <v>서울특별시</v>
      </c>
      <c r="F4188" t="str">
        <f t="shared" si="209"/>
        <v xml:space="preserve">종로구 </v>
      </c>
      <c r="G4188" t="str">
        <f t="shared" si="210"/>
        <v>창신동</v>
      </c>
    </row>
    <row r="4189" spans="1:9" x14ac:dyDescent="0.4">
      <c r="A4189">
        <v>3000000</v>
      </c>
      <c r="B4189" t="s">
        <v>968</v>
      </c>
      <c r="C4189" s="1">
        <v>26599</v>
      </c>
      <c r="D4189" t="s">
        <v>969</v>
      </c>
      <c r="E4189" t="str">
        <f t="shared" si="208"/>
        <v>서울특별시</v>
      </c>
      <c r="F4189" t="str">
        <f t="shared" si="209"/>
        <v xml:space="preserve">종로구 </v>
      </c>
      <c r="G4189" t="str">
        <f t="shared" si="210"/>
        <v>창신동</v>
      </c>
    </row>
    <row r="4190" spans="1:9" x14ac:dyDescent="0.4">
      <c r="A4190">
        <v>3000000</v>
      </c>
      <c r="B4190" t="s">
        <v>382</v>
      </c>
      <c r="C4190" s="1">
        <v>40540</v>
      </c>
      <c r="D4190" t="s">
        <v>383</v>
      </c>
      <c r="E4190" t="str">
        <f t="shared" si="208"/>
        <v>서울특별시</v>
      </c>
      <c r="F4190" t="str">
        <f t="shared" si="209"/>
        <v xml:space="preserve">종로구 </v>
      </c>
      <c r="G4190" t="str">
        <f t="shared" si="210"/>
        <v>창신동</v>
      </c>
      <c r="H4190" t="s">
        <v>384</v>
      </c>
      <c r="I4190">
        <v>3120</v>
      </c>
    </row>
    <row r="4191" spans="1:9" x14ac:dyDescent="0.4">
      <c r="A4191">
        <v>3000000</v>
      </c>
      <c r="B4191" t="s">
        <v>916</v>
      </c>
      <c r="C4191" s="1">
        <v>36447</v>
      </c>
      <c r="D4191" t="s">
        <v>917</v>
      </c>
      <c r="E4191" t="str">
        <f t="shared" si="208"/>
        <v>서울특별시</v>
      </c>
      <c r="F4191" t="str">
        <f t="shared" si="209"/>
        <v xml:space="preserve">종로구 </v>
      </c>
      <c r="G4191" t="str">
        <f t="shared" si="210"/>
        <v>창신동</v>
      </c>
    </row>
    <row r="4192" spans="1:9" x14ac:dyDescent="0.4">
      <c r="A4192">
        <v>3000000</v>
      </c>
      <c r="B4192" t="s">
        <v>156</v>
      </c>
      <c r="C4192" s="1">
        <v>38803</v>
      </c>
      <c r="D4192" t="s">
        <v>157</v>
      </c>
      <c r="E4192" t="str">
        <f t="shared" si="208"/>
        <v>서울특별시</v>
      </c>
      <c r="F4192" t="str">
        <f t="shared" si="209"/>
        <v xml:space="preserve">종로구 </v>
      </c>
      <c r="G4192" t="str">
        <f t="shared" si="210"/>
        <v>창신동</v>
      </c>
      <c r="H4192" t="s">
        <v>158</v>
      </c>
      <c r="I4192">
        <v>3119</v>
      </c>
    </row>
    <row r="4193" spans="1:9" x14ac:dyDescent="0.4">
      <c r="A4193">
        <v>3000000</v>
      </c>
      <c r="B4193" t="s">
        <v>1353</v>
      </c>
      <c r="C4193" s="1">
        <v>36530</v>
      </c>
      <c r="D4193" t="s">
        <v>1354</v>
      </c>
      <c r="E4193" t="str">
        <f t="shared" si="208"/>
        <v>서울특별시</v>
      </c>
      <c r="F4193" t="str">
        <f t="shared" si="209"/>
        <v xml:space="preserve">종로구 </v>
      </c>
      <c r="G4193" t="str">
        <f t="shared" si="210"/>
        <v>창신동</v>
      </c>
    </row>
    <row r="4194" spans="1:9" x14ac:dyDescent="0.4">
      <c r="A4194">
        <v>3000000</v>
      </c>
      <c r="B4194" t="s">
        <v>700</v>
      </c>
      <c r="C4194" s="1">
        <v>37937</v>
      </c>
      <c r="D4194" t="s">
        <v>701</v>
      </c>
      <c r="E4194" t="str">
        <f t="shared" si="208"/>
        <v>서울특별시</v>
      </c>
      <c r="F4194" t="str">
        <f t="shared" si="209"/>
        <v xml:space="preserve">종로구 </v>
      </c>
      <c r="G4194" t="str">
        <f t="shared" si="210"/>
        <v>창신동</v>
      </c>
      <c r="H4194" t="s">
        <v>702</v>
      </c>
      <c r="I4194">
        <v>3119</v>
      </c>
    </row>
    <row r="4195" spans="1:9" x14ac:dyDescent="0.4">
      <c r="A4195">
        <v>3000000</v>
      </c>
      <c r="B4195" t="s">
        <v>907</v>
      </c>
      <c r="C4195" s="1">
        <v>29676</v>
      </c>
      <c r="D4195" t="s">
        <v>908</v>
      </c>
      <c r="E4195" t="str">
        <f t="shared" si="208"/>
        <v>서울특별시</v>
      </c>
      <c r="F4195" t="str">
        <f t="shared" si="209"/>
        <v xml:space="preserve">종로구 </v>
      </c>
      <c r="G4195" t="str">
        <f t="shared" si="210"/>
        <v>창신동</v>
      </c>
    </row>
    <row r="4196" spans="1:9" x14ac:dyDescent="0.4">
      <c r="A4196">
        <v>3000000</v>
      </c>
      <c r="B4196" t="s">
        <v>469</v>
      </c>
      <c r="C4196" s="1">
        <v>41281</v>
      </c>
      <c r="D4196" t="s">
        <v>470</v>
      </c>
      <c r="E4196" t="str">
        <f t="shared" si="208"/>
        <v>서울특별시</v>
      </c>
      <c r="F4196" t="str">
        <f t="shared" si="209"/>
        <v xml:space="preserve">종로구 </v>
      </c>
      <c r="G4196" t="str">
        <f t="shared" si="210"/>
        <v>창신동</v>
      </c>
      <c r="H4196" t="s">
        <v>471</v>
      </c>
      <c r="I4196">
        <v>3119</v>
      </c>
    </row>
    <row r="4197" spans="1:9" x14ac:dyDescent="0.4">
      <c r="A4197">
        <v>3000000</v>
      </c>
      <c r="B4197" t="s">
        <v>1167</v>
      </c>
      <c r="C4197" s="1">
        <v>39255</v>
      </c>
      <c r="D4197" t="s">
        <v>1168</v>
      </c>
      <c r="E4197" t="str">
        <f t="shared" si="208"/>
        <v>서울특별시</v>
      </c>
      <c r="F4197" t="str">
        <f t="shared" si="209"/>
        <v xml:space="preserve">종로구 </v>
      </c>
      <c r="G4197" t="str">
        <f t="shared" si="210"/>
        <v>창신동</v>
      </c>
    </row>
    <row r="4198" spans="1:9" x14ac:dyDescent="0.4">
      <c r="A4198">
        <v>3000000</v>
      </c>
      <c r="B4198" t="s">
        <v>945</v>
      </c>
      <c r="C4198" s="1">
        <v>40127</v>
      </c>
      <c r="D4198" t="s">
        <v>946</v>
      </c>
      <c r="E4198" t="str">
        <f t="shared" si="208"/>
        <v>서울특별시</v>
      </c>
      <c r="F4198" t="str">
        <f t="shared" si="209"/>
        <v xml:space="preserve">종로구 </v>
      </c>
      <c r="G4198" t="str">
        <f t="shared" si="210"/>
        <v>창신동</v>
      </c>
      <c r="H4198" t="s">
        <v>947</v>
      </c>
      <c r="I4198">
        <v>3119</v>
      </c>
    </row>
    <row r="4199" spans="1:9" x14ac:dyDescent="0.4">
      <c r="A4199">
        <v>3000000</v>
      </c>
      <c r="B4199" t="s">
        <v>1069</v>
      </c>
      <c r="C4199" s="1">
        <v>27542</v>
      </c>
      <c r="D4199" t="s">
        <v>1070</v>
      </c>
      <c r="E4199" t="str">
        <f t="shared" si="208"/>
        <v>서울특별시</v>
      </c>
      <c r="F4199" t="str">
        <f t="shared" si="209"/>
        <v xml:space="preserve">종로구 </v>
      </c>
      <c r="G4199" t="str">
        <f t="shared" si="210"/>
        <v>창신동</v>
      </c>
    </row>
    <row r="4200" spans="1:9" x14ac:dyDescent="0.4">
      <c r="A4200">
        <v>3000000</v>
      </c>
      <c r="B4200" t="s">
        <v>574</v>
      </c>
      <c r="C4200" s="1">
        <v>37791</v>
      </c>
      <c r="D4200" t="s">
        <v>575</v>
      </c>
      <c r="E4200" t="str">
        <f t="shared" si="208"/>
        <v>서울특별시</v>
      </c>
      <c r="F4200" t="str">
        <f t="shared" si="209"/>
        <v xml:space="preserve">종로구 </v>
      </c>
      <c r="G4200" t="str">
        <f t="shared" si="210"/>
        <v>창신동</v>
      </c>
      <c r="H4200" t="s">
        <v>576</v>
      </c>
      <c r="I4200">
        <v>3119</v>
      </c>
    </row>
    <row r="4201" spans="1:9" x14ac:dyDescent="0.4">
      <c r="A4201">
        <v>3000000</v>
      </c>
      <c r="B4201" t="s">
        <v>334</v>
      </c>
      <c r="C4201" s="1">
        <v>42923</v>
      </c>
      <c r="D4201" t="s">
        <v>335</v>
      </c>
      <c r="E4201" t="str">
        <f t="shared" si="208"/>
        <v>서울특별시</v>
      </c>
      <c r="F4201" t="str">
        <f t="shared" si="209"/>
        <v xml:space="preserve">종로구 </v>
      </c>
      <c r="G4201" t="str">
        <f t="shared" si="210"/>
        <v>창신동</v>
      </c>
      <c r="H4201" t="s">
        <v>336</v>
      </c>
      <c r="I4201">
        <v>3119</v>
      </c>
    </row>
    <row r="4202" spans="1:9" x14ac:dyDescent="0.4">
      <c r="A4202">
        <v>3000000</v>
      </c>
      <c r="B4202" t="s">
        <v>691</v>
      </c>
      <c r="C4202" s="1">
        <v>36875</v>
      </c>
      <c r="D4202" t="s">
        <v>692</v>
      </c>
      <c r="E4202" t="str">
        <f t="shared" si="208"/>
        <v>서울특별시</v>
      </c>
      <c r="F4202" t="str">
        <f t="shared" si="209"/>
        <v xml:space="preserve">종로구 </v>
      </c>
      <c r="G4202" t="str">
        <f t="shared" si="210"/>
        <v>창신동</v>
      </c>
      <c r="H4202" t="s">
        <v>693</v>
      </c>
      <c r="I4202">
        <v>3119</v>
      </c>
    </row>
    <row r="4203" spans="1:9" x14ac:dyDescent="0.4">
      <c r="A4203">
        <v>3000000</v>
      </c>
      <c r="B4203" t="s">
        <v>1261</v>
      </c>
      <c r="C4203" s="1">
        <v>37223</v>
      </c>
      <c r="D4203" t="s">
        <v>1262</v>
      </c>
      <c r="E4203" t="str">
        <f t="shared" si="208"/>
        <v>서울특별시</v>
      </c>
      <c r="F4203" t="str">
        <f t="shared" si="209"/>
        <v xml:space="preserve">종로구 </v>
      </c>
      <c r="G4203" t="str">
        <f t="shared" si="210"/>
        <v>창신동</v>
      </c>
    </row>
    <row r="4204" spans="1:9" x14ac:dyDescent="0.4">
      <c r="A4204">
        <v>3000000</v>
      </c>
      <c r="B4204" t="s">
        <v>1282</v>
      </c>
      <c r="C4204" s="1">
        <v>27149</v>
      </c>
      <c r="D4204" t="s">
        <v>1262</v>
      </c>
      <c r="E4204" t="str">
        <f t="shared" si="208"/>
        <v>서울특별시</v>
      </c>
      <c r="F4204" t="str">
        <f t="shared" si="209"/>
        <v xml:space="preserve">종로구 </v>
      </c>
      <c r="G4204" t="str">
        <f t="shared" si="210"/>
        <v>창신동</v>
      </c>
    </row>
    <row r="4205" spans="1:9" x14ac:dyDescent="0.4">
      <c r="A4205">
        <v>3000000</v>
      </c>
      <c r="B4205" t="s">
        <v>661</v>
      </c>
      <c r="C4205" s="1">
        <v>36524</v>
      </c>
      <c r="D4205" t="s">
        <v>662</v>
      </c>
      <c r="E4205" t="str">
        <f t="shared" si="208"/>
        <v>서울특별시</v>
      </c>
      <c r="F4205" t="str">
        <f t="shared" si="209"/>
        <v xml:space="preserve">종로구 </v>
      </c>
      <c r="G4205" t="str">
        <f t="shared" si="210"/>
        <v>창신동</v>
      </c>
      <c r="H4205" t="s">
        <v>663</v>
      </c>
      <c r="I4205">
        <v>3119</v>
      </c>
    </row>
    <row r="4206" spans="1:9" x14ac:dyDescent="0.4">
      <c r="A4206">
        <v>3000000</v>
      </c>
      <c r="B4206" t="s">
        <v>1132</v>
      </c>
      <c r="C4206" s="1">
        <v>36760</v>
      </c>
      <c r="D4206" t="s">
        <v>1133</v>
      </c>
      <c r="E4206" t="str">
        <f t="shared" si="208"/>
        <v>서울특별시</v>
      </c>
      <c r="F4206" t="str">
        <f t="shared" si="209"/>
        <v xml:space="preserve">종로구 </v>
      </c>
      <c r="G4206" t="str">
        <f t="shared" si="210"/>
        <v>창신동</v>
      </c>
    </row>
    <row r="4207" spans="1:9" x14ac:dyDescent="0.4">
      <c r="A4207">
        <v>3000000</v>
      </c>
      <c r="B4207" t="s">
        <v>506</v>
      </c>
      <c r="C4207" s="1">
        <v>37546</v>
      </c>
      <c r="D4207" t="s">
        <v>507</v>
      </c>
      <c r="E4207" t="str">
        <f t="shared" si="208"/>
        <v>서울특별시</v>
      </c>
      <c r="F4207" t="str">
        <f t="shared" si="209"/>
        <v xml:space="preserve">종로구 </v>
      </c>
      <c r="G4207" t="str">
        <f t="shared" si="210"/>
        <v>창신동</v>
      </c>
      <c r="H4207" t="s">
        <v>508</v>
      </c>
      <c r="I4207">
        <v>3119</v>
      </c>
    </row>
    <row r="4208" spans="1:9" x14ac:dyDescent="0.4">
      <c r="A4208">
        <v>3000000</v>
      </c>
      <c r="B4208" t="s">
        <v>868</v>
      </c>
      <c r="C4208" s="1">
        <v>38835</v>
      </c>
      <c r="D4208" t="s">
        <v>869</v>
      </c>
      <c r="E4208" t="str">
        <f t="shared" si="208"/>
        <v>서울특별시</v>
      </c>
      <c r="F4208" t="str">
        <f t="shared" si="209"/>
        <v xml:space="preserve">종로구 </v>
      </c>
      <c r="G4208" t="str">
        <f t="shared" si="210"/>
        <v>청진동</v>
      </c>
    </row>
    <row r="4209" spans="1:9" x14ac:dyDescent="0.4">
      <c r="A4209">
        <v>3000000</v>
      </c>
      <c r="B4209" t="s">
        <v>1172</v>
      </c>
      <c r="C4209" s="1">
        <v>37827</v>
      </c>
      <c r="D4209" t="s">
        <v>1173</v>
      </c>
      <c r="E4209" t="str">
        <f t="shared" si="208"/>
        <v>서울특별시</v>
      </c>
      <c r="F4209" t="str">
        <f t="shared" si="209"/>
        <v xml:space="preserve">종로구 </v>
      </c>
      <c r="G4209" t="str">
        <f t="shared" si="210"/>
        <v>청진동</v>
      </c>
      <c r="H4209" t="s">
        <v>1174</v>
      </c>
      <c r="I4209">
        <v>3158</v>
      </c>
    </row>
    <row r="4210" spans="1:9" x14ac:dyDescent="0.4">
      <c r="A4210">
        <v>3000000</v>
      </c>
      <c r="B4210" t="s">
        <v>874</v>
      </c>
      <c r="C4210" s="1">
        <v>38932</v>
      </c>
      <c r="D4210" t="s">
        <v>875</v>
      </c>
      <c r="E4210" t="str">
        <f t="shared" si="208"/>
        <v>서울특별시</v>
      </c>
      <c r="F4210" t="str">
        <f t="shared" si="209"/>
        <v xml:space="preserve">종로구 </v>
      </c>
      <c r="G4210" t="str">
        <f t="shared" si="210"/>
        <v>청진동</v>
      </c>
      <c r="H4210" t="s">
        <v>876</v>
      </c>
      <c r="I4210">
        <v>3158</v>
      </c>
    </row>
    <row r="4211" spans="1:9" x14ac:dyDescent="0.4">
      <c r="A4211">
        <v>3000000</v>
      </c>
      <c r="B4211" t="s">
        <v>637</v>
      </c>
      <c r="C4211" s="1">
        <v>36524</v>
      </c>
      <c r="D4211" t="s">
        <v>638</v>
      </c>
      <c r="E4211" t="str">
        <f t="shared" si="208"/>
        <v>서울특별시</v>
      </c>
      <c r="F4211" t="str">
        <f t="shared" si="209"/>
        <v xml:space="preserve">종로구 </v>
      </c>
      <c r="G4211" t="str">
        <f t="shared" si="210"/>
        <v>청진동</v>
      </c>
      <c r="H4211" t="s">
        <v>639</v>
      </c>
      <c r="I4211">
        <v>3158</v>
      </c>
    </row>
    <row r="4212" spans="1:9" x14ac:dyDescent="0.4">
      <c r="A4212">
        <v>3000000</v>
      </c>
      <c r="B4212" t="s">
        <v>1319</v>
      </c>
      <c r="C4212" s="1">
        <v>37785</v>
      </c>
      <c r="D4212" t="s">
        <v>1320</v>
      </c>
      <c r="E4212" t="str">
        <f t="shared" si="208"/>
        <v>서울특별시</v>
      </c>
      <c r="F4212" t="str">
        <f t="shared" si="209"/>
        <v xml:space="preserve">종로구 </v>
      </c>
      <c r="G4212" t="str">
        <f t="shared" si="210"/>
        <v>청진동</v>
      </c>
    </row>
    <row r="4213" spans="1:9" x14ac:dyDescent="0.4">
      <c r="A4213">
        <v>3000000</v>
      </c>
      <c r="B4213" t="s">
        <v>843</v>
      </c>
      <c r="C4213" s="1">
        <v>38679</v>
      </c>
      <c r="D4213" t="s">
        <v>844</v>
      </c>
      <c r="E4213" t="str">
        <f t="shared" si="208"/>
        <v>서울특별시</v>
      </c>
      <c r="F4213" t="str">
        <f t="shared" si="209"/>
        <v xml:space="preserve">종로구 </v>
      </c>
      <c r="G4213" t="str">
        <f t="shared" si="210"/>
        <v>청진동</v>
      </c>
    </row>
    <row r="4214" spans="1:9" x14ac:dyDescent="0.4">
      <c r="A4214">
        <v>3000000</v>
      </c>
      <c r="B4214" t="s">
        <v>736</v>
      </c>
      <c r="C4214" s="1">
        <v>37109</v>
      </c>
      <c r="D4214" t="s">
        <v>737</v>
      </c>
      <c r="E4214" t="str">
        <f t="shared" si="208"/>
        <v>서울특별시</v>
      </c>
      <c r="F4214" t="str">
        <f t="shared" si="209"/>
        <v xml:space="preserve">종로구 </v>
      </c>
      <c r="G4214" t="str">
        <f t="shared" si="210"/>
        <v>청진동</v>
      </c>
      <c r="H4214" t="s">
        <v>738</v>
      </c>
      <c r="I4214">
        <v>3156</v>
      </c>
    </row>
    <row r="4215" spans="1:9" x14ac:dyDescent="0.4">
      <c r="A4215">
        <v>3000000</v>
      </c>
      <c r="B4215" t="s">
        <v>1247</v>
      </c>
      <c r="C4215" s="1">
        <v>37137</v>
      </c>
      <c r="D4215" t="s">
        <v>1248</v>
      </c>
      <c r="E4215" t="str">
        <f t="shared" si="208"/>
        <v>서울특별시</v>
      </c>
      <c r="F4215" t="str">
        <f t="shared" si="209"/>
        <v xml:space="preserve">종로구 </v>
      </c>
      <c r="G4215" t="str">
        <f t="shared" si="210"/>
        <v>청진동</v>
      </c>
    </row>
    <row r="4216" spans="1:9" x14ac:dyDescent="0.4">
      <c r="A4216">
        <v>3000000</v>
      </c>
      <c r="B4216" t="s">
        <v>1180</v>
      </c>
      <c r="C4216" s="1">
        <v>37281</v>
      </c>
      <c r="D4216" t="s">
        <v>1181</v>
      </c>
      <c r="E4216" t="str">
        <f t="shared" si="208"/>
        <v>서울특별시</v>
      </c>
      <c r="F4216" t="str">
        <f t="shared" si="209"/>
        <v xml:space="preserve">종로구 </v>
      </c>
      <c r="G4216" t="str">
        <f t="shared" si="210"/>
        <v>청진동</v>
      </c>
    </row>
    <row r="4217" spans="1:9" x14ac:dyDescent="0.4">
      <c r="A4217">
        <v>3000000</v>
      </c>
      <c r="B4217" t="s">
        <v>1040</v>
      </c>
      <c r="C4217" s="1">
        <v>27325</v>
      </c>
      <c r="D4217" t="s">
        <v>1041</v>
      </c>
      <c r="E4217" t="str">
        <f t="shared" si="208"/>
        <v>서울특별시</v>
      </c>
      <c r="F4217" t="str">
        <f t="shared" si="209"/>
        <v xml:space="preserve">종로구 </v>
      </c>
      <c r="G4217" t="str">
        <f t="shared" si="210"/>
        <v>청진동</v>
      </c>
    </row>
    <row r="4218" spans="1:9" x14ac:dyDescent="0.4">
      <c r="A4218">
        <v>3000000</v>
      </c>
      <c r="B4218" t="s">
        <v>970</v>
      </c>
      <c r="C4218" s="1">
        <v>26726</v>
      </c>
      <c r="D4218" t="s">
        <v>971</v>
      </c>
      <c r="E4218" t="str">
        <f t="shared" si="208"/>
        <v>서울특별시</v>
      </c>
      <c r="F4218" t="str">
        <f t="shared" si="209"/>
        <v xml:space="preserve">종로구 </v>
      </c>
      <c r="G4218" t="str">
        <f t="shared" si="210"/>
        <v>청진동</v>
      </c>
    </row>
    <row r="4219" spans="1:9" x14ac:dyDescent="0.4">
      <c r="A4219">
        <v>3000000</v>
      </c>
      <c r="B4219" t="s">
        <v>1355</v>
      </c>
      <c r="C4219" s="1">
        <v>36554</v>
      </c>
      <c r="D4219" t="s">
        <v>1356</v>
      </c>
      <c r="E4219" t="str">
        <f t="shared" si="208"/>
        <v>서울특별시</v>
      </c>
      <c r="F4219" t="str">
        <f t="shared" si="209"/>
        <v xml:space="preserve">종로구 </v>
      </c>
      <c r="G4219" t="str">
        <f t="shared" si="210"/>
        <v>청진동</v>
      </c>
      <c r="H4219" t="s">
        <v>1357</v>
      </c>
      <c r="I4219">
        <v>3156</v>
      </c>
    </row>
    <row r="4220" spans="1:9" x14ac:dyDescent="0.4">
      <c r="A4220">
        <v>3000000</v>
      </c>
      <c r="B4220" t="s">
        <v>370</v>
      </c>
      <c r="C4220" s="1">
        <v>39107</v>
      </c>
      <c r="D4220" t="s">
        <v>371</v>
      </c>
      <c r="E4220" t="str">
        <f t="shared" si="208"/>
        <v>서울특별시</v>
      </c>
      <c r="F4220" t="str">
        <f t="shared" si="209"/>
        <v xml:space="preserve">종로구 </v>
      </c>
      <c r="G4220" t="str">
        <f t="shared" si="210"/>
        <v>청진동</v>
      </c>
      <c r="H4220" t="s">
        <v>372</v>
      </c>
      <c r="I4220">
        <v>3156</v>
      </c>
    </row>
    <row r="4221" spans="1:9" x14ac:dyDescent="0.4">
      <c r="A4221">
        <v>3000000</v>
      </c>
      <c r="B4221" t="s">
        <v>1000</v>
      </c>
      <c r="C4221" s="1">
        <v>38153</v>
      </c>
      <c r="D4221" t="s">
        <v>1001</v>
      </c>
      <c r="E4221" t="str">
        <f t="shared" si="208"/>
        <v>서울특별시</v>
      </c>
      <c r="F4221" t="str">
        <f t="shared" si="209"/>
        <v xml:space="preserve">종로구 </v>
      </c>
      <c r="G4221" t="str">
        <f t="shared" si="210"/>
        <v>청진동</v>
      </c>
    </row>
    <row r="4222" spans="1:9" x14ac:dyDescent="0.4">
      <c r="A4222">
        <v>3000000</v>
      </c>
      <c r="B4222" t="s">
        <v>1243</v>
      </c>
      <c r="C4222" s="1">
        <v>37125</v>
      </c>
      <c r="D4222" t="s">
        <v>1244</v>
      </c>
      <c r="E4222" t="str">
        <f t="shared" si="208"/>
        <v>서울특별시</v>
      </c>
      <c r="F4222" t="str">
        <f t="shared" si="209"/>
        <v xml:space="preserve">종로구 </v>
      </c>
      <c r="G4222" t="str">
        <f t="shared" si="210"/>
        <v>청진동</v>
      </c>
    </row>
    <row r="4223" spans="1:9" x14ac:dyDescent="0.4">
      <c r="A4223">
        <v>3000000</v>
      </c>
      <c r="B4223" t="s">
        <v>497</v>
      </c>
      <c r="C4223" s="1">
        <v>37510</v>
      </c>
      <c r="D4223" t="s">
        <v>498</v>
      </c>
      <c r="E4223" t="str">
        <f t="shared" si="208"/>
        <v>서울특별시</v>
      </c>
      <c r="F4223" t="str">
        <f t="shared" si="209"/>
        <v xml:space="preserve">종로구 </v>
      </c>
      <c r="G4223" t="str">
        <f t="shared" si="210"/>
        <v>청진동</v>
      </c>
      <c r="H4223" t="s">
        <v>499</v>
      </c>
      <c r="I4223">
        <v>3158</v>
      </c>
    </row>
    <row r="4224" spans="1:9" x14ac:dyDescent="0.4">
      <c r="A4224">
        <v>3000000</v>
      </c>
      <c r="B4224" t="s">
        <v>1245</v>
      </c>
      <c r="C4224" s="1">
        <v>37130</v>
      </c>
      <c r="D4224" t="s">
        <v>1246</v>
      </c>
      <c r="E4224" t="str">
        <f t="shared" si="208"/>
        <v>서울특별시</v>
      </c>
      <c r="F4224" t="str">
        <f t="shared" si="209"/>
        <v xml:space="preserve">종로구 </v>
      </c>
      <c r="G4224" t="str">
        <f t="shared" si="210"/>
        <v>청진동</v>
      </c>
    </row>
    <row r="4225" spans="1:9" x14ac:dyDescent="0.4">
      <c r="A4225">
        <v>3000000</v>
      </c>
      <c r="B4225" t="s">
        <v>819</v>
      </c>
      <c r="C4225" s="1">
        <v>33302</v>
      </c>
      <c r="D4225" t="s">
        <v>820</v>
      </c>
      <c r="E4225" t="str">
        <f t="shared" si="208"/>
        <v>서울특별시</v>
      </c>
      <c r="F4225" t="str">
        <f t="shared" si="209"/>
        <v xml:space="preserve">종로구 </v>
      </c>
      <c r="G4225" t="str">
        <f t="shared" si="210"/>
        <v>청진동</v>
      </c>
    </row>
    <row r="4226" spans="1:9" x14ac:dyDescent="0.4">
      <c r="A4226">
        <v>3000000</v>
      </c>
      <c r="B4226" t="s">
        <v>747</v>
      </c>
      <c r="C4226" s="1">
        <v>37161</v>
      </c>
      <c r="D4226" t="s">
        <v>748</v>
      </c>
      <c r="E4226" t="str">
        <f t="shared" si="208"/>
        <v>서울특별시</v>
      </c>
      <c r="F4226" t="str">
        <f t="shared" si="209"/>
        <v xml:space="preserve">종로구 </v>
      </c>
      <c r="G4226" t="str">
        <f t="shared" si="210"/>
        <v>청진동</v>
      </c>
    </row>
    <row r="4227" spans="1:9" x14ac:dyDescent="0.4">
      <c r="A4227">
        <v>3000000</v>
      </c>
      <c r="B4227" t="s">
        <v>838</v>
      </c>
      <c r="C4227" s="1">
        <v>38621</v>
      </c>
      <c r="D4227" t="s">
        <v>839</v>
      </c>
      <c r="E4227" t="str">
        <f t="shared" ref="E4227:E4290" si="211">LEFT(D4227,5)</f>
        <v>서울특별시</v>
      </c>
      <c r="F4227" t="str">
        <f t="shared" ref="F4227:F4270" si="212">MID(D4227,7,4)</f>
        <v xml:space="preserve">종로구 </v>
      </c>
      <c r="G4227" t="str">
        <f t="shared" ref="G4227:G4270" si="213">MID(SUBSTITUTE(D4227," ",""),9,3)</f>
        <v>청진동</v>
      </c>
    </row>
    <row r="4228" spans="1:9" x14ac:dyDescent="0.4">
      <c r="A4228">
        <v>3000000</v>
      </c>
      <c r="B4228" t="s">
        <v>835</v>
      </c>
      <c r="C4228" s="1">
        <v>38617</v>
      </c>
      <c r="D4228" t="s">
        <v>836</v>
      </c>
      <c r="E4228" t="str">
        <f t="shared" si="211"/>
        <v>서울특별시</v>
      </c>
      <c r="F4228" t="str">
        <f t="shared" si="212"/>
        <v xml:space="preserve">종로구 </v>
      </c>
      <c r="G4228" t="str">
        <f t="shared" si="213"/>
        <v>청진동</v>
      </c>
      <c r="H4228" t="s">
        <v>837</v>
      </c>
      <c r="I4228">
        <v>3158</v>
      </c>
    </row>
    <row r="4229" spans="1:9" x14ac:dyDescent="0.4">
      <c r="A4229">
        <v>3000000</v>
      </c>
      <c r="B4229" t="s">
        <v>670</v>
      </c>
      <c r="C4229" s="1">
        <v>36600</v>
      </c>
      <c r="D4229" t="s">
        <v>671</v>
      </c>
      <c r="E4229" t="str">
        <f t="shared" si="211"/>
        <v>서울특별시</v>
      </c>
      <c r="F4229" t="str">
        <f t="shared" si="212"/>
        <v xml:space="preserve">종로구 </v>
      </c>
      <c r="G4229" t="str">
        <f t="shared" si="213"/>
        <v>청진동</v>
      </c>
      <c r="H4229" t="s">
        <v>672</v>
      </c>
      <c r="I4229">
        <v>3158</v>
      </c>
    </row>
    <row r="4230" spans="1:9" x14ac:dyDescent="0.4">
      <c r="A4230">
        <v>3000000</v>
      </c>
      <c r="B4230" t="s">
        <v>1227</v>
      </c>
      <c r="C4230" s="1">
        <v>37419</v>
      </c>
      <c r="D4230" t="s">
        <v>1228</v>
      </c>
      <c r="E4230" t="str">
        <f t="shared" si="211"/>
        <v>서울특별시</v>
      </c>
      <c r="F4230" t="str">
        <f t="shared" si="212"/>
        <v xml:space="preserve">종로구 </v>
      </c>
      <c r="G4230" t="str">
        <f t="shared" si="213"/>
        <v>청진동</v>
      </c>
    </row>
    <row r="4231" spans="1:9" x14ac:dyDescent="0.4">
      <c r="A4231">
        <v>3000000</v>
      </c>
      <c r="B4231" t="s">
        <v>624</v>
      </c>
      <c r="C4231" s="1">
        <v>36493</v>
      </c>
      <c r="D4231" t="s">
        <v>625</v>
      </c>
      <c r="E4231" t="str">
        <f t="shared" si="211"/>
        <v>서울특별시</v>
      </c>
      <c r="F4231" t="str">
        <f t="shared" si="212"/>
        <v xml:space="preserve">종로구 </v>
      </c>
      <c r="G4231" t="str">
        <f t="shared" si="213"/>
        <v>청진동</v>
      </c>
    </row>
    <row r="4232" spans="1:9" x14ac:dyDescent="0.4">
      <c r="A4232">
        <v>3000000</v>
      </c>
      <c r="B4232" t="s">
        <v>1145</v>
      </c>
      <c r="C4232" s="1">
        <v>37803</v>
      </c>
      <c r="D4232" t="s">
        <v>1146</v>
      </c>
      <c r="E4232" t="str">
        <f t="shared" si="211"/>
        <v>서울특별시</v>
      </c>
      <c r="F4232" t="str">
        <f t="shared" si="212"/>
        <v xml:space="preserve">종로구 </v>
      </c>
      <c r="G4232" t="str">
        <f t="shared" si="213"/>
        <v>청진동</v>
      </c>
    </row>
    <row r="4233" spans="1:9" x14ac:dyDescent="0.4">
      <c r="A4233">
        <v>3000000</v>
      </c>
      <c r="B4233" t="s">
        <v>1085</v>
      </c>
      <c r="C4233" s="1">
        <v>36613</v>
      </c>
      <c r="D4233" t="s">
        <v>1086</v>
      </c>
      <c r="E4233" t="str">
        <f t="shared" si="211"/>
        <v>서울특별시</v>
      </c>
      <c r="F4233" t="str">
        <f t="shared" si="212"/>
        <v xml:space="preserve">종로구 </v>
      </c>
      <c r="G4233" t="str">
        <f t="shared" si="213"/>
        <v>청진동</v>
      </c>
    </row>
    <row r="4234" spans="1:9" x14ac:dyDescent="0.4">
      <c r="A4234">
        <v>3000000</v>
      </c>
      <c r="B4234" t="s">
        <v>536</v>
      </c>
      <c r="C4234" s="1">
        <v>38607</v>
      </c>
      <c r="D4234" t="s">
        <v>537</v>
      </c>
      <c r="E4234" t="str">
        <f t="shared" si="211"/>
        <v>서울특별시</v>
      </c>
      <c r="F4234" t="str">
        <f t="shared" si="212"/>
        <v xml:space="preserve">종로구 </v>
      </c>
      <c r="G4234" t="str">
        <f t="shared" si="213"/>
        <v>청진동</v>
      </c>
    </row>
    <row r="4235" spans="1:9" x14ac:dyDescent="0.4">
      <c r="A4235">
        <v>3000000</v>
      </c>
      <c r="B4235" t="s">
        <v>1311</v>
      </c>
      <c r="C4235" s="1">
        <v>36425</v>
      </c>
      <c r="D4235" t="s">
        <v>1312</v>
      </c>
      <c r="E4235" t="str">
        <f t="shared" si="211"/>
        <v>서울특별시</v>
      </c>
      <c r="F4235" t="str">
        <f t="shared" si="212"/>
        <v xml:space="preserve">종로구 </v>
      </c>
      <c r="G4235" t="str">
        <f t="shared" si="213"/>
        <v>청진동</v>
      </c>
    </row>
    <row r="4236" spans="1:9" x14ac:dyDescent="0.4">
      <c r="A4236">
        <v>3000000</v>
      </c>
      <c r="B4236" t="s">
        <v>912</v>
      </c>
      <c r="C4236" s="1">
        <v>29974</v>
      </c>
      <c r="D4236" t="s">
        <v>913</v>
      </c>
      <c r="E4236" t="str">
        <f t="shared" si="211"/>
        <v>서울특별시</v>
      </c>
      <c r="F4236" t="str">
        <f t="shared" si="212"/>
        <v xml:space="preserve">종로구 </v>
      </c>
      <c r="G4236" t="str">
        <f t="shared" si="213"/>
        <v>청진동</v>
      </c>
    </row>
    <row r="4237" spans="1:9" x14ac:dyDescent="0.4">
      <c r="A4237">
        <v>3000000</v>
      </c>
      <c r="B4237" t="s">
        <v>547</v>
      </c>
      <c r="C4237" s="1">
        <v>36437</v>
      </c>
      <c r="D4237" t="s">
        <v>548</v>
      </c>
      <c r="E4237" t="str">
        <f t="shared" si="211"/>
        <v>서울특별시</v>
      </c>
      <c r="F4237" t="str">
        <f t="shared" si="212"/>
        <v xml:space="preserve">종로구 </v>
      </c>
      <c r="G4237" t="str">
        <f t="shared" si="213"/>
        <v>충신동</v>
      </c>
      <c r="H4237" t="s">
        <v>549</v>
      </c>
      <c r="I4237">
        <v>3123</v>
      </c>
    </row>
    <row r="4238" spans="1:9" x14ac:dyDescent="0.4">
      <c r="A4238">
        <v>3000000</v>
      </c>
      <c r="B4238" t="s">
        <v>823</v>
      </c>
      <c r="C4238" s="1">
        <v>33931</v>
      </c>
      <c r="D4238" t="s">
        <v>824</v>
      </c>
      <c r="E4238" t="str">
        <f t="shared" si="211"/>
        <v>서울특별시</v>
      </c>
      <c r="F4238" t="str">
        <f t="shared" si="212"/>
        <v xml:space="preserve">종로구 </v>
      </c>
      <c r="G4238" t="str">
        <f t="shared" si="213"/>
        <v>평창동</v>
      </c>
    </row>
    <row r="4239" spans="1:9" x14ac:dyDescent="0.4">
      <c r="A4239">
        <v>3000000</v>
      </c>
      <c r="B4239" t="s">
        <v>989</v>
      </c>
      <c r="C4239" s="1">
        <v>27009</v>
      </c>
      <c r="D4239" t="s">
        <v>824</v>
      </c>
      <c r="E4239" t="str">
        <f t="shared" si="211"/>
        <v>서울특별시</v>
      </c>
      <c r="F4239" t="str">
        <f t="shared" si="212"/>
        <v xml:space="preserve">종로구 </v>
      </c>
      <c r="G4239" t="str">
        <f t="shared" si="213"/>
        <v>평창동</v>
      </c>
    </row>
    <row r="4240" spans="1:9" x14ac:dyDescent="0.4">
      <c r="A4240">
        <v>3000000</v>
      </c>
      <c r="B4240" t="s">
        <v>903</v>
      </c>
      <c r="C4240" s="1">
        <v>28662</v>
      </c>
      <c r="D4240" t="s">
        <v>904</v>
      </c>
      <c r="E4240" t="str">
        <f t="shared" si="211"/>
        <v>서울특별시</v>
      </c>
      <c r="F4240" t="str">
        <f t="shared" si="212"/>
        <v xml:space="preserve">종로구 </v>
      </c>
      <c r="G4240" t="str">
        <f t="shared" si="213"/>
        <v>평창동</v>
      </c>
    </row>
    <row r="4241" spans="1:9" x14ac:dyDescent="0.4">
      <c r="A4241">
        <v>3000000</v>
      </c>
      <c r="B4241" t="s">
        <v>1042</v>
      </c>
      <c r="C4241" s="1">
        <v>27347</v>
      </c>
      <c r="D4241" t="s">
        <v>1043</v>
      </c>
      <c r="E4241" t="str">
        <f t="shared" si="211"/>
        <v>서울특별시</v>
      </c>
      <c r="F4241" t="str">
        <f t="shared" si="212"/>
        <v xml:space="preserve">종로구 </v>
      </c>
      <c r="G4241" t="str">
        <f t="shared" si="213"/>
        <v>평창동</v>
      </c>
    </row>
    <row r="4242" spans="1:9" x14ac:dyDescent="0.4">
      <c r="A4242">
        <v>3000000</v>
      </c>
      <c r="B4242" t="s">
        <v>1074</v>
      </c>
      <c r="C4242" s="1">
        <v>27669</v>
      </c>
      <c r="D4242" t="s">
        <v>1043</v>
      </c>
      <c r="E4242" t="str">
        <f t="shared" si="211"/>
        <v>서울특별시</v>
      </c>
      <c r="F4242" t="str">
        <f t="shared" si="212"/>
        <v xml:space="preserve">종로구 </v>
      </c>
      <c r="G4242" t="str">
        <f t="shared" si="213"/>
        <v>평창동</v>
      </c>
    </row>
    <row r="4243" spans="1:9" x14ac:dyDescent="0.4">
      <c r="A4243">
        <v>3000000</v>
      </c>
      <c r="B4243" t="s">
        <v>373</v>
      </c>
      <c r="C4243" s="1">
        <v>39147</v>
      </c>
      <c r="D4243" t="s">
        <v>374</v>
      </c>
      <c r="E4243" t="str">
        <f t="shared" si="211"/>
        <v>서울특별시</v>
      </c>
      <c r="F4243" t="str">
        <f t="shared" si="212"/>
        <v xml:space="preserve">종로구 </v>
      </c>
      <c r="G4243" t="str">
        <f t="shared" si="213"/>
        <v>평창동</v>
      </c>
      <c r="H4243" t="s">
        <v>375</v>
      </c>
    </row>
    <row r="4244" spans="1:9" x14ac:dyDescent="0.4">
      <c r="A4244">
        <v>3000000</v>
      </c>
      <c r="B4244" t="s">
        <v>1118</v>
      </c>
      <c r="C4244" s="1">
        <v>38037</v>
      </c>
      <c r="D4244" t="s">
        <v>1119</v>
      </c>
      <c r="E4244" t="str">
        <f t="shared" si="211"/>
        <v>서울특별시</v>
      </c>
      <c r="F4244" t="str">
        <f t="shared" si="212"/>
        <v xml:space="preserve">종로구 </v>
      </c>
      <c r="G4244" t="str">
        <f t="shared" si="213"/>
        <v>평창동</v>
      </c>
    </row>
    <row r="4245" spans="1:9" x14ac:dyDescent="0.4">
      <c r="A4245">
        <v>3000000</v>
      </c>
      <c r="B4245" t="s">
        <v>815</v>
      </c>
      <c r="C4245" s="1">
        <v>33177</v>
      </c>
      <c r="D4245" t="s">
        <v>816</v>
      </c>
      <c r="E4245" t="str">
        <f t="shared" si="211"/>
        <v>서울특별시</v>
      </c>
      <c r="F4245" t="str">
        <f t="shared" si="212"/>
        <v xml:space="preserve">종로구 </v>
      </c>
      <c r="G4245" t="str">
        <f t="shared" si="213"/>
        <v>평창동</v>
      </c>
    </row>
    <row r="4246" spans="1:9" x14ac:dyDescent="0.4">
      <c r="A4246">
        <v>3000000</v>
      </c>
      <c r="B4246" t="s">
        <v>1140</v>
      </c>
      <c r="C4246" s="1">
        <v>36847</v>
      </c>
      <c r="D4246" t="s">
        <v>1141</v>
      </c>
      <c r="E4246" t="str">
        <f t="shared" si="211"/>
        <v>서울특별시</v>
      </c>
      <c r="F4246" t="str">
        <f t="shared" si="212"/>
        <v xml:space="preserve">종로구 </v>
      </c>
      <c r="G4246" t="str">
        <f t="shared" si="213"/>
        <v>효제동</v>
      </c>
      <c r="H4246" t="s">
        <v>1142</v>
      </c>
      <c r="I4246">
        <v>3126</v>
      </c>
    </row>
    <row r="4247" spans="1:9" x14ac:dyDescent="0.4">
      <c r="A4247">
        <v>3000000</v>
      </c>
      <c r="B4247" t="s">
        <v>305</v>
      </c>
      <c r="C4247" s="1">
        <v>41809</v>
      </c>
      <c r="D4247" t="s">
        <v>306</v>
      </c>
      <c r="E4247" t="str">
        <f t="shared" si="211"/>
        <v>서울특별시</v>
      </c>
      <c r="F4247" t="str">
        <f t="shared" si="212"/>
        <v xml:space="preserve">종로구 </v>
      </c>
      <c r="G4247" t="str">
        <f t="shared" si="213"/>
        <v>효제동</v>
      </c>
      <c r="H4247" t="s">
        <v>307</v>
      </c>
      <c r="I4247">
        <v>3126</v>
      </c>
    </row>
    <row r="4248" spans="1:9" x14ac:dyDescent="0.4">
      <c r="A4248">
        <v>3000000</v>
      </c>
      <c r="B4248" t="s">
        <v>773</v>
      </c>
      <c r="C4248" s="1">
        <v>44270</v>
      </c>
      <c r="D4248" t="s">
        <v>774</v>
      </c>
      <c r="E4248" t="str">
        <f t="shared" si="211"/>
        <v>서울특별시</v>
      </c>
      <c r="F4248" t="str">
        <f t="shared" si="212"/>
        <v xml:space="preserve">종로구 </v>
      </c>
      <c r="G4248" t="str">
        <f t="shared" si="213"/>
        <v>효제동</v>
      </c>
      <c r="H4248" t="s">
        <v>775</v>
      </c>
      <c r="I4248">
        <v>3126</v>
      </c>
    </row>
    <row r="4249" spans="1:9" x14ac:dyDescent="0.4">
      <c r="A4249">
        <v>3000000</v>
      </c>
      <c r="B4249" t="s">
        <v>776</v>
      </c>
      <c r="C4249" s="1">
        <v>44270</v>
      </c>
      <c r="D4249" t="s">
        <v>774</v>
      </c>
      <c r="E4249" t="str">
        <f t="shared" si="211"/>
        <v>서울특별시</v>
      </c>
      <c r="F4249" t="str">
        <f t="shared" si="212"/>
        <v xml:space="preserve">종로구 </v>
      </c>
      <c r="G4249" t="str">
        <f t="shared" si="213"/>
        <v>효제동</v>
      </c>
      <c r="H4249" t="s">
        <v>777</v>
      </c>
      <c r="I4249">
        <v>3126</v>
      </c>
    </row>
    <row r="4250" spans="1:9" x14ac:dyDescent="0.4">
      <c r="A4250">
        <v>3000000</v>
      </c>
      <c r="B4250" t="s">
        <v>706</v>
      </c>
      <c r="C4250" s="1">
        <v>37985</v>
      </c>
      <c r="D4250" t="s">
        <v>707</v>
      </c>
      <c r="E4250" t="str">
        <f t="shared" si="211"/>
        <v>서울특별시</v>
      </c>
      <c r="F4250" t="str">
        <f t="shared" si="212"/>
        <v xml:space="preserve">종로구 </v>
      </c>
      <c r="G4250" t="str">
        <f t="shared" si="213"/>
        <v>효제동</v>
      </c>
      <c r="H4250" t="s">
        <v>708</v>
      </c>
      <c r="I4250">
        <v>3126</v>
      </c>
    </row>
    <row r="4251" spans="1:9" x14ac:dyDescent="0.4">
      <c r="A4251">
        <v>3000000</v>
      </c>
      <c r="B4251" t="s">
        <v>165</v>
      </c>
      <c r="C4251" s="1">
        <v>40682</v>
      </c>
      <c r="D4251" t="s">
        <v>166</v>
      </c>
      <c r="E4251" t="str">
        <f t="shared" si="211"/>
        <v>서울특별시</v>
      </c>
      <c r="F4251" t="str">
        <f t="shared" si="212"/>
        <v xml:space="preserve">종로구 </v>
      </c>
      <c r="G4251" t="str">
        <f t="shared" si="213"/>
        <v>효제동</v>
      </c>
      <c r="H4251" t="s">
        <v>167</v>
      </c>
      <c r="I4251">
        <v>3126</v>
      </c>
    </row>
    <row r="4252" spans="1:9" x14ac:dyDescent="0.4">
      <c r="A4252">
        <v>3000000</v>
      </c>
      <c r="B4252" t="s">
        <v>403</v>
      </c>
      <c r="C4252" s="1">
        <v>37225</v>
      </c>
      <c r="D4252" t="s">
        <v>404</v>
      </c>
      <c r="E4252" t="str">
        <f t="shared" si="211"/>
        <v>서울특별시</v>
      </c>
      <c r="F4252" t="str">
        <f t="shared" si="212"/>
        <v xml:space="preserve">종로구 </v>
      </c>
      <c r="G4252" t="str">
        <f t="shared" si="213"/>
        <v>효제동</v>
      </c>
      <c r="H4252" t="s">
        <v>405</v>
      </c>
      <c r="I4252">
        <v>3126</v>
      </c>
    </row>
    <row r="4253" spans="1:9" x14ac:dyDescent="0.4">
      <c r="A4253">
        <v>3000000</v>
      </c>
      <c r="B4253" t="s">
        <v>778</v>
      </c>
      <c r="C4253" s="1">
        <v>45632</v>
      </c>
      <c r="D4253" t="s">
        <v>779</v>
      </c>
      <c r="E4253" t="str">
        <f t="shared" si="211"/>
        <v>서울특별시</v>
      </c>
      <c r="F4253" t="str">
        <f t="shared" si="212"/>
        <v xml:space="preserve">종로구 </v>
      </c>
      <c r="G4253" t="str">
        <f t="shared" si="213"/>
        <v>효제동</v>
      </c>
      <c r="H4253" t="s">
        <v>780</v>
      </c>
      <c r="I4253">
        <v>3126</v>
      </c>
    </row>
    <row r="4254" spans="1:9" x14ac:dyDescent="0.4">
      <c r="A4254">
        <v>3000000</v>
      </c>
      <c r="B4254" t="s">
        <v>463</v>
      </c>
      <c r="C4254" s="1">
        <v>39875</v>
      </c>
      <c r="D4254" t="s">
        <v>464</v>
      </c>
      <c r="E4254" t="str">
        <f t="shared" si="211"/>
        <v>서울특별시</v>
      </c>
      <c r="F4254" t="str">
        <f t="shared" si="212"/>
        <v xml:space="preserve">종로구 </v>
      </c>
      <c r="G4254" t="str">
        <f t="shared" si="213"/>
        <v>효제동</v>
      </c>
      <c r="H4254" t="s">
        <v>465</v>
      </c>
      <c r="I4254">
        <v>3126</v>
      </c>
    </row>
    <row r="4255" spans="1:9" x14ac:dyDescent="0.4">
      <c r="A4255">
        <v>3000000</v>
      </c>
      <c r="B4255" t="s">
        <v>521</v>
      </c>
      <c r="C4255" s="1">
        <v>40247</v>
      </c>
      <c r="D4255" t="s">
        <v>522</v>
      </c>
      <c r="E4255" t="str">
        <f t="shared" si="211"/>
        <v>서울특별시</v>
      </c>
      <c r="F4255" t="str">
        <f t="shared" si="212"/>
        <v xml:space="preserve">종로구 </v>
      </c>
      <c r="G4255" t="str">
        <f t="shared" si="213"/>
        <v>효제동</v>
      </c>
      <c r="H4255" t="s">
        <v>523</v>
      </c>
      <c r="I4255">
        <v>3126</v>
      </c>
    </row>
    <row r="4256" spans="1:9" x14ac:dyDescent="0.4">
      <c r="A4256">
        <v>3000000</v>
      </c>
      <c r="B4256" t="s">
        <v>744</v>
      </c>
      <c r="C4256" s="1">
        <v>37155</v>
      </c>
      <c r="D4256" t="s">
        <v>745</v>
      </c>
      <c r="E4256" t="str">
        <f t="shared" si="211"/>
        <v>서울특별시</v>
      </c>
      <c r="F4256" t="str">
        <f t="shared" si="212"/>
        <v xml:space="preserve">종로구 </v>
      </c>
      <c r="G4256" t="str">
        <f t="shared" si="213"/>
        <v>효제동</v>
      </c>
      <c r="H4256" t="s">
        <v>746</v>
      </c>
      <c r="I4256">
        <v>3126</v>
      </c>
    </row>
    <row r="4257" spans="1:9" x14ac:dyDescent="0.4">
      <c r="A4257">
        <v>3000000</v>
      </c>
      <c r="B4257" t="s">
        <v>755</v>
      </c>
      <c r="C4257" s="1">
        <v>37042</v>
      </c>
      <c r="D4257" t="s">
        <v>756</v>
      </c>
      <c r="E4257" t="str">
        <f t="shared" si="211"/>
        <v>서울특별시</v>
      </c>
      <c r="F4257" t="str">
        <f t="shared" si="212"/>
        <v xml:space="preserve">종로구 </v>
      </c>
      <c r="G4257" t="str">
        <f t="shared" si="213"/>
        <v>효제동</v>
      </c>
      <c r="H4257" t="s">
        <v>757</v>
      </c>
      <c r="I4257">
        <v>3126</v>
      </c>
    </row>
    <row r="4258" spans="1:9" x14ac:dyDescent="0.4">
      <c r="A4258">
        <v>3000000</v>
      </c>
      <c r="B4258" t="s">
        <v>436</v>
      </c>
      <c r="C4258" s="1">
        <v>39629</v>
      </c>
      <c r="D4258" t="s">
        <v>437</v>
      </c>
      <c r="E4258" t="str">
        <f t="shared" si="211"/>
        <v>서울특별시</v>
      </c>
      <c r="F4258" t="str">
        <f t="shared" si="212"/>
        <v xml:space="preserve">종로구 </v>
      </c>
      <c r="G4258" t="str">
        <f t="shared" si="213"/>
        <v>효제동</v>
      </c>
      <c r="H4258" t="s">
        <v>438</v>
      </c>
      <c r="I4258">
        <v>3126</v>
      </c>
    </row>
    <row r="4259" spans="1:9" x14ac:dyDescent="0.4">
      <c r="A4259">
        <v>3000000</v>
      </c>
      <c r="B4259" t="s">
        <v>1134</v>
      </c>
      <c r="C4259" s="1">
        <v>36768</v>
      </c>
      <c r="D4259" t="s">
        <v>1135</v>
      </c>
      <c r="E4259" t="str">
        <f t="shared" si="211"/>
        <v>서울특별시</v>
      </c>
      <c r="F4259" t="str">
        <f t="shared" si="212"/>
        <v xml:space="preserve">종로구 </v>
      </c>
      <c r="G4259" t="str">
        <f t="shared" si="213"/>
        <v>효제동</v>
      </c>
    </row>
    <row r="4260" spans="1:9" x14ac:dyDescent="0.4">
      <c r="A4260">
        <v>3000000</v>
      </c>
      <c r="B4260" t="s">
        <v>871</v>
      </c>
      <c r="C4260" s="1">
        <v>38917</v>
      </c>
      <c r="D4260" t="s">
        <v>872</v>
      </c>
      <c r="E4260" t="str">
        <f t="shared" si="211"/>
        <v>서울특별시</v>
      </c>
      <c r="F4260" t="str">
        <f t="shared" si="212"/>
        <v xml:space="preserve">종로구 </v>
      </c>
      <c r="G4260" t="str">
        <f t="shared" si="213"/>
        <v>효제동</v>
      </c>
      <c r="H4260" t="s">
        <v>873</v>
      </c>
      <c r="I4260">
        <v>3126</v>
      </c>
    </row>
    <row r="4261" spans="1:9" x14ac:dyDescent="0.4">
      <c r="A4261">
        <v>3000000</v>
      </c>
      <c r="B4261" t="s">
        <v>1108</v>
      </c>
      <c r="C4261" s="1">
        <v>36887</v>
      </c>
      <c r="D4261" t="s">
        <v>872</v>
      </c>
      <c r="E4261" t="str">
        <f t="shared" si="211"/>
        <v>서울특별시</v>
      </c>
      <c r="F4261" t="str">
        <f t="shared" si="212"/>
        <v xml:space="preserve">종로구 </v>
      </c>
      <c r="G4261" t="str">
        <f t="shared" si="213"/>
        <v>효제동</v>
      </c>
      <c r="H4261" t="s">
        <v>873</v>
      </c>
      <c r="I4261">
        <v>3126</v>
      </c>
    </row>
    <row r="4262" spans="1:9" x14ac:dyDescent="0.4">
      <c r="A4262">
        <v>3000000</v>
      </c>
      <c r="B4262" t="s">
        <v>297</v>
      </c>
      <c r="C4262" s="1">
        <v>41750</v>
      </c>
      <c r="D4262" t="s">
        <v>298</v>
      </c>
      <c r="E4262" t="str">
        <f t="shared" si="211"/>
        <v>서울특별시</v>
      </c>
      <c r="F4262" t="str">
        <f t="shared" si="212"/>
        <v xml:space="preserve">종로구 </v>
      </c>
      <c r="G4262" t="str">
        <f t="shared" si="213"/>
        <v>효제동</v>
      </c>
      <c r="H4262" t="s">
        <v>299</v>
      </c>
      <c r="I4262">
        <v>3126</v>
      </c>
    </row>
    <row r="4263" spans="1:9" x14ac:dyDescent="0.4">
      <c r="A4263">
        <v>3000000</v>
      </c>
      <c r="B4263" t="s">
        <v>809</v>
      </c>
      <c r="C4263" s="1">
        <v>40735</v>
      </c>
      <c r="D4263" t="s">
        <v>298</v>
      </c>
      <c r="E4263" t="str">
        <f t="shared" si="211"/>
        <v>서울특별시</v>
      </c>
      <c r="F4263" t="str">
        <f t="shared" si="212"/>
        <v xml:space="preserve">종로구 </v>
      </c>
      <c r="G4263" t="str">
        <f t="shared" si="213"/>
        <v>효제동</v>
      </c>
      <c r="H4263" t="s">
        <v>810</v>
      </c>
      <c r="I4263">
        <v>3126</v>
      </c>
    </row>
    <row r="4264" spans="1:9" x14ac:dyDescent="0.4">
      <c r="A4264">
        <v>3000000</v>
      </c>
      <c r="B4264" t="s">
        <v>1164</v>
      </c>
      <c r="C4264" s="1">
        <v>40423</v>
      </c>
      <c r="D4264" t="s">
        <v>1165</v>
      </c>
      <c r="E4264" t="str">
        <f t="shared" si="211"/>
        <v>서울특별시</v>
      </c>
      <c r="F4264" t="str">
        <f t="shared" si="212"/>
        <v xml:space="preserve">종로구 </v>
      </c>
      <c r="G4264" t="str">
        <f t="shared" si="213"/>
        <v>효제동</v>
      </c>
      <c r="H4264" t="s">
        <v>1166</v>
      </c>
      <c r="I4264">
        <v>3126</v>
      </c>
    </row>
    <row r="4265" spans="1:9" x14ac:dyDescent="0.4">
      <c r="A4265">
        <v>3000000</v>
      </c>
      <c r="B4265" t="s">
        <v>1012</v>
      </c>
      <c r="C4265" s="1">
        <v>38236</v>
      </c>
      <c r="D4265" t="s">
        <v>1013</v>
      </c>
      <c r="E4265" t="str">
        <f t="shared" si="211"/>
        <v>서울특별시</v>
      </c>
      <c r="F4265" t="str">
        <f t="shared" si="212"/>
        <v xml:space="preserve">종로구 </v>
      </c>
      <c r="G4265" t="str">
        <f t="shared" si="213"/>
        <v>효제동</v>
      </c>
      <c r="H4265" t="s">
        <v>1014</v>
      </c>
      <c r="I4265">
        <v>3126</v>
      </c>
    </row>
    <row r="4266" spans="1:9" x14ac:dyDescent="0.4">
      <c r="A4266">
        <v>3000000</v>
      </c>
      <c r="B4266" t="s">
        <v>840</v>
      </c>
      <c r="C4266" s="1">
        <v>38678</v>
      </c>
      <c r="D4266" t="s">
        <v>841</v>
      </c>
      <c r="E4266" t="str">
        <f t="shared" si="211"/>
        <v>서울특별시</v>
      </c>
      <c r="F4266" t="str">
        <f t="shared" si="212"/>
        <v xml:space="preserve">종로구 </v>
      </c>
      <c r="G4266" t="str">
        <f t="shared" si="213"/>
        <v>효제동</v>
      </c>
      <c r="H4266" t="s">
        <v>842</v>
      </c>
      <c r="I4266">
        <v>3126</v>
      </c>
    </row>
    <row r="4267" spans="1:9" x14ac:dyDescent="0.4">
      <c r="A4267">
        <v>3000000</v>
      </c>
      <c r="B4267" t="s">
        <v>533</v>
      </c>
      <c r="C4267" s="1">
        <v>38387</v>
      </c>
      <c r="D4267" t="s">
        <v>534</v>
      </c>
      <c r="E4267" t="str">
        <f t="shared" si="211"/>
        <v>서울특별시</v>
      </c>
      <c r="F4267" t="str">
        <f t="shared" si="212"/>
        <v xml:space="preserve">종로구 </v>
      </c>
      <c r="G4267" t="str">
        <f t="shared" si="213"/>
        <v>효제동</v>
      </c>
      <c r="H4267" t="s">
        <v>535</v>
      </c>
      <c r="I4267">
        <v>3126</v>
      </c>
    </row>
    <row r="4268" spans="1:9" x14ac:dyDescent="0.4">
      <c r="A4268">
        <v>3000000</v>
      </c>
      <c r="B4268" t="s">
        <v>851</v>
      </c>
      <c r="C4268" s="1">
        <v>25599</v>
      </c>
      <c r="D4268" t="s">
        <v>852</v>
      </c>
      <c r="E4268" t="str">
        <f t="shared" si="211"/>
        <v>서울특별시</v>
      </c>
      <c r="F4268" t="str">
        <f t="shared" si="212"/>
        <v xml:space="preserve">종로구 </v>
      </c>
      <c r="G4268" t="str">
        <f t="shared" si="213"/>
        <v>효제동</v>
      </c>
    </row>
    <row r="4269" spans="1:9" x14ac:dyDescent="0.4">
      <c r="A4269">
        <v>3000000</v>
      </c>
      <c r="B4269" t="s">
        <v>643</v>
      </c>
      <c r="C4269" s="1">
        <v>37860</v>
      </c>
      <c r="D4269" t="s">
        <v>644</v>
      </c>
      <c r="E4269" t="str">
        <f t="shared" si="211"/>
        <v>서울특별시</v>
      </c>
      <c r="F4269" t="str">
        <f t="shared" si="212"/>
        <v xml:space="preserve">종로구 </v>
      </c>
      <c r="G4269" t="str">
        <f t="shared" si="213"/>
        <v>효제동</v>
      </c>
      <c r="H4269" t="s">
        <v>645</v>
      </c>
      <c r="I4269">
        <v>3129</v>
      </c>
    </row>
    <row r="4270" spans="1:9" x14ac:dyDescent="0.4">
      <c r="A4270">
        <v>3000000</v>
      </c>
      <c r="B4270" t="s">
        <v>1109</v>
      </c>
      <c r="C4270" s="1">
        <v>36913</v>
      </c>
      <c r="D4270" t="s">
        <v>644</v>
      </c>
      <c r="E4270" t="str">
        <f t="shared" si="211"/>
        <v>서울특별시</v>
      </c>
      <c r="F4270" t="str">
        <f t="shared" si="212"/>
        <v xml:space="preserve">종로구 </v>
      </c>
      <c r="G4270" t="str">
        <f t="shared" si="213"/>
        <v>효제동</v>
      </c>
    </row>
    <row r="4271" spans="1:9" x14ac:dyDescent="0.4">
      <c r="A4271">
        <v>3010000</v>
      </c>
      <c r="B4271" t="s">
        <v>1411</v>
      </c>
      <c r="C4271" s="1">
        <v>37783</v>
      </c>
      <c r="D4271" t="s">
        <v>1412</v>
      </c>
      <c r="E4271" t="str">
        <f t="shared" si="211"/>
        <v>서울특별시</v>
      </c>
      <c r="F4271" t="str">
        <f>MID(D4271,7,3)</f>
        <v xml:space="preserve">중구 </v>
      </c>
      <c r="G4271" t="str">
        <f>MID(SUBSTITUTE(D4271," ",""),8,3)</f>
        <v>광희동</v>
      </c>
      <c r="H4271" t="s">
        <v>1413</v>
      </c>
      <c r="I4271">
        <v>4561</v>
      </c>
    </row>
    <row r="4272" spans="1:9" x14ac:dyDescent="0.4">
      <c r="A4272">
        <v>3010000</v>
      </c>
      <c r="B4272" t="s">
        <v>2054</v>
      </c>
      <c r="C4272" s="1">
        <v>37540</v>
      </c>
      <c r="D4272" t="s">
        <v>2055</v>
      </c>
      <c r="E4272" t="str">
        <f t="shared" si="211"/>
        <v>서울특별시</v>
      </c>
      <c r="F4272" t="str">
        <f t="shared" ref="F4272:F4335" si="214">MID(D4272,7,3)</f>
        <v xml:space="preserve">중구 </v>
      </c>
      <c r="G4272" t="str">
        <f t="shared" ref="G4272:G4308" si="215">MID(SUBSTITUTE(D4272," ",""),8,3)</f>
        <v>광희동</v>
      </c>
    </row>
    <row r="4273" spans="1:9" x14ac:dyDescent="0.4">
      <c r="A4273">
        <v>3010000</v>
      </c>
      <c r="B4273" t="s">
        <v>2771</v>
      </c>
      <c r="C4273" s="1">
        <v>37232</v>
      </c>
      <c r="D4273" t="s">
        <v>2772</v>
      </c>
      <c r="E4273" t="str">
        <f t="shared" si="211"/>
        <v>서울특별시</v>
      </c>
      <c r="F4273" t="str">
        <f t="shared" si="214"/>
        <v xml:space="preserve">중구 </v>
      </c>
      <c r="G4273" t="str">
        <f t="shared" si="215"/>
        <v>광희동</v>
      </c>
      <c r="H4273" t="s">
        <v>2773</v>
      </c>
      <c r="I4273">
        <v>4561</v>
      </c>
    </row>
    <row r="4274" spans="1:9" x14ac:dyDescent="0.4">
      <c r="A4274">
        <v>3010000</v>
      </c>
      <c r="B4274" t="s">
        <v>2841</v>
      </c>
      <c r="C4274" s="1">
        <v>39003</v>
      </c>
      <c r="D4274" t="s">
        <v>2842</v>
      </c>
      <c r="E4274" t="str">
        <f t="shared" si="211"/>
        <v>서울특별시</v>
      </c>
      <c r="F4274" t="str">
        <f t="shared" si="214"/>
        <v xml:space="preserve">중구 </v>
      </c>
      <c r="G4274" t="str">
        <f t="shared" si="215"/>
        <v>광희동</v>
      </c>
      <c r="H4274" t="s">
        <v>2843</v>
      </c>
      <c r="I4274">
        <v>4561</v>
      </c>
    </row>
    <row r="4275" spans="1:9" x14ac:dyDescent="0.4">
      <c r="A4275">
        <v>3010000</v>
      </c>
      <c r="B4275" t="s">
        <v>2269</v>
      </c>
      <c r="C4275" s="1">
        <v>36710</v>
      </c>
      <c r="D4275" t="s">
        <v>2270</v>
      </c>
      <c r="E4275" t="str">
        <f t="shared" si="211"/>
        <v>서울특별시</v>
      </c>
      <c r="F4275" t="str">
        <f t="shared" si="214"/>
        <v xml:space="preserve">중구 </v>
      </c>
      <c r="G4275" t="str">
        <f t="shared" si="215"/>
        <v>광희동</v>
      </c>
    </row>
    <row r="4276" spans="1:9" x14ac:dyDescent="0.4">
      <c r="A4276">
        <v>3010000</v>
      </c>
      <c r="B4276" t="s">
        <v>2231</v>
      </c>
      <c r="C4276" s="1">
        <v>30802</v>
      </c>
      <c r="D4276" t="s">
        <v>2232</v>
      </c>
      <c r="E4276" t="str">
        <f t="shared" si="211"/>
        <v>서울특별시</v>
      </c>
      <c r="F4276" t="str">
        <f t="shared" si="214"/>
        <v xml:space="preserve">중구 </v>
      </c>
      <c r="G4276" t="str">
        <f t="shared" si="215"/>
        <v>광희동</v>
      </c>
    </row>
    <row r="4277" spans="1:9" x14ac:dyDescent="0.4">
      <c r="A4277">
        <v>3010000</v>
      </c>
      <c r="B4277" t="s">
        <v>1799</v>
      </c>
      <c r="C4277" s="1">
        <v>26613</v>
      </c>
      <c r="D4277" t="s">
        <v>1800</v>
      </c>
      <c r="E4277" t="str">
        <f t="shared" si="211"/>
        <v>서울특별시</v>
      </c>
      <c r="F4277" t="str">
        <f t="shared" si="214"/>
        <v xml:space="preserve">중구 </v>
      </c>
      <c r="G4277" t="str">
        <f t="shared" si="215"/>
        <v>광희동</v>
      </c>
    </row>
    <row r="4278" spans="1:9" x14ac:dyDescent="0.4">
      <c r="A4278">
        <v>3010000</v>
      </c>
      <c r="B4278" t="s">
        <v>1941</v>
      </c>
      <c r="C4278" s="1">
        <v>37512</v>
      </c>
      <c r="D4278" t="s">
        <v>1942</v>
      </c>
      <c r="E4278" t="str">
        <f t="shared" si="211"/>
        <v>서울특별시</v>
      </c>
      <c r="F4278" t="str">
        <f t="shared" si="214"/>
        <v xml:space="preserve">중구 </v>
      </c>
      <c r="G4278" t="str">
        <f t="shared" si="215"/>
        <v>광희동</v>
      </c>
    </row>
    <row r="4279" spans="1:9" x14ac:dyDescent="0.4">
      <c r="A4279">
        <v>3010000</v>
      </c>
      <c r="B4279" t="s">
        <v>2319</v>
      </c>
      <c r="C4279" s="1">
        <v>44923</v>
      </c>
      <c r="D4279" t="s">
        <v>2320</v>
      </c>
      <c r="E4279" t="str">
        <f t="shared" si="211"/>
        <v>서울특별시</v>
      </c>
      <c r="F4279" t="str">
        <f t="shared" si="214"/>
        <v xml:space="preserve">중구 </v>
      </c>
      <c r="G4279" t="str">
        <f t="shared" si="215"/>
        <v>광희동</v>
      </c>
      <c r="H4279" t="s">
        <v>2321</v>
      </c>
      <c r="I4279">
        <v>4561</v>
      </c>
    </row>
    <row r="4280" spans="1:9" x14ac:dyDescent="0.4">
      <c r="A4280">
        <v>3010000</v>
      </c>
      <c r="B4280" t="s">
        <v>2031</v>
      </c>
      <c r="C4280" s="1">
        <v>28157</v>
      </c>
      <c r="D4280" t="s">
        <v>2032</v>
      </c>
      <c r="E4280" t="str">
        <f t="shared" si="211"/>
        <v>서울특별시</v>
      </c>
      <c r="F4280" t="str">
        <f t="shared" si="214"/>
        <v xml:space="preserve">중구 </v>
      </c>
      <c r="G4280" t="str">
        <f t="shared" si="215"/>
        <v>광희동</v>
      </c>
    </row>
    <row r="4281" spans="1:9" x14ac:dyDescent="0.4">
      <c r="A4281">
        <v>3010000</v>
      </c>
      <c r="B4281" t="s">
        <v>2218</v>
      </c>
      <c r="C4281" s="1">
        <v>30436</v>
      </c>
      <c r="D4281" t="s">
        <v>2032</v>
      </c>
      <c r="E4281" t="str">
        <f t="shared" si="211"/>
        <v>서울특별시</v>
      </c>
      <c r="F4281" t="str">
        <f t="shared" si="214"/>
        <v xml:space="preserve">중구 </v>
      </c>
      <c r="G4281" t="str">
        <f t="shared" si="215"/>
        <v>광희동</v>
      </c>
    </row>
    <row r="4282" spans="1:9" x14ac:dyDescent="0.4">
      <c r="A4282">
        <v>3010000</v>
      </c>
      <c r="B4282" t="s">
        <v>2744</v>
      </c>
      <c r="C4282" s="1">
        <v>38595</v>
      </c>
      <c r="D4282" t="s">
        <v>2745</v>
      </c>
      <c r="E4282" t="str">
        <f t="shared" si="211"/>
        <v>서울특별시</v>
      </c>
      <c r="F4282" t="str">
        <f t="shared" si="214"/>
        <v xml:space="preserve">중구 </v>
      </c>
      <c r="G4282" t="str">
        <f t="shared" si="215"/>
        <v>광희동</v>
      </c>
      <c r="H4282" t="s">
        <v>2746</v>
      </c>
      <c r="I4282">
        <v>4561</v>
      </c>
    </row>
    <row r="4283" spans="1:9" x14ac:dyDescent="0.4">
      <c r="A4283">
        <v>3010000</v>
      </c>
      <c r="B4283" t="s">
        <v>2562</v>
      </c>
      <c r="C4283" s="1">
        <v>37424</v>
      </c>
      <c r="D4283" t="s">
        <v>2563</v>
      </c>
      <c r="E4283" t="str">
        <f t="shared" si="211"/>
        <v>서울특별시</v>
      </c>
      <c r="F4283" t="str">
        <f t="shared" si="214"/>
        <v xml:space="preserve">중구 </v>
      </c>
      <c r="G4283" t="str">
        <f t="shared" si="215"/>
        <v>광희동</v>
      </c>
      <c r="H4283" t="s">
        <v>2564</v>
      </c>
      <c r="I4283">
        <v>4561</v>
      </c>
    </row>
    <row r="4284" spans="1:9" x14ac:dyDescent="0.4">
      <c r="A4284">
        <v>3010000</v>
      </c>
      <c r="B4284" t="s">
        <v>2665</v>
      </c>
      <c r="C4284" s="1">
        <v>42257</v>
      </c>
      <c r="D4284" t="s">
        <v>2666</v>
      </c>
      <c r="E4284" t="str">
        <f t="shared" si="211"/>
        <v>서울특별시</v>
      </c>
      <c r="F4284" t="str">
        <f t="shared" si="214"/>
        <v xml:space="preserve">중구 </v>
      </c>
      <c r="G4284" t="str">
        <f t="shared" si="215"/>
        <v>광희동</v>
      </c>
      <c r="H4284" t="s">
        <v>2667</v>
      </c>
      <c r="I4284">
        <v>4561</v>
      </c>
    </row>
    <row r="4285" spans="1:9" x14ac:dyDescent="0.4">
      <c r="A4285">
        <v>3010000</v>
      </c>
      <c r="B4285" t="s">
        <v>2607</v>
      </c>
      <c r="C4285" s="1">
        <v>39584</v>
      </c>
      <c r="D4285" t="s">
        <v>2608</v>
      </c>
      <c r="E4285" t="str">
        <f t="shared" si="211"/>
        <v>서울특별시</v>
      </c>
      <c r="F4285" t="str">
        <f t="shared" si="214"/>
        <v xml:space="preserve">중구 </v>
      </c>
      <c r="G4285" t="str">
        <f t="shared" si="215"/>
        <v>광희동</v>
      </c>
      <c r="H4285" t="s">
        <v>2609</v>
      </c>
      <c r="I4285">
        <v>4561</v>
      </c>
    </row>
    <row r="4286" spans="1:9" x14ac:dyDescent="0.4">
      <c r="A4286">
        <v>3010000</v>
      </c>
      <c r="B4286" t="s">
        <v>2644</v>
      </c>
      <c r="C4286" s="1">
        <v>36416</v>
      </c>
      <c r="D4286" t="s">
        <v>2645</v>
      </c>
      <c r="E4286" t="str">
        <f t="shared" si="211"/>
        <v>서울특별시</v>
      </c>
      <c r="F4286" t="str">
        <f t="shared" si="214"/>
        <v xml:space="preserve">중구 </v>
      </c>
      <c r="G4286" t="str">
        <f t="shared" si="215"/>
        <v>광희동</v>
      </c>
      <c r="H4286" t="s">
        <v>2646</v>
      </c>
      <c r="I4286">
        <v>4561</v>
      </c>
    </row>
    <row r="4287" spans="1:9" x14ac:dyDescent="0.4">
      <c r="A4287">
        <v>3010000</v>
      </c>
      <c r="B4287" t="s">
        <v>2507</v>
      </c>
      <c r="C4287" s="1">
        <v>38916</v>
      </c>
      <c r="D4287" t="s">
        <v>2508</v>
      </c>
      <c r="E4287" t="str">
        <f t="shared" si="211"/>
        <v>서울특별시</v>
      </c>
      <c r="F4287" t="str">
        <f t="shared" si="214"/>
        <v xml:space="preserve">중구 </v>
      </c>
      <c r="G4287" t="str">
        <f t="shared" si="215"/>
        <v>광희동</v>
      </c>
      <c r="H4287" t="s">
        <v>2509</v>
      </c>
      <c r="I4287">
        <v>4561</v>
      </c>
    </row>
    <row r="4288" spans="1:9" x14ac:dyDescent="0.4">
      <c r="A4288">
        <v>3010000</v>
      </c>
      <c r="B4288" t="s">
        <v>2088</v>
      </c>
      <c r="C4288" s="1">
        <v>36521</v>
      </c>
      <c r="D4288" t="s">
        <v>2089</v>
      </c>
      <c r="E4288" t="str">
        <f t="shared" si="211"/>
        <v>서울특별시</v>
      </c>
      <c r="F4288" t="str">
        <f t="shared" si="214"/>
        <v xml:space="preserve">중구 </v>
      </c>
      <c r="G4288" t="str">
        <f t="shared" si="215"/>
        <v>광희동</v>
      </c>
    </row>
    <row r="4289" spans="1:9" x14ac:dyDescent="0.4">
      <c r="A4289">
        <v>3010000</v>
      </c>
      <c r="B4289" t="s">
        <v>2410</v>
      </c>
      <c r="C4289" s="1">
        <v>41221</v>
      </c>
      <c r="D4289" t="s">
        <v>2411</v>
      </c>
      <c r="E4289" t="str">
        <f t="shared" si="211"/>
        <v>서울특별시</v>
      </c>
      <c r="F4289" t="str">
        <f t="shared" si="214"/>
        <v xml:space="preserve">중구 </v>
      </c>
      <c r="G4289" t="str">
        <f t="shared" si="215"/>
        <v>광희동</v>
      </c>
      <c r="H4289" t="s">
        <v>2412</v>
      </c>
      <c r="I4289">
        <v>4561</v>
      </c>
    </row>
    <row r="4290" spans="1:9" x14ac:dyDescent="0.4">
      <c r="A4290">
        <v>3010000</v>
      </c>
      <c r="B4290" t="s">
        <v>2691</v>
      </c>
      <c r="C4290" s="1">
        <v>36971</v>
      </c>
      <c r="D4290" t="s">
        <v>2692</v>
      </c>
      <c r="E4290" t="str">
        <f t="shared" si="211"/>
        <v>서울특별시</v>
      </c>
      <c r="F4290" t="str">
        <f t="shared" si="214"/>
        <v xml:space="preserve">중구 </v>
      </c>
      <c r="G4290" t="str">
        <f t="shared" si="215"/>
        <v>광희동</v>
      </c>
      <c r="H4290" t="s">
        <v>2693</v>
      </c>
      <c r="I4290">
        <v>4561</v>
      </c>
    </row>
    <row r="4291" spans="1:9" x14ac:dyDescent="0.4">
      <c r="A4291">
        <v>3010000</v>
      </c>
      <c r="B4291" t="s">
        <v>1753</v>
      </c>
      <c r="C4291" s="1">
        <v>36388</v>
      </c>
      <c r="D4291" t="s">
        <v>1754</v>
      </c>
      <c r="E4291" t="str">
        <f t="shared" ref="E4291:E4354" si="216">LEFT(D4291,5)</f>
        <v>서울특별시</v>
      </c>
      <c r="F4291" t="str">
        <f t="shared" si="214"/>
        <v xml:space="preserve">중구 </v>
      </c>
      <c r="G4291" t="str">
        <f t="shared" si="215"/>
        <v>광희동</v>
      </c>
    </row>
    <row r="4292" spans="1:9" x14ac:dyDescent="0.4">
      <c r="A4292">
        <v>3010000</v>
      </c>
      <c r="B4292" t="s">
        <v>2700</v>
      </c>
      <c r="C4292" s="1">
        <v>36813</v>
      </c>
      <c r="D4292" t="s">
        <v>1754</v>
      </c>
      <c r="E4292" t="str">
        <f t="shared" si="216"/>
        <v>서울특별시</v>
      </c>
      <c r="F4292" t="str">
        <f t="shared" si="214"/>
        <v xml:space="preserve">중구 </v>
      </c>
      <c r="G4292" t="str">
        <f t="shared" si="215"/>
        <v>광희동</v>
      </c>
      <c r="H4292" t="s">
        <v>2701</v>
      </c>
      <c r="I4292">
        <v>4561</v>
      </c>
    </row>
    <row r="4293" spans="1:9" x14ac:dyDescent="0.4">
      <c r="A4293">
        <v>3010000</v>
      </c>
      <c r="B4293" t="s">
        <v>2546</v>
      </c>
      <c r="C4293" s="1">
        <v>37403</v>
      </c>
      <c r="D4293" t="s">
        <v>2547</v>
      </c>
      <c r="E4293" t="str">
        <f t="shared" si="216"/>
        <v>서울특별시</v>
      </c>
      <c r="F4293" t="str">
        <f t="shared" si="214"/>
        <v xml:space="preserve">중구 </v>
      </c>
      <c r="G4293" t="str">
        <f t="shared" si="215"/>
        <v>광희동</v>
      </c>
      <c r="H4293" t="s">
        <v>2548</v>
      </c>
      <c r="I4293">
        <v>4561</v>
      </c>
    </row>
    <row r="4294" spans="1:9" x14ac:dyDescent="0.4">
      <c r="A4294">
        <v>3010000</v>
      </c>
      <c r="B4294" t="s">
        <v>2489</v>
      </c>
      <c r="C4294" s="1">
        <v>37922</v>
      </c>
      <c r="D4294" t="s">
        <v>2490</v>
      </c>
      <c r="E4294" t="str">
        <f t="shared" si="216"/>
        <v>서울특별시</v>
      </c>
      <c r="F4294" t="str">
        <f t="shared" si="214"/>
        <v xml:space="preserve">중구 </v>
      </c>
      <c r="G4294" t="str">
        <f t="shared" si="215"/>
        <v>광희동</v>
      </c>
      <c r="H4294" t="s">
        <v>2491</v>
      </c>
      <c r="I4294">
        <v>4561</v>
      </c>
    </row>
    <row r="4295" spans="1:9" x14ac:dyDescent="0.4">
      <c r="A4295">
        <v>3010000</v>
      </c>
      <c r="B4295" t="s">
        <v>2348</v>
      </c>
      <c r="C4295" s="1">
        <v>38576</v>
      </c>
      <c r="D4295" t="s">
        <v>2349</v>
      </c>
      <c r="E4295" t="str">
        <f t="shared" si="216"/>
        <v>서울특별시</v>
      </c>
      <c r="F4295" t="str">
        <f t="shared" si="214"/>
        <v xml:space="preserve">중구 </v>
      </c>
      <c r="G4295" t="str">
        <f t="shared" si="215"/>
        <v>광희동</v>
      </c>
      <c r="H4295" t="s">
        <v>2350</v>
      </c>
      <c r="I4295">
        <v>4561</v>
      </c>
    </row>
    <row r="4296" spans="1:9" x14ac:dyDescent="0.4">
      <c r="A4296">
        <v>3010000</v>
      </c>
      <c r="B4296" t="s">
        <v>1390</v>
      </c>
      <c r="C4296" s="1">
        <v>40385</v>
      </c>
      <c r="D4296" t="s">
        <v>1391</v>
      </c>
      <c r="E4296" t="str">
        <f t="shared" si="216"/>
        <v>서울특별시</v>
      </c>
      <c r="F4296" t="str">
        <f t="shared" si="214"/>
        <v xml:space="preserve">중구 </v>
      </c>
      <c r="G4296" t="str">
        <f t="shared" si="215"/>
        <v>광희동</v>
      </c>
      <c r="H4296" t="s">
        <v>1392</v>
      </c>
      <c r="I4296">
        <v>4561</v>
      </c>
    </row>
    <row r="4297" spans="1:9" x14ac:dyDescent="0.4">
      <c r="A4297">
        <v>3010000</v>
      </c>
      <c r="B4297" t="s">
        <v>1597</v>
      </c>
      <c r="C4297" s="1">
        <v>38406</v>
      </c>
      <c r="D4297" t="s">
        <v>1598</v>
      </c>
      <c r="E4297" t="str">
        <f t="shared" si="216"/>
        <v>서울특별시</v>
      </c>
      <c r="F4297" t="str">
        <f t="shared" si="214"/>
        <v xml:space="preserve">중구 </v>
      </c>
      <c r="G4297" t="str">
        <f t="shared" si="215"/>
        <v>광희동</v>
      </c>
    </row>
    <row r="4298" spans="1:9" x14ac:dyDescent="0.4">
      <c r="A4298">
        <v>3010000</v>
      </c>
      <c r="B4298" t="s">
        <v>1706</v>
      </c>
      <c r="C4298" s="1">
        <v>37873</v>
      </c>
      <c r="D4298" t="s">
        <v>1707</v>
      </c>
      <c r="E4298" t="str">
        <f t="shared" si="216"/>
        <v>서울특별시</v>
      </c>
      <c r="F4298" t="str">
        <f t="shared" si="214"/>
        <v xml:space="preserve">중구 </v>
      </c>
      <c r="G4298" t="str">
        <f t="shared" si="215"/>
        <v>광희동</v>
      </c>
      <c r="H4298" t="s">
        <v>1708</v>
      </c>
      <c r="I4298">
        <v>4561</v>
      </c>
    </row>
    <row r="4299" spans="1:9" x14ac:dyDescent="0.4">
      <c r="A4299">
        <v>3010000</v>
      </c>
      <c r="B4299" t="s">
        <v>2458</v>
      </c>
      <c r="C4299" s="1">
        <v>37881</v>
      </c>
      <c r="D4299" t="s">
        <v>2459</v>
      </c>
      <c r="E4299" t="str">
        <f t="shared" si="216"/>
        <v>서울특별시</v>
      </c>
      <c r="F4299" t="str">
        <f t="shared" si="214"/>
        <v xml:space="preserve">중구 </v>
      </c>
      <c r="G4299" t="str">
        <f t="shared" si="215"/>
        <v>광희동</v>
      </c>
      <c r="H4299" t="s">
        <v>2460</v>
      </c>
      <c r="I4299">
        <v>4561</v>
      </c>
    </row>
    <row r="4300" spans="1:9" x14ac:dyDescent="0.4">
      <c r="A4300">
        <v>3010000</v>
      </c>
      <c r="B4300" t="s">
        <v>1744</v>
      </c>
      <c r="C4300" s="1">
        <v>36375</v>
      </c>
      <c r="D4300" t="s">
        <v>1745</v>
      </c>
      <c r="E4300" t="str">
        <f t="shared" si="216"/>
        <v>서울특별시</v>
      </c>
      <c r="F4300" t="str">
        <f t="shared" si="214"/>
        <v xml:space="preserve">중구 </v>
      </c>
      <c r="G4300" t="str">
        <f t="shared" si="215"/>
        <v>광희동</v>
      </c>
      <c r="H4300" t="s">
        <v>1746</v>
      </c>
      <c r="I4300">
        <v>4561</v>
      </c>
    </row>
    <row r="4301" spans="1:9" x14ac:dyDescent="0.4">
      <c r="A4301">
        <v>3010000</v>
      </c>
      <c r="B4301" t="s">
        <v>2593</v>
      </c>
      <c r="C4301" s="1">
        <v>39479</v>
      </c>
      <c r="D4301" t="s">
        <v>2594</v>
      </c>
      <c r="E4301" t="str">
        <f t="shared" si="216"/>
        <v>서울특별시</v>
      </c>
      <c r="F4301" t="str">
        <f t="shared" si="214"/>
        <v xml:space="preserve">중구 </v>
      </c>
      <c r="G4301" t="str">
        <f t="shared" si="215"/>
        <v>광희동</v>
      </c>
      <c r="H4301" t="s">
        <v>2595</v>
      </c>
      <c r="I4301">
        <v>4561</v>
      </c>
    </row>
    <row r="4302" spans="1:9" x14ac:dyDescent="0.4">
      <c r="A4302">
        <v>3010000</v>
      </c>
      <c r="B4302" t="s">
        <v>1728</v>
      </c>
      <c r="C4302" s="1">
        <v>39633</v>
      </c>
      <c r="D4302" t="s">
        <v>1729</v>
      </c>
      <c r="E4302" t="str">
        <f t="shared" si="216"/>
        <v>서울특별시</v>
      </c>
      <c r="F4302" t="str">
        <f t="shared" si="214"/>
        <v xml:space="preserve">중구 </v>
      </c>
      <c r="G4302" t="str">
        <f t="shared" si="215"/>
        <v>광희동</v>
      </c>
      <c r="H4302" t="s">
        <v>1730</v>
      </c>
      <c r="I4302">
        <v>4560</v>
      </c>
    </row>
    <row r="4303" spans="1:9" x14ac:dyDescent="0.4">
      <c r="A4303">
        <v>3010000</v>
      </c>
      <c r="B4303" t="s">
        <v>2886</v>
      </c>
      <c r="C4303" s="1">
        <v>38308</v>
      </c>
      <c r="D4303" t="s">
        <v>2887</v>
      </c>
      <c r="E4303" t="str">
        <f t="shared" si="216"/>
        <v>서울특별시</v>
      </c>
      <c r="F4303" t="str">
        <f t="shared" si="214"/>
        <v xml:space="preserve">중구 </v>
      </c>
      <c r="G4303" t="str">
        <f t="shared" si="215"/>
        <v>광희동</v>
      </c>
      <c r="H4303" t="s">
        <v>2888</v>
      </c>
      <c r="I4303">
        <v>4561</v>
      </c>
    </row>
    <row r="4304" spans="1:9" x14ac:dyDescent="0.4">
      <c r="A4304">
        <v>3010000</v>
      </c>
      <c r="B4304" t="s">
        <v>1691</v>
      </c>
      <c r="C4304" s="1">
        <v>31283</v>
      </c>
      <c r="D4304" t="s">
        <v>1692</v>
      </c>
      <c r="E4304" t="str">
        <f t="shared" si="216"/>
        <v>서울특별시</v>
      </c>
      <c r="F4304" t="str">
        <f t="shared" si="214"/>
        <v xml:space="preserve">중구 </v>
      </c>
      <c r="G4304" t="str">
        <f t="shared" si="215"/>
        <v>광희동</v>
      </c>
    </row>
    <row r="4305" spans="1:9" x14ac:dyDescent="0.4">
      <c r="A4305">
        <v>3010000</v>
      </c>
      <c r="B4305" t="s">
        <v>1693</v>
      </c>
      <c r="C4305" s="1">
        <v>31283</v>
      </c>
      <c r="D4305" t="s">
        <v>1692</v>
      </c>
      <c r="E4305" t="str">
        <f t="shared" si="216"/>
        <v>서울특별시</v>
      </c>
      <c r="F4305" t="str">
        <f t="shared" si="214"/>
        <v xml:space="preserve">중구 </v>
      </c>
      <c r="G4305" t="str">
        <f t="shared" si="215"/>
        <v>광희동</v>
      </c>
    </row>
    <row r="4306" spans="1:9" x14ac:dyDescent="0.4">
      <c r="A4306">
        <v>3010000</v>
      </c>
      <c r="B4306" t="s">
        <v>2372</v>
      </c>
      <c r="C4306" s="1">
        <v>38135</v>
      </c>
      <c r="D4306" t="s">
        <v>2373</v>
      </c>
      <c r="E4306" t="str">
        <f t="shared" si="216"/>
        <v>서울특별시</v>
      </c>
      <c r="F4306" t="str">
        <f t="shared" si="214"/>
        <v xml:space="preserve">중구 </v>
      </c>
      <c r="G4306" t="str">
        <f t="shared" si="215"/>
        <v>광희동</v>
      </c>
      <c r="H4306" t="s">
        <v>2374</v>
      </c>
      <c r="I4306">
        <v>4561</v>
      </c>
    </row>
    <row r="4307" spans="1:9" x14ac:dyDescent="0.4">
      <c r="A4307">
        <v>3010000</v>
      </c>
      <c r="B4307" t="s">
        <v>2363</v>
      </c>
      <c r="C4307" s="1">
        <v>37608</v>
      </c>
      <c r="D4307" t="s">
        <v>2364</v>
      </c>
      <c r="E4307" t="str">
        <f t="shared" si="216"/>
        <v>서울특별시</v>
      </c>
      <c r="F4307" t="str">
        <f t="shared" si="214"/>
        <v xml:space="preserve">중구 </v>
      </c>
      <c r="G4307" t="str">
        <f t="shared" si="215"/>
        <v>광희동</v>
      </c>
      <c r="H4307" t="s">
        <v>2365</v>
      </c>
      <c r="I4307">
        <v>4561</v>
      </c>
    </row>
    <row r="4308" spans="1:9" x14ac:dyDescent="0.4">
      <c r="A4308">
        <v>3010000</v>
      </c>
      <c r="B4308" t="s">
        <v>2464</v>
      </c>
      <c r="C4308" s="1">
        <v>38888</v>
      </c>
      <c r="D4308" t="s">
        <v>2465</v>
      </c>
      <c r="E4308" t="str">
        <f t="shared" si="216"/>
        <v>서울특별시</v>
      </c>
      <c r="F4308" t="str">
        <f t="shared" si="214"/>
        <v xml:space="preserve">중구 </v>
      </c>
      <c r="G4308" t="str">
        <f t="shared" si="215"/>
        <v>광희동</v>
      </c>
      <c r="H4308" t="s">
        <v>2466</v>
      </c>
      <c r="I4308">
        <v>4561</v>
      </c>
    </row>
    <row r="4309" spans="1:9" x14ac:dyDescent="0.4">
      <c r="A4309">
        <v>3010000</v>
      </c>
      <c r="B4309" t="s">
        <v>2137</v>
      </c>
      <c r="C4309" s="1">
        <v>36577</v>
      </c>
      <c r="D4309" t="s">
        <v>2138</v>
      </c>
      <c r="E4309" t="str">
        <f t="shared" si="216"/>
        <v>서울특별시</v>
      </c>
      <c r="F4309" t="str">
        <f t="shared" si="214"/>
        <v xml:space="preserve">중구 </v>
      </c>
      <c r="G4309" t="str">
        <f>MID(SUBSTITUTE(D4309," ",""),8,4)</f>
        <v>남대문로</v>
      </c>
    </row>
    <row r="4310" spans="1:9" x14ac:dyDescent="0.4">
      <c r="A4310">
        <v>3010000</v>
      </c>
      <c r="B4310" t="s">
        <v>2244</v>
      </c>
      <c r="C4310" s="1">
        <v>36897</v>
      </c>
      <c r="D4310" t="s">
        <v>2245</v>
      </c>
      <c r="E4310" t="str">
        <f t="shared" si="216"/>
        <v>서울특별시</v>
      </c>
      <c r="F4310" t="str">
        <f t="shared" si="214"/>
        <v xml:space="preserve">중구 </v>
      </c>
      <c r="G4310" t="str">
        <f t="shared" ref="G4310:G4339" si="217">MID(SUBSTITUTE(D4310," ",""),8,4)</f>
        <v>남대문로</v>
      </c>
    </row>
    <row r="4311" spans="1:9" x14ac:dyDescent="0.4">
      <c r="A4311">
        <v>3010000</v>
      </c>
      <c r="B4311" t="s">
        <v>2119</v>
      </c>
      <c r="C4311" s="1">
        <v>36839</v>
      </c>
      <c r="D4311" t="s">
        <v>2120</v>
      </c>
      <c r="E4311" t="str">
        <f t="shared" si="216"/>
        <v>서울특별시</v>
      </c>
      <c r="F4311" t="str">
        <f t="shared" si="214"/>
        <v xml:space="preserve">중구 </v>
      </c>
      <c r="G4311" t="str">
        <f t="shared" si="217"/>
        <v>남대문로</v>
      </c>
    </row>
    <row r="4312" spans="1:9" x14ac:dyDescent="0.4">
      <c r="A4312">
        <v>3010000</v>
      </c>
      <c r="B4312" t="s">
        <v>2043</v>
      </c>
      <c r="C4312" s="1">
        <v>37265</v>
      </c>
      <c r="D4312" t="s">
        <v>2044</v>
      </c>
      <c r="E4312" t="str">
        <f t="shared" si="216"/>
        <v>서울특별시</v>
      </c>
      <c r="F4312" t="str">
        <f t="shared" si="214"/>
        <v xml:space="preserve">중구 </v>
      </c>
      <c r="G4312" t="str">
        <f t="shared" si="217"/>
        <v>남대문로</v>
      </c>
    </row>
    <row r="4313" spans="1:9" x14ac:dyDescent="0.4">
      <c r="A4313">
        <v>3010000</v>
      </c>
      <c r="B4313" t="s">
        <v>2194</v>
      </c>
      <c r="C4313" s="1">
        <v>32949</v>
      </c>
      <c r="D4313" t="s">
        <v>2195</v>
      </c>
      <c r="E4313" t="str">
        <f t="shared" si="216"/>
        <v>서울특별시</v>
      </c>
      <c r="F4313" t="str">
        <f t="shared" si="214"/>
        <v xml:space="preserve">중구 </v>
      </c>
      <c r="G4313" t="str">
        <f t="shared" si="217"/>
        <v>남대문로</v>
      </c>
    </row>
    <row r="4314" spans="1:9" x14ac:dyDescent="0.4">
      <c r="A4314">
        <v>3010000</v>
      </c>
      <c r="B4314" t="s">
        <v>2264</v>
      </c>
      <c r="C4314" s="1">
        <v>36831</v>
      </c>
      <c r="D4314" t="s">
        <v>2265</v>
      </c>
      <c r="E4314" t="str">
        <f t="shared" si="216"/>
        <v>서울특별시</v>
      </c>
      <c r="F4314" t="str">
        <f t="shared" si="214"/>
        <v xml:space="preserve">중구 </v>
      </c>
      <c r="G4314" t="str">
        <f t="shared" si="217"/>
        <v>남대문로</v>
      </c>
    </row>
    <row r="4315" spans="1:9" x14ac:dyDescent="0.4">
      <c r="A4315">
        <v>3010000</v>
      </c>
      <c r="B4315" t="s">
        <v>2679</v>
      </c>
      <c r="C4315" s="1">
        <v>37127</v>
      </c>
      <c r="D4315" t="s">
        <v>2680</v>
      </c>
      <c r="E4315" t="str">
        <f t="shared" si="216"/>
        <v>서울특별시</v>
      </c>
      <c r="F4315" t="str">
        <f t="shared" si="214"/>
        <v xml:space="preserve">중구 </v>
      </c>
      <c r="G4315" t="str">
        <f t="shared" si="217"/>
        <v>남대문로</v>
      </c>
      <c r="H4315" t="s">
        <v>2681</v>
      </c>
      <c r="I4315">
        <v>4529</v>
      </c>
    </row>
    <row r="4316" spans="1:9" x14ac:dyDescent="0.4">
      <c r="A4316">
        <v>3010000</v>
      </c>
      <c r="B4316" t="s">
        <v>1842</v>
      </c>
      <c r="C4316" s="1">
        <v>37033</v>
      </c>
      <c r="D4316" t="s">
        <v>1843</v>
      </c>
      <c r="E4316" t="str">
        <f t="shared" si="216"/>
        <v>서울특별시</v>
      </c>
      <c r="F4316" t="str">
        <f t="shared" si="214"/>
        <v xml:space="preserve">중구 </v>
      </c>
      <c r="G4316" t="str">
        <f t="shared" si="217"/>
        <v>남대문로</v>
      </c>
      <c r="H4316" t="s">
        <v>1844</v>
      </c>
    </row>
    <row r="4317" spans="1:9" x14ac:dyDescent="0.4">
      <c r="A4317">
        <v>3010000</v>
      </c>
      <c r="B4317" t="s">
        <v>2015</v>
      </c>
      <c r="C4317" s="1">
        <v>28112</v>
      </c>
      <c r="D4317" t="s">
        <v>1843</v>
      </c>
      <c r="E4317" t="str">
        <f t="shared" si="216"/>
        <v>서울특별시</v>
      </c>
      <c r="F4317" t="str">
        <f t="shared" si="214"/>
        <v xml:space="preserve">중구 </v>
      </c>
      <c r="G4317" t="str">
        <f t="shared" si="217"/>
        <v>남대문로</v>
      </c>
    </row>
    <row r="4318" spans="1:9" x14ac:dyDescent="0.4">
      <c r="A4318">
        <v>3010000</v>
      </c>
      <c r="B4318" t="s">
        <v>1579</v>
      </c>
      <c r="C4318" s="1">
        <v>37182</v>
      </c>
      <c r="D4318" t="s">
        <v>1580</v>
      </c>
      <c r="E4318" t="str">
        <f t="shared" si="216"/>
        <v>서울특별시</v>
      </c>
      <c r="F4318" t="str">
        <f t="shared" si="214"/>
        <v xml:space="preserve">중구 </v>
      </c>
      <c r="G4318" t="str">
        <f t="shared" si="217"/>
        <v>남대문로</v>
      </c>
      <c r="H4318" t="s">
        <v>1581</v>
      </c>
    </row>
    <row r="4319" spans="1:9" x14ac:dyDescent="0.4">
      <c r="A4319">
        <v>3010000</v>
      </c>
      <c r="B4319" t="s">
        <v>2170</v>
      </c>
      <c r="C4319" s="1">
        <v>38681</v>
      </c>
      <c r="D4319" t="s">
        <v>2171</v>
      </c>
      <c r="E4319" t="str">
        <f t="shared" si="216"/>
        <v>서울특별시</v>
      </c>
      <c r="F4319" t="str">
        <f t="shared" si="214"/>
        <v xml:space="preserve">중구 </v>
      </c>
      <c r="G4319" t="str">
        <f t="shared" si="217"/>
        <v>남대문로</v>
      </c>
      <c r="H4319" t="s">
        <v>2172</v>
      </c>
    </row>
    <row r="4320" spans="1:9" x14ac:dyDescent="0.4">
      <c r="A4320">
        <v>3010000</v>
      </c>
      <c r="B4320" t="s">
        <v>2045</v>
      </c>
      <c r="C4320" s="1">
        <v>37273</v>
      </c>
      <c r="D4320" t="s">
        <v>2046</v>
      </c>
      <c r="E4320" t="str">
        <f t="shared" si="216"/>
        <v>서울특별시</v>
      </c>
      <c r="F4320" t="str">
        <f t="shared" si="214"/>
        <v xml:space="preserve">중구 </v>
      </c>
      <c r="G4320" t="str">
        <f t="shared" si="217"/>
        <v>남대문로</v>
      </c>
      <c r="H4320" t="s">
        <v>2047</v>
      </c>
      <c r="I4320">
        <v>4527</v>
      </c>
    </row>
    <row r="4321" spans="1:9" x14ac:dyDescent="0.4">
      <c r="A4321">
        <v>3010000</v>
      </c>
      <c r="B4321" t="s">
        <v>2422</v>
      </c>
      <c r="C4321" s="1">
        <v>37785</v>
      </c>
      <c r="D4321" t="s">
        <v>2423</v>
      </c>
      <c r="E4321" t="str">
        <f t="shared" si="216"/>
        <v>서울특별시</v>
      </c>
      <c r="F4321" t="str">
        <f t="shared" si="214"/>
        <v xml:space="preserve">중구 </v>
      </c>
      <c r="G4321" t="str">
        <f t="shared" si="217"/>
        <v>남대문로</v>
      </c>
      <c r="H4321" t="s">
        <v>2424</v>
      </c>
      <c r="I4321">
        <v>4527</v>
      </c>
    </row>
    <row r="4322" spans="1:9" x14ac:dyDescent="0.4">
      <c r="A4322">
        <v>3010000</v>
      </c>
      <c r="B4322" t="s">
        <v>2784</v>
      </c>
      <c r="C4322" s="1">
        <v>42492</v>
      </c>
      <c r="D4322" t="s">
        <v>2785</v>
      </c>
      <c r="E4322" t="str">
        <f t="shared" si="216"/>
        <v>서울특별시</v>
      </c>
      <c r="F4322" t="str">
        <f t="shared" si="214"/>
        <v xml:space="preserve">중구 </v>
      </c>
      <c r="G4322" t="str">
        <f t="shared" si="217"/>
        <v>남대문로</v>
      </c>
      <c r="H4322" t="s">
        <v>2786</v>
      </c>
      <c r="I4322">
        <v>4527</v>
      </c>
    </row>
    <row r="4323" spans="1:9" x14ac:dyDescent="0.4">
      <c r="A4323">
        <v>3010000</v>
      </c>
      <c r="B4323" t="s">
        <v>2855</v>
      </c>
      <c r="C4323" s="1">
        <v>36244</v>
      </c>
      <c r="D4323" t="s">
        <v>2856</v>
      </c>
      <c r="E4323" t="str">
        <f t="shared" si="216"/>
        <v>서울특별시</v>
      </c>
      <c r="F4323" t="str">
        <f t="shared" si="214"/>
        <v xml:space="preserve">중구 </v>
      </c>
      <c r="G4323" t="str">
        <f t="shared" si="217"/>
        <v>남대문로</v>
      </c>
      <c r="H4323" t="s">
        <v>2857</v>
      </c>
      <c r="I4323">
        <v>4527</v>
      </c>
    </row>
    <row r="4324" spans="1:9" x14ac:dyDescent="0.4">
      <c r="A4324">
        <v>3010000</v>
      </c>
      <c r="B4324" t="s">
        <v>1873</v>
      </c>
      <c r="C4324" s="1">
        <v>36294</v>
      </c>
      <c r="D4324" t="s">
        <v>1874</v>
      </c>
      <c r="E4324" t="str">
        <f t="shared" si="216"/>
        <v>서울특별시</v>
      </c>
      <c r="F4324" t="str">
        <f t="shared" si="214"/>
        <v xml:space="preserve">중구 </v>
      </c>
      <c r="G4324" t="str">
        <f t="shared" si="217"/>
        <v>남대문로</v>
      </c>
    </row>
    <row r="4325" spans="1:9" x14ac:dyDescent="0.4">
      <c r="A4325">
        <v>3010000</v>
      </c>
      <c r="B4325" t="s">
        <v>1680</v>
      </c>
      <c r="C4325" s="1">
        <v>31281</v>
      </c>
      <c r="D4325" t="s">
        <v>1681</v>
      </c>
      <c r="E4325" t="str">
        <f t="shared" si="216"/>
        <v>서울특별시</v>
      </c>
      <c r="F4325" t="str">
        <f t="shared" si="214"/>
        <v xml:space="preserve">중구 </v>
      </c>
      <c r="G4325" t="str">
        <f t="shared" si="217"/>
        <v>남대문로</v>
      </c>
    </row>
    <row r="4326" spans="1:9" x14ac:dyDescent="0.4">
      <c r="A4326">
        <v>3010000</v>
      </c>
      <c r="B4326" t="s">
        <v>2202</v>
      </c>
      <c r="C4326" s="1">
        <v>34334</v>
      </c>
      <c r="D4326" t="s">
        <v>2203</v>
      </c>
      <c r="E4326" t="str">
        <f t="shared" si="216"/>
        <v>서울특별시</v>
      </c>
      <c r="F4326" t="str">
        <f t="shared" si="214"/>
        <v xml:space="preserve">중구 </v>
      </c>
      <c r="G4326" t="str">
        <f t="shared" si="217"/>
        <v>남대문로</v>
      </c>
    </row>
    <row r="4327" spans="1:9" x14ac:dyDescent="0.4">
      <c r="A4327">
        <v>3010000</v>
      </c>
      <c r="B4327" t="s">
        <v>2041</v>
      </c>
      <c r="C4327" s="1">
        <v>28378</v>
      </c>
      <c r="D4327" t="s">
        <v>2042</v>
      </c>
      <c r="E4327" t="str">
        <f t="shared" si="216"/>
        <v>서울특별시</v>
      </c>
      <c r="F4327" t="str">
        <f t="shared" si="214"/>
        <v xml:space="preserve">중구 </v>
      </c>
      <c r="G4327" t="str">
        <f t="shared" si="217"/>
        <v>남대문로</v>
      </c>
    </row>
    <row r="4328" spans="1:9" x14ac:dyDescent="0.4">
      <c r="A4328">
        <v>3010000</v>
      </c>
      <c r="B4328" t="s">
        <v>2237</v>
      </c>
      <c r="C4328" s="1">
        <v>30884</v>
      </c>
      <c r="D4328" t="s">
        <v>2238</v>
      </c>
      <c r="E4328" t="str">
        <f t="shared" si="216"/>
        <v>서울특별시</v>
      </c>
      <c r="F4328" t="str">
        <f t="shared" si="214"/>
        <v xml:space="preserve">중구 </v>
      </c>
      <c r="G4328" t="str">
        <f t="shared" si="217"/>
        <v>남대문로</v>
      </c>
    </row>
    <row r="4329" spans="1:9" x14ac:dyDescent="0.4">
      <c r="A4329">
        <v>3010000</v>
      </c>
      <c r="B4329" t="s">
        <v>2334</v>
      </c>
      <c r="C4329" s="1">
        <v>38400</v>
      </c>
      <c r="D4329" t="s">
        <v>2335</v>
      </c>
      <c r="E4329" t="str">
        <f t="shared" si="216"/>
        <v>서울특별시</v>
      </c>
      <c r="F4329" t="str">
        <f t="shared" si="214"/>
        <v xml:space="preserve">중구 </v>
      </c>
      <c r="G4329" t="str">
        <f t="shared" si="217"/>
        <v>남대문로</v>
      </c>
      <c r="H4329" t="s">
        <v>2336</v>
      </c>
      <c r="I4329">
        <v>4512</v>
      </c>
    </row>
    <row r="4330" spans="1:9" x14ac:dyDescent="0.4">
      <c r="A4330">
        <v>3010000</v>
      </c>
      <c r="B4330" t="s">
        <v>2291</v>
      </c>
      <c r="C4330" s="1">
        <v>36773</v>
      </c>
      <c r="D4330" t="s">
        <v>2292</v>
      </c>
      <c r="E4330" t="str">
        <f t="shared" si="216"/>
        <v>서울특별시</v>
      </c>
      <c r="F4330" t="str">
        <f t="shared" si="214"/>
        <v xml:space="preserve">중구 </v>
      </c>
      <c r="G4330" t="str">
        <f t="shared" si="217"/>
        <v>남대문로</v>
      </c>
    </row>
    <row r="4331" spans="1:9" x14ac:dyDescent="0.4">
      <c r="A4331">
        <v>3010000</v>
      </c>
      <c r="B4331" t="s">
        <v>1518</v>
      </c>
      <c r="C4331" s="1">
        <v>31566</v>
      </c>
      <c r="D4331" t="s">
        <v>1519</v>
      </c>
      <c r="E4331" t="str">
        <f t="shared" si="216"/>
        <v>서울특별시</v>
      </c>
      <c r="F4331" t="str">
        <f t="shared" si="214"/>
        <v xml:space="preserve">중구 </v>
      </c>
      <c r="G4331" t="str">
        <f t="shared" si="217"/>
        <v>남대문로</v>
      </c>
    </row>
    <row r="4332" spans="1:9" x14ac:dyDescent="0.4">
      <c r="A4332">
        <v>3010000</v>
      </c>
      <c r="B4332" t="s">
        <v>2676</v>
      </c>
      <c r="C4332" s="1">
        <v>37124</v>
      </c>
      <c r="D4332" t="s">
        <v>2677</v>
      </c>
      <c r="E4332" t="str">
        <f t="shared" si="216"/>
        <v>서울특별시</v>
      </c>
      <c r="F4332" t="str">
        <f t="shared" si="214"/>
        <v xml:space="preserve">중구 </v>
      </c>
      <c r="G4332" t="str">
        <f t="shared" si="217"/>
        <v>남대문로</v>
      </c>
      <c r="H4332" t="s">
        <v>2678</v>
      </c>
      <c r="I4332">
        <v>4512</v>
      </c>
    </row>
    <row r="4333" spans="1:9" x14ac:dyDescent="0.4">
      <c r="A4333">
        <v>3010000</v>
      </c>
      <c r="B4333" t="s">
        <v>2764</v>
      </c>
      <c r="C4333" s="1">
        <v>30497</v>
      </c>
      <c r="D4333" t="s">
        <v>2765</v>
      </c>
      <c r="E4333" t="str">
        <f t="shared" si="216"/>
        <v>서울특별시</v>
      </c>
      <c r="F4333" t="str">
        <f t="shared" si="214"/>
        <v xml:space="preserve">중구 </v>
      </c>
      <c r="G4333" t="str">
        <f t="shared" si="217"/>
        <v>남대문로</v>
      </c>
    </row>
    <row r="4334" spans="1:9" x14ac:dyDescent="0.4">
      <c r="A4334">
        <v>3010000</v>
      </c>
      <c r="B4334" t="s">
        <v>1446</v>
      </c>
      <c r="C4334" s="1">
        <v>40667</v>
      </c>
      <c r="D4334" t="s">
        <v>1447</v>
      </c>
      <c r="E4334" t="str">
        <f t="shared" si="216"/>
        <v>서울특별시</v>
      </c>
      <c r="F4334" t="str">
        <f t="shared" si="214"/>
        <v xml:space="preserve">중구 </v>
      </c>
      <c r="G4334" t="str">
        <f t="shared" si="217"/>
        <v>남대문로</v>
      </c>
      <c r="H4334" t="s">
        <v>1448</v>
      </c>
      <c r="I4334">
        <v>4512</v>
      </c>
    </row>
    <row r="4335" spans="1:9" x14ac:dyDescent="0.4">
      <c r="A4335">
        <v>3010000</v>
      </c>
      <c r="B4335" t="s">
        <v>2484</v>
      </c>
      <c r="C4335" s="1">
        <v>40406</v>
      </c>
      <c r="D4335" t="s">
        <v>2485</v>
      </c>
      <c r="E4335" t="str">
        <f t="shared" si="216"/>
        <v>서울특별시</v>
      </c>
      <c r="F4335" t="str">
        <f t="shared" si="214"/>
        <v xml:space="preserve">중구 </v>
      </c>
      <c r="G4335" t="str">
        <f t="shared" si="217"/>
        <v>남대문로</v>
      </c>
      <c r="H4335" t="s">
        <v>2486</v>
      </c>
      <c r="I4335">
        <v>4527</v>
      </c>
    </row>
    <row r="4336" spans="1:9" x14ac:dyDescent="0.4">
      <c r="A4336">
        <v>3010000</v>
      </c>
      <c r="B4336" t="s">
        <v>1482</v>
      </c>
      <c r="C4336" s="1">
        <v>40352</v>
      </c>
      <c r="D4336" t="s">
        <v>1483</v>
      </c>
      <c r="E4336" t="str">
        <f t="shared" si="216"/>
        <v>서울특별시</v>
      </c>
      <c r="F4336" t="str">
        <f t="shared" ref="F4336:F4399" si="218">MID(D4336,7,3)</f>
        <v xml:space="preserve">중구 </v>
      </c>
      <c r="G4336" t="str">
        <f t="shared" si="217"/>
        <v>남대문로</v>
      </c>
      <c r="H4336" t="s">
        <v>1484</v>
      </c>
      <c r="I4336">
        <v>4527</v>
      </c>
    </row>
    <row r="4337" spans="1:9" x14ac:dyDescent="0.4">
      <c r="A4337">
        <v>3010000</v>
      </c>
      <c r="B4337" t="s">
        <v>1766</v>
      </c>
      <c r="C4337" s="1">
        <v>39997</v>
      </c>
      <c r="D4337" t="s">
        <v>1767</v>
      </c>
      <c r="E4337" t="str">
        <f t="shared" si="216"/>
        <v>서울특별시</v>
      </c>
      <c r="F4337" t="str">
        <f t="shared" si="218"/>
        <v xml:space="preserve">중구 </v>
      </c>
      <c r="G4337" t="str">
        <f t="shared" si="217"/>
        <v>남대문로</v>
      </c>
      <c r="H4337" t="s">
        <v>1768</v>
      </c>
      <c r="I4337">
        <v>4527</v>
      </c>
    </row>
    <row r="4338" spans="1:9" x14ac:dyDescent="0.4">
      <c r="A4338">
        <v>3010000</v>
      </c>
      <c r="B4338" t="s">
        <v>2636</v>
      </c>
      <c r="C4338" s="1">
        <v>39906</v>
      </c>
      <c r="D4338" t="s">
        <v>2637</v>
      </c>
      <c r="E4338" t="str">
        <f t="shared" si="216"/>
        <v>서울특별시</v>
      </c>
      <c r="F4338" t="str">
        <f t="shared" si="218"/>
        <v xml:space="preserve">중구 </v>
      </c>
      <c r="G4338" t="str">
        <f t="shared" si="217"/>
        <v>남대문로</v>
      </c>
      <c r="H4338" t="s">
        <v>2638</v>
      </c>
      <c r="I4338">
        <v>4527</v>
      </c>
    </row>
    <row r="4339" spans="1:9" x14ac:dyDescent="0.4">
      <c r="A4339">
        <v>3010000</v>
      </c>
      <c r="B4339" t="s">
        <v>2873</v>
      </c>
      <c r="C4339" s="1">
        <v>39170</v>
      </c>
      <c r="D4339" t="s">
        <v>2874</v>
      </c>
      <c r="E4339" t="str">
        <f t="shared" si="216"/>
        <v>서울특별시</v>
      </c>
      <c r="F4339" t="str">
        <f t="shared" si="218"/>
        <v xml:space="preserve">중구 </v>
      </c>
      <c r="G4339" t="str">
        <f t="shared" si="217"/>
        <v>남대문로</v>
      </c>
      <c r="H4339" t="s">
        <v>2875</v>
      </c>
      <c r="I4339">
        <v>4527</v>
      </c>
    </row>
    <row r="4340" spans="1:9" x14ac:dyDescent="0.4">
      <c r="A4340">
        <v>3010000</v>
      </c>
      <c r="B4340" t="s">
        <v>1791</v>
      </c>
      <c r="C4340" s="1">
        <v>26361</v>
      </c>
      <c r="D4340" t="s">
        <v>1792</v>
      </c>
      <c r="E4340" t="str">
        <f t="shared" si="216"/>
        <v>서울특별시</v>
      </c>
      <c r="F4340" t="str">
        <f t="shared" si="218"/>
        <v xml:space="preserve">중구 </v>
      </c>
      <c r="G4340" t="str">
        <f>MID(SUBSTITUTE(D4340," ",""),8,3)</f>
        <v>남산동</v>
      </c>
    </row>
    <row r="4341" spans="1:9" x14ac:dyDescent="0.4">
      <c r="A4341">
        <v>3010000</v>
      </c>
      <c r="B4341" t="s">
        <v>2087</v>
      </c>
      <c r="C4341" s="1">
        <v>36518</v>
      </c>
      <c r="D4341" t="s">
        <v>1792</v>
      </c>
      <c r="E4341" t="str">
        <f t="shared" si="216"/>
        <v>서울특별시</v>
      </c>
      <c r="F4341" t="str">
        <f t="shared" si="218"/>
        <v xml:space="preserve">중구 </v>
      </c>
      <c r="G4341" t="str">
        <f t="shared" ref="G4341:G4349" si="219">MID(SUBSTITUTE(D4341," ",""),8,3)</f>
        <v>남산동</v>
      </c>
    </row>
    <row r="4342" spans="1:9" x14ac:dyDescent="0.4">
      <c r="A4342">
        <v>3010000</v>
      </c>
      <c r="B4342" t="s">
        <v>2021</v>
      </c>
      <c r="C4342" s="1">
        <v>28124</v>
      </c>
      <c r="D4342" t="s">
        <v>2022</v>
      </c>
      <c r="E4342" t="str">
        <f t="shared" si="216"/>
        <v>서울특별시</v>
      </c>
      <c r="F4342" t="str">
        <f t="shared" si="218"/>
        <v xml:space="preserve">중구 </v>
      </c>
      <c r="G4342" t="str">
        <f t="shared" si="219"/>
        <v>남산동</v>
      </c>
      <c r="H4342" t="s">
        <v>2023</v>
      </c>
      <c r="I4342">
        <v>4631</v>
      </c>
    </row>
    <row r="4343" spans="1:9" x14ac:dyDescent="0.4">
      <c r="A4343">
        <v>3010000</v>
      </c>
      <c r="B4343" t="s">
        <v>2024</v>
      </c>
      <c r="C4343" s="1">
        <v>28124</v>
      </c>
      <c r="D4343" t="s">
        <v>2022</v>
      </c>
      <c r="E4343" t="str">
        <f t="shared" si="216"/>
        <v>서울특별시</v>
      </c>
      <c r="F4343" t="str">
        <f t="shared" si="218"/>
        <v xml:space="preserve">중구 </v>
      </c>
      <c r="G4343" t="str">
        <f t="shared" si="219"/>
        <v>남산동</v>
      </c>
    </row>
    <row r="4344" spans="1:9" x14ac:dyDescent="0.4">
      <c r="A4344">
        <v>3010000</v>
      </c>
      <c r="B4344" t="s">
        <v>2777</v>
      </c>
      <c r="C4344" s="1">
        <v>27981</v>
      </c>
      <c r="D4344" t="s">
        <v>2022</v>
      </c>
      <c r="E4344" t="str">
        <f t="shared" si="216"/>
        <v>서울특별시</v>
      </c>
      <c r="F4344" t="str">
        <f t="shared" si="218"/>
        <v xml:space="preserve">중구 </v>
      </c>
      <c r="G4344" t="str">
        <f t="shared" si="219"/>
        <v>남산동</v>
      </c>
      <c r="H4344" t="s">
        <v>2023</v>
      </c>
      <c r="I4344">
        <v>4631</v>
      </c>
    </row>
    <row r="4345" spans="1:9" x14ac:dyDescent="0.4">
      <c r="A4345">
        <v>3010000</v>
      </c>
      <c r="B4345" t="s">
        <v>2714</v>
      </c>
      <c r="C4345" s="1">
        <v>36566</v>
      </c>
      <c r="D4345" t="s">
        <v>2715</v>
      </c>
      <c r="E4345" t="str">
        <f t="shared" si="216"/>
        <v>서울특별시</v>
      </c>
      <c r="F4345" t="str">
        <f t="shared" si="218"/>
        <v xml:space="preserve">중구 </v>
      </c>
      <c r="G4345" t="str">
        <f t="shared" si="219"/>
        <v>남창동</v>
      </c>
      <c r="H4345" t="s">
        <v>2716</v>
      </c>
      <c r="I4345">
        <v>4635</v>
      </c>
    </row>
    <row r="4346" spans="1:9" x14ac:dyDescent="0.4">
      <c r="A4346">
        <v>3010000</v>
      </c>
      <c r="B4346" t="s">
        <v>1551</v>
      </c>
      <c r="C4346" s="1">
        <v>27549</v>
      </c>
      <c r="D4346" t="s">
        <v>1552</v>
      </c>
      <c r="E4346" t="str">
        <f t="shared" si="216"/>
        <v>서울특별시</v>
      </c>
      <c r="F4346" t="str">
        <f t="shared" si="218"/>
        <v xml:space="preserve">중구 </v>
      </c>
      <c r="G4346" t="str">
        <f t="shared" si="219"/>
        <v>남창동</v>
      </c>
      <c r="H4346" t="s">
        <v>1553</v>
      </c>
      <c r="I4346">
        <v>4635</v>
      </c>
    </row>
    <row r="4347" spans="1:9" x14ac:dyDescent="0.4">
      <c r="A4347">
        <v>3010000</v>
      </c>
      <c r="B4347" t="s">
        <v>1523</v>
      </c>
      <c r="C4347" s="1">
        <v>31567</v>
      </c>
      <c r="D4347" t="s">
        <v>1524</v>
      </c>
      <c r="E4347" t="str">
        <f t="shared" si="216"/>
        <v>서울특별시</v>
      </c>
      <c r="F4347" t="str">
        <f t="shared" si="218"/>
        <v xml:space="preserve">중구 </v>
      </c>
      <c r="G4347" t="str">
        <f t="shared" si="219"/>
        <v>남학동</v>
      </c>
    </row>
    <row r="4348" spans="1:9" x14ac:dyDescent="0.4">
      <c r="A4348">
        <v>3010000</v>
      </c>
      <c r="B4348" t="s">
        <v>1648</v>
      </c>
      <c r="C4348" s="1">
        <v>38183</v>
      </c>
      <c r="D4348" t="s">
        <v>1649</v>
      </c>
      <c r="E4348" t="str">
        <f t="shared" si="216"/>
        <v>서울특별시</v>
      </c>
      <c r="F4348" t="str">
        <f t="shared" si="218"/>
        <v xml:space="preserve">중구 </v>
      </c>
      <c r="G4348" t="str">
        <f t="shared" si="219"/>
        <v>남학동</v>
      </c>
      <c r="H4348" t="s">
        <v>1650</v>
      </c>
      <c r="I4348">
        <v>4627</v>
      </c>
    </row>
    <row r="4349" spans="1:9" x14ac:dyDescent="0.4">
      <c r="A4349">
        <v>3010000</v>
      </c>
      <c r="B4349" t="s">
        <v>1716</v>
      </c>
      <c r="C4349" s="1">
        <v>32078</v>
      </c>
      <c r="D4349" t="s">
        <v>1717</v>
      </c>
      <c r="E4349" t="str">
        <f t="shared" si="216"/>
        <v>서울특별시</v>
      </c>
      <c r="F4349" t="str">
        <f t="shared" si="218"/>
        <v xml:space="preserve">중구 </v>
      </c>
      <c r="G4349" t="str">
        <f t="shared" si="219"/>
        <v>남학동</v>
      </c>
      <c r="H4349" t="s">
        <v>1718</v>
      </c>
      <c r="I4349">
        <v>4627</v>
      </c>
    </row>
    <row r="4350" spans="1:9" x14ac:dyDescent="0.4">
      <c r="A4350">
        <v>3010000</v>
      </c>
      <c r="B4350" t="s">
        <v>1852</v>
      </c>
      <c r="C4350" s="1">
        <v>36556</v>
      </c>
      <c r="D4350" t="s">
        <v>1853</v>
      </c>
      <c r="E4350" t="str">
        <f t="shared" si="216"/>
        <v>서울특별시</v>
      </c>
      <c r="F4350" t="str">
        <f t="shared" si="218"/>
        <v xml:space="preserve">중구 </v>
      </c>
      <c r="G4350" t="str">
        <f>MID(SUBSTITUTE(D4350," ",""),8,2)</f>
        <v>다동</v>
      </c>
    </row>
    <row r="4351" spans="1:9" x14ac:dyDescent="0.4">
      <c r="A4351">
        <v>3010000</v>
      </c>
      <c r="B4351" t="s">
        <v>2389</v>
      </c>
      <c r="C4351" s="1">
        <v>27119</v>
      </c>
      <c r="D4351" t="s">
        <v>2390</v>
      </c>
      <c r="E4351" t="str">
        <f t="shared" si="216"/>
        <v>서울특별시</v>
      </c>
      <c r="F4351" t="str">
        <f t="shared" si="218"/>
        <v xml:space="preserve">중구 </v>
      </c>
      <c r="G4351" t="str">
        <f t="shared" ref="G4351:G4383" si="220">MID(SUBSTITUTE(D4351," ",""),8,2)</f>
        <v>다동</v>
      </c>
      <c r="H4351" t="s">
        <v>2391</v>
      </c>
      <c r="I4351">
        <v>4522</v>
      </c>
    </row>
    <row r="4352" spans="1:9" x14ac:dyDescent="0.4">
      <c r="A4352">
        <v>3010000</v>
      </c>
      <c r="B4352" t="s">
        <v>2071</v>
      </c>
      <c r="C4352" s="1">
        <v>36477</v>
      </c>
      <c r="D4352" t="s">
        <v>2072</v>
      </c>
      <c r="E4352" t="str">
        <f t="shared" si="216"/>
        <v>서울특별시</v>
      </c>
      <c r="F4352" t="str">
        <f t="shared" si="218"/>
        <v xml:space="preserve">중구 </v>
      </c>
      <c r="G4352" t="str">
        <f t="shared" si="220"/>
        <v>다동</v>
      </c>
    </row>
    <row r="4353" spans="1:9" x14ac:dyDescent="0.4">
      <c r="A4353">
        <v>3010000</v>
      </c>
      <c r="B4353" t="s">
        <v>2133</v>
      </c>
      <c r="C4353" s="1">
        <v>36883</v>
      </c>
      <c r="D4353" t="s">
        <v>2134</v>
      </c>
      <c r="E4353" t="str">
        <f t="shared" si="216"/>
        <v>서울특별시</v>
      </c>
      <c r="F4353" t="str">
        <f t="shared" si="218"/>
        <v xml:space="preserve">중구 </v>
      </c>
      <c r="G4353" t="str">
        <f t="shared" si="220"/>
        <v>다동</v>
      </c>
    </row>
    <row r="4354" spans="1:9" x14ac:dyDescent="0.4">
      <c r="A4354">
        <v>3010000</v>
      </c>
      <c r="B4354" t="s">
        <v>1405</v>
      </c>
      <c r="C4354" s="1">
        <v>30347</v>
      </c>
      <c r="D4354" t="s">
        <v>1406</v>
      </c>
      <c r="E4354" t="str">
        <f t="shared" si="216"/>
        <v>서울특별시</v>
      </c>
      <c r="F4354" t="str">
        <f t="shared" si="218"/>
        <v xml:space="preserve">중구 </v>
      </c>
      <c r="G4354" t="str">
        <f t="shared" si="220"/>
        <v>다동</v>
      </c>
    </row>
    <row r="4355" spans="1:9" x14ac:dyDescent="0.4">
      <c r="A4355">
        <v>3010000</v>
      </c>
      <c r="B4355" t="s">
        <v>2577</v>
      </c>
      <c r="C4355" s="1">
        <v>41696</v>
      </c>
      <c r="D4355" t="s">
        <v>2578</v>
      </c>
      <c r="E4355" t="str">
        <f t="shared" ref="E4355:E4418" si="221">LEFT(D4355,5)</f>
        <v>서울특별시</v>
      </c>
      <c r="F4355" t="str">
        <f t="shared" si="218"/>
        <v xml:space="preserve">중구 </v>
      </c>
      <c r="G4355" t="str">
        <f t="shared" si="220"/>
        <v>다동</v>
      </c>
      <c r="H4355" t="s">
        <v>2579</v>
      </c>
      <c r="I4355">
        <v>4522</v>
      </c>
    </row>
    <row r="4356" spans="1:9" x14ac:dyDescent="0.4">
      <c r="A4356">
        <v>3010000</v>
      </c>
      <c r="B4356" t="s">
        <v>2149</v>
      </c>
      <c r="C4356" s="1">
        <v>36600</v>
      </c>
      <c r="D4356" t="s">
        <v>2150</v>
      </c>
      <c r="E4356" t="str">
        <f t="shared" si="221"/>
        <v>서울특별시</v>
      </c>
      <c r="F4356" t="str">
        <f t="shared" si="218"/>
        <v xml:space="preserve">중구 </v>
      </c>
      <c r="G4356" t="str">
        <f t="shared" si="220"/>
        <v>다동</v>
      </c>
    </row>
    <row r="4357" spans="1:9" x14ac:dyDescent="0.4">
      <c r="A4357">
        <v>3010000</v>
      </c>
      <c r="B4357" t="s">
        <v>2075</v>
      </c>
      <c r="C4357" s="1">
        <v>36490</v>
      </c>
      <c r="D4357" t="s">
        <v>2076</v>
      </c>
      <c r="E4357" t="str">
        <f t="shared" si="221"/>
        <v>서울특별시</v>
      </c>
      <c r="F4357" t="str">
        <f t="shared" si="218"/>
        <v xml:space="preserve">중구 </v>
      </c>
      <c r="G4357" t="str">
        <f t="shared" si="220"/>
        <v>다동</v>
      </c>
    </row>
    <row r="4358" spans="1:9" x14ac:dyDescent="0.4">
      <c r="A4358">
        <v>3010000</v>
      </c>
      <c r="B4358" t="s">
        <v>2090</v>
      </c>
      <c r="C4358" s="1">
        <v>36524</v>
      </c>
      <c r="D4358" t="s">
        <v>2091</v>
      </c>
      <c r="E4358" t="str">
        <f t="shared" si="221"/>
        <v>서울특별시</v>
      </c>
      <c r="F4358" t="str">
        <f t="shared" si="218"/>
        <v xml:space="preserve">중구 </v>
      </c>
      <c r="G4358" t="str">
        <f t="shared" si="220"/>
        <v>다동</v>
      </c>
    </row>
    <row r="4359" spans="1:9" x14ac:dyDescent="0.4">
      <c r="A4359">
        <v>3010000</v>
      </c>
      <c r="B4359" t="s">
        <v>2216</v>
      </c>
      <c r="C4359" s="1">
        <v>30429</v>
      </c>
      <c r="D4359" t="s">
        <v>2217</v>
      </c>
      <c r="E4359" t="str">
        <f t="shared" si="221"/>
        <v>서울특별시</v>
      </c>
      <c r="F4359" t="str">
        <f t="shared" si="218"/>
        <v xml:space="preserve">중구 </v>
      </c>
      <c r="G4359" t="str">
        <f t="shared" si="220"/>
        <v>다동</v>
      </c>
    </row>
    <row r="4360" spans="1:9" x14ac:dyDescent="0.4">
      <c r="A4360">
        <v>3010000</v>
      </c>
      <c r="B4360" t="s">
        <v>2293</v>
      </c>
      <c r="C4360" s="1">
        <v>36783</v>
      </c>
      <c r="D4360" t="s">
        <v>2217</v>
      </c>
      <c r="E4360" t="str">
        <f t="shared" si="221"/>
        <v>서울특별시</v>
      </c>
      <c r="F4360" t="str">
        <f t="shared" si="218"/>
        <v xml:space="preserve">중구 </v>
      </c>
      <c r="G4360" t="str">
        <f t="shared" si="220"/>
        <v>다동</v>
      </c>
    </row>
    <row r="4361" spans="1:9" x14ac:dyDescent="0.4">
      <c r="A4361">
        <v>3010000</v>
      </c>
      <c r="B4361" t="s">
        <v>2060</v>
      </c>
      <c r="C4361" s="1">
        <v>37361</v>
      </c>
      <c r="D4361" t="s">
        <v>2061</v>
      </c>
      <c r="E4361" t="str">
        <f t="shared" si="221"/>
        <v>서울특별시</v>
      </c>
      <c r="F4361" t="str">
        <f t="shared" si="218"/>
        <v xml:space="preserve">중구 </v>
      </c>
      <c r="G4361" t="str">
        <f t="shared" si="220"/>
        <v>다동</v>
      </c>
    </row>
    <row r="4362" spans="1:9" x14ac:dyDescent="0.4">
      <c r="A4362">
        <v>3010000</v>
      </c>
      <c r="B4362" t="s">
        <v>2094</v>
      </c>
      <c r="C4362" s="1">
        <v>36546</v>
      </c>
      <c r="D4362" t="s">
        <v>2095</v>
      </c>
      <c r="E4362" t="str">
        <f t="shared" si="221"/>
        <v>서울특별시</v>
      </c>
      <c r="F4362" t="str">
        <f t="shared" si="218"/>
        <v xml:space="preserve">중구 </v>
      </c>
      <c r="G4362" t="str">
        <f t="shared" si="220"/>
        <v>다동</v>
      </c>
    </row>
    <row r="4363" spans="1:9" x14ac:dyDescent="0.4">
      <c r="A4363">
        <v>3010000</v>
      </c>
      <c r="B4363" t="s">
        <v>2141</v>
      </c>
      <c r="C4363" s="1">
        <v>36593</v>
      </c>
      <c r="D4363" t="s">
        <v>2142</v>
      </c>
      <c r="E4363" t="str">
        <f t="shared" si="221"/>
        <v>서울특별시</v>
      </c>
      <c r="F4363" t="str">
        <f t="shared" si="218"/>
        <v xml:space="preserve">중구 </v>
      </c>
      <c r="G4363" t="str">
        <f t="shared" si="220"/>
        <v>다동</v>
      </c>
    </row>
    <row r="4364" spans="1:9" x14ac:dyDescent="0.4">
      <c r="A4364">
        <v>3010000</v>
      </c>
      <c r="B4364" t="s">
        <v>2242</v>
      </c>
      <c r="C4364" s="1">
        <v>36893</v>
      </c>
      <c r="D4364" t="s">
        <v>2243</v>
      </c>
      <c r="E4364" t="str">
        <f t="shared" si="221"/>
        <v>서울특별시</v>
      </c>
      <c r="F4364" t="str">
        <f t="shared" si="218"/>
        <v xml:space="preserve">중구 </v>
      </c>
      <c r="G4364" t="str">
        <f t="shared" si="220"/>
        <v>다동</v>
      </c>
    </row>
    <row r="4365" spans="1:9" x14ac:dyDescent="0.4">
      <c r="A4365">
        <v>3010000</v>
      </c>
      <c r="B4365" t="s">
        <v>1739</v>
      </c>
      <c r="C4365" s="1">
        <v>38876</v>
      </c>
      <c r="D4365" t="s">
        <v>1740</v>
      </c>
      <c r="E4365" t="str">
        <f t="shared" si="221"/>
        <v>서울특별시</v>
      </c>
      <c r="F4365" t="str">
        <f t="shared" si="218"/>
        <v xml:space="preserve">중구 </v>
      </c>
      <c r="G4365" t="str">
        <f t="shared" si="220"/>
        <v>다동</v>
      </c>
    </row>
    <row r="4366" spans="1:9" x14ac:dyDescent="0.4">
      <c r="A4366">
        <v>3010000</v>
      </c>
      <c r="B4366" t="s">
        <v>2282</v>
      </c>
      <c r="C4366" s="1">
        <v>36732</v>
      </c>
      <c r="D4366" t="s">
        <v>2283</v>
      </c>
      <c r="E4366" t="str">
        <f t="shared" si="221"/>
        <v>서울특별시</v>
      </c>
      <c r="F4366" t="str">
        <f t="shared" si="218"/>
        <v xml:space="preserve">중구 </v>
      </c>
      <c r="G4366" t="str">
        <f t="shared" si="220"/>
        <v>다동</v>
      </c>
    </row>
    <row r="4367" spans="1:9" x14ac:dyDescent="0.4">
      <c r="A4367">
        <v>3010000</v>
      </c>
      <c r="B4367" t="s">
        <v>2280</v>
      </c>
      <c r="C4367" s="1">
        <v>36731</v>
      </c>
      <c r="D4367" t="s">
        <v>2281</v>
      </c>
      <c r="E4367" t="str">
        <f t="shared" si="221"/>
        <v>서울특별시</v>
      </c>
      <c r="F4367" t="str">
        <f t="shared" si="218"/>
        <v xml:space="preserve">중구 </v>
      </c>
      <c r="G4367" t="str">
        <f t="shared" si="220"/>
        <v>다동</v>
      </c>
    </row>
    <row r="4368" spans="1:9" x14ac:dyDescent="0.4">
      <c r="A4368">
        <v>3010000</v>
      </c>
      <c r="B4368" t="s">
        <v>2135</v>
      </c>
      <c r="C4368" s="1">
        <v>36699</v>
      </c>
      <c r="D4368" t="s">
        <v>2136</v>
      </c>
      <c r="E4368" t="str">
        <f t="shared" si="221"/>
        <v>서울특별시</v>
      </c>
      <c r="F4368" t="str">
        <f t="shared" si="218"/>
        <v xml:space="preserve">중구 </v>
      </c>
      <c r="G4368" t="str">
        <f t="shared" si="220"/>
        <v>다동</v>
      </c>
    </row>
    <row r="4369" spans="1:9" x14ac:dyDescent="0.4">
      <c r="A4369">
        <v>3010000</v>
      </c>
      <c r="B4369" t="s">
        <v>2278</v>
      </c>
      <c r="C4369" s="1">
        <v>36720</v>
      </c>
      <c r="D4369" t="s">
        <v>2279</v>
      </c>
      <c r="E4369" t="str">
        <f t="shared" si="221"/>
        <v>서울특별시</v>
      </c>
      <c r="F4369" t="str">
        <f t="shared" si="218"/>
        <v xml:space="preserve">중구 </v>
      </c>
      <c r="G4369" t="str">
        <f t="shared" si="220"/>
        <v>다동</v>
      </c>
    </row>
    <row r="4370" spans="1:9" x14ac:dyDescent="0.4">
      <c r="A4370">
        <v>3010000</v>
      </c>
      <c r="B4370" t="s">
        <v>2223</v>
      </c>
      <c r="C4370" s="1">
        <v>30511</v>
      </c>
      <c r="D4370" t="s">
        <v>2224</v>
      </c>
      <c r="E4370" t="str">
        <f t="shared" si="221"/>
        <v>서울특별시</v>
      </c>
      <c r="F4370" t="str">
        <f t="shared" si="218"/>
        <v xml:space="preserve">중구 </v>
      </c>
      <c r="G4370" t="str">
        <f t="shared" si="220"/>
        <v>다동</v>
      </c>
    </row>
    <row r="4371" spans="1:9" x14ac:dyDescent="0.4">
      <c r="A4371">
        <v>3010000</v>
      </c>
      <c r="B4371" t="s">
        <v>2035</v>
      </c>
      <c r="C4371" s="1">
        <v>28230</v>
      </c>
      <c r="D4371" t="s">
        <v>2036</v>
      </c>
      <c r="E4371" t="str">
        <f t="shared" si="221"/>
        <v>서울특별시</v>
      </c>
      <c r="F4371" t="str">
        <f t="shared" si="218"/>
        <v xml:space="preserve">중구 </v>
      </c>
      <c r="G4371" t="str">
        <f t="shared" si="220"/>
        <v>다동</v>
      </c>
    </row>
    <row r="4372" spans="1:9" x14ac:dyDescent="0.4">
      <c r="A4372">
        <v>3010000</v>
      </c>
      <c r="B4372" t="s">
        <v>2653</v>
      </c>
      <c r="C4372" s="1">
        <v>36449</v>
      </c>
      <c r="D4372" t="s">
        <v>2654</v>
      </c>
      <c r="E4372" t="str">
        <f t="shared" si="221"/>
        <v>서울특별시</v>
      </c>
      <c r="F4372" t="str">
        <f t="shared" si="218"/>
        <v xml:space="preserve">중구 </v>
      </c>
      <c r="G4372" t="str">
        <f t="shared" si="220"/>
        <v>다동</v>
      </c>
      <c r="H4372" t="s">
        <v>2655</v>
      </c>
      <c r="I4372">
        <v>4521</v>
      </c>
    </row>
    <row r="4373" spans="1:9" x14ac:dyDescent="0.4">
      <c r="A4373">
        <v>3010000</v>
      </c>
      <c r="B4373" t="s">
        <v>1468</v>
      </c>
      <c r="C4373" s="1">
        <v>31500</v>
      </c>
      <c r="D4373" t="s">
        <v>1469</v>
      </c>
      <c r="E4373" t="str">
        <f t="shared" si="221"/>
        <v>서울특별시</v>
      </c>
      <c r="F4373" t="str">
        <f t="shared" si="218"/>
        <v xml:space="preserve">중구 </v>
      </c>
      <c r="G4373" t="str">
        <f t="shared" si="220"/>
        <v>다동</v>
      </c>
    </row>
    <row r="4374" spans="1:9" x14ac:dyDescent="0.4">
      <c r="A4374">
        <v>3010000</v>
      </c>
      <c r="B4374" t="s">
        <v>2838</v>
      </c>
      <c r="C4374" s="1">
        <v>36514</v>
      </c>
      <c r="D4374" t="s">
        <v>2839</v>
      </c>
      <c r="E4374" t="str">
        <f t="shared" si="221"/>
        <v>서울특별시</v>
      </c>
      <c r="F4374" t="str">
        <f t="shared" si="218"/>
        <v xml:space="preserve">중구 </v>
      </c>
      <c r="G4374" t="str">
        <f t="shared" si="220"/>
        <v>다동</v>
      </c>
      <c r="H4374" t="s">
        <v>2840</v>
      </c>
      <c r="I4374">
        <v>4521</v>
      </c>
    </row>
    <row r="4375" spans="1:9" x14ac:dyDescent="0.4">
      <c r="A4375">
        <v>3010000</v>
      </c>
      <c r="B4375" t="s">
        <v>2276</v>
      </c>
      <c r="C4375" s="1">
        <v>36719</v>
      </c>
      <c r="D4375" t="s">
        <v>2277</v>
      </c>
      <c r="E4375" t="str">
        <f t="shared" si="221"/>
        <v>서울특별시</v>
      </c>
      <c r="F4375" t="str">
        <f t="shared" si="218"/>
        <v xml:space="preserve">중구 </v>
      </c>
      <c r="G4375" t="str">
        <f t="shared" si="220"/>
        <v>다동</v>
      </c>
    </row>
    <row r="4376" spans="1:9" x14ac:dyDescent="0.4">
      <c r="A4376">
        <v>3010000</v>
      </c>
      <c r="B4376" t="s">
        <v>1996</v>
      </c>
      <c r="C4376" s="1">
        <v>37232</v>
      </c>
      <c r="D4376" t="s">
        <v>1997</v>
      </c>
      <c r="E4376" t="str">
        <f t="shared" si="221"/>
        <v>서울특별시</v>
      </c>
      <c r="F4376" t="str">
        <f t="shared" si="218"/>
        <v xml:space="preserve">중구 </v>
      </c>
      <c r="G4376" t="str">
        <f t="shared" si="220"/>
        <v>다동</v>
      </c>
    </row>
    <row r="4377" spans="1:9" x14ac:dyDescent="0.4">
      <c r="A4377">
        <v>3010000</v>
      </c>
      <c r="B4377" t="s">
        <v>2796</v>
      </c>
      <c r="C4377" s="1">
        <v>37288</v>
      </c>
      <c r="D4377" t="s">
        <v>2797</v>
      </c>
      <c r="E4377" t="str">
        <f t="shared" si="221"/>
        <v>서울특별시</v>
      </c>
      <c r="F4377" t="str">
        <f t="shared" si="218"/>
        <v xml:space="preserve">중구 </v>
      </c>
      <c r="G4377" t="str">
        <f t="shared" si="220"/>
        <v>다동</v>
      </c>
      <c r="H4377" t="s">
        <v>2798</v>
      </c>
      <c r="I4377">
        <v>4521</v>
      </c>
    </row>
    <row r="4378" spans="1:9" x14ac:dyDescent="0.4">
      <c r="A4378">
        <v>3010000</v>
      </c>
      <c r="B4378" t="s">
        <v>1877</v>
      </c>
      <c r="C4378" s="1">
        <v>36298</v>
      </c>
      <c r="D4378" t="s">
        <v>1878</v>
      </c>
      <c r="E4378" t="str">
        <f t="shared" si="221"/>
        <v>서울특별시</v>
      </c>
      <c r="F4378" t="str">
        <f t="shared" si="218"/>
        <v xml:space="preserve">중구 </v>
      </c>
      <c r="G4378" t="str">
        <f t="shared" si="220"/>
        <v>다동</v>
      </c>
    </row>
    <row r="4379" spans="1:9" x14ac:dyDescent="0.4">
      <c r="A4379">
        <v>3010000</v>
      </c>
      <c r="B4379" t="s">
        <v>2753</v>
      </c>
      <c r="C4379" s="1">
        <v>36678</v>
      </c>
      <c r="D4379" t="s">
        <v>2754</v>
      </c>
      <c r="E4379" t="str">
        <f t="shared" si="221"/>
        <v>서울특별시</v>
      </c>
      <c r="F4379" t="str">
        <f t="shared" si="218"/>
        <v xml:space="preserve">중구 </v>
      </c>
      <c r="G4379" t="str">
        <f t="shared" si="220"/>
        <v>다동</v>
      </c>
      <c r="H4379" t="s">
        <v>2755</v>
      </c>
      <c r="I4379">
        <v>4522</v>
      </c>
    </row>
    <row r="4380" spans="1:9" x14ac:dyDescent="0.4">
      <c r="A4380">
        <v>3010000</v>
      </c>
      <c r="B4380" t="s">
        <v>1719</v>
      </c>
      <c r="C4380" s="1">
        <v>32121</v>
      </c>
      <c r="D4380" t="s">
        <v>1720</v>
      </c>
      <c r="E4380" t="str">
        <f t="shared" si="221"/>
        <v>서울특별시</v>
      </c>
      <c r="F4380" t="str">
        <f t="shared" si="218"/>
        <v xml:space="preserve">중구 </v>
      </c>
      <c r="G4380" t="str">
        <f t="shared" si="220"/>
        <v>다동</v>
      </c>
    </row>
    <row r="4381" spans="1:9" x14ac:dyDescent="0.4">
      <c r="A4381">
        <v>3010000</v>
      </c>
      <c r="B4381" t="s">
        <v>1472</v>
      </c>
      <c r="C4381" s="1">
        <v>40122</v>
      </c>
      <c r="D4381" t="s">
        <v>1473</v>
      </c>
      <c r="E4381" t="str">
        <f t="shared" si="221"/>
        <v>서울특별시</v>
      </c>
      <c r="F4381" t="str">
        <f t="shared" si="218"/>
        <v xml:space="preserve">중구 </v>
      </c>
      <c r="G4381" t="str">
        <f t="shared" si="220"/>
        <v>다동</v>
      </c>
      <c r="H4381" t="s">
        <v>1474</v>
      </c>
      <c r="I4381">
        <v>4522</v>
      </c>
    </row>
    <row r="4382" spans="1:9" x14ac:dyDescent="0.4">
      <c r="A4382">
        <v>3010000</v>
      </c>
      <c r="B4382" t="s">
        <v>1525</v>
      </c>
      <c r="C4382" s="1">
        <v>31632</v>
      </c>
      <c r="D4382" t="s">
        <v>1473</v>
      </c>
      <c r="E4382" t="str">
        <f t="shared" si="221"/>
        <v>서울특별시</v>
      </c>
      <c r="F4382" t="str">
        <f t="shared" si="218"/>
        <v xml:space="preserve">중구 </v>
      </c>
      <c r="G4382" t="str">
        <f t="shared" si="220"/>
        <v>다동</v>
      </c>
    </row>
    <row r="4383" spans="1:9" x14ac:dyDescent="0.4">
      <c r="A4383">
        <v>3010000</v>
      </c>
      <c r="B4383" t="s">
        <v>1714</v>
      </c>
      <c r="C4383" s="1">
        <v>36370</v>
      </c>
      <c r="D4383" t="s">
        <v>1715</v>
      </c>
      <c r="E4383" t="str">
        <f t="shared" si="221"/>
        <v>서울특별시</v>
      </c>
      <c r="F4383" t="str">
        <f t="shared" si="218"/>
        <v xml:space="preserve">중구 </v>
      </c>
      <c r="G4383" t="str">
        <f t="shared" si="220"/>
        <v>다동</v>
      </c>
    </row>
    <row r="4384" spans="1:9" x14ac:dyDescent="0.4">
      <c r="A4384">
        <v>3010000</v>
      </c>
      <c r="B4384" t="s">
        <v>1457</v>
      </c>
      <c r="C4384" s="1">
        <v>31156</v>
      </c>
      <c r="D4384" t="s">
        <v>1458</v>
      </c>
      <c r="E4384" t="str">
        <f t="shared" si="221"/>
        <v>서울특별시</v>
      </c>
      <c r="F4384" t="str">
        <f t="shared" si="218"/>
        <v xml:space="preserve">중구 </v>
      </c>
      <c r="G4384" t="str">
        <f>MID(SUBSTITUTE(D4384," ",""),8,3)</f>
        <v>만리동</v>
      </c>
    </row>
    <row r="4385" spans="1:9" x14ac:dyDescent="0.4">
      <c r="A4385">
        <v>3010000</v>
      </c>
      <c r="B4385" t="s">
        <v>1805</v>
      </c>
      <c r="C4385" s="1">
        <v>26672</v>
      </c>
      <c r="D4385" t="s">
        <v>1806</v>
      </c>
      <c r="E4385" t="str">
        <f t="shared" si="221"/>
        <v>서울특별시</v>
      </c>
      <c r="F4385" t="str">
        <f t="shared" si="218"/>
        <v xml:space="preserve">중구 </v>
      </c>
      <c r="G4385" t="str">
        <f t="shared" ref="G4385:G4390" si="222">MID(SUBSTITUTE(D4385," ",""),8,3)</f>
        <v>만리동</v>
      </c>
    </row>
    <row r="4386" spans="1:9" x14ac:dyDescent="0.4">
      <c r="A4386">
        <v>3010000</v>
      </c>
      <c r="B4386" t="s">
        <v>2219</v>
      </c>
      <c r="C4386" s="1">
        <v>30449</v>
      </c>
      <c r="D4386" t="s">
        <v>2220</v>
      </c>
      <c r="E4386" t="str">
        <f t="shared" si="221"/>
        <v>서울특별시</v>
      </c>
      <c r="F4386" t="str">
        <f t="shared" si="218"/>
        <v xml:space="preserve">중구 </v>
      </c>
      <c r="G4386" t="str">
        <f t="shared" si="222"/>
        <v>만리동</v>
      </c>
    </row>
    <row r="4387" spans="1:9" x14ac:dyDescent="0.4">
      <c r="A4387">
        <v>3010000</v>
      </c>
      <c r="B4387" t="s">
        <v>1537</v>
      </c>
      <c r="C4387" s="1">
        <v>31289</v>
      </c>
      <c r="D4387" t="s">
        <v>1538</v>
      </c>
      <c r="E4387" t="str">
        <f t="shared" si="221"/>
        <v>서울특별시</v>
      </c>
      <c r="F4387" t="str">
        <f t="shared" si="218"/>
        <v xml:space="preserve">중구 </v>
      </c>
      <c r="G4387" t="str">
        <f t="shared" si="222"/>
        <v>만리동</v>
      </c>
    </row>
    <row r="4388" spans="1:9" x14ac:dyDescent="0.4">
      <c r="A4388">
        <v>3010000</v>
      </c>
      <c r="B4388" t="s">
        <v>1574</v>
      </c>
      <c r="C4388" s="1">
        <v>37126</v>
      </c>
      <c r="D4388" t="s">
        <v>1575</v>
      </c>
      <c r="E4388" t="str">
        <f t="shared" si="221"/>
        <v>서울특별시</v>
      </c>
      <c r="F4388" t="str">
        <f t="shared" si="218"/>
        <v xml:space="preserve">중구 </v>
      </c>
      <c r="G4388" t="str">
        <f t="shared" si="222"/>
        <v>만리동</v>
      </c>
      <c r="H4388" t="s">
        <v>1576</v>
      </c>
    </row>
    <row r="4389" spans="1:9" x14ac:dyDescent="0.4">
      <c r="A4389">
        <v>3010000</v>
      </c>
      <c r="B4389" t="s">
        <v>1684</v>
      </c>
      <c r="C4389" s="1">
        <v>31282</v>
      </c>
      <c r="D4389" t="s">
        <v>1685</v>
      </c>
      <c r="E4389" t="str">
        <f t="shared" si="221"/>
        <v>서울특별시</v>
      </c>
      <c r="F4389" t="str">
        <f t="shared" si="218"/>
        <v xml:space="preserve">중구 </v>
      </c>
      <c r="G4389" t="str">
        <f t="shared" si="222"/>
        <v>만리동</v>
      </c>
    </row>
    <row r="4390" spans="1:9" x14ac:dyDescent="0.4">
      <c r="A4390">
        <v>3010000</v>
      </c>
      <c r="B4390" t="s">
        <v>1601</v>
      </c>
      <c r="C4390" s="1">
        <v>38505</v>
      </c>
      <c r="D4390" t="s">
        <v>1602</v>
      </c>
      <c r="E4390" t="str">
        <f t="shared" si="221"/>
        <v>서울특별시</v>
      </c>
      <c r="F4390" t="str">
        <f t="shared" si="218"/>
        <v xml:space="preserve">중구 </v>
      </c>
      <c r="G4390" t="str">
        <f t="shared" si="222"/>
        <v>만리동</v>
      </c>
      <c r="H4390" t="s">
        <v>1603</v>
      </c>
    </row>
    <row r="4391" spans="1:9" x14ac:dyDescent="0.4">
      <c r="A4391">
        <v>3010000</v>
      </c>
      <c r="B4391" t="s">
        <v>1608</v>
      </c>
      <c r="C4391" s="1">
        <v>31000</v>
      </c>
      <c r="D4391" t="s">
        <v>1609</v>
      </c>
      <c r="E4391" t="str">
        <f t="shared" si="221"/>
        <v>서울특별시</v>
      </c>
      <c r="F4391" t="str">
        <f t="shared" si="218"/>
        <v xml:space="preserve">중구 </v>
      </c>
      <c r="G4391" t="str">
        <f>MID(SUBSTITUTE(D4391," ",""),8,2)</f>
        <v>명동</v>
      </c>
    </row>
    <row r="4392" spans="1:9" x14ac:dyDescent="0.4">
      <c r="A4392">
        <v>3010000</v>
      </c>
      <c r="B4392" t="s">
        <v>2037</v>
      </c>
      <c r="C4392" s="1">
        <v>28230</v>
      </c>
      <c r="D4392" t="s">
        <v>2038</v>
      </c>
      <c r="E4392" t="str">
        <f t="shared" si="221"/>
        <v>서울특별시</v>
      </c>
      <c r="F4392" t="str">
        <f t="shared" si="218"/>
        <v xml:space="preserve">중구 </v>
      </c>
      <c r="G4392" t="str">
        <f t="shared" ref="G4392:G4406" si="223">MID(SUBSTITUTE(D4392," ",""),8,2)</f>
        <v>명동</v>
      </c>
    </row>
    <row r="4393" spans="1:9" x14ac:dyDescent="0.4">
      <c r="A4393">
        <v>3010000</v>
      </c>
      <c r="B4393" t="s">
        <v>1932</v>
      </c>
      <c r="C4393" s="1">
        <v>37441</v>
      </c>
      <c r="D4393" t="s">
        <v>1933</v>
      </c>
      <c r="E4393" t="str">
        <f t="shared" si="221"/>
        <v>서울특별시</v>
      </c>
      <c r="F4393" t="str">
        <f t="shared" si="218"/>
        <v xml:space="preserve">중구 </v>
      </c>
      <c r="G4393" t="str">
        <f t="shared" si="223"/>
        <v>명동</v>
      </c>
      <c r="H4393" t="s">
        <v>1934</v>
      </c>
      <c r="I4393">
        <v>4534</v>
      </c>
    </row>
    <row r="4394" spans="1:9" x14ac:dyDescent="0.4">
      <c r="A4394">
        <v>3010000</v>
      </c>
      <c r="B4394" t="s">
        <v>2239</v>
      </c>
      <c r="C4394" s="1">
        <v>43438</v>
      </c>
      <c r="D4394" t="s">
        <v>2240</v>
      </c>
      <c r="E4394" t="str">
        <f t="shared" si="221"/>
        <v>서울특별시</v>
      </c>
      <c r="F4394" t="str">
        <f t="shared" si="218"/>
        <v xml:space="preserve">중구 </v>
      </c>
      <c r="G4394" t="str">
        <f t="shared" si="223"/>
        <v>명동</v>
      </c>
      <c r="H4394" t="s">
        <v>2241</v>
      </c>
      <c r="I4394">
        <v>4534</v>
      </c>
    </row>
    <row r="4395" spans="1:9" x14ac:dyDescent="0.4">
      <c r="A4395">
        <v>3010000</v>
      </c>
      <c r="B4395" t="s">
        <v>1973</v>
      </c>
      <c r="C4395" s="1">
        <v>39549</v>
      </c>
      <c r="D4395" t="s">
        <v>1974</v>
      </c>
      <c r="E4395" t="str">
        <f t="shared" si="221"/>
        <v>서울특별시</v>
      </c>
      <c r="F4395" t="str">
        <f t="shared" si="218"/>
        <v xml:space="preserve">중구 </v>
      </c>
      <c r="G4395" t="str">
        <f t="shared" si="223"/>
        <v>명동</v>
      </c>
      <c r="H4395" t="s">
        <v>1975</v>
      </c>
      <c r="I4395">
        <v>4534</v>
      </c>
    </row>
    <row r="4396" spans="1:9" x14ac:dyDescent="0.4">
      <c r="A4396">
        <v>3010000</v>
      </c>
      <c r="B4396" t="s">
        <v>1811</v>
      </c>
      <c r="C4396" s="1">
        <v>27827</v>
      </c>
      <c r="D4396" t="s">
        <v>1812</v>
      </c>
      <c r="E4396" t="str">
        <f t="shared" si="221"/>
        <v>서울특별시</v>
      </c>
      <c r="F4396" t="str">
        <f t="shared" si="218"/>
        <v xml:space="preserve">중구 </v>
      </c>
      <c r="G4396" t="str">
        <f t="shared" si="223"/>
        <v>명동</v>
      </c>
    </row>
    <row r="4397" spans="1:9" x14ac:dyDescent="0.4">
      <c r="A4397">
        <v>3010000</v>
      </c>
      <c r="B4397" t="s">
        <v>2284</v>
      </c>
      <c r="C4397" s="1">
        <v>36766</v>
      </c>
      <c r="D4397" t="s">
        <v>2285</v>
      </c>
      <c r="E4397" t="str">
        <f t="shared" si="221"/>
        <v>서울특별시</v>
      </c>
      <c r="F4397" t="str">
        <f t="shared" si="218"/>
        <v xml:space="preserve">중구 </v>
      </c>
      <c r="G4397" t="str">
        <f t="shared" si="223"/>
        <v>명동</v>
      </c>
    </row>
    <row r="4398" spans="1:9" x14ac:dyDescent="0.4">
      <c r="A4398">
        <v>3010000</v>
      </c>
      <c r="B4398" t="s">
        <v>2186</v>
      </c>
      <c r="C4398" s="1">
        <v>32795</v>
      </c>
      <c r="D4398" t="s">
        <v>2187</v>
      </c>
      <c r="E4398" t="str">
        <f t="shared" si="221"/>
        <v>서울특별시</v>
      </c>
      <c r="F4398" t="str">
        <f t="shared" si="218"/>
        <v xml:space="preserve">중구 </v>
      </c>
      <c r="G4398" t="str">
        <f t="shared" si="223"/>
        <v>명동</v>
      </c>
    </row>
    <row r="4399" spans="1:9" x14ac:dyDescent="0.4">
      <c r="A4399">
        <v>3010000</v>
      </c>
      <c r="B4399" t="s">
        <v>2182</v>
      </c>
      <c r="C4399" s="1">
        <v>32657</v>
      </c>
      <c r="D4399" t="s">
        <v>2183</v>
      </c>
      <c r="E4399" t="str">
        <f t="shared" si="221"/>
        <v>서울특별시</v>
      </c>
      <c r="F4399" t="str">
        <f t="shared" si="218"/>
        <v xml:space="preserve">중구 </v>
      </c>
      <c r="G4399" t="str">
        <f t="shared" si="223"/>
        <v>명동</v>
      </c>
    </row>
    <row r="4400" spans="1:9" x14ac:dyDescent="0.4">
      <c r="A4400">
        <v>3010000</v>
      </c>
      <c r="B4400" t="s">
        <v>1957</v>
      </c>
      <c r="C4400" s="1">
        <v>31810</v>
      </c>
      <c r="D4400" t="s">
        <v>1958</v>
      </c>
      <c r="E4400" t="str">
        <f t="shared" si="221"/>
        <v>서울특별시</v>
      </c>
      <c r="F4400" t="str">
        <f t="shared" ref="F4400:F4463" si="224">MID(D4400,7,3)</f>
        <v xml:space="preserve">중구 </v>
      </c>
      <c r="G4400" t="str">
        <f t="shared" si="223"/>
        <v>명동</v>
      </c>
    </row>
    <row r="4401" spans="1:9" x14ac:dyDescent="0.4">
      <c r="A4401">
        <v>3010000</v>
      </c>
      <c r="B4401" t="s">
        <v>1998</v>
      </c>
      <c r="C4401" s="1">
        <v>37242</v>
      </c>
      <c r="D4401" t="s">
        <v>1999</v>
      </c>
      <c r="E4401" t="str">
        <f t="shared" si="221"/>
        <v>서울특별시</v>
      </c>
      <c r="F4401" t="str">
        <f t="shared" si="224"/>
        <v xml:space="preserve">중구 </v>
      </c>
      <c r="G4401" t="str">
        <f t="shared" si="223"/>
        <v>명동</v>
      </c>
    </row>
    <row r="4402" spans="1:9" x14ac:dyDescent="0.4">
      <c r="A4402">
        <v>3010000</v>
      </c>
      <c r="B4402" t="s">
        <v>1884</v>
      </c>
      <c r="C4402" s="1">
        <v>38351</v>
      </c>
      <c r="D4402" t="s">
        <v>1885</v>
      </c>
      <c r="E4402" t="str">
        <f t="shared" si="221"/>
        <v>서울특별시</v>
      </c>
      <c r="F4402" t="str">
        <f t="shared" si="224"/>
        <v xml:space="preserve">중구 </v>
      </c>
      <c r="G4402" t="str">
        <f t="shared" si="223"/>
        <v>명동</v>
      </c>
    </row>
    <row r="4403" spans="1:9" x14ac:dyDescent="0.4">
      <c r="A4403">
        <v>3010000</v>
      </c>
      <c r="B4403" t="s">
        <v>1463</v>
      </c>
      <c r="C4403" s="1">
        <v>31480</v>
      </c>
      <c r="D4403" t="s">
        <v>1464</v>
      </c>
      <c r="E4403" t="str">
        <f t="shared" si="221"/>
        <v>서울특별시</v>
      </c>
      <c r="F4403" t="str">
        <f t="shared" si="224"/>
        <v xml:space="preserve">중구 </v>
      </c>
      <c r="G4403" t="str">
        <f t="shared" si="223"/>
        <v>명동</v>
      </c>
    </row>
    <row r="4404" spans="1:9" x14ac:dyDescent="0.4">
      <c r="A4404">
        <v>3010000</v>
      </c>
      <c r="B4404" t="s">
        <v>1657</v>
      </c>
      <c r="C4404" s="1">
        <v>27009</v>
      </c>
      <c r="D4404" t="s">
        <v>1464</v>
      </c>
      <c r="E4404" t="str">
        <f t="shared" si="221"/>
        <v>서울특별시</v>
      </c>
      <c r="F4404" t="str">
        <f t="shared" si="224"/>
        <v xml:space="preserve">중구 </v>
      </c>
      <c r="G4404" t="str">
        <f t="shared" si="223"/>
        <v>명동</v>
      </c>
    </row>
    <row r="4405" spans="1:9" x14ac:dyDescent="0.4">
      <c r="A4405">
        <v>3010000</v>
      </c>
      <c r="B4405" t="s">
        <v>1815</v>
      </c>
      <c r="C4405" s="1">
        <v>27860</v>
      </c>
      <c r="D4405" t="s">
        <v>1816</v>
      </c>
      <c r="E4405" t="str">
        <f t="shared" si="221"/>
        <v>서울특별시</v>
      </c>
      <c r="F4405" t="str">
        <f t="shared" si="224"/>
        <v xml:space="preserve">중구 </v>
      </c>
      <c r="G4405" t="str">
        <f t="shared" si="223"/>
        <v>명동</v>
      </c>
    </row>
    <row r="4406" spans="1:9" x14ac:dyDescent="0.4">
      <c r="A4406">
        <v>3010000</v>
      </c>
      <c r="B4406" t="s">
        <v>1686</v>
      </c>
      <c r="C4406" s="1">
        <v>31283</v>
      </c>
      <c r="D4406" t="s">
        <v>1687</v>
      </c>
      <c r="E4406" t="str">
        <f t="shared" si="221"/>
        <v>서울특별시</v>
      </c>
      <c r="F4406" t="str">
        <f t="shared" si="224"/>
        <v xml:space="preserve">중구 </v>
      </c>
      <c r="G4406" t="str">
        <f t="shared" si="223"/>
        <v>명동</v>
      </c>
      <c r="H4406" t="s">
        <v>1688</v>
      </c>
      <c r="I4406">
        <v>4535</v>
      </c>
    </row>
    <row r="4407" spans="1:9" x14ac:dyDescent="0.4">
      <c r="A4407">
        <v>3010000</v>
      </c>
      <c r="B4407" t="s">
        <v>1781</v>
      </c>
      <c r="C4407" s="1">
        <v>25203</v>
      </c>
      <c r="D4407" t="s">
        <v>1782</v>
      </c>
      <c r="E4407" t="str">
        <f t="shared" si="221"/>
        <v>서울특별시</v>
      </c>
      <c r="F4407" t="str">
        <f t="shared" si="224"/>
        <v xml:space="preserve">중구 </v>
      </c>
      <c r="G4407" t="str">
        <f>MID(SUBSTITUTE(D4407," ",""),8,3)</f>
        <v>무교동</v>
      </c>
    </row>
    <row r="4408" spans="1:9" x14ac:dyDescent="0.4">
      <c r="A4408">
        <v>3010000</v>
      </c>
      <c r="B4408" t="s">
        <v>1774</v>
      </c>
      <c r="C4408" s="1">
        <v>36425</v>
      </c>
      <c r="D4408" t="s">
        <v>1775</v>
      </c>
      <c r="E4408" t="str">
        <f t="shared" si="221"/>
        <v>서울특별시</v>
      </c>
      <c r="F4408" t="str">
        <f t="shared" si="224"/>
        <v xml:space="preserve">중구 </v>
      </c>
      <c r="G4408" t="str">
        <f t="shared" ref="G4408:G4416" si="225">MID(SUBSTITUTE(D4408," ",""),8,3)</f>
        <v>무교동</v>
      </c>
    </row>
    <row r="4409" spans="1:9" x14ac:dyDescent="0.4">
      <c r="A4409">
        <v>3010000</v>
      </c>
      <c r="B4409" t="s">
        <v>2591</v>
      </c>
      <c r="C4409" s="1">
        <v>39392</v>
      </c>
      <c r="D4409" t="s">
        <v>1775</v>
      </c>
      <c r="E4409" t="str">
        <f t="shared" si="221"/>
        <v>서울특별시</v>
      </c>
      <c r="F4409" t="str">
        <f t="shared" si="224"/>
        <v xml:space="preserve">중구 </v>
      </c>
      <c r="G4409" t="str">
        <f t="shared" si="225"/>
        <v>무교동</v>
      </c>
      <c r="H4409" t="s">
        <v>2592</v>
      </c>
      <c r="I4409">
        <v>4521</v>
      </c>
    </row>
    <row r="4410" spans="1:9" x14ac:dyDescent="0.4">
      <c r="A4410">
        <v>3010000</v>
      </c>
      <c r="B4410" t="s">
        <v>2501</v>
      </c>
      <c r="C4410" s="1">
        <v>40473</v>
      </c>
      <c r="D4410" t="s">
        <v>2502</v>
      </c>
      <c r="E4410" t="str">
        <f t="shared" si="221"/>
        <v>서울특별시</v>
      </c>
      <c r="F4410" t="str">
        <f t="shared" si="224"/>
        <v xml:space="preserve">중구 </v>
      </c>
      <c r="G4410" t="str">
        <f t="shared" si="225"/>
        <v>무교동</v>
      </c>
      <c r="H4410" t="s">
        <v>2503</v>
      </c>
      <c r="I4410">
        <v>4522</v>
      </c>
    </row>
    <row r="4411" spans="1:9" x14ac:dyDescent="0.4">
      <c r="A4411">
        <v>3010000</v>
      </c>
      <c r="B4411" t="s">
        <v>2163</v>
      </c>
      <c r="C4411" s="1">
        <v>36668</v>
      </c>
      <c r="D4411" t="s">
        <v>2164</v>
      </c>
      <c r="E4411" t="str">
        <f t="shared" si="221"/>
        <v>서울특별시</v>
      </c>
      <c r="F4411" t="str">
        <f t="shared" si="224"/>
        <v xml:space="preserve">중구 </v>
      </c>
      <c r="G4411" t="str">
        <f t="shared" si="225"/>
        <v>무교동</v>
      </c>
    </row>
    <row r="4412" spans="1:9" x14ac:dyDescent="0.4">
      <c r="A4412">
        <v>3010000</v>
      </c>
      <c r="B4412" t="s">
        <v>1849</v>
      </c>
      <c r="C4412" s="1">
        <v>36553</v>
      </c>
      <c r="D4412" t="s">
        <v>1850</v>
      </c>
      <c r="E4412" t="str">
        <f t="shared" si="221"/>
        <v>서울특별시</v>
      </c>
      <c r="F4412" t="str">
        <f t="shared" si="224"/>
        <v xml:space="preserve">중구 </v>
      </c>
      <c r="G4412" t="str">
        <f t="shared" si="225"/>
        <v>무교동</v>
      </c>
    </row>
    <row r="4413" spans="1:9" x14ac:dyDescent="0.4">
      <c r="A4413">
        <v>3010000</v>
      </c>
      <c r="B4413" t="s">
        <v>1915</v>
      </c>
      <c r="C4413" s="1">
        <v>30006</v>
      </c>
      <c r="D4413" t="s">
        <v>1916</v>
      </c>
      <c r="E4413" t="str">
        <f t="shared" si="221"/>
        <v>서울특별시</v>
      </c>
      <c r="F4413" t="str">
        <f t="shared" si="224"/>
        <v xml:space="preserve">중구 </v>
      </c>
      <c r="G4413" t="str">
        <f t="shared" si="225"/>
        <v>무교동</v>
      </c>
    </row>
    <row r="4414" spans="1:9" x14ac:dyDescent="0.4">
      <c r="A4414">
        <v>3010000</v>
      </c>
      <c r="B4414" t="s">
        <v>1777</v>
      </c>
      <c r="C4414" s="1">
        <v>36449</v>
      </c>
      <c r="D4414" t="s">
        <v>1778</v>
      </c>
      <c r="E4414" t="str">
        <f t="shared" si="221"/>
        <v>서울특별시</v>
      </c>
      <c r="F4414" t="str">
        <f t="shared" si="224"/>
        <v xml:space="preserve">중구 </v>
      </c>
      <c r="G4414" t="str">
        <f t="shared" si="225"/>
        <v>무교동</v>
      </c>
    </row>
    <row r="4415" spans="1:9" x14ac:dyDescent="0.4">
      <c r="A4415">
        <v>3010000</v>
      </c>
      <c r="B4415" t="s">
        <v>1435</v>
      </c>
      <c r="C4415" s="1">
        <v>36311</v>
      </c>
      <c r="D4415" t="s">
        <v>1436</v>
      </c>
      <c r="E4415" t="str">
        <f t="shared" si="221"/>
        <v>서울특별시</v>
      </c>
      <c r="F4415" t="str">
        <f t="shared" si="224"/>
        <v xml:space="preserve">중구 </v>
      </c>
      <c r="G4415" t="str">
        <f t="shared" si="225"/>
        <v>무교동</v>
      </c>
      <c r="H4415" t="s">
        <v>1437</v>
      </c>
      <c r="I4415">
        <v>4522</v>
      </c>
    </row>
    <row r="4416" spans="1:9" x14ac:dyDescent="0.4">
      <c r="A4416">
        <v>3010000</v>
      </c>
      <c r="B4416" t="s">
        <v>1906</v>
      </c>
      <c r="C4416" s="1">
        <v>29593</v>
      </c>
      <c r="D4416" t="s">
        <v>1907</v>
      </c>
      <c r="E4416" t="str">
        <f t="shared" si="221"/>
        <v>서울특별시</v>
      </c>
      <c r="F4416" t="str">
        <f t="shared" si="224"/>
        <v xml:space="preserve">중구 </v>
      </c>
      <c r="G4416" t="str">
        <f t="shared" si="225"/>
        <v>무교동</v>
      </c>
    </row>
    <row r="4417" spans="1:9" x14ac:dyDescent="0.4">
      <c r="A4417">
        <v>3010000</v>
      </c>
      <c r="B4417" t="s">
        <v>2694</v>
      </c>
      <c r="C4417" s="1">
        <v>37018</v>
      </c>
      <c r="D4417" t="s">
        <v>2695</v>
      </c>
      <c r="E4417" t="str">
        <f t="shared" si="221"/>
        <v>서울특별시</v>
      </c>
      <c r="F4417" t="str">
        <f t="shared" si="224"/>
        <v xml:space="preserve">중구 </v>
      </c>
      <c r="G4417" t="str">
        <f>MID(SUBSTITUTE(D4417," ",""),8,3)</f>
        <v>무학동</v>
      </c>
      <c r="H4417" t="s">
        <v>2696</v>
      </c>
      <c r="I4417">
        <v>4611</v>
      </c>
    </row>
    <row r="4418" spans="1:9" x14ac:dyDescent="0.4">
      <c r="A4418">
        <v>3010000</v>
      </c>
      <c r="B4418" t="s">
        <v>1924</v>
      </c>
      <c r="C4418" s="1">
        <v>28812</v>
      </c>
      <c r="D4418" t="s">
        <v>1925</v>
      </c>
      <c r="E4418" t="str">
        <f t="shared" si="221"/>
        <v>서울특별시</v>
      </c>
      <c r="F4418" t="str">
        <f t="shared" si="224"/>
        <v xml:space="preserve">중구 </v>
      </c>
      <c r="G4418" t="str">
        <f t="shared" ref="G4418:G4481" si="226">MID(SUBSTITUTE(D4418," ",""),8,3)</f>
        <v>무학동</v>
      </c>
    </row>
    <row r="4419" spans="1:9" x14ac:dyDescent="0.4">
      <c r="A4419">
        <v>3010000</v>
      </c>
      <c r="B4419" t="s">
        <v>1610</v>
      </c>
      <c r="C4419" s="1">
        <v>31000</v>
      </c>
      <c r="D4419" t="s">
        <v>1611</v>
      </c>
      <c r="E4419" t="str">
        <f t="shared" ref="E4419:E4482" si="227">LEFT(D4419,5)</f>
        <v>서울특별시</v>
      </c>
      <c r="F4419" t="str">
        <f t="shared" si="224"/>
        <v xml:space="preserve">중구 </v>
      </c>
      <c r="G4419" t="str">
        <f t="shared" si="226"/>
        <v>무학동</v>
      </c>
    </row>
    <row r="4420" spans="1:9" x14ac:dyDescent="0.4">
      <c r="A4420">
        <v>3010000</v>
      </c>
      <c r="B4420" t="s">
        <v>1795</v>
      </c>
      <c r="C4420" s="1">
        <v>26481</v>
      </c>
      <c r="D4420" t="s">
        <v>1796</v>
      </c>
      <c r="E4420" t="str">
        <f t="shared" si="227"/>
        <v>서울특별시</v>
      </c>
      <c r="F4420" t="str">
        <f t="shared" si="224"/>
        <v xml:space="preserve">중구 </v>
      </c>
      <c r="G4420" t="str">
        <f t="shared" si="226"/>
        <v>무학동</v>
      </c>
    </row>
    <row r="4421" spans="1:9" x14ac:dyDescent="0.4">
      <c r="A4421">
        <v>3010000</v>
      </c>
      <c r="B4421" t="s">
        <v>1663</v>
      </c>
      <c r="C4421" s="1">
        <v>27067</v>
      </c>
      <c r="D4421" t="s">
        <v>1664</v>
      </c>
      <c r="E4421" t="str">
        <f t="shared" si="227"/>
        <v>서울특별시</v>
      </c>
      <c r="F4421" t="str">
        <f t="shared" si="224"/>
        <v xml:space="preserve">중구 </v>
      </c>
      <c r="G4421" t="str">
        <f t="shared" si="226"/>
        <v>무학동</v>
      </c>
    </row>
    <row r="4422" spans="1:9" x14ac:dyDescent="0.4">
      <c r="A4422">
        <v>3010000</v>
      </c>
      <c r="B4422" t="s">
        <v>2019</v>
      </c>
      <c r="C4422" s="1">
        <v>28117</v>
      </c>
      <c r="D4422" t="s">
        <v>2020</v>
      </c>
      <c r="E4422" t="str">
        <f t="shared" si="227"/>
        <v>서울특별시</v>
      </c>
      <c r="F4422" t="str">
        <f t="shared" si="224"/>
        <v xml:space="preserve">중구 </v>
      </c>
      <c r="G4422" t="str">
        <f t="shared" si="226"/>
        <v>무학동</v>
      </c>
    </row>
    <row r="4423" spans="1:9" x14ac:dyDescent="0.4">
      <c r="A4423">
        <v>3010000</v>
      </c>
      <c r="B4423" t="s">
        <v>2440</v>
      </c>
      <c r="C4423" s="1">
        <v>31192</v>
      </c>
      <c r="D4423" t="s">
        <v>2441</v>
      </c>
      <c r="E4423" t="str">
        <f t="shared" si="227"/>
        <v>서울특별시</v>
      </c>
      <c r="F4423" t="str">
        <f t="shared" si="224"/>
        <v xml:space="preserve">중구 </v>
      </c>
      <c r="G4423" t="str">
        <f t="shared" si="226"/>
        <v>방산동</v>
      </c>
      <c r="H4423" t="s">
        <v>2442</v>
      </c>
      <c r="I4423">
        <v>4562</v>
      </c>
    </row>
    <row r="4424" spans="1:9" x14ac:dyDescent="0.4">
      <c r="A4424">
        <v>3010000</v>
      </c>
      <c r="B4424" t="s">
        <v>1441</v>
      </c>
      <c r="C4424" s="1">
        <v>36340</v>
      </c>
      <c r="D4424" t="s">
        <v>1442</v>
      </c>
      <c r="E4424" t="str">
        <f t="shared" si="227"/>
        <v>서울특별시</v>
      </c>
      <c r="F4424" t="str">
        <f t="shared" si="224"/>
        <v xml:space="preserve">중구 </v>
      </c>
      <c r="G4424" t="str">
        <f t="shared" si="226"/>
        <v>방산동</v>
      </c>
      <c r="H4424" t="s">
        <v>1443</v>
      </c>
      <c r="I4424">
        <v>4562</v>
      </c>
    </row>
    <row r="4425" spans="1:9" x14ac:dyDescent="0.4">
      <c r="A4425">
        <v>3010000</v>
      </c>
      <c r="B4425" t="s">
        <v>1461</v>
      </c>
      <c r="C4425" s="1">
        <v>31458</v>
      </c>
      <c r="D4425" t="s">
        <v>1462</v>
      </c>
      <c r="E4425" t="str">
        <f t="shared" si="227"/>
        <v>서울특별시</v>
      </c>
      <c r="F4425" t="str">
        <f t="shared" si="224"/>
        <v xml:space="preserve">중구 </v>
      </c>
      <c r="G4425" t="str">
        <f t="shared" si="226"/>
        <v>봉래동</v>
      </c>
    </row>
    <row r="4426" spans="1:9" x14ac:dyDescent="0.4">
      <c r="A4426">
        <v>3010000</v>
      </c>
      <c r="B4426" t="s">
        <v>2199</v>
      </c>
      <c r="C4426" s="1">
        <v>33270</v>
      </c>
      <c r="D4426" t="s">
        <v>2200</v>
      </c>
      <c r="E4426" t="str">
        <f t="shared" si="227"/>
        <v>서울특별시</v>
      </c>
      <c r="F4426" t="str">
        <f t="shared" si="224"/>
        <v xml:space="preserve">중구 </v>
      </c>
      <c r="G4426" t="str">
        <f t="shared" si="226"/>
        <v>봉래동</v>
      </c>
    </row>
    <row r="4427" spans="1:9" x14ac:dyDescent="0.4">
      <c r="A4427">
        <v>3010000</v>
      </c>
      <c r="B4427" t="s">
        <v>1988</v>
      </c>
      <c r="C4427" s="1">
        <v>31280</v>
      </c>
      <c r="D4427" t="s">
        <v>1989</v>
      </c>
      <c r="E4427" t="str">
        <f t="shared" si="227"/>
        <v>서울특별시</v>
      </c>
      <c r="F4427" t="str">
        <f t="shared" si="224"/>
        <v xml:space="preserve">중구 </v>
      </c>
      <c r="G4427" t="str">
        <f t="shared" si="226"/>
        <v>북창동</v>
      </c>
    </row>
    <row r="4428" spans="1:9" x14ac:dyDescent="0.4">
      <c r="A4428">
        <v>3010000</v>
      </c>
      <c r="B4428" t="s">
        <v>2296</v>
      </c>
      <c r="C4428" s="1">
        <v>36794</v>
      </c>
      <c r="D4428" t="s">
        <v>2297</v>
      </c>
      <c r="E4428" t="str">
        <f t="shared" si="227"/>
        <v>서울특별시</v>
      </c>
      <c r="F4428" t="str">
        <f t="shared" si="224"/>
        <v xml:space="preserve">중구 </v>
      </c>
      <c r="G4428" t="str">
        <f t="shared" si="226"/>
        <v>북창동</v>
      </c>
    </row>
    <row r="4429" spans="1:9" x14ac:dyDescent="0.4">
      <c r="A4429">
        <v>3010000</v>
      </c>
      <c r="B4429" t="s">
        <v>1422</v>
      </c>
      <c r="C4429" s="1">
        <v>42318</v>
      </c>
      <c r="D4429" t="s">
        <v>1423</v>
      </c>
      <c r="E4429" t="str">
        <f t="shared" si="227"/>
        <v>서울특별시</v>
      </c>
      <c r="F4429" t="str">
        <f t="shared" si="224"/>
        <v xml:space="preserve">중구 </v>
      </c>
      <c r="G4429" t="str">
        <f t="shared" si="226"/>
        <v>북창동</v>
      </c>
      <c r="H4429" t="s">
        <v>1424</v>
      </c>
      <c r="I4429">
        <v>4526</v>
      </c>
    </row>
    <row r="4430" spans="1:9" x14ac:dyDescent="0.4">
      <c r="A4430">
        <v>3010000</v>
      </c>
      <c r="B4430" t="s">
        <v>2225</v>
      </c>
      <c r="C4430" s="1">
        <v>30726</v>
      </c>
      <c r="D4430" t="s">
        <v>2226</v>
      </c>
      <c r="E4430" t="str">
        <f t="shared" si="227"/>
        <v>서울특별시</v>
      </c>
      <c r="F4430" t="str">
        <f t="shared" si="224"/>
        <v xml:space="preserve">중구 </v>
      </c>
      <c r="G4430" t="str">
        <f t="shared" si="226"/>
        <v>북창동</v>
      </c>
    </row>
    <row r="4431" spans="1:9" x14ac:dyDescent="0.4">
      <c r="A4431">
        <v>3010000</v>
      </c>
      <c r="B4431" t="s">
        <v>1939</v>
      </c>
      <c r="C4431" s="1">
        <v>37504</v>
      </c>
      <c r="D4431" t="s">
        <v>1940</v>
      </c>
      <c r="E4431" t="str">
        <f t="shared" si="227"/>
        <v>서울특별시</v>
      </c>
      <c r="F4431" t="str">
        <f t="shared" si="224"/>
        <v xml:space="preserve">중구 </v>
      </c>
      <c r="G4431" t="str">
        <f t="shared" si="226"/>
        <v>북창동</v>
      </c>
    </row>
    <row r="4432" spans="1:9" x14ac:dyDescent="0.4">
      <c r="A4432">
        <v>3010000</v>
      </c>
      <c r="B4432" t="s">
        <v>2158</v>
      </c>
      <c r="C4432" s="1">
        <v>36645</v>
      </c>
      <c r="D4432" t="s">
        <v>2159</v>
      </c>
      <c r="E4432" t="str">
        <f t="shared" si="227"/>
        <v>서울특별시</v>
      </c>
      <c r="F4432" t="str">
        <f t="shared" si="224"/>
        <v xml:space="preserve">중구 </v>
      </c>
      <c r="G4432" t="str">
        <f t="shared" si="226"/>
        <v>북창동</v>
      </c>
      <c r="H4432" t="s">
        <v>2160</v>
      </c>
      <c r="I4432">
        <v>4526</v>
      </c>
    </row>
    <row r="4433" spans="1:9" x14ac:dyDescent="0.4">
      <c r="A4433">
        <v>3010000</v>
      </c>
      <c r="B4433" t="s">
        <v>2735</v>
      </c>
      <c r="C4433" s="1">
        <v>36631</v>
      </c>
      <c r="D4433" t="s">
        <v>2736</v>
      </c>
      <c r="E4433" t="str">
        <f t="shared" si="227"/>
        <v>서울특별시</v>
      </c>
      <c r="F4433" t="str">
        <f t="shared" si="224"/>
        <v xml:space="preserve">중구 </v>
      </c>
      <c r="G4433" t="str">
        <f t="shared" si="226"/>
        <v>북창동</v>
      </c>
      <c r="H4433" t="s">
        <v>2737</v>
      </c>
      <c r="I4433">
        <v>4526</v>
      </c>
    </row>
    <row r="4434" spans="1:9" x14ac:dyDescent="0.4">
      <c r="A4434">
        <v>3010000</v>
      </c>
      <c r="B4434" t="s">
        <v>2206</v>
      </c>
      <c r="C4434" s="1">
        <v>36149</v>
      </c>
      <c r="D4434" t="s">
        <v>2207</v>
      </c>
      <c r="E4434" t="str">
        <f t="shared" si="227"/>
        <v>서울특별시</v>
      </c>
      <c r="F4434" t="str">
        <f t="shared" si="224"/>
        <v xml:space="preserve">중구 </v>
      </c>
      <c r="G4434" t="str">
        <f t="shared" si="226"/>
        <v>북창동</v>
      </c>
    </row>
    <row r="4435" spans="1:9" x14ac:dyDescent="0.4">
      <c r="A4435">
        <v>3010000</v>
      </c>
      <c r="B4435" t="s">
        <v>1533</v>
      </c>
      <c r="C4435" s="1">
        <v>31288</v>
      </c>
      <c r="D4435" t="s">
        <v>1534</v>
      </c>
      <c r="E4435" t="str">
        <f t="shared" si="227"/>
        <v>서울특별시</v>
      </c>
      <c r="F4435" t="str">
        <f t="shared" si="224"/>
        <v xml:space="preserve">중구 </v>
      </c>
      <c r="G4435" t="str">
        <f t="shared" si="226"/>
        <v>북창동</v>
      </c>
    </row>
    <row r="4436" spans="1:9" x14ac:dyDescent="0.4">
      <c r="A4436">
        <v>3010000</v>
      </c>
      <c r="B4436" t="s">
        <v>1851</v>
      </c>
      <c r="C4436" s="1">
        <v>36554</v>
      </c>
      <c r="D4436" t="s">
        <v>1534</v>
      </c>
      <c r="E4436" t="str">
        <f t="shared" si="227"/>
        <v>서울특별시</v>
      </c>
      <c r="F4436" t="str">
        <f t="shared" si="224"/>
        <v xml:space="preserve">중구 </v>
      </c>
      <c r="G4436" t="str">
        <f t="shared" si="226"/>
        <v>북창동</v>
      </c>
    </row>
    <row r="4437" spans="1:9" x14ac:dyDescent="0.4">
      <c r="A4437">
        <v>3010000</v>
      </c>
      <c r="B4437" t="s">
        <v>2083</v>
      </c>
      <c r="C4437" s="1">
        <v>36500</v>
      </c>
      <c r="D4437" t="s">
        <v>1534</v>
      </c>
      <c r="E4437" t="str">
        <f t="shared" si="227"/>
        <v>서울특별시</v>
      </c>
      <c r="F4437" t="str">
        <f t="shared" si="224"/>
        <v xml:space="preserve">중구 </v>
      </c>
      <c r="G4437" t="str">
        <f t="shared" si="226"/>
        <v>북창동</v>
      </c>
    </row>
    <row r="4438" spans="1:9" x14ac:dyDescent="0.4">
      <c r="A4438">
        <v>3010000</v>
      </c>
      <c r="B4438" t="s">
        <v>2253</v>
      </c>
      <c r="C4438" s="1">
        <v>36972</v>
      </c>
      <c r="D4438" t="s">
        <v>1534</v>
      </c>
      <c r="E4438" t="str">
        <f t="shared" si="227"/>
        <v>서울특별시</v>
      </c>
      <c r="F4438" t="str">
        <f t="shared" si="224"/>
        <v xml:space="preserve">중구 </v>
      </c>
      <c r="G4438" t="str">
        <f t="shared" si="226"/>
        <v>북창동</v>
      </c>
    </row>
    <row r="4439" spans="1:9" x14ac:dyDescent="0.4">
      <c r="A4439">
        <v>3010000</v>
      </c>
      <c r="B4439" t="s">
        <v>2212</v>
      </c>
      <c r="C4439" s="1">
        <v>30347</v>
      </c>
      <c r="D4439" t="s">
        <v>2213</v>
      </c>
      <c r="E4439" t="str">
        <f t="shared" si="227"/>
        <v>서울특별시</v>
      </c>
      <c r="F4439" t="str">
        <f t="shared" si="224"/>
        <v xml:space="preserve">중구 </v>
      </c>
      <c r="G4439" t="str">
        <f t="shared" si="226"/>
        <v>북창동</v>
      </c>
    </row>
    <row r="4440" spans="1:9" x14ac:dyDescent="0.4">
      <c r="A4440">
        <v>3010000</v>
      </c>
      <c r="B4440" t="s">
        <v>1879</v>
      </c>
      <c r="C4440" s="1">
        <v>36301</v>
      </c>
      <c r="D4440" t="s">
        <v>1880</v>
      </c>
      <c r="E4440" t="str">
        <f t="shared" si="227"/>
        <v>서울특별시</v>
      </c>
      <c r="F4440" t="str">
        <f t="shared" si="224"/>
        <v xml:space="preserve">중구 </v>
      </c>
      <c r="G4440" t="str">
        <f t="shared" si="226"/>
        <v>북창동</v>
      </c>
      <c r="H4440" t="s">
        <v>1881</v>
      </c>
      <c r="I4440">
        <v>4526</v>
      </c>
    </row>
    <row r="4441" spans="1:9" x14ac:dyDescent="0.4">
      <c r="A4441">
        <v>3010000</v>
      </c>
      <c r="B4441" t="s">
        <v>2769</v>
      </c>
      <c r="C4441" s="1">
        <v>42331</v>
      </c>
      <c r="D4441" t="s">
        <v>2770</v>
      </c>
      <c r="E4441" t="str">
        <f t="shared" si="227"/>
        <v>서울특별시</v>
      </c>
      <c r="F4441" t="str">
        <f t="shared" si="224"/>
        <v xml:space="preserve">중구 </v>
      </c>
      <c r="G4441" t="str">
        <f t="shared" si="226"/>
        <v>북창동</v>
      </c>
      <c r="H4441" t="s">
        <v>1992</v>
      </c>
      <c r="I4441">
        <v>4526</v>
      </c>
    </row>
    <row r="4442" spans="1:9" x14ac:dyDescent="0.4">
      <c r="A4442">
        <v>3010000</v>
      </c>
      <c r="B4442" t="s">
        <v>2294</v>
      </c>
      <c r="C4442" s="1">
        <v>36785</v>
      </c>
      <c r="D4442" t="s">
        <v>2295</v>
      </c>
      <c r="E4442" t="str">
        <f t="shared" si="227"/>
        <v>서울특별시</v>
      </c>
      <c r="F4442" t="str">
        <f t="shared" si="224"/>
        <v xml:space="preserve">중구 </v>
      </c>
      <c r="G4442" t="str">
        <f t="shared" si="226"/>
        <v>북창동</v>
      </c>
    </row>
    <row r="4443" spans="1:9" x14ac:dyDescent="0.4">
      <c r="A4443">
        <v>3010000</v>
      </c>
      <c r="B4443" t="s">
        <v>1671</v>
      </c>
      <c r="C4443" s="1">
        <v>37372</v>
      </c>
      <c r="D4443" t="s">
        <v>1672</v>
      </c>
      <c r="E4443" t="str">
        <f t="shared" si="227"/>
        <v>서울특별시</v>
      </c>
      <c r="F4443" t="str">
        <f t="shared" si="224"/>
        <v xml:space="preserve">중구 </v>
      </c>
      <c r="G4443" t="str">
        <f t="shared" si="226"/>
        <v>북창동</v>
      </c>
      <c r="H4443" t="s">
        <v>1673</v>
      </c>
      <c r="I4443">
        <v>4526</v>
      </c>
    </row>
    <row r="4444" spans="1:9" x14ac:dyDescent="0.4">
      <c r="A4444">
        <v>3010000</v>
      </c>
      <c r="B4444" t="s">
        <v>1990</v>
      </c>
      <c r="C4444" s="1">
        <v>42331</v>
      </c>
      <c r="D4444" t="s">
        <v>1991</v>
      </c>
      <c r="E4444" t="str">
        <f t="shared" si="227"/>
        <v>서울특별시</v>
      </c>
      <c r="F4444" t="str">
        <f t="shared" si="224"/>
        <v xml:space="preserve">중구 </v>
      </c>
      <c r="G4444" t="str">
        <f t="shared" si="226"/>
        <v>북창동</v>
      </c>
      <c r="H4444" t="s">
        <v>1992</v>
      </c>
      <c r="I4444">
        <v>4526</v>
      </c>
    </row>
    <row r="4445" spans="1:9" x14ac:dyDescent="0.4">
      <c r="A4445">
        <v>3010000</v>
      </c>
      <c r="B4445" t="s">
        <v>2165</v>
      </c>
      <c r="C4445" s="1">
        <v>36668</v>
      </c>
      <c r="D4445" t="s">
        <v>2166</v>
      </c>
      <c r="E4445" t="str">
        <f t="shared" si="227"/>
        <v>서울특별시</v>
      </c>
      <c r="F4445" t="str">
        <f t="shared" si="224"/>
        <v xml:space="preserve">중구 </v>
      </c>
      <c r="G4445" t="str">
        <f t="shared" si="226"/>
        <v>북창동</v>
      </c>
      <c r="H4445" t="s">
        <v>2167</v>
      </c>
      <c r="I4445">
        <v>4526</v>
      </c>
    </row>
    <row r="4446" spans="1:9" x14ac:dyDescent="0.4">
      <c r="A4446">
        <v>3010000</v>
      </c>
      <c r="B4446" t="s">
        <v>2627</v>
      </c>
      <c r="C4446" s="1">
        <v>24755</v>
      </c>
      <c r="D4446" t="s">
        <v>2628</v>
      </c>
      <c r="E4446" t="str">
        <f t="shared" si="227"/>
        <v>서울특별시</v>
      </c>
      <c r="F4446" t="str">
        <f t="shared" si="224"/>
        <v xml:space="preserve">중구 </v>
      </c>
      <c r="G4446" t="str">
        <f t="shared" si="226"/>
        <v>북창동</v>
      </c>
      <c r="H4446" t="s">
        <v>2629</v>
      </c>
      <c r="I4446">
        <v>4526</v>
      </c>
    </row>
    <row r="4447" spans="1:9" x14ac:dyDescent="0.4">
      <c r="A4447">
        <v>3010000</v>
      </c>
      <c r="B4447" t="s">
        <v>1366</v>
      </c>
      <c r="C4447" s="1">
        <v>31279</v>
      </c>
      <c r="D4447" t="s">
        <v>1367</v>
      </c>
      <c r="E4447" t="str">
        <f t="shared" si="227"/>
        <v>서울특별시</v>
      </c>
      <c r="F4447" t="str">
        <f t="shared" si="224"/>
        <v xml:space="preserve">중구 </v>
      </c>
      <c r="G4447" t="str">
        <f t="shared" si="226"/>
        <v>북창동</v>
      </c>
    </row>
    <row r="4448" spans="1:9" x14ac:dyDescent="0.4">
      <c r="A4448">
        <v>3010000</v>
      </c>
      <c r="B4448" t="s">
        <v>2263</v>
      </c>
      <c r="C4448" s="1">
        <v>36831</v>
      </c>
      <c r="D4448" t="s">
        <v>1367</v>
      </c>
      <c r="E4448" t="str">
        <f t="shared" si="227"/>
        <v>서울특별시</v>
      </c>
      <c r="F4448" t="str">
        <f t="shared" si="224"/>
        <v xml:space="preserve">중구 </v>
      </c>
      <c r="G4448" t="str">
        <f t="shared" si="226"/>
        <v>북창동</v>
      </c>
    </row>
    <row r="4449" spans="1:9" x14ac:dyDescent="0.4">
      <c r="A4449">
        <v>3010000</v>
      </c>
      <c r="B4449" t="s">
        <v>2325</v>
      </c>
      <c r="C4449" s="1">
        <v>44796</v>
      </c>
      <c r="D4449" t="s">
        <v>2326</v>
      </c>
      <c r="E4449" t="str">
        <f t="shared" si="227"/>
        <v>서울특별시</v>
      </c>
      <c r="F4449" t="str">
        <f t="shared" si="224"/>
        <v xml:space="preserve">중구 </v>
      </c>
      <c r="G4449" t="str">
        <f t="shared" si="226"/>
        <v>북창동</v>
      </c>
      <c r="H4449" t="s">
        <v>2327</v>
      </c>
      <c r="I4449">
        <v>4526</v>
      </c>
    </row>
    <row r="4450" spans="1:9" x14ac:dyDescent="0.4">
      <c r="A4450">
        <v>3010000</v>
      </c>
      <c r="B4450" t="s">
        <v>1489</v>
      </c>
      <c r="C4450" s="1">
        <v>31208</v>
      </c>
      <c r="D4450" t="s">
        <v>1490</v>
      </c>
      <c r="E4450" t="str">
        <f t="shared" si="227"/>
        <v>서울특별시</v>
      </c>
      <c r="F4450" t="str">
        <f t="shared" si="224"/>
        <v xml:space="preserve">중구 </v>
      </c>
      <c r="G4450" t="str">
        <f t="shared" si="226"/>
        <v>북창동</v>
      </c>
    </row>
    <row r="4451" spans="1:9" x14ac:dyDescent="0.4">
      <c r="A4451">
        <v>3010000</v>
      </c>
      <c r="B4451" t="s">
        <v>1626</v>
      </c>
      <c r="C4451" s="1">
        <v>37596</v>
      </c>
      <c r="D4451" t="s">
        <v>1627</v>
      </c>
      <c r="E4451" t="str">
        <f t="shared" si="227"/>
        <v>서울특별시</v>
      </c>
      <c r="F4451" t="str">
        <f t="shared" si="224"/>
        <v xml:space="preserve">중구 </v>
      </c>
      <c r="G4451" t="str">
        <f t="shared" si="226"/>
        <v>북창동</v>
      </c>
    </row>
    <row r="4452" spans="1:9" x14ac:dyDescent="0.4">
      <c r="A4452">
        <v>3010000</v>
      </c>
      <c r="B4452" t="s">
        <v>2254</v>
      </c>
      <c r="C4452" s="1">
        <v>36983</v>
      </c>
      <c r="D4452" t="s">
        <v>2255</v>
      </c>
      <c r="E4452" t="str">
        <f t="shared" si="227"/>
        <v>서울특별시</v>
      </c>
      <c r="F4452" t="str">
        <f t="shared" si="224"/>
        <v xml:space="preserve">중구 </v>
      </c>
      <c r="G4452" t="str">
        <f t="shared" si="226"/>
        <v>북창동</v>
      </c>
    </row>
    <row r="4453" spans="1:9" x14ac:dyDescent="0.4">
      <c r="A4453">
        <v>3010000</v>
      </c>
      <c r="B4453" t="s">
        <v>1409</v>
      </c>
      <c r="C4453" s="1">
        <v>37715</v>
      </c>
      <c r="D4453" t="s">
        <v>1410</v>
      </c>
      <c r="E4453" t="str">
        <f t="shared" si="227"/>
        <v>서울특별시</v>
      </c>
      <c r="F4453" t="str">
        <f t="shared" si="224"/>
        <v xml:space="preserve">중구 </v>
      </c>
      <c r="G4453" t="str">
        <f t="shared" si="226"/>
        <v>북창동</v>
      </c>
    </row>
    <row r="4454" spans="1:9" x14ac:dyDescent="0.4">
      <c r="A4454">
        <v>3010000</v>
      </c>
      <c r="B4454" t="s">
        <v>2267</v>
      </c>
      <c r="C4454" s="1">
        <v>36705</v>
      </c>
      <c r="D4454" t="s">
        <v>2268</v>
      </c>
      <c r="E4454" t="str">
        <f t="shared" si="227"/>
        <v>서울특별시</v>
      </c>
      <c r="F4454" t="str">
        <f t="shared" si="224"/>
        <v xml:space="preserve">중구 </v>
      </c>
      <c r="G4454" t="str">
        <f t="shared" si="226"/>
        <v>북창동</v>
      </c>
    </row>
    <row r="4455" spans="1:9" x14ac:dyDescent="0.4">
      <c r="A4455">
        <v>3010000</v>
      </c>
      <c r="B4455" t="s">
        <v>2050</v>
      </c>
      <c r="C4455" s="1">
        <v>37310</v>
      </c>
      <c r="D4455" t="s">
        <v>2051</v>
      </c>
      <c r="E4455" t="str">
        <f t="shared" si="227"/>
        <v>서울특별시</v>
      </c>
      <c r="F4455" t="str">
        <f t="shared" si="224"/>
        <v xml:space="preserve">중구 </v>
      </c>
      <c r="G4455" t="str">
        <f t="shared" si="226"/>
        <v>북창동</v>
      </c>
    </row>
    <row r="4456" spans="1:9" x14ac:dyDescent="0.4">
      <c r="A4456">
        <v>3010000</v>
      </c>
      <c r="B4456" t="s">
        <v>2304</v>
      </c>
      <c r="C4456" s="1">
        <v>45467</v>
      </c>
      <c r="D4456" t="s">
        <v>2305</v>
      </c>
      <c r="E4456" t="str">
        <f t="shared" si="227"/>
        <v>서울특별시</v>
      </c>
      <c r="F4456" t="str">
        <f t="shared" si="224"/>
        <v xml:space="preserve">중구 </v>
      </c>
      <c r="G4456" t="str">
        <f t="shared" si="226"/>
        <v>북창동</v>
      </c>
      <c r="H4456" t="s">
        <v>2306</v>
      </c>
      <c r="I4456">
        <v>4526</v>
      </c>
    </row>
    <row r="4457" spans="1:9" x14ac:dyDescent="0.4">
      <c r="A4457">
        <v>3010000</v>
      </c>
      <c r="B4457" t="s">
        <v>1554</v>
      </c>
      <c r="C4457" s="1">
        <v>27565</v>
      </c>
      <c r="D4457" t="s">
        <v>1555</v>
      </c>
      <c r="E4457" t="str">
        <f t="shared" si="227"/>
        <v>서울특별시</v>
      </c>
      <c r="F4457" t="str">
        <f t="shared" si="224"/>
        <v xml:space="preserve">중구 </v>
      </c>
      <c r="G4457" t="str">
        <f t="shared" si="226"/>
        <v>북창동</v>
      </c>
    </row>
    <row r="4458" spans="1:9" x14ac:dyDescent="0.4">
      <c r="A4458">
        <v>3010000</v>
      </c>
      <c r="B4458" t="s">
        <v>1364</v>
      </c>
      <c r="C4458" s="1">
        <v>31278</v>
      </c>
      <c r="D4458" t="s">
        <v>1365</v>
      </c>
      <c r="E4458" t="str">
        <f t="shared" si="227"/>
        <v>서울특별시</v>
      </c>
      <c r="F4458" t="str">
        <f t="shared" si="224"/>
        <v xml:space="preserve">중구 </v>
      </c>
      <c r="G4458" t="str">
        <f t="shared" si="226"/>
        <v>북창동</v>
      </c>
    </row>
    <row r="4459" spans="1:9" x14ac:dyDescent="0.4">
      <c r="A4459">
        <v>3010000</v>
      </c>
      <c r="B4459" t="s">
        <v>2196</v>
      </c>
      <c r="C4459" s="1">
        <v>32949</v>
      </c>
      <c r="D4459" t="s">
        <v>1365</v>
      </c>
      <c r="E4459" t="str">
        <f t="shared" si="227"/>
        <v>서울특별시</v>
      </c>
      <c r="F4459" t="str">
        <f t="shared" si="224"/>
        <v xml:space="preserve">중구 </v>
      </c>
      <c r="G4459" t="str">
        <f t="shared" si="226"/>
        <v>북창동</v>
      </c>
    </row>
    <row r="4460" spans="1:9" x14ac:dyDescent="0.4">
      <c r="A4460">
        <v>3010000</v>
      </c>
      <c r="B4460" t="s">
        <v>1966</v>
      </c>
      <c r="C4460" s="1">
        <v>32041</v>
      </c>
      <c r="D4460" t="s">
        <v>1967</v>
      </c>
      <c r="E4460" t="str">
        <f t="shared" si="227"/>
        <v>서울특별시</v>
      </c>
      <c r="F4460" t="str">
        <f t="shared" si="224"/>
        <v xml:space="preserve">중구 </v>
      </c>
      <c r="G4460" t="str">
        <f t="shared" si="226"/>
        <v>북창동</v>
      </c>
    </row>
    <row r="4461" spans="1:9" x14ac:dyDescent="0.4">
      <c r="A4461">
        <v>3010000</v>
      </c>
      <c r="B4461" t="s">
        <v>1633</v>
      </c>
      <c r="C4461" s="1">
        <v>37631</v>
      </c>
      <c r="D4461" t="s">
        <v>1634</v>
      </c>
      <c r="E4461" t="str">
        <f t="shared" si="227"/>
        <v>서울특별시</v>
      </c>
      <c r="F4461" t="str">
        <f t="shared" si="224"/>
        <v xml:space="preserve">중구 </v>
      </c>
      <c r="G4461" t="str">
        <f t="shared" si="226"/>
        <v>북창동</v>
      </c>
    </row>
    <row r="4462" spans="1:9" x14ac:dyDescent="0.4">
      <c r="A4462">
        <v>3010000</v>
      </c>
      <c r="B4462" t="s">
        <v>1741</v>
      </c>
      <c r="C4462" s="1">
        <v>41612</v>
      </c>
      <c r="D4462" t="s">
        <v>1742</v>
      </c>
      <c r="E4462" t="str">
        <f t="shared" si="227"/>
        <v>서울특별시</v>
      </c>
      <c r="F4462" t="str">
        <f t="shared" si="224"/>
        <v xml:space="preserve">중구 </v>
      </c>
      <c r="G4462" t="str">
        <f t="shared" si="226"/>
        <v>북창동</v>
      </c>
      <c r="H4462" t="s">
        <v>1743</v>
      </c>
      <c r="I4462">
        <v>4526</v>
      </c>
    </row>
    <row r="4463" spans="1:9" x14ac:dyDescent="0.4">
      <c r="A4463">
        <v>3010000</v>
      </c>
      <c r="B4463" t="s">
        <v>2115</v>
      </c>
      <c r="C4463" s="1">
        <v>36563</v>
      </c>
      <c r="D4463" t="s">
        <v>2116</v>
      </c>
      <c r="E4463" t="str">
        <f t="shared" si="227"/>
        <v>서울특별시</v>
      </c>
      <c r="F4463" t="str">
        <f t="shared" si="224"/>
        <v xml:space="preserve">중구 </v>
      </c>
      <c r="G4463" t="str">
        <f t="shared" si="226"/>
        <v>북창동</v>
      </c>
    </row>
    <row r="4464" spans="1:9" x14ac:dyDescent="0.4">
      <c r="A4464">
        <v>3010000</v>
      </c>
      <c r="B4464" t="s">
        <v>2155</v>
      </c>
      <c r="C4464" s="1">
        <v>36642</v>
      </c>
      <c r="D4464" t="s">
        <v>2156</v>
      </c>
      <c r="E4464" t="str">
        <f t="shared" si="227"/>
        <v>서울특별시</v>
      </c>
      <c r="F4464" t="str">
        <f t="shared" ref="F4464:F4527" si="228">MID(D4464,7,3)</f>
        <v xml:space="preserve">중구 </v>
      </c>
      <c r="G4464" t="str">
        <f t="shared" si="226"/>
        <v>북창동</v>
      </c>
      <c r="H4464" t="s">
        <v>2157</v>
      </c>
      <c r="I4464">
        <v>4526</v>
      </c>
    </row>
    <row r="4465" spans="1:9" x14ac:dyDescent="0.4">
      <c r="A4465">
        <v>3010000</v>
      </c>
      <c r="B4465" t="s">
        <v>2250</v>
      </c>
      <c r="C4465" s="1">
        <v>36957</v>
      </c>
      <c r="D4465" t="s">
        <v>2156</v>
      </c>
      <c r="E4465" t="str">
        <f t="shared" si="227"/>
        <v>서울특별시</v>
      </c>
      <c r="F4465" t="str">
        <f t="shared" si="228"/>
        <v xml:space="preserve">중구 </v>
      </c>
      <c r="G4465" t="str">
        <f t="shared" si="226"/>
        <v>북창동</v>
      </c>
      <c r="H4465" t="s">
        <v>2157</v>
      </c>
      <c r="I4465">
        <v>4526</v>
      </c>
    </row>
    <row r="4466" spans="1:9" x14ac:dyDescent="0.4">
      <c r="A4466">
        <v>3010000</v>
      </c>
      <c r="B4466" t="s">
        <v>1401</v>
      </c>
      <c r="C4466" s="1">
        <v>30347</v>
      </c>
      <c r="D4466" t="s">
        <v>1402</v>
      </c>
      <c r="E4466" t="str">
        <f t="shared" si="227"/>
        <v>서울특별시</v>
      </c>
      <c r="F4466" t="str">
        <f t="shared" si="228"/>
        <v xml:space="preserve">중구 </v>
      </c>
      <c r="G4466" t="str">
        <f t="shared" si="226"/>
        <v>북창동</v>
      </c>
    </row>
    <row r="4467" spans="1:9" x14ac:dyDescent="0.4">
      <c r="A4467">
        <v>3010000</v>
      </c>
      <c r="B4467" t="s">
        <v>2145</v>
      </c>
      <c r="C4467" s="1">
        <v>36596</v>
      </c>
      <c r="D4467" t="s">
        <v>2146</v>
      </c>
      <c r="E4467" t="str">
        <f t="shared" si="227"/>
        <v>서울특별시</v>
      </c>
      <c r="F4467" t="str">
        <f t="shared" si="228"/>
        <v xml:space="preserve">중구 </v>
      </c>
      <c r="G4467" t="str">
        <f t="shared" si="226"/>
        <v>북창동</v>
      </c>
    </row>
    <row r="4468" spans="1:9" x14ac:dyDescent="0.4">
      <c r="A4468">
        <v>3010000</v>
      </c>
      <c r="B4468" t="s">
        <v>1498</v>
      </c>
      <c r="C4468" s="1">
        <v>31227</v>
      </c>
      <c r="D4468" t="s">
        <v>1499</v>
      </c>
      <c r="E4468" t="str">
        <f t="shared" si="227"/>
        <v>서울특별시</v>
      </c>
      <c r="F4468" t="str">
        <f t="shared" si="228"/>
        <v xml:space="preserve">중구 </v>
      </c>
      <c r="G4468" t="str">
        <f t="shared" si="226"/>
        <v>북창동</v>
      </c>
    </row>
    <row r="4469" spans="1:9" x14ac:dyDescent="0.4">
      <c r="A4469">
        <v>3010000</v>
      </c>
      <c r="B4469" t="s">
        <v>1504</v>
      </c>
      <c r="C4469" s="1">
        <v>31273</v>
      </c>
      <c r="D4469" t="s">
        <v>1505</v>
      </c>
      <c r="E4469" t="str">
        <f t="shared" si="227"/>
        <v>서울특별시</v>
      </c>
      <c r="F4469" t="str">
        <f t="shared" si="228"/>
        <v xml:space="preserve">중구 </v>
      </c>
      <c r="G4469" t="str">
        <f t="shared" si="226"/>
        <v>북창동</v>
      </c>
    </row>
    <row r="4470" spans="1:9" x14ac:dyDescent="0.4">
      <c r="A4470">
        <v>3010000</v>
      </c>
      <c r="B4470" t="s">
        <v>2062</v>
      </c>
      <c r="C4470" s="1">
        <v>37368</v>
      </c>
      <c r="D4470" t="s">
        <v>2063</v>
      </c>
      <c r="E4470" t="str">
        <f t="shared" si="227"/>
        <v>서울특별시</v>
      </c>
      <c r="F4470" t="str">
        <f t="shared" si="228"/>
        <v xml:space="preserve">중구 </v>
      </c>
      <c r="G4470" t="str">
        <f t="shared" si="226"/>
        <v>북창동</v>
      </c>
    </row>
    <row r="4471" spans="1:9" x14ac:dyDescent="0.4">
      <c r="A4471">
        <v>3010000</v>
      </c>
      <c r="B4471" t="s">
        <v>1913</v>
      </c>
      <c r="C4471" s="1">
        <v>29992</v>
      </c>
      <c r="D4471" t="s">
        <v>1914</v>
      </c>
      <c r="E4471" t="str">
        <f t="shared" si="227"/>
        <v>서울특별시</v>
      </c>
      <c r="F4471" t="str">
        <f t="shared" si="228"/>
        <v xml:space="preserve">중구 </v>
      </c>
      <c r="G4471" t="str">
        <f t="shared" si="226"/>
        <v>북창동</v>
      </c>
    </row>
    <row r="4472" spans="1:9" x14ac:dyDescent="0.4">
      <c r="A4472">
        <v>3010000</v>
      </c>
      <c r="B4472" t="s">
        <v>2025</v>
      </c>
      <c r="C4472" s="1">
        <v>28130</v>
      </c>
      <c r="D4472" t="s">
        <v>2026</v>
      </c>
      <c r="E4472" t="str">
        <f t="shared" si="227"/>
        <v>서울특별시</v>
      </c>
      <c r="F4472" t="str">
        <f t="shared" si="228"/>
        <v xml:space="preserve">중구 </v>
      </c>
      <c r="G4472" t="str">
        <f t="shared" si="226"/>
        <v>북창동</v>
      </c>
    </row>
    <row r="4473" spans="1:9" x14ac:dyDescent="0.4">
      <c r="A4473">
        <v>3010000</v>
      </c>
      <c r="B4473" t="s">
        <v>1624</v>
      </c>
      <c r="C4473" s="1">
        <v>37593</v>
      </c>
      <c r="D4473" t="s">
        <v>1625</v>
      </c>
      <c r="E4473" t="str">
        <f t="shared" si="227"/>
        <v>서울특별시</v>
      </c>
      <c r="F4473" t="str">
        <f t="shared" si="228"/>
        <v xml:space="preserve">중구 </v>
      </c>
      <c r="G4473" t="str">
        <f t="shared" si="226"/>
        <v>북창동</v>
      </c>
    </row>
    <row r="4474" spans="1:9" x14ac:dyDescent="0.4">
      <c r="A4474">
        <v>3010000</v>
      </c>
      <c r="B4474" t="s">
        <v>1755</v>
      </c>
      <c r="C4474" s="1">
        <v>36390</v>
      </c>
      <c r="D4474" t="s">
        <v>1756</v>
      </c>
      <c r="E4474" t="str">
        <f t="shared" si="227"/>
        <v>서울특별시</v>
      </c>
      <c r="F4474" t="str">
        <f t="shared" si="228"/>
        <v xml:space="preserve">중구 </v>
      </c>
      <c r="G4474" t="str">
        <f t="shared" si="226"/>
        <v>북창동</v>
      </c>
      <c r="H4474" t="s">
        <v>1757</v>
      </c>
      <c r="I4474">
        <v>4526</v>
      </c>
    </row>
    <row r="4475" spans="1:9" x14ac:dyDescent="0.4">
      <c r="A4475">
        <v>3010000</v>
      </c>
      <c r="B4475" t="s">
        <v>2188</v>
      </c>
      <c r="C4475" s="1">
        <v>32819</v>
      </c>
      <c r="D4475" t="s">
        <v>1756</v>
      </c>
      <c r="E4475" t="str">
        <f t="shared" si="227"/>
        <v>서울특별시</v>
      </c>
      <c r="F4475" t="str">
        <f t="shared" si="228"/>
        <v xml:space="preserve">중구 </v>
      </c>
      <c r="G4475" t="str">
        <f t="shared" si="226"/>
        <v>북창동</v>
      </c>
      <c r="H4475" t="s">
        <v>2189</v>
      </c>
      <c r="I4475">
        <v>4526</v>
      </c>
    </row>
    <row r="4476" spans="1:9" x14ac:dyDescent="0.4">
      <c r="A4476">
        <v>3010000</v>
      </c>
      <c r="B4476" t="s">
        <v>1438</v>
      </c>
      <c r="C4476" s="1">
        <v>36326</v>
      </c>
      <c r="D4476" t="s">
        <v>1439</v>
      </c>
      <c r="E4476" t="str">
        <f t="shared" si="227"/>
        <v>서울특별시</v>
      </c>
      <c r="F4476" t="str">
        <f t="shared" si="228"/>
        <v xml:space="preserve">중구 </v>
      </c>
      <c r="G4476" t="str">
        <f t="shared" si="226"/>
        <v>북창동</v>
      </c>
      <c r="H4476" t="s">
        <v>1440</v>
      </c>
    </row>
    <row r="4477" spans="1:9" x14ac:dyDescent="0.4">
      <c r="A4477">
        <v>3010000</v>
      </c>
      <c r="B4477" t="s">
        <v>1993</v>
      </c>
      <c r="C4477" s="1">
        <v>26928</v>
      </c>
      <c r="D4477" t="s">
        <v>1439</v>
      </c>
      <c r="E4477" t="str">
        <f t="shared" si="227"/>
        <v>서울특별시</v>
      </c>
      <c r="F4477" t="str">
        <f t="shared" si="228"/>
        <v xml:space="preserve">중구 </v>
      </c>
      <c r="G4477" t="str">
        <f t="shared" si="226"/>
        <v>북창동</v>
      </c>
    </row>
    <row r="4478" spans="1:9" x14ac:dyDescent="0.4">
      <c r="A4478">
        <v>3010000</v>
      </c>
      <c r="B4478" t="s">
        <v>2081</v>
      </c>
      <c r="C4478" s="1">
        <v>36500</v>
      </c>
      <c r="D4478" t="s">
        <v>2082</v>
      </c>
      <c r="E4478" t="str">
        <f t="shared" si="227"/>
        <v>서울특별시</v>
      </c>
      <c r="F4478" t="str">
        <f t="shared" si="228"/>
        <v xml:space="preserve">중구 </v>
      </c>
      <c r="G4478" t="str">
        <f t="shared" si="226"/>
        <v>북창동</v>
      </c>
    </row>
    <row r="4479" spans="1:9" x14ac:dyDescent="0.4">
      <c r="A4479">
        <v>3010000</v>
      </c>
      <c r="B4479" t="s">
        <v>2109</v>
      </c>
      <c r="C4479" s="1">
        <v>36273</v>
      </c>
      <c r="D4479" t="s">
        <v>2110</v>
      </c>
      <c r="E4479" t="str">
        <f t="shared" si="227"/>
        <v>서울특별시</v>
      </c>
      <c r="F4479" t="str">
        <f t="shared" si="228"/>
        <v xml:space="preserve">중구 </v>
      </c>
      <c r="G4479" t="str">
        <f t="shared" si="226"/>
        <v>북창동</v>
      </c>
    </row>
    <row r="4480" spans="1:9" x14ac:dyDescent="0.4">
      <c r="A4480">
        <v>3010000</v>
      </c>
      <c r="B4480" t="s">
        <v>1665</v>
      </c>
      <c r="C4480" s="1">
        <v>27119</v>
      </c>
      <c r="D4480" t="s">
        <v>1666</v>
      </c>
      <c r="E4480" t="str">
        <f t="shared" si="227"/>
        <v>서울특별시</v>
      </c>
      <c r="F4480" t="str">
        <f t="shared" si="228"/>
        <v xml:space="preserve">중구 </v>
      </c>
      <c r="G4480" t="str">
        <f t="shared" si="226"/>
        <v>북창동</v>
      </c>
    </row>
    <row r="4481" spans="1:9" x14ac:dyDescent="0.4">
      <c r="A4481">
        <v>3010000</v>
      </c>
      <c r="B4481" t="s">
        <v>2738</v>
      </c>
      <c r="C4481" s="1">
        <v>36686</v>
      </c>
      <c r="D4481" t="s">
        <v>2739</v>
      </c>
      <c r="E4481" t="str">
        <f t="shared" si="227"/>
        <v>서울특별시</v>
      </c>
      <c r="F4481" t="str">
        <f t="shared" si="228"/>
        <v xml:space="preserve">중구 </v>
      </c>
      <c r="G4481" t="str">
        <f t="shared" si="226"/>
        <v>북창동</v>
      </c>
      <c r="H4481" t="s">
        <v>2740</v>
      </c>
      <c r="I4481">
        <v>4526</v>
      </c>
    </row>
    <row r="4482" spans="1:9" x14ac:dyDescent="0.4">
      <c r="A4482">
        <v>3010000</v>
      </c>
      <c r="B4482" t="s">
        <v>2100</v>
      </c>
      <c r="C4482" s="1">
        <v>36250</v>
      </c>
      <c r="D4482" t="s">
        <v>2101</v>
      </c>
      <c r="E4482" t="str">
        <f t="shared" si="227"/>
        <v>서울특별시</v>
      </c>
      <c r="F4482" t="str">
        <f t="shared" si="228"/>
        <v xml:space="preserve">중구 </v>
      </c>
      <c r="G4482" t="str">
        <f t="shared" ref="G4482:G4531" si="229">MID(SUBSTITUTE(D4482," ",""),8,3)</f>
        <v>북창동</v>
      </c>
    </row>
    <row r="4483" spans="1:9" x14ac:dyDescent="0.4">
      <c r="A4483">
        <v>3010000</v>
      </c>
      <c r="B4483" t="s">
        <v>1547</v>
      </c>
      <c r="C4483" s="1">
        <v>27190</v>
      </c>
      <c r="D4483" t="s">
        <v>1548</v>
      </c>
      <c r="E4483" t="str">
        <f t="shared" ref="E4483:E4546" si="230">LEFT(D4483,5)</f>
        <v>서울특별시</v>
      </c>
      <c r="F4483" t="str">
        <f t="shared" si="228"/>
        <v xml:space="preserve">중구 </v>
      </c>
      <c r="G4483" t="str">
        <f t="shared" si="229"/>
        <v>북창동</v>
      </c>
    </row>
    <row r="4484" spans="1:9" x14ac:dyDescent="0.4">
      <c r="A4484">
        <v>3010000</v>
      </c>
      <c r="B4484" t="s">
        <v>1978</v>
      </c>
      <c r="C4484" s="1">
        <v>36343</v>
      </c>
      <c r="D4484" t="s">
        <v>1979</v>
      </c>
      <c r="E4484" t="str">
        <f t="shared" si="230"/>
        <v>서울특별시</v>
      </c>
      <c r="F4484" t="str">
        <f t="shared" si="228"/>
        <v xml:space="preserve">중구 </v>
      </c>
      <c r="G4484" t="str">
        <f t="shared" si="229"/>
        <v>북창동</v>
      </c>
    </row>
    <row r="4485" spans="1:9" x14ac:dyDescent="0.4">
      <c r="A4485">
        <v>3010000</v>
      </c>
      <c r="B4485" t="s">
        <v>2190</v>
      </c>
      <c r="C4485" s="1">
        <v>32819</v>
      </c>
      <c r="D4485" t="s">
        <v>1979</v>
      </c>
      <c r="E4485" t="str">
        <f t="shared" si="230"/>
        <v>서울특별시</v>
      </c>
      <c r="F4485" t="str">
        <f t="shared" si="228"/>
        <v xml:space="preserve">중구 </v>
      </c>
      <c r="G4485" t="str">
        <f t="shared" si="229"/>
        <v>북창동</v>
      </c>
      <c r="H4485" t="s">
        <v>2191</v>
      </c>
      <c r="I4485">
        <v>4526</v>
      </c>
    </row>
    <row r="4486" spans="1:9" x14ac:dyDescent="0.4">
      <c r="A4486">
        <v>3010000</v>
      </c>
      <c r="B4486" t="s">
        <v>2787</v>
      </c>
      <c r="C4486" s="1">
        <v>42635</v>
      </c>
      <c r="D4486" t="s">
        <v>2788</v>
      </c>
      <c r="E4486" t="str">
        <f t="shared" si="230"/>
        <v>서울특별시</v>
      </c>
      <c r="F4486" t="str">
        <f t="shared" si="228"/>
        <v xml:space="preserve">중구 </v>
      </c>
      <c r="G4486" t="str">
        <f t="shared" si="229"/>
        <v>북창동</v>
      </c>
      <c r="H4486" t="s">
        <v>2789</v>
      </c>
      <c r="I4486">
        <v>4526</v>
      </c>
    </row>
    <row r="4487" spans="1:9" x14ac:dyDescent="0.4">
      <c r="A4487">
        <v>3010000</v>
      </c>
      <c r="B4487" t="s">
        <v>2610</v>
      </c>
      <c r="C4487" s="1">
        <v>36371</v>
      </c>
      <c r="D4487" t="s">
        <v>2611</v>
      </c>
      <c r="E4487" t="str">
        <f t="shared" si="230"/>
        <v>서울특별시</v>
      </c>
      <c r="F4487" t="str">
        <f t="shared" si="228"/>
        <v xml:space="preserve">중구 </v>
      </c>
      <c r="G4487" t="str">
        <f t="shared" si="229"/>
        <v>북창동</v>
      </c>
    </row>
    <row r="4488" spans="1:9" x14ac:dyDescent="0.4">
      <c r="A4488">
        <v>3010000</v>
      </c>
      <c r="B4488" t="s">
        <v>2835</v>
      </c>
      <c r="C4488" s="1">
        <v>36514</v>
      </c>
      <c r="D4488" t="s">
        <v>2836</v>
      </c>
      <c r="E4488" t="str">
        <f t="shared" si="230"/>
        <v>서울특별시</v>
      </c>
      <c r="F4488" t="str">
        <f t="shared" si="228"/>
        <v xml:space="preserve">중구 </v>
      </c>
      <c r="G4488" t="str">
        <f t="shared" si="229"/>
        <v>북창동</v>
      </c>
      <c r="H4488" t="s">
        <v>2837</v>
      </c>
      <c r="I4488">
        <v>4526</v>
      </c>
    </row>
    <row r="4489" spans="1:9" x14ac:dyDescent="0.4">
      <c r="A4489">
        <v>3010000</v>
      </c>
      <c r="B4489" t="s">
        <v>2750</v>
      </c>
      <c r="C4489" s="1">
        <v>32837</v>
      </c>
      <c r="D4489" t="s">
        <v>2751</v>
      </c>
      <c r="E4489" t="str">
        <f t="shared" si="230"/>
        <v>서울특별시</v>
      </c>
      <c r="F4489" t="str">
        <f t="shared" si="228"/>
        <v xml:space="preserve">중구 </v>
      </c>
      <c r="G4489" t="str">
        <f t="shared" si="229"/>
        <v>북창동</v>
      </c>
      <c r="H4489" t="s">
        <v>2752</v>
      </c>
    </row>
    <row r="4490" spans="1:9" x14ac:dyDescent="0.4">
      <c r="A4490">
        <v>3010000</v>
      </c>
      <c r="B4490" t="s">
        <v>2127</v>
      </c>
      <c r="C4490" s="1">
        <v>36850</v>
      </c>
      <c r="D4490" t="s">
        <v>2128</v>
      </c>
      <c r="E4490" t="str">
        <f t="shared" si="230"/>
        <v>서울특별시</v>
      </c>
      <c r="F4490" t="str">
        <f t="shared" si="228"/>
        <v xml:space="preserve">중구 </v>
      </c>
      <c r="G4490" t="str">
        <f t="shared" si="229"/>
        <v>북창동</v>
      </c>
      <c r="H4490" t="s">
        <v>2129</v>
      </c>
      <c r="I4490">
        <v>4526</v>
      </c>
    </row>
    <row r="4491" spans="1:9" x14ac:dyDescent="0.4">
      <c r="A4491">
        <v>3010000</v>
      </c>
      <c r="B4491" t="s">
        <v>2084</v>
      </c>
      <c r="C4491" s="1">
        <v>36500</v>
      </c>
      <c r="D4491" t="s">
        <v>2085</v>
      </c>
      <c r="E4491" t="str">
        <f t="shared" si="230"/>
        <v>서울특별시</v>
      </c>
      <c r="F4491" t="str">
        <f t="shared" si="228"/>
        <v xml:space="preserve">중구 </v>
      </c>
      <c r="G4491" t="str">
        <f t="shared" si="229"/>
        <v>북창동</v>
      </c>
      <c r="H4491" t="s">
        <v>2086</v>
      </c>
      <c r="I4491">
        <v>4526</v>
      </c>
    </row>
    <row r="4492" spans="1:9" x14ac:dyDescent="0.4">
      <c r="A4492">
        <v>3010000</v>
      </c>
      <c r="B4492" t="s">
        <v>2895</v>
      </c>
      <c r="C4492" s="1">
        <v>36943</v>
      </c>
      <c r="D4492" t="s">
        <v>2896</v>
      </c>
      <c r="E4492" t="str">
        <f t="shared" si="230"/>
        <v>서울특별시</v>
      </c>
      <c r="F4492" t="str">
        <f t="shared" si="228"/>
        <v xml:space="preserve">중구 </v>
      </c>
      <c r="G4492" t="str">
        <f t="shared" si="229"/>
        <v>북창동</v>
      </c>
      <c r="H4492" t="s">
        <v>2897</v>
      </c>
      <c r="I4492">
        <v>4526</v>
      </c>
    </row>
    <row r="4493" spans="1:9" x14ac:dyDescent="0.4">
      <c r="A4493">
        <v>3010000</v>
      </c>
      <c r="B4493" t="s">
        <v>1910</v>
      </c>
      <c r="C4493" s="1">
        <v>29882</v>
      </c>
      <c r="D4493" t="s">
        <v>1911</v>
      </c>
      <c r="E4493" t="str">
        <f t="shared" si="230"/>
        <v>서울특별시</v>
      </c>
      <c r="F4493" t="str">
        <f t="shared" si="228"/>
        <v xml:space="preserve">중구 </v>
      </c>
      <c r="G4493" t="str">
        <f t="shared" si="229"/>
        <v>북창동</v>
      </c>
      <c r="H4493" t="s">
        <v>1912</v>
      </c>
      <c r="I4493">
        <v>4526</v>
      </c>
    </row>
    <row r="4494" spans="1:9" x14ac:dyDescent="0.4">
      <c r="A4494">
        <v>3010000</v>
      </c>
      <c r="B4494" t="s">
        <v>1539</v>
      </c>
      <c r="C4494" s="1">
        <v>31306</v>
      </c>
      <c r="D4494" t="s">
        <v>1540</v>
      </c>
      <c r="E4494" t="str">
        <f t="shared" si="230"/>
        <v>서울특별시</v>
      </c>
      <c r="F4494" t="str">
        <f t="shared" si="228"/>
        <v xml:space="preserve">중구 </v>
      </c>
      <c r="G4494" t="str">
        <f t="shared" si="229"/>
        <v>북창동</v>
      </c>
    </row>
    <row r="4495" spans="1:9" x14ac:dyDescent="0.4">
      <c r="A4495">
        <v>3010000</v>
      </c>
      <c r="B4495" t="s">
        <v>2260</v>
      </c>
      <c r="C4495" s="1">
        <v>36819</v>
      </c>
      <c r="D4495" t="s">
        <v>2261</v>
      </c>
      <c r="E4495" t="str">
        <f t="shared" si="230"/>
        <v>서울특별시</v>
      </c>
      <c r="F4495" t="str">
        <f t="shared" si="228"/>
        <v xml:space="preserve">중구 </v>
      </c>
      <c r="G4495" t="str">
        <f t="shared" si="229"/>
        <v>북창동</v>
      </c>
      <c r="H4495" t="s">
        <v>2262</v>
      </c>
      <c r="I4495">
        <v>4526</v>
      </c>
    </row>
    <row r="4496" spans="1:9" x14ac:dyDescent="0.4">
      <c r="A4496">
        <v>3010000</v>
      </c>
      <c r="B4496" t="s">
        <v>1370</v>
      </c>
      <c r="C4496" s="1">
        <v>31279</v>
      </c>
      <c r="D4496" t="s">
        <v>1371</v>
      </c>
      <c r="E4496" t="str">
        <f t="shared" si="230"/>
        <v>서울특별시</v>
      </c>
      <c r="F4496" t="str">
        <f t="shared" si="228"/>
        <v xml:space="preserve">중구 </v>
      </c>
      <c r="G4496" t="str">
        <f t="shared" si="229"/>
        <v>북창동</v>
      </c>
    </row>
    <row r="4497" spans="1:9" x14ac:dyDescent="0.4">
      <c r="A4497">
        <v>3010000</v>
      </c>
      <c r="B4497" t="s">
        <v>1433</v>
      </c>
      <c r="C4497" s="1">
        <v>36371</v>
      </c>
      <c r="D4497" t="s">
        <v>1434</v>
      </c>
      <c r="E4497" t="str">
        <f t="shared" si="230"/>
        <v>서울특별시</v>
      </c>
      <c r="F4497" t="str">
        <f t="shared" si="228"/>
        <v xml:space="preserve">중구 </v>
      </c>
      <c r="G4497" t="str">
        <f t="shared" si="229"/>
        <v>북창동</v>
      </c>
    </row>
    <row r="4498" spans="1:9" x14ac:dyDescent="0.4">
      <c r="A4498">
        <v>3010000</v>
      </c>
      <c r="B4498" t="s">
        <v>1508</v>
      </c>
      <c r="C4498" s="1">
        <v>31273</v>
      </c>
      <c r="D4498" t="s">
        <v>1434</v>
      </c>
      <c r="E4498" t="str">
        <f t="shared" si="230"/>
        <v>서울특별시</v>
      </c>
      <c r="F4498" t="str">
        <f t="shared" si="228"/>
        <v xml:space="preserve">중구 </v>
      </c>
      <c r="G4498" t="str">
        <f t="shared" si="229"/>
        <v>북창동</v>
      </c>
    </row>
    <row r="4499" spans="1:9" x14ac:dyDescent="0.4">
      <c r="A4499">
        <v>3010000</v>
      </c>
      <c r="B4499" t="s">
        <v>2124</v>
      </c>
      <c r="C4499" s="1">
        <v>36803</v>
      </c>
      <c r="D4499" t="s">
        <v>1434</v>
      </c>
      <c r="E4499" t="str">
        <f t="shared" si="230"/>
        <v>서울특별시</v>
      </c>
      <c r="F4499" t="str">
        <f t="shared" si="228"/>
        <v xml:space="preserve">중구 </v>
      </c>
      <c r="G4499" t="str">
        <f t="shared" si="229"/>
        <v>북창동</v>
      </c>
    </row>
    <row r="4500" spans="1:9" x14ac:dyDescent="0.4">
      <c r="A4500">
        <v>3010000</v>
      </c>
      <c r="B4500" t="s">
        <v>1840</v>
      </c>
      <c r="C4500" s="1">
        <v>37029</v>
      </c>
      <c r="D4500" t="s">
        <v>1841</v>
      </c>
      <c r="E4500" t="str">
        <f t="shared" si="230"/>
        <v>서울특별시</v>
      </c>
      <c r="F4500" t="str">
        <f t="shared" si="228"/>
        <v xml:space="preserve">중구 </v>
      </c>
      <c r="G4500" t="str">
        <f t="shared" si="229"/>
        <v>북창동</v>
      </c>
    </row>
    <row r="4501" spans="1:9" x14ac:dyDescent="0.4">
      <c r="A4501">
        <v>3010000</v>
      </c>
      <c r="B4501" t="s">
        <v>2360</v>
      </c>
      <c r="C4501" s="1">
        <v>37608</v>
      </c>
      <c r="D4501" t="s">
        <v>2361</v>
      </c>
      <c r="E4501" t="str">
        <f t="shared" si="230"/>
        <v>서울특별시</v>
      </c>
      <c r="F4501" t="str">
        <f t="shared" si="228"/>
        <v xml:space="preserve">중구 </v>
      </c>
      <c r="G4501" t="str">
        <f t="shared" si="229"/>
        <v>북창동</v>
      </c>
      <c r="H4501" t="s">
        <v>2362</v>
      </c>
      <c r="I4501">
        <v>4526</v>
      </c>
    </row>
    <row r="4502" spans="1:9" x14ac:dyDescent="0.4">
      <c r="A4502">
        <v>3010000</v>
      </c>
      <c r="B4502" t="s">
        <v>1669</v>
      </c>
      <c r="C4502" s="1">
        <v>27119</v>
      </c>
      <c r="D4502" t="s">
        <v>1670</v>
      </c>
      <c r="E4502" t="str">
        <f t="shared" si="230"/>
        <v>서울특별시</v>
      </c>
      <c r="F4502" t="str">
        <f t="shared" si="228"/>
        <v xml:space="preserve">중구 </v>
      </c>
      <c r="G4502" t="str">
        <f t="shared" si="229"/>
        <v>북창동</v>
      </c>
    </row>
    <row r="4503" spans="1:9" x14ac:dyDescent="0.4">
      <c r="A4503">
        <v>3010000</v>
      </c>
      <c r="B4503" t="s">
        <v>2184</v>
      </c>
      <c r="C4503" s="1">
        <v>32724</v>
      </c>
      <c r="D4503" t="s">
        <v>2185</v>
      </c>
      <c r="E4503" t="str">
        <f t="shared" si="230"/>
        <v>서울특별시</v>
      </c>
      <c r="F4503" t="str">
        <f t="shared" si="228"/>
        <v xml:space="preserve">중구 </v>
      </c>
      <c r="G4503" t="str">
        <f t="shared" si="229"/>
        <v>북창동</v>
      </c>
    </row>
    <row r="4504" spans="1:9" x14ac:dyDescent="0.4">
      <c r="A4504">
        <v>3010000</v>
      </c>
      <c r="B4504" t="s">
        <v>1867</v>
      </c>
      <c r="C4504" s="1">
        <v>39267</v>
      </c>
      <c r="D4504" t="s">
        <v>1868</v>
      </c>
      <c r="E4504" t="str">
        <f t="shared" si="230"/>
        <v>서울특별시</v>
      </c>
      <c r="F4504" t="str">
        <f t="shared" si="228"/>
        <v xml:space="preserve">중구 </v>
      </c>
      <c r="G4504" t="str">
        <f t="shared" si="229"/>
        <v>북창동</v>
      </c>
      <c r="H4504" t="s">
        <v>1869</v>
      </c>
      <c r="I4504">
        <v>4526</v>
      </c>
    </row>
    <row r="4505" spans="1:9" x14ac:dyDescent="0.4">
      <c r="A4505">
        <v>3010000</v>
      </c>
      <c r="B4505" t="s">
        <v>2407</v>
      </c>
      <c r="C4505" s="1">
        <v>41078</v>
      </c>
      <c r="D4505" t="s">
        <v>2408</v>
      </c>
      <c r="E4505" t="str">
        <f t="shared" si="230"/>
        <v>서울특별시</v>
      </c>
      <c r="F4505" t="str">
        <f t="shared" si="228"/>
        <v xml:space="preserve">중구 </v>
      </c>
      <c r="G4505" t="str">
        <f t="shared" si="229"/>
        <v>북창동</v>
      </c>
      <c r="H4505" t="s">
        <v>2409</v>
      </c>
      <c r="I4505">
        <v>4526</v>
      </c>
    </row>
    <row r="4506" spans="1:9" x14ac:dyDescent="0.4">
      <c r="A4506">
        <v>3010000</v>
      </c>
      <c r="B4506" t="s">
        <v>1396</v>
      </c>
      <c r="C4506" s="1">
        <v>40640</v>
      </c>
      <c r="D4506" t="s">
        <v>1397</v>
      </c>
      <c r="E4506" t="str">
        <f t="shared" si="230"/>
        <v>서울특별시</v>
      </c>
      <c r="F4506" t="str">
        <f t="shared" si="228"/>
        <v xml:space="preserve">중구 </v>
      </c>
      <c r="G4506" t="str">
        <f t="shared" si="229"/>
        <v>북창동</v>
      </c>
      <c r="H4506" t="s">
        <v>1398</v>
      </c>
      <c r="I4506">
        <v>4526</v>
      </c>
    </row>
    <row r="4507" spans="1:9" x14ac:dyDescent="0.4">
      <c r="A4507">
        <v>3010000</v>
      </c>
      <c r="B4507" t="s">
        <v>1823</v>
      </c>
      <c r="C4507" s="1">
        <v>26683</v>
      </c>
      <c r="D4507" t="s">
        <v>1824</v>
      </c>
      <c r="E4507" t="str">
        <f t="shared" si="230"/>
        <v>서울특별시</v>
      </c>
      <c r="F4507" t="str">
        <f t="shared" si="228"/>
        <v xml:space="preserve">중구 </v>
      </c>
      <c r="G4507" t="str">
        <f t="shared" si="229"/>
        <v>북창동</v>
      </c>
    </row>
    <row r="4508" spans="1:9" x14ac:dyDescent="0.4">
      <c r="A4508">
        <v>3010000</v>
      </c>
      <c r="B4508" t="s">
        <v>1845</v>
      </c>
      <c r="C4508" s="1">
        <v>37036</v>
      </c>
      <c r="D4508" t="s">
        <v>1846</v>
      </c>
      <c r="E4508" t="str">
        <f t="shared" si="230"/>
        <v>서울특별시</v>
      </c>
      <c r="F4508" t="str">
        <f t="shared" si="228"/>
        <v xml:space="preserve">중구 </v>
      </c>
      <c r="G4508" t="str">
        <f t="shared" si="229"/>
        <v>북창동</v>
      </c>
    </row>
    <row r="4509" spans="1:9" x14ac:dyDescent="0.4">
      <c r="A4509">
        <v>3010000</v>
      </c>
      <c r="B4509" t="s">
        <v>1380</v>
      </c>
      <c r="C4509" s="1">
        <v>30012</v>
      </c>
      <c r="D4509" t="s">
        <v>1381</v>
      </c>
      <c r="E4509" t="str">
        <f t="shared" si="230"/>
        <v>서울특별시</v>
      </c>
      <c r="F4509" t="str">
        <f t="shared" si="228"/>
        <v xml:space="preserve">중구 </v>
      </c>
      <c r="G4509" t="str">
        <f t="shared" si="229"/>
        <v>북창동</v>
      </c>
    </row>
    <row r="4510" spans="1:9" x14ac:dyDescent="0.4">
      <c r="A4510">
        <v>3010000</v>
      </c>
      <c r="B4510" t="s">
        <v>2381</v>
      </c>
      <c r="C4510" s="1">
        <v>38278</v>
      </c>
      <c r="D4510" t="s">
        <v>2382</v>
      </c>
      <c r="E4510" t="str">
        <f t="shared" si="230"/>
        <v>서울특별시</v>
      </c>
      <c r="F4510" t="str">
        <f t="shared" si="228"/>
        <v xml:space="preserve">중구 </v>
      </c>
      <c r="G4510" t="str">
        <f t="shared" si="229"/>
        <v>북창동</v>
      </c>
      <c r="H4510" t="s">
        <v>2383</v>
      </c>
      <c r="I4510">
        <v>4526</v>
      </c>
    </row>
    <row r="4511" spans="1:9" x14ac:dyDescent="0.4">
      <c r="A4511">
        <v>3010000</v>
      </c>
      <c r="B4511" t="s">
        <v>1724</v>
      </c>
      <c r="C4511" s="1">
        <v>32279</v>
      </c>
      <c r="D4511" t="s">
        <v>1725</v>
      </c>
      <c r="E4511" t="str">
        <f t="shared" si="230"/>
        <v>서울특별시</v>
      </c>
      <c r="F4511" t="str">
        <f t="shared" si="228"/>
        <v xml:space="preserve">중구 </v>
      </c>
      <c r="G4511" t="str">
        <f t="shared" si="229"/>
        <v>북창동</v>
      </c>
    </row>
    <row r="4512" spans="1:9" x14ac:dyDescent="0.4">
      <c r="A4512">
        <v>3010000</v>
      </c>
      <c r="B4512" t="s">
        <v>2117</v>
      </c>
      <c r="C4512" s="1">
        <v>36572</v>
      </c>
      <c r="D4512" t="s">
        <v>2118</v>
      </c>
      <c r="E4512" t="str">
        <f t="shared" si="230"/>
        <v>서울특별시</v>
      </c>
      <c r="F4512" t="str">
        <f t="shared" si="228"/>
        <v xml:space="preserve">중구 </v>
      </c>
      <c r="G4512" t="str">
        <f t="shared" si="229"/>
        <v>북창동</v>
      </c>
    </row>
    <row r="4513" spans="1:9" x14ac:dyDescent="0.4">
      <c r="A4513">
        <v>3010000</v>
      </c>
      <c r="B4513" t="s">
        <v>1891</v>
      </c>
      <c r="C4513" s="1">
        <v>37391</v>
      </c>
      <c r="D4513" t="s">
        <v>1892</v>
      </c>
      <c r="E4513" t="str">
        <f t="shared" si="230"/>
        <v>서울특별시</v>
      </c>
      <c r="F4513" t="str">
        <f t="shared" si="228"/>
        <v xml:space="preserve">중구 </v>
      </c>
      <c r="G4513" t="str">
        <f t="shared" si="229"/>
        <v>북창동</v>
      </c>
      <c r="H4513" t="s">
        <v>1893</v>
      </c>
      <c r="I4513">
        <v>4526</v>
      </c>
    </row>
    <row r="4514" spans="1:9" x14ac:dyDescent="0.4">
      <c r="A4514">
        <v>3010000</v>
      </c>
      <c r="B4514" t="s">
        <v>1427</v>
      </c>
      <c r="C4514" s="1">
        <v>36880</v>
      </c>
      <c r="D4514" t="s">
        <v>1428</v>
      </c>
      <c r="E4514" t="str">
        <f t="shared" si="230"/>
        <v>서울특별시</v>
      </c>
      <c r="F4514" t="str">
        <f t="shared" si="228"/>
        <v xml:space="preserve">중구 </v>
      </c>
      <c r="G4514" t="str">
        <f t="shared" si="229"/>
        <v>북창동</v>
      </c>
    </row>
    <row r="4515" spans="1:9" x14ac:dyDescent="0.4">
      <c r="A4515">
        <v>3010000</v>
      </c>
      <c r="B4515" t="s">
        <v>2113</v>
      </c>
      <c r="C4515" s="1">
        <v>36801</v>
      </c>
      <c r="D4515" t="s">
        <v>2114</v>
      </c>
      <c r="E4515" t="str">
        <f t="shared" si="230"/>
        <v>서울특별시</v>
      </c>
      <c r="F4515" t="str">
        <f t="shared" si="228"/>
        <v xml:space="preserve">중구 </v>
      </c>
      <c r="G4515" t="str">
        <f t="shared" si="229"/>
        <v>북창동</v>
      </c>
    </row>
    <row r="4516" spans="1:9" x14ac:dyDescent="0.4">
      <c r="A4516">
        <v>3010000</v>
      </c>
      <c r="B4516" t="s">
        <v>2248</v>
      </c>
      <c r="C4516" s="1">
        <v>36934</v>
      </c>
      <c r="D4516" t="s">
        <v>2249</v>
      </c>
      <c r="E4516" t="str">
        <f t="shared" si="230"/>
        <v>서울특별시</v>
      </c>
      <c r="F4516" t="str">
        <f t="shared" si="228"/>
        <v xml:space="preserve">중구 </v>
      </c>
      <c r="G4516" t="str">
        <f t="shared" si="229"/>
        <v>북창동</v>
      </c>
    </row>
    <row r="4517" spans="1:9" x14ac:dyDescent="0.4">
      <c r="A4517">
        <v>3010000</v>
      </c>
      <c r="B4517" t="s">
        <v>2861</v>
      </c>
      <c r="C4517" s="1">
        <v>36257</v>
      </c>
      <c r="D4517" t="s">
        <v>2862</v>
      </c>
      <c r="E4517" t="str">
        <f t="shared" si="230"/>
        <v>서울특별시</v>
      </c>
      <c r="F4517" t="str">
        <f t="shared" si="228"/>
        <v xml:space="preserve">중구 </v>
      </c>
      <c r="G4517" t="str">
        <f t="shared" si="229"/>
        <v>북창동</v>
      </c>
      <c r="H4517" t="s">
        <v>2863</v>
      </c>
      <c r="I4517">
        <v>4526</v>
      </c>
    </row>
    <row r="4518" spans="1:9" x14ac:dyDescent="0.4">
      <c r="A4518">
        <v>3010000</v>
      </c>
      <c r="B4518" t="s">
        <v>2543</v>
      </c>
      <c r="C4518" s="1">
        <v>28531</v>
      </c>
      <c r="D4518" t="s">
        <v>2544</v>
      </c>
      <c r="E4518" t="str">
        <f t="shared" si="230"/>
        <v>서울특별시</v>
      </c>
      <c r="F4518" t="str">
        <f t="shared" si="228"/>
        <v xml:space="preserve">중구 </v>
      </c>
      <c r="G4518" t="str">
        <f t="shared" si="229"/>
        <v>북창동</v>
      </c>
      <c r="H4518" t="s">
        <v>2545</v>
      </c>
      <c r="I4518">
        <v>4526</v>
      </c>
    </row>
    <row r="4519" spans="1:9" x14ac:dyDescent="0.4">
      <c r="A4519">
        <v>3010000</v>
      </c>
      <c r="B4519" t="s">
        <v>2674</v>
      </c>
      <c r="C4519" s="1">
        <v>37034</v>
      </c>
      <c r="D4519" t="s">
        <v>2675</v>
      </c>
      <c r="E4519" t="str">
        <f t="shared" si="230"/>
        <v>서울특별시</v>
      </c>
      <c r="F4519" t="str">
        <f t="shared" si="228"/>
        <v xml:space="preserve">중구 </v>
      </c>
      <c r="G4519" t="str">
        <f t="shared" si="229"/>
        <v>북창동</v>
      </c>
      <c r="H4519" t="s">
        <v>2545</v>
      </c>
      <c r="I4519">
        <v>4526</v>
      </c>
    </row>
    <row r="4520" spans="1:9" x14ac:dyDescent="0.4">
      <c r="A4520">
        <v>3010000</v>
      </c>
      <c r="B4520" t="s">
        <v>1452</v>
      </c>
      <c r="C4520" s="1">
        <v>31124</v>
      </c>
      <c r="D4520" t="s">
        <v>1453</v>
      </c>
      <c r="E4520" t="str">
        <f t="shared" si="230"/>
        <v>서울특별시</v>
      </c>
      <c r="F4520" t="str">
        <f t="shared" si="228"/>
        <v xml:space="preserve">중구 </v>
      </c>
      <c r="G4520" t="str">
        <f t="shared" si="229"/>
        <v>북창동</v>
      </c>
    </row>
    <row r="4521" spans="1:9" x14ac:dyDescent="0.4">
      <c r="A4521">
        <v>3010000</v>
      </c>
      <c r="B4521" t="s">
        <v>2048</v>
      </c>
      <c r="C4521" s="1">
        <v>37295</v>
      </c>
      <c r="D4521" t="s">
        <v>2049</v>
      </c>
      <c r="E4521" t="str">
        <f t="shared" si="230"/>
        <v>서울특별시</v>
      </c>
      <c r="F4521" t="str">
        <f t="shared" si="228"/>
        <v xml:space="preserve">중구 </v>
      </c>
      <c r="G4521" t="str">
        <f t="shared" si="229"/>
        <v>북창동</v>
      </c>
    </row>
    <row r="4522" spans="1:9" x14ac:dyDescent="0.4">
      <c r="A4522">
        <v>3010000</v>
      </c>
      <c r="B4522" t="s">
        <v>1751</v>
      </c>
      <c r="C4522" s="1">
        <v>36384</v>
      </c>
      <c r="D4522" t="s">
        <v>1752</v>
      </c>
      <c r="E4522" t="str">
        <f t="shared" si="230"/>
        <v>서울특별시</v>
      </c>
      <c r="F4522" t="str">
        <f t="shared" si="228"/>
        <v xml:space="preserve">중구 </v>
      </c>
      <c r="G4522" t="str">
        <f t="shared" si="229"/>
        <v>북창동</v>
      </c>
    </row>
    <row r="4523" spans="1:9" x14ac:dyDescent="0.4">
      <c r="A4523">
        <v>3010000</v>
      </c>
      <c r="B4523" t="s">
        <v>2633</v>
      </c>
      <c r="C4523" s="1">
        <v>39650</v>
      </c>
      <c r="D4523" t="s">
        <v>2634</v>
      </c>
      <c r="E4523" t="str">
        <f t="shared" si="230"/>
        <v>서울특별시</v>
      </c>
      <c r="F4523" t="str">
        <f t="shared" si="228"/>
        <v xml:space="preserve">중구 </v>
      </c>
      <c r="G4523" t="str">
        <f t="shared" si="229"/>
        <v>북창동</v>
      </c>
      <c r="H4523" t="s">
        <v>2635</v>
      </c>
      <c r="I4523">
        <v>4526</v>
      </c>
    </row>
    <row r="4524" spans="1:9" x14ac:dyDescent="0.4">
      <c r="A4524">
        <v>3010000</v>
      </c>
      <c r="B4524" t="s">
        <v>2121</v>
      </c>
      <c r="C4524" s="1">
        <v>36843</v>
      </c>
      <c r="D4524" t="s">
        <v>2122</v>
      </c>
      <c r="E4524" t="str">
        <f t="shared" si="230"/>
        <v>서울특별시</v>
      </c>
      <c r="F4524" t="str">
        <f t="shared" si="228"/>
        <v xml:space="preserve">중구 </v>
      </c>
      <c r="G4524" t="str">
        <f t="shared" si="229"/>
        <v>북창동</v>
      </c>
    </row>
    <row r="4525" spans="1:9" x14ac:dyDescent="0.4">
      <c r="A4525">
        <v>3010000</v>
      </c>
      <c r="B4525" t="s">
        <v>1425</v>
      </c>
      <c r="C4525" s="1">
        <v>31566</v>
      </c>
      <c r="D4525" t="s">
        <v>1426</v>
      </c>
      <c r="E4525" t="str">
        <f t="shared" si="230"/>
        <v>서울특별시</v>
      </c>
      <c r="F4525" t="str">
        <f t="shared" si="228"/>
        <v xml:space="preserve">중구 </v>
      </c>
      <c r="G4525" t="str">
        <f t="shared" si="229"/>
        <v>산림동</v>
      </c>
    </row>
    <row r="4526" spans="1:9" x14ac:dyDescent="0.4">
      <c r="A4526">
        <v>3010000</v>
      </c>
      <c r="B4526" t="s">
        <v>1513</v>
      </c>
      <c r="C4526" s="1">
        <v>31566</v>
      </c>
      <c r="D4526" t="s">
        <v>1426</v>
      </c>
      <c r="E4526" t="str">
        <f t="shared" si="230"/>
        <v>서울특별시</v>
      </c>
      <c r="F4526" t="str">
        <f t="shared" si="228"/>
        <v xml:space="preserve">중구 </v>
      </c>
      <c r="G4526" t="str">
        <f t="shared" si="229"/>
        <v>산림동</v>
      </c>
    </row>
    <row r="4527" spans="1:9" x14ac:dyDescent="0.4">
      <c r="A4527">
        <v>3010000</v>
      </c>
      <c r="B4527" t="s">
        <v>1959</v>
      </c>
      <c r="C4527" s="1">
        <v>31852</v>
      </c>
      <c r="D4527" t="s">
        <v>1426</v>
      </c>
      <c r="E4527" t="str">
        <f t="shared" si="230"/>
        <v>서울특별시</v>
      </c>
      <c r="F4527" t="str">
        <f t="shared" si="228"/>
        <v xml:space="preserve">중구 </v>
      </c>
      <c r="G4527" t="str">
        <f t="shared" si="229"/>
        <v>산림동</v>
      </c>
    </row>
    <row r="4528" spans="1:9" x14ac:dyDescent="0.4">
      <c r="A4528">
        <v>3010000</v>
      </c>
      <c r="B4528" t="s">
        <v>2201</v>
      </c>
      <c r="C4528" s="1">
        <v>34110</v>
      </c>
      <c r="D4528" t="s">
        <v>1426</v>
      </c>
      <c r="E4528" t="str">
        <f t="shared" si="230"/>
        <v>서울특별시</v>
      </c>
      <c r="F4528" t="str">
        <f t="shared" ref="F4528:F4591" si="231">MID(D4528,7,3)</f>
        <v xml:space="preserve">중구 </v>
      </c>
      <c r="G4528" t="str">
        <f t="shared" si="229"/>
        <v>산림동</v>
      </c>
    </row>
    <row r="4529" spans="1:9" x14ac:dyDescent="0.4">
      <c r="A4529">
        <v>3010000</v>
      </c>
      <c r="B4529" t="s">
        <v>2215</v>
      </c>
      <c r="C4529" s="1">
        <v>30429</v>
      </c>
      <c r="D4529" t="s">
        <v>1426</v>
      </c>
      <c r="E4529" t="str">
        <f t="shared" si="230"/>
        <v>서울특별시</v>
      </c>
      <c r="F4529" t="str">
        <f t="shared" si="231"/>
        <v xml:space="preserve">중구 </v>
      </c>
      <c r="G4529" t="str">
        <f t="shared" si="229"/>
        <v>산림동</v>
      </c>
    </row>
    <row r="4530" spans="1:9" x14ac:dyDescent="0.4">
      <c r="A4530">
        <v>3010000</v>
      </c>
      <c r="B4530" t="s">
        <v>1620</v>
      </c>
      <c r="C4530" s="1">
        <v>37581</v>
      </c>
      <c r="D4530" t="s">
        <v>1621</v>
      </c>
      <c r="E4530" t="str">
        <f t="shared" si="230"/>
        <v>서울특별시</v>
      </c>
      <c r="F4530" t="str">
        <f t="shared" si="231"/>
        <v xml:space="preserve">중구 </v>
      </c>
      <c r="G4530" t="str">
        <f t="shared" si="229"/>
        <v>산림동</v>
      </c>
    </row>
    <row r="4531" spans="1:9" x14ac:dyDescent="0.4">
      <c r="A4531">
        <v>3010000</v>
      </c>
      <c r="B4531" t="s">
        <v>2073</v>
      </c>
      <c r="C4531" s="1">
        <v>36481</v>
      </c>
      <c r="D4531" t="s">
        <v>2074</v>
      </c>
      <c r="E4531" t="str">
        <f t="shared" si="230"/>
        <v>서울특별시</v>
      </c>
      <c r="F4531" t="str">
        <f t="shared" si="231"/>
        <v xml:space="preserve">중구 </v>
      </c>
      <c r="G4531" t="str">
        <f t="shared" si="229"/>
        <v>삼각동</v>
      </c>
    </row>
    <row r="4532" spans="1:9" x14ac:dyDescent="0.4">
      <c r="A4532">
        <v>3010000</v>
      </c>
      <c r="B4532" t="s">
        <v>2013</v>
      </c>
      <c r="C4532" s="1">
        <v>28062</v>
      </c>
      <c r="D4532" t="s">
        <v>2014</v>
      </c>
      <c r="E4532" t="str">
        <f t="shared" si="230"/>
        <v>서울특별시</v>
      </c>
      <c r="F4532" t="str">
        <f t="shared" si="231"/>
        <v xml:space="preserve">중구 </v>
      </c>
      <c r="G4532" t="str">
        <f>MID(SUBSTITUTE(D4532," ",""),8,4)</f>
        <v>서소문동</v>
      </c>
    </row>
    <row r="4533" spans="1:9" x14ac:dyDescent="0.4">
      <c r="A4533">
        <v>3010000</v>
      </c>
      <c r="B4533" t="s">
        <v>2850</v>
      </c>
      <c r="C4533" s="1">
        <v>39030</v>
      </c>
      <c r="D4533" t="s">
        <v>2851</v>
      </c>
      <c r="E4533" t="str">
        <f t="shared" si="230"/>
        <v>서울특별시</v>
      </c>
      <c r="F4533" t="str">
        <f t="shared" si="231"/>
        <v xml:space="preserve">중구 </v>
      </c>
      <c r="G4533" t="str">
        <f t="shared" ref="G4533:G4538" si="232">MID(SUBSTITUTE(D4533," ",""),8,4)</f>
        <v>서소문동</v>
      </c>
      <c r="H4533" t="s">
        <v>2852</v>
      </c>
      <c r="I4533">
        <v>4514</v>
      </c>
    </row>
    <row r="4534" spans="1:9" x14ac:dyDescent="0.4">
      <c r="A4534">
        <v>3010000</v>
      </c>
      <c r="B4534" t="s">
        <v>2565</v>
      </c>
      <c r="C4534" s="1">
        <v>37455</v>
      </c>
      <c r="D4534" t="s">
        <v>2566</v>
      </c>
      <c r="E4534" t="str">
        <f t="shared" si="230"/>
        <v>서울특별시</v>
      </c>
      <c r="F4534" t="str">
        <f t="shared" si="231"/>
        <v xml:space="preserve">중구 </v>
      </c>
      <c r="G4534" t="str">
        <f t="shared" si="232"/>
        <v>서소문동</v>
      </c>
      <c r="H4534" t="s">
        <v>2567</v>
      </c>
      <c r="I4534">
        <v>4514</v>
      </c>
    </row>
    <row r="4535" spans="1:9" x14ac:dyDescent="0.4">
      <c r="A4535">
        <v>3010000</v>
      </c>
      <c r="B4535" t="s">
        <v>2732</v>
      </c>
      <c r="C4535" s="1">
        <v>36615</v>
      </c>
      <c r="D4535" t="s">
        <v>2733</v>
      </c>
      <c r="E4535" t="str">
        <f t="shared" si="230"/>
        <v>서울특별시</v>
      </c>
      <c r="F4535" t="str">
        <f t="shared" si="231"/>
        <v xml:space="preserve">중구 </v>
      </c>
      <c r="G4535" t="str">
        <f t="shared" si="232"/>
        <v>서소문동</v>
      </c>
      <c r="H4535" t="s">
        <v>2734</v>
      </c>
      <c r="I4535">
        <v>4514</v>
      </c>
    </row>
    <row r="4536" spans="1:9" x14ac:dyDescent="0.4">
      <c r="A4536">
        <v>3010000</v>
      </c>
      <c r="B4536" t="s">
        <v>2384</v>
      </c>
      <c r="C4536" s="1">
        <v>38279</v>
      </c>
      <c r="D4536" t="s">
        <v>2385</v>
      </c>
      <c r="E4536" t="str">
        <f t="shared" si="230"/>
        <v>서울특별시</v>
      </c>
      <c r="F4536" t="str">
        <f t="shared" si="231"/>
        <v xml:space="preserve">중구 </v>
      </c>
      <c r="G4536" t="str">
        <f t="shared" si="232"/>
        <v>서소문동</v>
      </c>
      <c r="H4536" t="s">
        <v>2386</v>
      </c>
      <c r="I4536">
        <v>4514</v>
      </c>
    </row>
    <row r="4537" spans="1:9" x14ac:dyDescent="0.4">
      <c r="A4537">
        <v>3010000</v>
      </c>
      <c r="B4537" t="s">
        <v>2246</v>
      </c>
      <c r="C4537" s="1">
        <v>36927</v>
      </c>
      <c r="D4537" t="s">
        <v>2247</v>
      </c>
      <c r="E4537" t="str">
        <f t="shared" si="230"/>
        <v>서울특별시</v>
      </c>
      <c r="F4537" t="str">
        <f t="shared" si="231"/>
        <v xml:space="preserve">중구 </v>
      </c>
      <c r="G4537" t="str">
        <f t="shared" si="232"/>
        <v>서소문동</v>
      </c>
    </row>
    <row r="4538" spans="1:9" x14ac:dyDescent="0.4">
      <c r="A4538">
        <v>3010000</v>
      </c>
      <c r="B4538" t="s">
        <v>2098</v>
      </c>
      <c r="C4538" s="1">
        <v>36246</v>
      </c>
      <c r="D4538" t="s">
        <v>2099</v>
      </c>
      <c r="E4538" t="str">
        <f t="shared" si="230"/>
        <v>서울특별시</v>
      </c>
      <c r="F4538" t="str">
        <f t="shared" si="231"/>
        <v xml:space="preserve">중구 </v>
      </c>
      <c r="G4538" t="str">
        <f t="shared" si="232"/>
        <v>서소문동</v>
      </c>
    </row>
    <row r="4539" spans="1:9" x14ac:dyDescent="0.4">
      <c r="A4539">
        <v>3010000</v>
      </c>
      <c r="B4539" t="s">
        <v>1541</v>
      </c>
      <c r="C4539" s="1">
        <v>31332</v>
      </c>
      <c r="D4539" t="s">
        <v>1542</v>
      </c>
      <c r="E4539" t="str">
        <f t="shared" si="230"/>
        <v>서울특별시</v>
      </c>
      <c r="F4539" t="str">
        <f t="shared" si="231"/>
        <v xml:space="preserve">중구 </v>
      </c>
      <c r="G4539" t="str">
        <f>MID(SUBSTITUTE(D4539," ",""),8,3)</f>
        <v>소공동</v>
      </c>
    </row>
    <row r="4540" spans="1:9" x14ac:dyDescent="0.4">
      <c r="A4540">
        <v>3010000</v>
      </c>
      <c r="B4540" t="s">
        <v>2214</v>
      </c>
      <c r="C4540" s="1">
        <v>30396</v>
      </c>
      <c r="D4540" t="s">
        <v>1542</v>
      </c>
      <c r="E4540" t="str">
        <f t="shared" si="230"/>
        <v>서울특별시</v>
      </c>
      <c r="F4540" t="str">
        <f t="shared" si="231"/>
        <v xml:space="preserve">중구 </v>
      </c>
      <c r="G4540" t="str">
        <f t="shared" ref="G4540:G4603" si="233">MID(SUBSTITUTE(D4540," ",""),8,3)</f>
        <v>소공동</v>
      </c>
    </row>
    <row r="4541" spans="1:9" x14ac:dyDescent="0.4">
      <c r="A4541">
        <v>3010000</v>
      </c>
      <c r="B4541" t="s">
        <v>2103</v>
      </c>
      <c r="C4541" s="1">
        <v>36260</v>
      </c>
      <c r="D4541" t="s">
        <v>2104</v>
      </c>
      <c r="E4541" t="str">
        <f t="shared" si="230"/>
        <v>서울특별시</v>
      </c>
      <c r="F4541" t="str">
        <f t="shared" si="231"/>
        <v xml:space="preserve">중구 </v>
      </c>
      <c r="G4541" t="str">
        <f t="shared" si="233"/>
        <v>수표동</v>
      </c>
    </row>
    <row r="4542" spans="1:9" x14ac:dyDescent="0.4">
      <c r="A4542">
        <v>3010000</v>
      </c>
      <c r="B4542" t="s">
        <v>2513</v>
      </c>
      <c r="C4542" s="1">
        <v>37726</v>
      </c>
      <c r="D4542" t="s">
        <v>2514</v>
      </c>
      <c r="E4542" t="str">
        <f t="shared" si="230"/>
        <v>서울특별시</v>
      </c>
      <c r="F4542" t="str">
        <f t="shared" si="231"/>
        <v xml:space="preserve">중구 </v>
      </c>
      <c r="G4542" t="str">
        <f t="shared" si="233"/>
        <v>수표동</v>
      </c>
      <c r="H4542" t="s">
        <v>2515</v>
      </c>
      <c r="I4542">
        <v>4543</v>
      </c>
    </row>
    <row r="4543" spans="1:9" x14ac:dyDescent="0.4">
      <c r="A4543">
        <v>3010000</v>
      </c>
      <c r="B4543" t="s">
        <v>1417</v>
      </c>
      <c r="C4543" s="1">
        <v>43864</v>
      </c>
      <c r="D4543" t="s">
        <v>1418</v>
      </c>
      <c r="E4543" t="str">
        <f t="shared" si="230"/>
        <v>서울특별시</v>
      </c>
      <c r="F4543" t="str">
        <f t="shared" si="231"/>
        <v xml:space="preserve">중구 </v>
      </c>
      <c r="G4543" t="str">
        <f t="shared" si="233"/>
        <v>수표동</v>
      </c>
      <c r="H4543" t="s">
        <v>1419</v>
      </c>
      <c r="I4543">
        <v>4543</v>
      </c>
    </row>
    <row r="4544" spans="1:9" x14ac:dyDescent="0.4">
      <c r="A4544">
        <v>3010000</v>
      </c>
      <c r="B4544" t="s">
        <v>1382</v>
      </c>
      <c r="C4544" s="1">
        <v>37935</v>
      </c>
      <c r="D4544" t="s">
        <v>1383</v>
      </c>
      <c r="E4544" t="str">
        <f t="shared" si="230"/>
        <v>서울특별시</v>
      </c>
      <c r="F4544" t="str">
        <f t="shared" si="231"/>
        <v xml:space="preserve">중구 </v>
      </c>
      <c r="G4544" t="str">
        <f t="shared" si="233"/>
        <v>수표동</v>
      </c>
      <c r="H4544" t="s">
        <v>1384</v>
      </c>
      <c r="I4544">
        <v>4543</v>
      </c>
    </row>
    <row r="4545" spans="1:9" x14ac:dyDescent="0.4">
      <c r="A4545">
        <v>3010000</v>
      </c>
      <c r="B4545" t="s">
        <v>1487</v>
      </c>
      <c r="C4545" s="1">
        <v>31197</v>
      </c>
      <c r="D4545" t="s">
        <v>1488</v>
      </c>
      <c r="E4545" t="str">
        <f t="shared" si="230"/>
        <v>서울특별시</v>
      </c>
      <c r="F4545" t="str">
        <f t="shared" si="231"/>
        <v xml:space="preserve">중구 </v>
      </c>
      <c r="G4545" t="str">
        <f t="shared" si="233"/>
        <v>수표동</v>
      </c>
    </row>
    <row r="4546" spans="1:9" x14ac:dyDescent="0.4">
      <c r="A4546">
        <v>3010000</v>
      </c>
      <c r="B4546" t="s">
        <v>2571</v>
      </c>
      <c r="C4546" s="1">
        <v>37511</v>
      </c>
      <c r="D4546" t="s">
        <v>2572</v>
      </c>
      <c r="E4546" t="str">
        <f t="shared" si="230"/>
        <v>서울특별시</v>
      </c>
      <c r="F4546" t="str">
        <f t="shared" si="231"/>
        <v xml:space="preserve">중구 </v>
      </c>
      <c r="G4546" t="str">
        <f t="shared" si="233"/>
        <v>수표동</v>
      </c>
      <c r="H4546" t="s">
        <v>2573</v>
      </c>
      <c r="I4546">
        <v>4542</v>
      </c>
    </row>
    <row r="4547" spans="1:9" x14ac:dyDescent="0.4">
      <c r="A4547">
        <v>3010000</v>
      </c>
      <c r="B4547" t="s">
        <v>2729</v>
      </c>
      <c r="C4547" s="1">
        <v>36587</v>
      </c>
      <c r="D4547" t="s">
        <v>2730</v>
      </c>
      <c r="E4547" t="str">
        <f t="shared" ref="E4547:E4610" si="234">LEFT(D4547,5)</f>
        <v>서울특별시</v>
      </c>
      <c r="F4547" t="str">
        <f t="shared" si="231"/>
        <v xml:space="preserve">중구 </v>
      </c>
      <c r="G4547" t="str">
        <f t="shared" si="233"/>
        <v>수표동</v>
      </c>
      <c r="H4547" t="s">
        <v>2731</v>
      </c>
      <c r="I4547">
        <v>4542</v>
      </c>
    </row>
    <row r="4548" spans="1:9" x14ac:dyDescent="0.4">
      <c r="A4548">
        <v>3010000</v>
      </c>
      <c r="B4548" t="s">
        <v>1980</v>
      </c>
      <c r="C4548" s="1">
        <v>36347</v>
      </c>
      <c r="D4548" t="s">
        <v>1981</v>
      </c>
      <c r="E4548" t="str">
        <f t="shared" si="234"/>
        <v>서울특별시</v>
      </c>
      <c r="F4548" t="str">
        <f t="shared" si="231"/>
        <v xml:space="preserve">중구 </v>
      </c>
      <c r="G4548" t="str">
        <f t="shared" si="233"/>
        <v>수하동</v>
      </c>
    </row>
    <row r="4549" spans="1:9" x14ac:dyDescent="0.4">
      <c r="A4549">
        <v>3010000</v>
      </c>
      <c r="B4549" t="s">
        <v>2266</v>
      </c>
      <c r="C4549" s="1">
        <v>36836</v>
      </c>
      <c r="D4549" t="s">
        <v>1981</v>
      </c>
      <c r="E4549" t="str">
        <f t="shared" si="234"/>
        <v>서울특별시</v>
      </c>
      <c r="F4549" t="str">
        <f t="shared" si="231"/>
        <v xml:space="preserve">중구 </v>
      </c>
      <c r="G4549" t="str">
        <f t="shared" si="233"/>
        <v>수하동</v>
      </c>
    </row>
    <row r="4550" spans="1:9" x14ac:dyDescent="0.4">
      <c r="A4550">
        <v>3010000</v>
      </c>
      <c r="B4550" t="s">
        <v>1586</v>
      </c>
      <c r="C4550" s="1">
        <v>28423</v>
      </c>
      <c r="D4550" t="s">
        <v>1587</v>
      </c>
      <c r="E4550" t="str">
        <f t="shared" si="234"/>
        <v>서울특별시</v>
      </c>
      <c r="F4550" t="str">
        <f t="shared" si="231"/>
        <v xml:space="preserve">중구 </v>
      </c>
      <c r="G4550" t="str">
        <f t="shared" si="233"/>
        <v>수하동</v>
      </c>
      <c r="H4550" t="s">
        <v>1588</v>
      </c>
      <c r="I4550">
        <v>4539</v>
      </c>
    </row>
    <row r="4551" spans="1:9" x14ac:dyDescent="0.4">
      <c r="A4551">
        <v>3010000</v>
      </c>
      <c r="B4551" t="s">
        <v>2298</v>
      </c>
      <c r="C4551" s="1">
        <v>37775</v>
      </c>
      <c r="D4551" t="s">
        <v>2299</v>
      </c>
      <c r="E4551" t="str">
        <f t="shared" si="234"/>
        <v>서울특별시</v>
      </c>
      <c r="F4551" t="str">
        <f t="shared" si="231"/>
        <v xml:space="preserve">중구 </v>
      </c>
      <c r="G4551" t="str">
        <f t="shared" si="233"/>
        <v>신당동</v>
      </c>
      <c r="H4551" t="s">
        <v>2300</v>
      </c>
      <c r="I4551">
        <v>4577</v>
      </c>
    </row>
    <row r="4552" spans="1:9" x14ac:dyDescent="0.4">
      <c r="A4552">
        <v>3010000</v>
      </c>
      <c r="B4552" t="s">
        <v>2369</v>
      </c>
      <c r="C4552" s="1">
        <v>31072</v>
      </c>
      <c r="D4552" t="s">
        <v>2370</v>
      </c>
      <c r="E4552" t="str">
        <f t="shared" si="234"/>
        <v>서울특별시</v>
      </c>
      <c r="F4552" t="str">
        <f t="shared" si="231"/>
        <v xml:space="preserve">중구 </v>
      </c>
      <c r="G4552" t="str">
        <f t="shared" si="233"/>
        <v>신당동</v>
      </c>
      <c r="H4552" t="s">
        <v>2371</v>
      </c>
      <c r="I4552">
        <v>4577</v>
      </c>
    </row>
    <row r="4553" spans="1:9" x14ac:dyDescent="0.4">
      <c r="A4553">
        <v>3010000</v>
      </c>
      <c r="B4553" t="s">
        <v>1514</v>
      </c>
      <c r="C4553" s="1">
        <v>31566</v>
      </c>
      <c r="D4553" t="s">
        <v>1515</v>
      </c>
      <c r="E4553" t="str">
        <f t="shared" si="234"/>
        <v>서울특별시</v>
      </c>
      <c r="F4553" t="str">
        <f t="shared" si="231"/>
        <v xml:space="preserve">중구 </v>
      </c>
      <c r="G4553" t="str">
        <f t="shared" si="233"/>
        <v>신당동</v>
      </c>
    </row>
    <row r="4554" spans="1:9" x14ac:dyDescent="0.4">
      <c r="A4554">
        <v>3010000</v>
      </c>
      <c r="B4554" t="s">
        <v>2510</v>
      </c>
      <c r="C4554" s="1">
        <v>37686</v>
      </c>
      <c r="D4554" t="s">
        <v>2511</v>
      </c>
      <c r="E4554" t="str">
        <f t="shared" si="234"/>
        <v>서울특별시</v>
      </c>
      <c r="F4554" t="str">
        <f t="shared" si="231"/>
        <v xml:space="preserve">중구 </v>
      </c>
      <c r="G4554" t="str">
        <f t="shared" si="233"/>
        <v>신당동</v>
      </c>
      <c r="H4554" t="s">
        <v>2512</v>
      </c>
      <c r="I4554">
        <v>4577</v>
      </c>
    </row>
    <row r="4555" spans="1:9" x14ac:dyDescent="0.4">
      <c r="A4555">
        <v>3010000</v>
      </c>
      <c r="B4555" t="s">
        <v>2079</v>
      </c>
      <c r="C4555" s="1">
        <v>36500</v>
      </c>
      <c r="D4555" t="s">
        <v>2080</v>
      </c>
      <c r="E4555" t="str">
        <f t="shared" si="234"/>
        <v>서울특별시</v>
      </c>
      <c r="F4555" t="str">
        <f t="shared" si="231"/>
        <v xml:space="preserve">중구 </v>
      </c>
      <c r="G4555" t="str">
        <f t="shared" si="233"/>
        <v>신당동</v>
      </c>
    </row>
    <row r="4556" spans="1:9" x14ac:dyDescent="0.4">
      <c r="A4556">
        <v>3010000</v>
      </c>
      <c r="B4556" t="s">
        <v>1614</v>
      </c>
      <c r="C4556" s="1">
        <v>37551</v>
      </c>
      <c r="D4556" t="s">
        <v>1615</v>
      </c>
      <c r="E4556" t="str">
        <f t="shared" si="234"/>
        <v>서울특별시</v>
      </c>
      <c r="F4556" t="str">
        <f t="shared" si="231"/>
        <v xml:space="preserve">중구 </v>
      </c>
      <c r="G4556" t="str">
        <f t="shared" si="233"/>
        <v>신당동</v>
      </c>
      <c r="H4556" t="s">
        <v>1616</v>
      </c>
      <c r="I4556">
        <v>4577</v>
      </c>
    </row>
    <row r="4557" spans="1:9" x14ac:dyDescent="0.4">
      <c r="A4557">
        <v>3010000</v>
      </c>
      <c r="B4557" t="s">
        <v>2467</v>
      </c>
      <c r="C4557" s="1">
        <v>27162</v>
      </c>
      <c r="D4557" t="s">
        <v>2468</v>
      </c>
      <c r="E4557" t="str">
        <f t="shared" si="234"/>
        <v>서울특별시</v>
      </c>
      <c r="F4557" t="str">
        <f t="shared" si="231"/>
        <v xml:space="preserve">중구 </v>
      </c>
      <c r="G4557" t="str">
        <f t="shared" si="233"/>
        <v>신당동</v>
      </c>
      <c r="H4557" t="s">
        <v>2469</v>
      </c>
      <c r="I4557">
        <v>4611</v>
      </c>
    </row>
    <row r="4558" spans="1:9" x14ac:dyDescent="0.4">
      <c r="A4558">
        <v>3010000</v>
      </c>
      <c r="B4558" t="s">
        <v>2717</v>
      </c>
      <c r="C4558" s="1">
        <v>36850</v>
      </c>
      <c r="D4558" t="s">
        <v>2718</v>
      </c>
      <c r="E4558" t="str">
        <f t="shared" si="234"/>
        <v>서울특별시</v>
      </c>
      <c r="F4558" t="str">
        <f t="shared" si="231"/>
        <v xml:space="preserve">중구 </v>
      </c>
      <c r="G4558" t="str">
        <f t="shared" si="233"/>
        <v>신당동</v>
      </c>
      <c r="H4558" t="s">
        <v>2719</v>
      </c>
      <c r="I4558">
        <v>4611</v>
      </c>
    </row>
    <row r="4559" spans="1:9" x14ac:dyDescent="0.4">
      <c r="A4559">
        <v>3010000</v>
      </c>
      <c r="B4559" t="s">
        <v>1682</v>
      </c>
      <c r="C4559" s="1">
        <v>31281</v>
      </c>
      <c r="D4559" t="s">
        <v>1683</v>
      </c>
      <c r="E4559" t="str">
        <f t="shared" si="234"/>
        <v>서울특별시</v>
      </c>
      <c r="F4559" t="str">
        <f t="shared" si="231"/>
        <v xml:space="preserve">중구 </v>
      </c>
      <c r="G4559" t="str">
        <f t="shared" si="233"/>
        <v>신당동</v>
      </c>
    </row>
    <row r="4560" spans="1:9" x14ac:dyDescent="0.4">
      <c r="A4560">
        <v>3010000</v>
      </c>
      <c r="B4560" t="s">
        <v>1584</v>
      </c>
      <c r="C4560" s="1">
        <v>37196</v>
      </c>
      <c r="D4560" t="s">
        <v>1585</v>
      </c>
      <c r="E4560" t="str">
        <f t="shared" si="234"/>
        <v>서울특별시</v>
      </c>
      <c r="F4560" t="str">
        <f t="shared" si="231"/>
        <v xml:space="preserve">중구 </v>
      </c>
      <c r="G4560" t="str">
        <f t="shared" si="233"/>
        <v>신당동</v>
      </c>
    </row>
    <row r="4561" spans="1:9" x14ac:dyDescent="0.4">
      <c r="A4561">
        <v>3010000</v>
      </c>
      <c r="B4561" t="s">
        <v>1656</v>
      </c>
      <c r="C4561" s="1">
        <v>38278</v>
      </c>
      <c r="D4561" t="s">
        <v>1585</v>
      </c>
      <c r="E4561" t="str">
        <f t="shared" si="234"/>
        <v>서울특별시</v>
      </c>
      <c r="F4561" t="str">
        <f t="shared" si="231"/>
        <v xml:space="preserve">중구 </v>
      </c>
      <c r="G4561" t="str">
        <f t="shared" si="233"/>
        <v>신당동</v>
      </c>
    </row>
    <row r="4562" spans="1:9" x14ac:dyDescent="0.4">
      <c r="A4562">
        <v>3010000</v>
      </c>
      <c r="B4562" t="s">
        <v>1807</v>
      </c>
      <c r="C4562" s="1">
        <v>26675</v>
      </c>
      <c r="D4562" t="s">
        <v>1808</v>
      </c>
      <c r="E4562" t="str">
        <f t="shared" si="234"/>
        <v>서울특별시</v>
      </c>
      <c r="F4562" t="str">
        <f t="shared" si="231"/>
        <v xml:space="preserve">중구 </v>
      </c>
      <c r="G4562" t="str">
        <f t="shared" si="233"/>
        <v>신당동</v>
      </c>
    </row>
    <row r="4563" spans="1:9" x14ac:dyDescent="0.4">
      <c r="A4563">
        <v>3010000</v>
      </c>
      <c r="B4563" t="s">
        <v>1726</v>
      </c>
      <c r="C4563" s="1">
        <v>32422</v>
      </c>
      <c r="D4563" t="s">
        <v>1727</v>
      </c>
      <c r="E4563" t="str">
        <f t="shared" si="234"/>
        <v>서울특별시</v>
      </c>
      <c r="F4563" t="str">
        <f t="shared" si="231"/>
        <v xml:space="preserve">중구 </v>
      </c>
      <c r="G4563" t="str">
        <f t="shared" si="233"/>
        <v>신당동</v>
      </c>
    </row>
    <row r="4564" spans="1:9" x14ac:dyDescent="0.4">
      <c r="A4564">
        <v>3010000</v>
      </c>
      <c r="B4564" t="s">
        <v>2181</v>
      </c>
      <c r="C4564" s="1">
        <v>32422</v>
      </c>
      <c r="D4564" t="s">
        <v>1727</v>
      </c>
      <c r="E4564" t="str">
        <f t="shared" si="234"/>
        <v>서울특별시</v>
      </c>
      <c r="F4564" t="str">
        <f t="shared" si="231"/>
        <v xml:space="preserve">중구 </v>
      </c>
      <c r="G4564" t="str">
        <f t="shared" si="233"/>
        <v>신당동</v>
      </c>
    </row>
    <row r="4565" spans="1:9" x14ac:dyDescent="0.4">
      <c r="A4565">
        <v>3010000</v>
      </c>
      <c r="B4565" t="s">
        <v>1709</v>
      </c>
      <c r="C4565" s="1">
        <v>26963</v>
      </c>
      <c r="D4565" t="s">
        <v>1710</v>
      </c>
      <c r="E4565" t="str">
        <f t="shared" si="234"/>
        <v>서울특별시</v>
      </c>
      <c r="F4565" t="str">
        <f t="shared" si="231"/>
        <v xml:space="preserve">중구 </v>
      </c>
      <c r="G4565" t="str">
        <f t="shared" si="233"/>
        <v>신당동</v>
      </c>
    </row>
    <row r="4566" spans="1:9" x14ac:dyDescent="0.4">
      <c r="A4566">
        <v>3010000</v>
      </c>
      <c r="B4566" t="s">
        <v>2092</v>
      </c>
      <c r="C4566" s="1">
        <v>36532</v>
      </c>
      <c r="D4566" t="s">
        <v>2093</v>
      </c>
      <c r="E4566" t="str">
        <f t="shared" si="234"/>
        <v>서울특별시</v>
      </c>
      <c r="F4566" t="str">
        <f t="shared" si="231"/>
        <v xml:space="preserve">중구 </v>
      </c>
      <c r="G4566" t="str">
        <f t="shared" si="233"/>
        <v>예관동</v>
      </c>
    </row>
    <row r="4567" spans="1:9" x14ac:dyDescent="0.4">
      <c r="A4567">
        <v>3010000</v>
      </c>
      <c r="B4567" t="s">
        <v>2624</v>
      </c>
      <c r="C4567" s="1">
        <v>36404</v>
      </c>
      <c r="D4567" t="s">
        <v>2625</v>
      </c>
      <c r="E4567" t="str">
        <f t="shared" si="234"/>
        <v>서울특별시</v>
      </c>
      <c r="F4567" t="str">
        <f t="shared" si="231"/>
        <v xml:space="preserve">중구 </v>
      </c>
      <c r="G4567" t="str">
        <f t="shared" si="233"/>
        <v>오장동</v>
      </c>
      <c r="H4567" t="s">
        <v>2626</v>
      </c>
      <c r="I4567">
        <v>4547</v>
      </c>
    </row>
    <row r="4568" spans="1:9" x14ac:dyDescent="0.4">
      <c r="A4568">
        <v>3010000</v>
      </c>
      <c r="B4568" t="s">
        <v>1606</v>
      </c>
      <c r="C4568" s="1">
        <v>30987</v>
      </c>
      <c r="D4568" t="s">
        <v>1607</v>
      </c>
      <c r="E4568" t="str">
        <f t="shared" si="234"/>
        <v>서울특별시</v>
      </c>
      <c r="F4568" t="str">
        <f t="shared" si="231"/>
        <v xml:space="preserve">중구 </v>
      </c>
      <c r="G4568" t="str">
        <f t="shared" si="233"/>
        <v>오장동</v>
      </c>
    </row>
    <row r="4569" spans="1:9" x14ac:dyDescent="0.4">
      <c r="A4569">
        <v>3010000</v>
      </c>
      <c r="B4569" t="s">
        <v>2525</v>
      </c>
      <c r="C4569" s="1">
        <v>36278</v>
      </c>
      <c r="D4569" t="s">
        <v>2526</v>
      </c>
      <c r="E4569" t="str">
        <f t="shared" si="234"/>
        <v>서울특별시</v>
      </c>
      <c r="F4569" t="str">
        <f t="shared" si="231"/>
        <v xml:space="preserve">중구 </v>
      </c>
      <c r="G4569" t="str">
        <f t="shared" si="233"/>
        <v>오장동</v>
      </c>
      <c r="H4569" t="s">
        <v>2527</v>
      </c>
      <c r="I4569">
        <v>4547</v>
      </c>
    </row>
    <row r="4570" spans="1:9" x14ac:dyDescent="0.4">
      <c r="A4570">
        <v>3010000</v>
      </c>
      <c r="B4570" t="s">
        <v>1612</v>
      </c>
      <c r="C4570" s="1">
        <v>31023</v>
      </c>
      <c r="D4570" t="s">
        <v>1613</v>
      </c>
      <c r="E4570" t="str">
        <f t="shared" si="234"/>
        <v>서울특별시</v>
      </c>
      <c r="F4570" t="str">
        <f t="shared" si="231"/>
        <v xml:space="preserve">중구 </v>
      </c>
      <c r="G4570" t="str">
        <f t="shared" si="233"/>
        <v>오장동</v>
      </c>
    </row>
    <row r="4571" spans="1:9" x14ac:dyDescent="0.4">
      <c r="A4571">
        <v>3010000</v>
      </c>
      <c r="B4571" t="s">
        <v>2425</v>
      </c>
      <c r="C4571" s="1">
        <v>37908</v>
      </c>
      <c r="D4571" t="s">
        <v>2426</v>
      </c>
      <c r="E4571" t="str">
        <f t="shared" si="234"/>
        <v>서울특별시</v>
      </c>
      <c r="F4571" t="str">
        <f t="shared" si="231"/>
        <v xml:space="preserve">중구 </v>
      </c>
      <c r="G4571" t="str">
        <f t="shared" si="233"/>
        <v>오장동</v>
      </c>
      <c r="H4571" t="s">
        <v>2427</v>
      </c>
      <c r="I4571">
        <v>4547</v>
      </c>
    </row>
    <row r="4572" spans="1:9" x14ac:dyDescent="0.4">
      <c r="A4572">
        <v>3010000</v>
      </c>
      <c r="B4572" t="s">
        <v>2366</v>
      </c>
      <c r="C4572" s="1">
        <v>37628</v>
      </c>
      <c r="D4572" t="s">
        <v>2367</v>
      </c>
      <c r="E4572" t="str">
        <f t="shared" si="234"/>
        <v>서울특별시</v>
      </c>
      <c r="F4572" t="str">
        <f t="shared" si="231"/>
        <v xml:space="preserve">중구 </v>
      </c>
      <c r="G4572" t="str">
        <f t="shared" si="233"/>
        <v>오장동</v>
      </c>
      <c r="H4572" t="s">
        <v>2368</v>
      </c>
      <c r="I4572">
        <v>4547</v>
      </c>
    </row>
    <row r="4573" spans="1:9" x14ac:dyDescent="0.4">
      <c r="A4573">
        <v>3010000</v>
      </c>
      <c r="B4573" t="s">
        <v>2844</v>
      </c>
      <c r="C4573" s="1">
        <v>39022</v>
      </c>
      <c r="D4573" t="s">
        <v>2845</v>
      </c>
      <c r="E4573" t="str">
        <f t="shared" si="234"/>
        <v>서울특별시</v>
      </c>
      <c r="F4573" t="str">
        <f t="shared" si="231"/>
        <v xml:space="preserve">중구 </v>
      </c>
      <c r="G4573" t="str">
        <f t="shared" si="233"/>
        <v>오장동</v>
      </c>
      <c r="H4573" t="s">
        <v>2846</v>
      </c>
      <c r="I4573">
        <v>4559</v>
      </c>
    </row>
    <row r="4574" spans="1:9" x14ac:dyDescent="0.4">
      <c r="A4574">
        <v>3010000</v>
      </c>
      <c r="B4574" t="s">
        <v>2826</v>
      </c>
      <c r="C4574" s="1">
        <v>36461</v>
      </c>
      <c r="D4574" t="s">
        <v>2827</v>
      </c>
      <c r="E4574" t="str">
        <f t="shared" si="234"/>
        <v>서울특별시</v>
      </c>
      <c r="F4574" t="str">
        <f t="shared" si="231"/>
        <v xml:space="preserve">중구 </v>
      </c>
      <c r="G4574" t="str">
        <f t="shared" si="233"/>
        <v>오장동</v>
      </c>
      <c r="H4574" t="s">
        <v>2828</v>
      </c>
      <c r="I4574">
        <v>4559</v>
      </c>
    </row>
    <row r="4575" spans="1:9" x14ac:dyDescent="0.4">
      <c r="A4575">
        <v>3010000</v>
      </c>
      <c r="B4575" t="s">
        <v>1899</v>
      </c>
      <c r="C4575" s="1">
        <v>29262</v>
      </c>
      <c r="D4575" t="s">
        <v>1900</v>
      </c>
      <c r="E4575" t="str">
        <f t="shared" si="234"/>
        <v>서울특별시</v>
      </c>
      <c r="F4575" t="str">
        <f t="shared" si="231"/>
        <v xml:space="preserve">중구 </v>
      </c>
      <c r="G4575" t="str">
        <f t="shared" si="233"/>
        <v>을지로</v>
      </c>
    </row>
    <row r="4576" spans="1:9" x14ac:dyDescent="0.4">
      <c r="A4576">
        <v>3010000</v>
      </c>
      <c r="B4576" t="s">
        <v>2147</v>
      </c>
      <c r="C4576" s="1">
        <v>36599</v>
      </c>
      <c r="D4576" t="s">
        <v>2148</v>
      </c>
      <c r="E4576" t="str">
        <f t="shared" si="234"/>
        <v>서울특별시</v>
      </c>
      <c r="F4576" t="str">
        <f t="shared" si="231"/>
        <v xml:space="preserve">중구 </v>
      </c>
      <c r="G4576" t="str">
        <f t="shared" si="233"/>
        <v>을지로</v>
      </c>
    </row>
    <row r="4577" spans="1:9" x14ac:dyDescent="0.4">
      <c r="A4577">
        <v>3010000</v>
      </c>
      <c r="B4577" t="s">
        <v>1947</v>
      </c>
      <c r="C4577" s="1">
        <v>41729</v>
      </c>
      <c r="D4577" t="s">
        <v>1948</v>
      </c>
      <c r="E4577" t="str">
        <f t="shared" si="234"/>
        <v>서울특별시</v>
      </c>
      <c r="F4577" t="str">
        <f t="shared" si="231"/>
        <v xml:space="preserve">중구 </v>
      </c>
      <c r="G4577" t="str">
        <f t="shared" si="233"/>
        <v>을지로</v>
      </c>
      <c r="H4577" t="s">
        <v>1949</v>
      </c>
      <c r="I4577">
        <v>4523</v>
      </c>
    </row>
    <row r="4578" spans="1:9" x14ac:dyDescent="0.4">
      <c r="A4578">
        <v>3010000</v>
      </c>
      <c r="B4578" t="s">
        <v>2829</v>
      </c>
      <c r="C4578" s="1">
        <v>36466</v>
      </c>
      <c r="D4578" t="s">
        <v>2830</v>
      </c>
      <c r="E4578" t="str">
        <f t="shared" si="234"/>
        <v>서울특별시</v>
      </c>
      <c r="F4578" t="str">
        <f t="shared" si="231"/>
        <v xml:space="preserve">중구 </v>
      </c>
      <c r="G4578" t="str">
        <f t="shared" si="233"/>
        <v>을지로</v>
      </c>
      <c r="H4578" t="s">
        <v>2831</v>
      </c>
      <c r="I4578">
        <v>4523</v>
      </c>
    </row>
    <row r="4579" spans="1:9" x14ac:dyDescent="0.4">
      <c r="A4579">
        <v>3010000</v>
      </c>
      <c r="B4579" t="s">
        <v>2434</v>
      </c>
      <c r="C4579" s="1">
        <v>40308</v>
      </c>
      <c r="D4579" t="s">
        <v>2435</v>
      </c>
      <c r="E4579" t="str">
        <f t="shared" si="234"/>
        <v>서울특별시</v>
      </c>
      <c r="F4579" t="str">
        <f t="shared" si="231"/>
        <v xml:space="preserve">중구 </v>
      </c>
      <c r="G4579" t="str">
        <f t="shared" si="233"/>
        <v>을지로</v>
      </c>
      <c r="H4579" t="s">
        <v>2436</v>
      </c>
      <c r="I4579">
        <v>4523</v>
      </c>
    </row>
    <row r="4580" spans="1:9" x14ac:dyDescent="0.4">
      <c r="A4580">
        <v>3010000</v>
      </c>
      <c r="B4580" t="s">
        <v>2437</v>
      </c>
      <c r="C4580" s="1">
        <v>40308</v>
      </c>
      <c r="D4580" t="s">
        <v>2438</v>
      </c>
      <c r="E4580" t="str">
        <f t="shared" si="234"/>
        <v>서울특별시</v>
      </c>
      <c r="F4580" t="str">
        <f t="shared" si="231"/>
        <v xml:space="preserve">중구 </v>
      </c>
      <c r="G4580" t="str">
        <f t="shared" si="233"/>
        <v>을지로</v>
      </c>
      <c r="H4580" t="s">
        <v>2439</v>
      </c>
      <c r="I4580">
        <v>4523</v>
      </c>
    </row>
    <row r="4581" spans="1:9" x14ac:dyDescent="0.4">
      <c r="A4581">
        <v>3010000</v>
      </c>
      <c r="B4581" t="s">
        <v>1854</v>
      </c>
      <c r="C4581" s="1">
        <v>39045</v>
      </c>
      <c r="D4581" t="s">
        <v>1855</v>
      </c>
      <c r="E4581" t="str">
        <f t="shared" si="234"/>
        <v>서울특별시</v>
      </c>
      <c r="F4581" t="str">
        <f t="shared" si="231"/>
        <v xml:space="preserve">중구 </v>
      </c>
      <c r="G4581" t="str">
        <f t="shared" si="233"/>
        <v>을지로</v>
      </c>
      <c r="H4581" t="s">
        <v>1856</v>
      </c>
      <c r="I4581">
        <v>4523</v>
      </c>
    </row>
    <row r="4582" spans="1:9" x14ac:dyDescent="0.4">
      <c r="A4582">
        <v>3010000</v>
      </c>
      <c r="B4582" t="s">
        <v>1935</v>
      </c>
      <c r="C4582" s="1">
        <v>37460</v>
      </c>
      <c r="D4582" t="s">
        <v>1855</v>
      </c>
      <c r="E4582" t="str">
        <f t="shared" si="234"/>
        <v>서울특별시</v>
      </c>
      <c r="F4582" t="str">
        <f t="shared" si="231"/>
        <v xml:space="preserve">중구 </v>
      </c>
      <c r="G4582" t="str">
        <f t="shared" si="233"/>
        <v>을지로</v>
      </c>
      <c r="H4582" t="s">
        <v>1856</v>
      </c>
      <c r="I4582">
        <v>4523</v>
      </c>
    </row>
    <row r="4583" spans="1:9" x14ac:dyDescent="0.4">
      <c r="A4583">
        <v>3010000</v>
      </c>
      <c r="B4583" t="s">
        <v>2125</v>
      </c>
      <c r="C4583" s="1">
        <v>36573</v>
      </c>
      <c r="D4583" t="s">
        <v>2126</v>
      </c>
      <c r="E4583" t="str">
        <f t="shared" si="234"/>
        <v>서울특별시</v>
      </c>
      <c r="F4583" t="str">
        <f t="shared" si="231"/>
        <v xml:space="preserve">중구 </v>
      </c>
      <c r="G4583" t="str">
        <f t="shared" si="233"/>
        <v>을지로</v>
      </c>
    </row>
    <row r="4584" spans="1:9" x14ac:dyDescent="0.4">
      <c r="A4584">
        <v>3010000</v>
      </c>
      <c r="B4584" t="s">
        <v>1407</v>
      </c>
      <c r="C4584" s="1">
        <v>37707</v>
      </c>
      <c r="D4584" t="s">
        <v>1408</v>
      </c>
      <c r="E4584" t="str">
        <f t="shared" si="234"/>
        <v>서울특별시</v>
      </c>
      <c r="F4584" t="str">
        <f t="shared" si="231"/>
        <v xml:space="preserve">중구 </v>
      </c>
      <c r="G4584" t="str">
        <f t="shared" si="233"/>
        <v>을지로</v>
      </c>
    </row>
    <row r="4585" spans="1:9" x14ac:dyDescent="0.4">
      <c r="A4585">
        <v>3010000</v>
      </c>
      <c r="B4585" t="s">
        <v>1545</v>
      </c>
      <c r="C4585" s="1">
        <v>27125</v>
      </c>
      <c r="D4585" t="s">
        <v>1546</v>
      </c>
      <c r="E4585" t="str">
        <f t="shared" si="234"/>
        <v>서울특별시</v>
      </c>
      <c r="F4585" t="str">
        <f t="shared" si="231"/>
        <v xml:space="preserve">중구 </v>
      </c>
      <c r="G4585" t="str">
        <f t="shared" si="233"/>
        <v>을지로</v>
      </c>
    </row>
    <row r="4586" spans="1:9" x14ac:dyDescent="0.4">
      <c r="A4586">
        <v>3010000</v>
      </c>
      <c r="B4586" t="s">
        <v>2272</v>
      </c>
      <c r="C4586" s="1">
        <v>36713</v>
      </c>
      <c r="D4586" t="s">
        <v>2273</v>
      </c>
      <c r="E4586" t="str">
        <f t="shared" si="234"/>
        <v>서울특별시</v>
      </c>
      <c r="F4586" t="str">
        <f t="shared" si="231"/>
        <v xml:space="preserve">중구 </v>
      </c>
      <c r="G4586" t="str">
        <f t="shared" si="233"/>
        <v>을지로</v>
      </c>
    </row>
    <row r="4587" spans="1:9" x14ac:dyDescent="0.4">
      <c r="A4587">
        <v>3010000</v>
      </c>
      <c r="B4587" t="s">
        <v>1631</v>
      </c>
      <c r="C4587" s="1">
        <v>37624</v>
      </c>
      <c r="D4587" t="s">
        <v>1632</v>
      </c>
      <c r="E4587" t="str">
        <f t="shared" si="234"/>
        <v>서울특별시</v>
      </c>
      <c r="F4587" t="str">
        <f t="shared" si="231"/>
        <v xml:space="preserve">중구 </v>
      </c>
      <c r="G4587" t="str">
        <f t="shared" si="233"/>
        <v>을지로</v>
      </c>
    </row>
    <row r="4588" spans="1:9" x14ac:dyDescent="0.4">
      <c r="A4588">
        <v>3010000</v>
      </c>
      <c r="B4588" t="s">
        <v>1511</v>
      </c>
      <c r="C4588" s="1">
        <v>31562</v>
      </c>
      <c r="D4588" t="s">
        <v>1512</v>
      </c>
      <c r="E4588" t="str">
        <f t="shared" si="234"/>
        <v>서울특별시</v>
      </c>
      <c r="F4588" t="str">
        <f t="shared" si="231"/>
        <v xml:space="preserve">중구 </v>
      </c>
      <c r="G4588" t="str">
        <f t="shared" si="233"/>
        <v>을지로</v>
      </c>
    </row>
    <row r="4589" spans="1:9" x14ac:dyDescent="0.4">
      <c r="A4589">
        <v>3010000</v>
      </c>
      <c r="B4589" t="s">
        <v>2069</v>
      </c>
      <c r="C4589" s="1">
        <v>36476</v>
      </c>
      <c r="D4589" t="s">
        <v>2070</v>
      </c>
      <c r="E4589" t="str">
        <f t="shared" si="234"/>
        <v>서울특별시</v>
      </c>
      <c r="F4589" t="str">
        <f t="shared" si="231"/>
        <v xml:space="preserve">중구 </v>
      </c>
      <c r="G4589" t="str">
        <f t="shared" si="233"/>
        <v>을지로</v>
      </c>
    </row>
    <row r="4590" spans="1:9" x14ac:dyDescent="0.4">
      <c r="A4590">
        <v>3010000</v>
      </c>
      <c r="B4590" t="s">
        <v>2111</v>
      </c>
      <c r="C4590" s="1">
        <v>36277</v>
      </c>
      <c r="D4590" t="s">
        <v>2112</v>
      </c>
      <c r="E4590" t="str">
        <f t="shared" si="234"/>
        <v>서울특별시</v>
      </c>
      <c r="F4590" t="str">
        <f t="shared" si="231"/>
        <v xml:space="preserve">중구 </v>
      </c>
      <c r="G4590" t="str">
        <f t="shared" si="233"/>
        <v>을지로</v>
      </c>
    </row>
    <row r="4591" spans="1:9" x14ac:dyDescent="0.4">
      <c r="A4591">
        <v>3010000</v>
      </c>
      <c r="B4591" t="s">
        <v>2618</v>
      </c>
      <c r="C4591" s="1">
        <v>36388</v>
      </c>
      <c r="D4591" t="s">
        <v>2619</v>
      </c>
      <c r="E4591" t="str">
        <f t="shared" si="234"/>
        <v>서울특별시</v>
      </c>
      <c r="F4591" t="str">
        <f t="shared" si="231"/>
        <v xml:space="preserve">중구 </v>
      </c>
      <c r="G4591" t="str">
        <f t="shared" si="233"/>
        <v>을지로</v>
      </c>
      <c r="H4591" t="s">
        <v>2620</v>
      </c>
      <c r="I4591">
        <v>4538</v>
      </c>
    </row>
    <row r="4592" spans="1:9" x14ac:dyDescent="0.4">
      <c r="A4592">
        <v>3010000</v>
      </c>
      <c r="B4592" t="s">
        <v>1637</v>
      </c>
      <c r="C4592" s="1">
        <v>31073</v>
      </c>
      <c r="D4592" t="s">
        <v>1638</v>
      </c>
      <c r="E4592" t="str">
        <f t="shared" si="234"/>
        <v>서울특별시</v>
      </c>
      <c r="F4592" t="str">
        <f t="shared" ref="F4592:F4655" si="235">MID(D4592,7,3)</f>
        <v xml:space="preserve">중구 </v>
      </c>
      <c r="G4592" t="str">
        <f t="shared" si="233"/>
        <v>을지로</v>
      </c>
    </row>
    <row r="4593" spans="1:9" x14ac:dyDescent="0.4">
      <c r="A4593">
        <v>3010000</v>
      </c>
      <c r="B4593" t="s">
        <v>1776</v>
      </c>
      <c r="C4593" s="1">
        <v>36442</v>
      </c>
      <c r="D4593" t="s">
        <v>1638</v>
      </c>
      <c r="E4593" t="str">
        <f t="shared" si="234"/>
        <v>서울특별시</v>
      </c>
      <c r="F4593" t="str">
        <f t="shared" si="235"/>
        <v xml:space="preserve">중구 </v>
      </c>
      <c r="G4593" t="str">
        <f t="shared" si="233"/>
        <v>을지로</v>
      </c>
    </row>
    <row r="4594" spans="1:9" x14ac:dyDescent="0.4">
      <c r="A4594">
        <v>3010000</v>
      </c>
      <c r="B4594" t="s">
        <v>1599</v>
      </c>
      <c r="C4594" s="1">
        <v>38476</v>
      </c>
      <c r="D4594" t="s">
        <v>1600</v>
      </c>
      <c r="E4594" t="str">
        <f t="shared" si="234"/>
        <v>서울특별시</v>
      </c>
      <c r="F4594" t="str">
        <f t="shared" si="235"/>
        <v xml:space="preserve">중구 </v>
      </c>
      <c r="G4594" t="str">
        <f t="shared" si="233"/>
        <v>을지로</v>
      </c>
    </row>
    <row r="4595" spans="1:9" x14ac:dyDescent="0.4">
      <c r="A4595">
        <v>3010000</v>
      </c>
      <c r="B4595" t="s">
        <v>1375</v>
      </c>
      <c r="C4595" s="1">
        <v>38952</v>
      </c>
      <c r="D4595" t="s">
        <v>1376</v>
      </c>
      <c r="E4595" t="str">
        <f t="shared" si="234"/>
        <v>서울특별시</v>
      </c>
      <c r="F4595" t="str">
        <f t="shared" si="235"/>
        <v xml:space="preserve">중구 </v>
      </c>
      <c r="G4595" t="str">
        <f t="shared" si="233"/>
        <v>을지로</v>
      </c>
      <c r="H4595" t="s">
        <v>1377</v>
      </c>
      <c r="I4595">
        <v>4534</v>
      </c>
    </row>
    <row r="4596" spans="1:9" x14ac:dyDescent="0.4">
      <c r="A4596">
        <v>3010000</v>
      </c>
      <c r="B4596" t="s">
        <v>1651</v>
      </c>
      <c r="C4596" s="1">
        <v>38187</v>
      </c>
      <c r="D4596" t="s">
        <v>1652</v>
      </c>
      <c r="E4596" t="str">
        <f t="shared" si="234"/>
        <v>서울특별시</v>
      </c>
      <c r="F4596" t="str">
        <f t="shared" si="235"/>
        <v xml:space="preserve">중구 </v>
      </c>
      <c r="G4596" t="str">
        <f t="shared" si="233"/>
        <v>을지로</v>
      </c>
      <c r="H4596" t="s">
        <v>1653</v>
      </c>
      <c r="I4596">
        <v>4534</v>
      </c>
    </row>
    <row r="4597" spans="1:9" x14ac:dyDescent="0.4">
      <c r="A4597">
        <v>3010000</v>
      </c>
      <c r="B4597" t="s">
        <v>1865</v>
      </c>
      <c r="C4597" s="1">
        <v>39107</v>
      </c>
      <c r="D4597" t="s">
        <v>1866</v>
      </c>
      <c r="E4597" t="str">
        <f t="shared" si="234"/>
        <v>서울특별시</v>
      </c>
      <c r="F4597" t="str">
        <f t="shared" si="235"/>
        <v xml:space="preserve">중구 </v>
      </c>
      <c r="G4597" t="str">
        <f t="shared" si="233"/>
        <v>을지로</v>
      </c>
    </row>
    <row r="4598" spans="1:9" x14ac:dyDescent="0.4">
      <c r="A4598">
        <v>3010000</v>
      </c>
      <c r="B4598" t="s">
        <v>1643</v>
      </c>
      <c r="C4598" s="1">
        <v>38069</v>
      </c>
      <c r="D4598" t="s">
        <v>1644</v>
      </c>
      <c r="E4598" t="str">
        <f t="shared" si="234"/>
        <v>서울특별시</v>
      </c>
      <c r="F4598" t="str">
        <f t="shared" si="235"/>
        <v xml:space="preserve">중구 </v>
      </c>
      <c r="G4598" t="str">
        <f t="shared" si="233"/>
        <v>을지로</v>
      </c>
    </row>
    <row r="4599" spans="1:9" x14ac:dyDescent="0.4">
      <c r="A4599">
        <v>3010000</v>
      </c>
      <c r="B4599" t="s">
        <v>2416</v>
      </c>
      <c r="C4599" s="1">
        <v>41534</v>
      </c>
      <c r="D4599" t="s">
        <v>2417</v>
      </c>
      <c r="E4599" t="str">
        <f t="shared" si="234"/>
        <v>서울특별시</v>
      </c>
      <c r="F4599" t="str">
        <f t="shared" si="235"/>
        <v xml:space="preserve">중구 </v>
      </c>
      <c r="G4599" t="str">
        <f t="shared" si="233"/>
        <v>을지로</v>
      </c>
      <c r="H4599" t="s">
        <v>2418</v>
      </c>
      <c r="I4599">
        <v>4549</v>
      </c>
    </row>
    <row r="4600" spans="1:9" x14ac:dyDescent="0.4">
      <c r="A4600">
        <v>3010000</v>
      </c>
      <c r="B4600" t="s">
        <v>2516</v>
      </c>
      <c r="C4600" s="1">
        <v>37762</v>
      </c>
      <c r="D4600" t="s">
        <v>2517</v>
      </c>
      <c r="E4600" t="str">
        <f t="shared" si="234"/>
        <v>서울특별시</v>
      </c>
      <c r="F4600" t="str">
        <f t="shared" si="235"/>
        <v xml:space="preserve">중구 </v>
      </c>
      <c r="G4600" t="str">
        <f t="shared" si="233"/>
        <v>을지로</v>
      </c>
      <c r="H4600" t="s">
        <v>2518</v>
      </c>
      <c r="I4600">
        <v>4549</v>
      </c>
    </row>
    <row r="4601" spans="1:9" x14ac:dyDescent="0.4">
      <c r="A4601">
        <v>3010000</v>
      </c>
      <c r="B4601" t="s">
        <v>1520</v>
      </c>
      <c r="C4601" s="1">
        <v>31566</v>
      </c>
      <c r="D4601" t="s">
        <v>1521</v>
      </c>
      <c r="E4601" t="str">
        <f t="shared" si="234"/>
        <v>서울특별시</v>
      </c>
      <c r="F4601" t="str">
        <f t="shared" si="235"/>
        <v xml:space="preserve">중구 </v>
      </c>
      <c r="G4601" t="str">
        <f t="shared" si="233"/>
        <v>을지로</v>
      </c>
      <c r="H4601" t="s">
        <v>1522</v>
      </c>
      <c r="I4601">
        <v>4549</v>
      </c>
    </row>
    <row r="4602" spans="1:9" x14ac:dyDescent="0.4">
      <c r="A4602">
        <v>3010000</v>
      </c>
      <c r="B4602" t="s">
        <v>2596</v>
      </c>
      <c r="C4602" s="1">
        <v>39517</v>
      </c>
      <c r="D4602" t="s">
        <v>2597</v>
      </c>
      <c r="E4602" t="str">
        <f t="shared" si="234"/>
        <v>서울특별시</v>
      </c>
      <c r="F4602" t="str">
        <f t="shared" si="235"/>
        <v xml:space="preserve">중구 </v>
      </c>
      <c r="G4602" t="str">
        <f t="shared" si="233"/>
        <v>을지로</v>
      </c>
      <c r="H4602" t="s">
        <v>2598</v>
      </c>
      <c r="I4602">
        <v>4550</v>
      </c>
    </row>
    <row r="4603" spans="1:9" x14ac:dyDescent="0.4">
      <c r="A4603">
        <v>3010000</v>
      </c>
      <c r="B4603" t="s">
        <v>2528</v>
      </c>
      <c r="C4603" s="1">
        <v>36281</v>
      </c>
      <c r="D4603" t="s">
        <v>2529</v>
      </c>
      <c r="E4603" t="str">
        <f t="shared" si="234"/>
        <v>서울특별시</v>
      </c>
      <c r="F4603" t="str">
        <f t="shared" si="235"/>
        <v xml:space="preserve">중구 </v>
      </c>
      <c r="G4603" t="str">
        <f t="shared" si="233"/>
        <v>을지로</v>
      </c>
      <c r="H4603" t="s">
        <v>2530</v>
      </c>
      <c r="I4603">
        <v>4550</v>
      </c>
    </row>
    <row r="4604" spans="1:9" x14ac:dyDescent="0.4">
      <c r="A4604">
        <v>3010000</v>
      </c>
      <c r="B4604" t="s">
        <v>2419</v>
      </c>
      <c r="C4604" s="1">
        <v>31281</v>
      </c>
      <c r="D4604" t="s">
        <v>2420</v>
      </c>
      <c r="E4604" t="str">
        <f t="shared" si="234"/>
        <v>서울특별시</v>
      </c>
      <c r="F4604" t="str">
        <f t="shared" si="235"/>
        <v xml:space="preserve">중구 </v>
      </c>
      <c r="G4604" t="str">
        <f t="shared" ref="G4604:G4667" si="236">MID(SUBSTITUTE(D4604," ",""),8,3)</f>
        <v>을지로</v>
      </c>
      <c r="H4604" t="s">
        <v>2421</v>
      </c>
      <c r="I4604">
        <v>4550</v>
      </c>
    </row>
    <row r="4605" spans="1:9" x14ac:dyDescent="0.4">
      <c r="A4605">
        <v>3010000</v>
      </c>
      <c r="B4605" t="s">
        <v>2726</v>
      </c>
      <c r="C4605" s="1">
        <v>36577</v>
      </c>
      <c r="D4605" t="s">
        <v>2727</v>
      </c>
      <c r="E4605" t="str">
        <f t="shared" si="234"/>
        <v>서울특별시</v>
      </c>
      <c r="F4605" t="str">
        <f t="shared" si="235"/>
        <v xml:space="preserve">중구 </v>
      </c>
      <c r="G4605" t="str">
        <f t="shared" si="236"/>
        <v>을지로</v>
      </c>
      <c r="H4605" t="s">
        <v>2728</v>
      </c>
      <c r="I4605">
        <v>4550</v>
      </c>
    </row>
    <row r="4606" spans="1:9" x14ac:dyDescent="0.4">
      <c r="A4606">
        <v>3010000</v>
      </c>
      <c r="B4606" t="s">
        <v>2814</v>
      </c>
      <c r="C4606" s="1">
        <v>37543</v>
      </c>
      <c r="D4606" t="s">
        <v>2815</v>
      </c>
      <c r="E4606" t="str">
        <f t="shared" si="234"/>
        <v>서울특별시</v>
      </c>
      <c r="F4606" t="str">
        <f t="shared" si="235"/>
        <v xml:space="preserve">중구 </v>
      </c>
      <c r="G4606" t="str">
        <f t="shared" si="236"/>
        <v>을지로</v>
      </c>
      <c r="H4606" t="s">
        <v>2816</v>
      </c>
      <c r="I4606">
        <v>4550</v>
      </c>
    </row>
    <row r="4607" spans="1:9" x14ac:dyDescent="0.4">
      <c r="A4607">
        <v>3010000</v>
      </c>
      <c r="B4607" t="s">
        <v>2555</v>
      </c>
      <c r="C4607" s="1">
        <v>37399</v>
      </c>
      <c r="D4607" t="s">
        <v>2556</v>
      </c>
      <c r="E4607" t="str">
        <f t="shared" si="234"/>
        <v>서울특별시</v>
      </c>
      <c r="F4607" t="str">
        <f t="shared" si="235"/>
        <v xml:space="preserve">중구 </v>
      </c>
      <c r="G4607" t="str">
        <f t="shared" si="236"/>
        <v>을지로</v>
      </c>
    </row>
    <row r="4608" spans="1:9" x14ac:dyDescent="0.4">
      <c r="A4608">
        <v>3010000</v>
      </c>
      <c r="B4608" t="s">
        <v>2173</v>
      </c>
      <c r="C4608" s="1">
        <v>38687</v>
      </c>
      <c r="D4608" t="s">
        <v>2174</v>
      </c>
      <c r="E4608" t="str">
        <f t="shared" si="234"/>
        <v>서울특별시</v>
      </c>
      <c r="F4608" t="str">
        <f t="shared" si="235"/>
        <v xml:space="preserve">중구 </v>
      </c>
      <c r="G4608" t="str">
        <f t="shared" si="236"/>
        <v>을지로</v>
      </c>
    </row>
    <row r="4609" spans="1:9" x14ac:dyDescent="0.4">
      <c r="A4609">
        <v>3010000</v>
      </c>
      <c r="B4609" t="s">
        <v>1821</v>
      </c>
      <c r="C4609" s="1">
        <v>27888</v>
      </c>
      <c r="D4609" t="s">
        <v>1822</v>
      </c>
      <c r="E4609" t="str">
        <f t="shared" si="234"/>
        <v>서울특별시</v>
      </c>
      <c r="F4609" t="str">
        <f t="shared" si="235"/>
        <v xml:space="preserve">중구 </v>
      </c>
      <c r="G4609" t="str">
        <f t="shared" si="236"/>
        <v>을지로</v>
      </c>
    </row>
    <row r="4610" spans="1:9" x14ac:dyDescent="0.4">
      <c r="A4610">
        <v>3010000</v>
      </c>
      <c r="B4610" t="s">
        <v>2583</v>
      </c>
      <c r="C4610" s="1">
        <v>37221</v>
      </c>
      <c r="D4610" t="s">
        <v>2584</v>
      </c>
      <c r="E4610" t="str">
        <f t="shared" si="234"/>
        <v>서울특별시</v>
      </c>
      <c r="F4610" t="str">
        <f t="shared" si="235"/>
        <v xml:space="preserve">중구 </v>
      </c>
      <c r="G4610" t="str">
        <f t="shared" si="236"/>
        <v>을지로</v>
      </c>
      <c r="H4610" t="s">
        <v>2585</v>
      </c>
      <c r="I4610">
        <v>4550</v>
      </c>
    </row>
    <row r="4611" spans="1:9" x14ac:dyDescent="0.4">
      <c r="A4611">
        <v>3010000</v>
      </c>
      <c r="B4611" t="s">
        <v>1926</v>
      </c>
      <c r="C4611" s="1">
        <v>37404</v>
      </c>
      <c r="D4611" t="s">
        <v>1927</v>
      </c>
      <c r="E4611" t="str">
        <f t="shared" ref="E4611:E4674" si="237">LEFT(D4611,5)</f>
        <v>서울특별시</v>
      </c>
      <c r="F4611" t="str">
        <f t="shared" si="235"/>
        <v xml:space="preserve">중구 </v>
      </c>
      <c r="G4611" t="str">
        <f t="shared" si="236"/>
        <v>을지로</v>
      </c>
    </row>
    <row r="4612" spans="1:9" x14ac:dyDescent="0.4">
      <c r="A4612">
        <v>3010000</v>
      </c>
      <c r="B4612" t="s">
        <v>2662</v>
      </c>
      <c r="C4612" s="1">
        <v>42104</v>
      </c>
      <c r="D4612" t="s">
        <v>2663</v>
      </c>
      <c r="E4612" t="str">
        <f t="shared" si="237"/>
        <v>서울특별시</v>
      </c>
      <c r="F4612" t="str">
        <f t="shared" si="235"/>
        <v xml:space="preserve">중구 </v>
      </c>
      <c r="G4612" t="str">
        <f t="shared" si="236"/>
        <v>을지로</v>
      </c>
      <c r="H4612" t="s">
        <v>2664</v>
      </c>
      <c r="I4612">
        <v>4550</v>
      </c>
    </row>
    <row r="4613" spans="1:9" x14ac:dyDescent="0.4">
      <c r="A4613">
        <v>3010000</v>
      </c>
      <c r="B4613" t="s">
        <v>2720</v>
      </c>
      <c r="C4613" s="1">
        <v>36872</v>
      </c>
      <c r="D4613" t="s">
        <v>2721</v>
      </c>
      <c r="E4613" t="str">
        <f t="shared" si="237"/>
        <v>서울특별시</v>
      </c>
      <c r="F4613" t="str">
        <f t="shared" si="235"/>
        <v xml:space="preserve">중구 </v>
      </c>
      <c r="G4613" t="str">
        <f t="shared" si="236"/>
        <v>을지로</v>
      </c>
      <c r="H4613" t="s">
        <v>2722</v>
      </c>
      <c r="I4613">
        <v>4550</v>
      </c>
    </row>
    <row r="4614" spans="1:9" x14ac:dyDescent="0.4">
      <c r="A4614">
        <v>3010000</v>
      </c>
      <c r="B4614" t="s">
        <v>2864</v>
      </c>
      <c r="C4614" s="1">
        <v>36557</v>
      </c>
      <c r="D4614" t="s">
        <v>2865</v>
      </c>
      <c r="E4614" t="str">
        <f t="shared" si="237"/>
        <v>서울특별시</v>
      </c>
      <c r="F4614" t="str">
        <f t="shared" si="235"/>
        <v xml:space="preserve">중구 </v>
      </c>
      <c r="G4614" t="str">
        <f t="shared" si="236"/>
        <v>을지로</v>
      </c>
      <c r="H4614" t="s">
        <v>2866</v>
      </c>
      <c r="I4614">
        <v>4543</v>
      </c>
    </row>
    <row r="4615" spans="1:9" x14ac:dyDescent="0.4">
      <c r="A4615">
        <v>3010000</v>
      </c>
      <c r="B4615" t="s">
        <v>1700</v>
      </c>
      <c r="C4615" s="1">
        <v>37799</v>
      </c>
      <c r="D4615" t="s">
        <v>1701</v>
      </c>
      <c r="E4615" t="str">
        <f t="shared" si="237"/>
        <v>서울특별시</v>
      </c>
      <c r="F4615" t="str">
        <f t="shared" si="235"/>
        <v xml:space="preserve">중구 </v>
      </c>
      <c r="G4615" t="str">
        <f t="shared" si="236"/>
        <v>을지로</v>
      </c>
      <c r="H4615" t="s">
        <v>1702</v>
      </c>
      <c r="I4615">
        <v>4543</v>
      </c>
    </row>
    <row r="4616" spans="1:9" x14ac:dyDescent="0.4">
      <c r="A4616">
        <v>3010000</v>
      </c>
      <c r="B4616" t="s">
        <v>234</v>
      </c>
      <c r="C4616" s="1">
        <v>45881</v>
      </c>
      <c r="D4616" t="s">
        <v>235</v>
      </c>
      <c r="E4616" t="str">
        <f t="shared" si="237"/>
        <v>서울특별시</v>
      </c>
      <c r="F4616" t="str">
        <f t="shared" si="235"/>
        <v xml:space="preserve">중구 </v>
      </c>
      <c r="G4616" t="str">
        <f t="shared" si="236"/>
        <v>을지로</v>
      </c>
      <c r="H4616" t="s">
        <v>236</v>
      </c>
      <c r="I4616">
        <v>4543</v>
      </c>
    </row>
    <row r="4617" spans="1:9" x14ac:dyDescent="0.4">
      <c r="A4617">
        <v>3010000</v>
      </c>
      <c r="B4617" t="s">
        <v>2781</v>
      </c>
      <c r="C4617" s="1">
        <v>42445</v>
      </c>
      <c r="D4617" t="s">
        <v>2782</v>
      </c>
      <c r="E4617" t="str">
        <f t="shared" si="237"/>
        <v>서울특별시</v>
      </c>
      <c r="F4617" t="str">
        <f t="shared" si="235"/>
        <v xml:space="preserve">중구 </v>
      </c>
      <c r="G4617" t="str">
        <f t="shared" si="236"/>
        <v>을지로</v>
      </c>
      <c r="H4617" t="s">
        <v>2783</v>
      </c>
      <c r="I4617">
        <v>4543</v>
      </c>
    </row>
    <row r="4618" spans="1:9" x14ac:dyDescent="0.4">
      <c r="A4618">
        <v>3010000</v>
      </c>
      <c r="B4618" t="s">
        <v>2301</v>
      </c>
      <c r="C4618" s="1">
        <v>45131</v>
      </c>
      <c r="D4618" t="s">
        <v>2302</v>
      </c>
      <c r="E4618" t="str">
        <f t="shared" si="237"/>
        <v>서울특별시</v>
      </c>
      <c r="F4618" t="str">
        <f t="shared" si="235"/>
        <v xml:space="preserve">중구 </v>
      </c>
      <c r="G4618" t="str">
        <f t="shared" si="236"/>
        <v>을지로</v>
      </c>
      <c r="H4618" t="s">
        <v>2303</v>
      </c>
      <c r="I4618">
        <v>4543</v>
      </c>
    </row>
    <row r="4619" spans="1:9" x14ac:dyDescent="0.4">
      <c r="A4619">
        <v>3010000</v>
      </c>
      <c r="B4619" t="s">
        <v>1628</v>
      </c>
      <c r="C4619" s="1">
        <v>37607</v>
      </c>
      <c r="D4619" t="s">
        <v>1629</v>
      </c>
      <c r="E4619" t="str">
        <f t="shared" si="237"/>
        <v>서울특별시</v>
      </c>
      <c r="F4619" t="str">
        <f t="shared" si="235"/>
        <v xml:space="preserve">중구 </v>
      </c>
      <c r="G4619" t="str">
        <f t="shared" si="236"/>
        <v>을지로</v>
      </c>
      <c r="H4619" t="s">
        <v>1630</v>
      </c>
      <c r="I4619">
        <v>4543</v>
      </c>
    </row>
    <row r="4620" spans="1:9" x14ac:dyDescent="0.4">
      <c r="A4620">
        <v>3010000</v>
      </c>
      <c r="B4620" t="s">
        <v>2452</v>
      </c>
      <c r="C4620" s="1">
        <v>31276</v>
      </c>
      <c r="D4620" t="s">
        <v>2453</v>
      </c>
      <c r="E4620" t="str">
        <f t="shared" si="237"/>
        <v>서울특별시</v>
      </c>
      <c r="F4620" t="str">
        <f t="shared" si="235"/>
        <v xml:space="preserve">중구 </v>
      </c>
      <c r="G4620" t="str">
        <f t="shared" si="236"/>
        <v>을지로</v>
      </c>
      <c r="H4620" t="s">
        <v>2454</v>
      </c>
      <c r="I4620">
        <v>4546</v>
      </c>
    </row>
    <row r="4621" spans="1:9" x14ac:dyDescent="0.4">
      <c r="A4621">
        <v>3010000</v>
      </c>
      <c r="B4621" t="s">
        <v>1571</v>
      </c>
      <c r="C4621" s="1">
        <v>37061</v>
      </c>
      <c r="D4621" t="s">
        <v>1572</v>
      </c>
      <c r="E4621" t="str">
        <f t="shared" si="237"/>
        <v>서울특별시</v>
      </c>
      <c r="F4621" t="str">
        <f t="shared" si="235"/>
        <v xml:space="preserve">중구 </v>
      </c>
      <c r="G4621" t="str">
        <f t="shared" si="236"/>
        <v>을지로</v>
      </c>
      <c r="H4621" t="s">
        <v>1573</v>
      </c>
      <c r="I4621">
        <v>4547</v>
      </c>
    </row>
    <row r="4622" spans="1:9" x14ac:dyDescent="0.4">
      <c r="A4622">
        <v>3010000</v>
      </c>
      <c r="B4622" t="s">
        <v>2889</v>
      </c>
      <c r="C4622" s="1">
        <v>36883</v>
      </c>
      <c r="D4622" t="s">
        <v>2890</v>
      </c>
      <c r="E4622" t="str">
        <f t="shared" si="237"/>
        <v>서울특별시</v>
      </c>
      <c r="F4622" t="str">
        <f t="shared" si="235"/>
        <v xml:space="preserve">중구 </v>
      </c>
      <c r="G4622" t="str">
        <f t="shared" si="236"/>
        <v>을지로</v>
      </c>
      <c r="H4622" t="s">
        <v>2891</v>
      </c>
      <c r="I4622">
        <v>4549</v>
      </c>
    </row>
    <row r="4623" spans="1:9" x14ac:dyDescent="0.4">
      <c r="A4623">
        <v>3010000</v>
      </c>
      <c r="B4623" t="s">
        <v>162</v>
      </c>
      <c r="C4623" s="1">
        <v>31793</v>
      </c>
      <c r="D4623" t="s">
        <v>163</v>
      </c>
      <c r="E4623" t="str">
        <f t="shared" si="237"/>
        <v>서울특별시</v>
      </c>
      <c r="F4623" t="str">
        <f t="shared" si="235"/>
        <v xml:space="preserve">중구 </v>
      </c>
      <c r="G4623" t="str">
        <f t="shared" si="236"/>
        <v>을지로</v>
      </c>
      <c r="H4623" t="s">
        <v>164</v>
      </c>
      <c r="I4623">
        <v>4561</v>
      </c>
    </row>
    <row r="4624" spans="1:9" x14ac:dyDescent="0.4">
      <c r="A4624">
        <v>3010000</v>
      </c>
      <c r="B4624" t="s">
        <v>2387</v>
      </c>
      <c r="C4624" s="1">
        <v>27119</v>
      </c>
      <c r="D4624" t="s">
        <v>2388</v>
      </c>
      <c r="E4624" t="str">
        <f t="shared" si="237"/>
        <v>서울특별시</v>
      </c>
      <c r="F4624" t="str">
        <f t="shared" si="235"/>
        <v xml:space="preserve">중구 </v>
      </c>
      <c r="G4624" t="str">
        <f t="shared" si="236"/>
        <v>을지로</v>
      </c>
      <c r="H4624" t="s">
        <v>164</v>
      </c>
      <c r="I4624">
        <v>4561</v>
      </c>
    </row>
    <row r="4625" spans="1:9" x14ac:dyDescent="0.4">
      <c r="A4625">
        <v>3010000</v>
      </c>
      <c r="B4625" t="s">
        <v>1860</v>
      </c>
      <c r="C4625" s="1">
        <v>39099</v>
      </c>
      <c r="D4625" t="s">
        <v>1861</v>
      </c>
      <c r="E4625" t="str">
        <f t="shared" si="237"/>
        <v>서울특별시</v>
      </c>
      <c r="F4625" t="str">
        <f t="shared" si="235"/>
        <v xml:space="preserve">중구 </v>
      </c>
      <c r="G4625" t="str">
        <f t="shared" si="236"/>
        <v>을지로</v>
      </c>
      <c r="H4625" t="s">
        <v>1862</v>
      </c>
      <c r="I4625">
        <v>4561</v>
      </c>
    </row>
    <row r="4626" spans="1:9" x14ac:dyDescent="0.4">
      <c r="A4626">
        <v>3010000</v>
      </c>
      <c r="B4626" t="s">
        <v>1888</v>
      </c>
      <c r="C4626" s="1">
        <v>37383</v>
      </c>
      <c r="D4626" t="s">
        <v>1889</v>
      </c>
      <c r="E4626" t="str">
        <f t="shared" si="237"/>
        <v>서울특별시</v>
      </c>
      <c r="F4626" t="str">
        <f t="shared" si="235"/>
        <v xml:space="preserve">중구 </v>
      </c>
      <c r="G4626" t="str">
        <f t="shared" si="236"/>
        <v>을지로</v>
      </c>
      <c r="H4626" t="s">
        <v>1890</v>
      </c>
      <c r="I4626">
        <v>4546</v>
      </c>
    </row>
    <row r="4627" spans="1:9" x14ac:dyDescent="0.4">
      <c r="A4627">
        <v>3010000</v>
      </c>
      <c r="B4627" t="s">
        <v>1635</v>
      </c>
      <c r="C4627" s="1">
        <v>31073</v>
      </c>
      <c r="D4627" t="s">
        <v>1636</v>
      </c>
      <c r="E4627" t="str">
        <f t="shared" si="237"/>
        <v>서울특별시</v>
      </c>
      <c r="F4627" t="str">
        <f t="shared" si="235"/>
        <v xml:space="preserve">중구 </v>
      </c>
      <c r="G4627" t="str">
        <f t="shared" si="236"/>
        <v>을지로</v>
      </c>
    </row>
    <row r="4628" spans="1:9" x14ac:dyDescent="0.4">
      <c r="A4628">
        <v>3010000</v>
      </c>
      <c r="B4628" t="s">
        <v>1711</v>
      </c>
      <c r="C4628" s="1">
        <v>26991</v>
      </c>
      <c r="D4628" t="s">
        <v>1636</v>
      </c>
      <c r="E4628" t="str">
        <f t="shared" si="237"/>
        <v>서울특별시</v>
      </c>
      <c r="F4628" t="str">
        <f t="shared" si="235"/>
        <v xml:space="preserve">중구 </v>
      </c>
      <c r="G4628" t="str">
        <f t="shared" si="236"/>
        <v>을지로</v>
      </c>
    </row>
    <row r="4629" spans="1:9" x14ac:dyDescent="0.4">
      <c r="A4629">
        <v>3010000</v>
      </c>
      <c r="B4629" t="s">
        <v>2580</v>
      </c>
      <c r="C4629" s="1">
        <v>37217</v>
      </c>
      <c r="D4629" t="s">
        <v>2581</v>
      </c>
      <c r="E4629" t="str">
        <f t="shared" si="237"/>
        <v>서울특별시</v>
      </c>
      <c r="F4629" t="str">
        <f t="shared" si="235"/>
        <v xml:space="preserve">중구 </v>
      </c>
      <c r="G4629" t="str">
        <f t="shared" si="236"/>
        <v>을지로</v>
      </c>
      <c r="H4629" t="s">
        <v>2582</v>
      </c>
      <c r="I4629">
        <v>4546</v>
      </c>
    </row>
    <row r="4630" spans="1:9" x14ac:dyDescent="0.4">
      <c r="A4630">
        <v>3010000</v>
      </c>
      <c r="B4630" t="s">
        <v>1930</v>
      </c>
      <c r="C4630" s="1">
        <v>37433</v>
      </c>
      <c r="D4630" t="s">
        <v>1931</v>
      </c>
      <c r="E4630" t="str">
        <f t="shared" si="237"/>
        <v>서울특별시</v>
      </c>
      <c r="F4630" t="str">
        <f t="shared" si="235"/>
        <v xml:space="preserve">중구 </v>
      </c>
      <c r="G4630" t="str">
        <f t="shared" si="236"/>
        <v>을지로</v>
      </c>
    </row>
    <row r="4631" spans="1:9" x14ac:dyDescent="0.4">
      <c r="A4631">
        <v>3010000</v>
      </c>
      <c r="B4631" t="s">
        <v>1385</v>
      </c>
      <c r="C4631" s="1">
        <v>37966</v>
      </c>
      <c r="D4631" t="s">
        <v>1386</v>
      </c>
      <c r="E4631" t="str">
        <f t="shared" si="237"/>
        <v>서울특별시</v>
      </c>
      <c r="F4631" t="str">
        <f t="shared" si="235"/>
        <v xml:space="preserve">중구 </v>
      </c>
      <c r="G4631" t="str">
        <f t="shared" si="236"/>
        <v>을지로</v>
      </c>
      <c r="H4631" t="s">
        <v>1387</v>
      </c>
      <c r="I4631">
        <v>4547</v>
      </c>
    </row>
    <row r="4632" spans="1:9" x14ac:dyDescent="0.4">
      <c r="A4632">
        <v>3010000</v>
      </c>
      <c r="B4632" t="s">
        <v>1943</v>
      </c>
      <c r="C4632" s="1">
        <v>37526</v>
      </c>
      <c r="D4632" t="s">
        <v>1944</v>
      </c>
      <c r="E4632" t="str">
        <f t="shared" si="237"/>
        <v>서울특별시</v>
      </c>
      <c r="F4632" t="str">
        <f t="shared" si="235"/>
        <v xml:space="preserve">중구 </v>
      </c>
      <c r="G4632" t="str">
        <f t="shared" si="236"/>
        <v>을지로</v>
      </c>
    </row>
    <row r="4633" spans="1:9" x14ac:dyDescent="0.4">
      <c r="A4633">
        <v>3010000</v>
      </c>
      <c r="B4633" t="s">
        <v>1645</v>
      </c>
      <c r="C4633" s="1">
        <v>38106</v>
      </c>
      <c r="D4633" t="s">
        <v>1646</v>
      </c>
      <c r="E4633" t="str">
        <f t="shared" si="237"/>
        <v>서울특별시</v>
      </c>
      <c r="F4633" t="str">
        <f t="shared" si="235"/>
        <v xml:space="preserve">중구 </v>
      </c>
      <c r="G4633" t="str">
        <f t="shared" si="236"/>
        <v>을지로</v>
      </c>
      <c r="H4633" t="s">
        <v>1647</v>
      </c>
      <c r="I4633">
        <v>4561</v>
      </c>
    </row>
    <row r="4634" spans="1:9" x14ac:dyDescent="0.4">
      <c r="A4634">
        <v>3010000</v>
      </c>
      <c r="B4634" t="s">
        <v>1838</v>
      </c>
      <c r="C4634" s="1">
        <v>30980</v>
      </c>
      <c r="D4634" t="s">
        <v>1839</v>
      </c>
      <c r="E4634" t="str">
        <f t="shared" si="237"/>
        <v>서울특별시</v>
      </c>
      <c r="F4634" t="str">
        <f t="shared" si="235"/>
        <v xml:space="preserve">중구 </v>
      </c>
      <c r="G4634" t="str">
        <f t="shared" si="236"/>
        <v>을지로</v>
      </c>
    </row>
    <row r="4635" spans="1:9" x14ac:dyDescent="0.4">
      <c r="A4635">
        <v>3010000</v>
      </c>
      <c r="B4635" t="s">
        <v>1832</v>
      </c>
      <c r="C4635" s="1">
        <v>40109</v>
      </c>
      <c r="D4635" t="s">
        <v>1833</v>
      </c>
      <c r="E4635" t="str">
        <f t="shared" si="237"/>
        <v>서울특별시</v>
      </c>
      <c r="F4635" t="str">
        <f t="shared" si="235"/>
        <v xml:space="preserve">중구 </v>
      </c>
      <c r="G4635" t="str">
        <f t="shared" si="236"/>
        <v>을지로</v>
      </c>
      <c r="H4635" t="s">
        <v>1834</v>
      </c>
      <c r="I4635">
        <v>4564</v>
      </c>
    </row>
    <row r="4636" spans="1:9" x14ac:dyDescent="0.4">
      <c r="A4636">
        <v>3010000</v>
      </c>
      <c r="B4636" t="s">
        <v>1835</v>
      </c>
      <c r="C4636" s="1">
        <v>40114</v>
      </c>
      <c r="D4636" t="s">
        <v>1836</v>
      </c>
      <c r="E4636" t="str">
        <f t="shared" si="237"/>
        <v>서울특별시</v>
      </c>
      <c r="F4636" t="str">
        <f t="shared" si="235"/>
        <v xml:space="preserve">중구 </v>
      </c>
      <c r="G4636" t="str">
        <f t="shared" si="236"/>
        <v>을지로</v>
      </c>
      <c r="H4636" t="s">
        <v>1837</v>
      </c>
      <c r="I4636">
        <v>4564</v>
      </c>
    </row>
    <row r="4637" spans="1:9" x14ac:dyDescent="0.4">
      <c r="A4637">
        <v>3010000</v>
      </c>
      <c r="B4637" t="s">
        <v>2251</v>
      </c>
      <c r="C4637" s="1">
        <v>36965</v>
      </c>
      <c r="D4637" t="s">
        <v>2252</v>
      </c>
      <c r="E4637" t="str">
        <f t="shared" si="237"/>
        <v>서울특별시</v>
      </c>
      <c r="F4637" t="str">
        <f t="shared" si="235"/>
        <v xml:space="preserve">중구 </v>
      </c>
      <c r="G4637" t="str">
        <f t="shared" si="236"/>
        <v>을지로</v>
      </c>
    </row>
    <row r="4638" spans="1:9" x14ac:dyDescent="0.4">
      <c r="A4638">
        <v>3010000</v>
      </c>
      <c r="B4638" t="s">
        <v>1953</v>
      </c>
      <c r="C4638" s="1">
        <v>37231</v>
      </c>
      <c r="D4638" t="s">
        <v>1954</v>
      </c>
      <c r="E4638" t="str">
        <f t="shared" si="237"/>
        <v>서울특별시</v>
      </c>
      <c r="F4638" t="str">
        <f t="shared" si="235"/>
        <v xml:space="preserve">중구 </v>
      </c>
      <c r="G4638" t="str">
        <f t="shared" si="236"/>
        <v>을지로</v>
      </c>
    </row>
    <row r="4639" spans="1:9" x14ac:dyDescent="0.4">
      <c r="A4639">
        <v>3010000</v>
      </c>
      <c r="B4639" t="s">
        <v>1569</v>
      </c>
      <c r="C4639" s="1">
        <v>27787</v>
      </c>
      <c r="D4639" t="s">
        <v>1570</v>
      </c>
      <c r="E4639" t="str">
        <f t="shared" si="237"/>
        <v>서울특별시</v>
      </c>
      <c r="F4639" t="str">
        <f t="shared" si="235"/>
        <v xml:space="preserve">중구 </v>
      </c>
      <c r="G4639" t="str">
        <f t="shared" si="236"/>
        <v>을지로</v>
      </c>
    </row>
    <row r="4640" spans="1:9" x14ac:dyDescent="0.4">
      <c r="A4640">
        <v>3010000</v>
      </c>
      <c r="B4640" t="s">
        <v>1830</v>
      </c>
      <c r="C4640" s="1">
        <v>40058</v>
      </c>
      <c r="D4640" t="s">
        <v>1831</v>
      </c>
      <c r="E4640" t="str">
        <f t="shared" si="237"/>
        <v>서울특별시</v>
      </c>
      <c r="F4640" t="str">
        <f t="shared" si="235"/>
        <v xml:space="preserve">중구 </v>
      </c>
      <c r="G4640" t="str">
        <f t="shared" si="236"/>
        <v>을지로</v>
      </c>
    </row>
    <row r="4641" spans="1:9" x14ac:dyDescent="0.4">
      <c r="A4641">
        <v>3010000</v>
      </c>
      <c r="B4641" t="s">
        <v>1736</v>
      </c>
      <c r="C4641" s="1">
        <v>38821</v>
      </c>
      <c r="D4641" t="s">
        <v>1737</v>
      </c>
      <c r="E4641" t="str">
        <f t="shared" si="237"/>
        <v>서울특별시</v>
      </c>
      <c r="F4641" t="str">
        <f t="shared" si="235"/>
        <v xml:space="preserve">중구 </v>
      </c>
      <c r="G4641" t="str">
        <f t="shared" si="236"/>
        <v>을지로</v>
      </c>
      <c r="H4641" t="s">
        <v>1738</v>
      </c>
      <c r="I4641">
        <v>4564</v>
      </c>
    </row>
    <row r="4642" spans="1:9" x14ac:dyDescent="0.4">
      <c r="A4642">
        <v>3010000</v>
      </c>
      <c r="B4642" t="s">
        <v>2870</v>
      </c>
      <c r="C4642" s="1">
        <v>39087</v>
      </c>
      <c r="D4642" t="s">
        <v>2871</v>
      </c>
      <c r="E4642" t="str">
        <f t="shared" si="237"/>
        <v>서울특별시</v>
      </c>
      <c r="F4642" t="str">
        <f t="shared" si="235"/>
        <v xml:space="preserve">중구 </v>
      </c>
      <c r="G4642" t="str">
        <f t="shared" si="236"/>
        <v>을지로</v>
      </c>
      <c r="H4642" t="s">
        <v>2872</v>
      </c>
      <c r="I4642">
        <v>4564</v>
      </c>
    </row>
    <row r="4643" spans="1:9" x14ac:dyDescent="0.4">
      <c r="A4643">
        <v>3010000</v>
      </c>
      <c r="B4643" t="s">
        <v>1817</v>
      </c>
      <c r="C4643" s="1">
        <v>27865</v>
      </c>
      <c r="D4643" t="s">
        <v>1818</v>
      </c>
      <c r="E4643" t="str">
        <f t="shared" si="237"/>
        <v>서울특별시</v>
      </c>
      <c r="F4643" t="str">
        <f t="shared" si="235"/>
        <v xml:space="preserve">중구 </v>
      </c>
      <c r="G4643" t="str">
        <f t="shared" si="236"/>
        <v>을지로</v>
      </c>
    </row>
    <row r="4644" spans="1:9" x14ac:dyDescent="0.4">
      <c r="A4644">
        <v>3010000</v>
      </c>
      <c r="B4644" t="s">
        <v>1378</v>
      </c>
      <c r="C4644" s="1">
        <v>38981</v>
      </c>
      <c r="D4644" t="s">
        <v>1379</v>
      </c>
      <c r="E4644" t="str">
        <f t="shared" si="237"/>
        <v>서울특별시</v>
      </c>
      <c r="F4644" t="str">
        <f t="shared" si="235"/>
        <v xml:space="preserve">중구 </v>
      </c>
      <c r="G4644" t="str">
        <f t="shared" si="236"/>
        <v>을지로</v>
      </c>
    </row>
    <row r="4645" spans="1:9" x14ac:dyDescent="0.4">
      <c r="A4645">
        <v>3010000</v>
      </c>
      <c r="B4645" t="s">
        <v>1994</v>
      </c>
      <c r="C4645" s="1">
        <v>26953</v>
      </c>
      <c r="D4645" t="s">
        <v>1995</v>
      </c>
      <c r="E4645" t="str">
        <f t="shared" si="237"/>
        <v>서울특별시</v>
      </c>
      <c r="F4645" t="str">
        <f t="shared" si="235"/>
        <v xml:space="preserve">중구 </v>
      </c>
      <c r="G4645" t="str">
        <f t="shared" si="236"/>
        <v>을지로</v>
      </c>
    </row>
    <row r="4646" spans="1:9" x14ac:dyDescent="0.4">
      <c r="A4646">
        <v>3010000</v>
      </c>
      <c r="B4646" t="s">
        <v>2274</v>
      </c>
      <c r="C4646" s="1">
        <v>36715</v>
      </c>
      <c r="D4646" t="s">
        <v>2275</v>
      </c>
      <c r="E4646" t="str">
        <f t="shared" si="237"/>
        <v>서울특별시</v>
      </c>
      <c r="F4646" t="str">
        <f t="shared" si="235"/>
        <v xml:space="preserve">중구 </v>
      </c>
      <c r="G4646" t="str">
        <f t="shared" si="236"/>
        <v>을지로</v>
      </c>
    </row>
    <row r="4647" spans="1:9" x14ac:dyDescent="0.4">
      <c r="A4647">
        <v>3010000</v>
      </c>
      <c r="B4647" t="s">
        <v>1617</v>
      </c>
      <c r="C4647" s="1">
        <v>37566</v>
      </c>
      <c r="D4647" t="s">
        <v>1618</v>
      </c>
      <c r="E4647" t="str">
        <f t="shared" si="237"/>
        <v>서울특별시</v>
      </c>
      <c r="F4647" t="str">
        <f t="shared" si="235"/>
        <v xml:space="preserve">중구 </v>
      </c>
      <c r="G4647" t="str">
        <f t="shared" si="236"/>
        <v>을지로</v>
      </c>
      <c r="H4647" t="s">
        <v>1619</v>
      </c>
      <c r="I4647">
        <v>4564</v>
      </c>
    </row>
    <row r="4648" spans="1:9" x14ac:dyDescent="0.4">
      <c r="A4648">
        <v>3010000</v>
      </c>
      <c r="B4648" t="s">
        <v>1882</v>
      </c>
      <c r="C4648" s="1">
        <v>38341</v>
      </c>
      <c r="D4648" t="s">
        <v>1883</v>
      </c>
      <c r="E4648" t="str">
        <f t="shared" si="237"/>
        <v>서울특별시</v>
      </c>
      <c r="F4648" t="str">
        <f t="shared" si="235"/>
        <v xml:space="preserve">중구 </v>
      </c>
      <c r="G4648" t="str">
        <f t="shared" si="236"/>
        <v>을지로</v>
      </c>
    </row>
    <row r="4649" spans="1:9" x14ac:dyDescent="0.4">
      <c r="A4649">
        <v>3010000</v>
      </c>
      <c r="B4649" t="s">
        <v>1502</v>
      </c>
      <c r="C4649" s="1">
        <v>31273</v>
      </c>
      <c r="D4649" t="s">
        <v>1503</v>
      </c>
      <c r="E4649" t="str">
        <f t="shared" si="237"/>
        <v>서울특별시</v>
      </c>
      <c r="F4649" t="str">
        <f t="shared" si="235"/>
        <v xml:space="preserve">중구 </v>
      </c>
      <c r="G4649" t="str">
        <f t="shared" si="236"/>
        <v>을지로</v>
      </c>
    </row>
    <row r="4650" spans="1:9" x14ac:dyDescent="0.4">
      <c r="A4650">
        <v>3010000</v>
      </c>
      <c r="B4650" t="s">
        <v>2227</v>
      </c>
      <c r="C4650" s="1">
        <v>30732</v>
      </c>
      <c r="D4650" t="s">
        <v>2228</v>
      </c>
      <c r="E4650" t="str">
        <f t="shared" si="237"/>
        <v>서울특별시</v>
      </c>
      <c r="F4650" t="str">
        <f t="shared" si="235"/>
        <v xml:space="preserve">중구 </v>
      </c>
      <c r="G4650" t="str">
        <f t="shared" si="236"/>
        <v>을지로</v>
      </c>
    </row>
    <row r="4651" spans="1:9" x14ac:dyDescent="0.4">
      <c r="A4651">
        <v>3010000</v>
      </c>
      <c r="B4651" t="s">
        <v>2322</v>
      </c>
      <c r="C4651" s="1">
        <v>44840</v>
      </c>
      <c r="D4651" t="s">
        <v>2323</v>
      </c>
      <c r="E4651" t="str">
        <f t="shared" si="237"/>
        <v>서울특별시</v>
      </c>
      <c r="F4651" t="str">
        <f t="shared" si="235"/>
        <v xml:space="preserve">중구 </v>
      </c>
      <c r="G4651" t="str">
        <f t="shared" si="236"/>
        <v>을지로</v>
      </c>
      <c r="H4651" t="s">
        <v>2324</v>
      </c>
      <c r="I4651">
        <v>4561</v>
      </c>
    </row>
    <row r="4652" spans="1:9" x14ac:dyDescent="0.4">
      <c r="A4652">
        <v>3010000</v>
      </c>
      <c r="B4652" t="s">
        <v>1674</v>
      </c>
      <c r="C4652" s="1">
        <v>40806</v>
      </c>
      <c r="D4652" t="s">
        <v>1675</v>
      </c>
      <c r="E4652" t="str">
        <f t="shared" si="237"/>
        <v>서울특별시</v>
      </c>
      <c r="F4652" t="str">
        <f t="shared" si="235"/>
        <v xml:space="preserve">중구 </v>
      </c>
      <c r="G4652" t="str">
        <f t="shared" si="236"/>
        <v>을지로</v>
      </c>
      <c r="H4652" t="s">
        <v>1676</v>
      </c>
      <c r="I4652">
        <v>4561</v>
      </c>
    </row>
    <row r="4653" spans="1:9" x14ac:dyDescent="0.4">
      <c r="A4653">
        <v>3010000</v>
      </c>
      <c r="B4653" t="s">
        <v>1388</v>
      </c>
      <c r="C4653" s="1">
        <v>38022</v>
      </c>
      <c r="D4653" t="s">
        <v>1389</v>
      </c>
      <c r="E4653" t="str">
        <f t="shared" si="237"/>
        <v>서울특별시</v>
      </c>
      <c r="F4653" t="str">
        <f t="shared" si="235"/>
        <v xml:space="preserve">중구 </v>
      </c>
      <c r="G4653" t="str">
        <f t="shared" si="236"/>
        <v>을지로</v>
      </c>
    </row>
    <row r="4654" spans="1:9" x14ac:dyDescent="0.4">
      <c r="A4654">
        <v>3010000</v>
      </c>
      <c r="B4654" t="s">
        <v>1516</v>
      </c>
      <c r="C4654" s="1">
        <v>31566</v>
      </c>
      <c r="D4654" t="s">
        <v>1517</v>
      </c>
      <c r="E4654" t="str">
        <f t="shared" si="237"/>
        <v>서울특별시</v>
      </c>
      <c r="F4654" t="str">
        <f t="shared" si="235"/>
        <v xml:space="preserve">중구 </v>
      </c>
      <c r="G4654" t="str">
        <f t="shared" si="236"/>
        <v>을지로</v>
      </c>
    </row>
    <row r="4655" spans="1:9" x14ac:dyDescent="0.4">
      <c r="A4655">
        <v>3010000</v>
      </c>
      <c r="B4655" t="s">
        <v>1950</v>
      </c>
      <c r="C4655" s="1">
        <v>41737</v>
      </c>
      <c r="D4655" t="s">
        <v>1951</v>
      </c>
      <c r="E4655" t="str">
        <f t="shared" si="237"/>
        <v>서울특별시</v>
      </c>
      <c r="F4655" t="str">
        <f t="shared" si="235"/>
        <v xml:space="preserve">중구 </v>
      </c>
      <c r="G4655" t="str">
        <f t="shared" si="236"/>
        <v>을지로</v>
      </c>
      <c r="H4655" t="s">
        <v>1952</v>
      </c>
      <c r="I4655">
        <v>4561</v>
      </c>
    </row>
    <row r="4656" spans="1:9" x14ac:dyDescent="0.4">
      <c r="A4656">
        <v>3010000</v>
      </c>
      <c r="B4656" t="s">
        <v>1694</v>
      </c>
      <c r="C4656" s="1">
        <v>31285</v>
      </c>
      <c r="D4656" t="s">
        <v>1695</v>
      </c>
      <c r="E4656" t="str">
        <f t="shared" si="237"/>
        <v>서울특별시</v>
      </c>
      <c r="F4656" t="str">
        <f t="shared" ref="F4656:F4719" si="238">MID(D4656,7,3)</f>
        <v xml:space="preserve">중구 </v>
      </c>
      <c r="G4656" t="str">
        <f t="shared" si="236"/>
        <v>을지로</v>
      </c>
    </row>
    <row r="4657" spans="1:9" x14ac:dyDescent="0.4">
      <c r="A4657">
        <v>3010000</v>
      </c>
      <c r="B4657" t="s">
        <v>1506</v>
      </c>
      <c r="C4657" s="1">
        <v>31273</v>
      </c>
      <c r="D4657" t="s">
        <v>1507</v>
      </c>
      <c r="E4657" t="str">
        <f t="shared" si="237"/>
        <v>서울특별시</v>
      </c>
      <c r="F4657" t="str">
        <f t="shared" si="238"/>
        <v xml:space="preserve">중구 </v>
      </c>
      <c r="G4657" t="str">
        <f t="shared" si="236"/>
        <v>의주로</v>
      </c>
    </row>
    <row r="4658" spans="1:9" x14ac:dyDescent="0.4">
      <c r="A4658">
        <v>3010000</v>
      </c>
      <c r="B4658" t="s">
        <v>2039</v>
      </c>
      <c r="C4658" s="1">
        <v>28346</v>
      </c>
      <c r="D4658" t="s">
        <v>2040</v>
      </c>
      <c r="E4658" t="str">
        <f t="shared" si="237"/>
        <v>서울특별시</v>
      </c>
      <c r="F4658" t="str">
        <f t="shared" si="238"/>
        <v xml:space="preserve">중구 </v>
      </c>
      <c r="G4658" t="str">
        <f t="shared" si="236"/>
        <v>의주로</v>
      </c>
    </row>
    <row r="4659" spans="1:9" x14ac:dyDescent="0.4">
      <c r="A4659">
        <v>3010000</v>
      </c>
      <c r="B4659" t="s">
        <v>1908</v>
      </c>
      <c r="C4659" s="1">
        <v>29780</v>
      </c>
      <c r="D4659" t="s">
        <v>1909</v>
      </c>
      <c r="E4659" t="str">
        <f t="shared" si="237"/>
        <v>서울특별시</v>
      </c>
      <c r="F4659" t="str">
        <f t="shared" si="238"/>
        <v xml:space="preserve">중구 </v>
      </c>
      <c r="G4659" t="str">
        <f t="shared" si="236"/>
        <v>의주로</v>
      </c>
    </row>
    <row r="4660" spans="1:9" x14ac:dyDescent="0.4">
      <c r="A4660">
        <v>3010000</v>
      </c>
      <c r="B4660" t="s">
        <v>1543</v>
      </c>
      <c r="C4660" s="1">
        <v>31351</v>
      </c>
      <c r="D4660" t="s">
        <v>1544</v>
      </c>
      <c r="E4660" t="str">
        <f t="shared" si="237"/>
        <v>서울특별시</v>
      </c>
      <c r="F4660" t="str">
        <f t="shared" si="238"/>
        <v xml:space="preserve">중구 </v>
      </c>
      <c r="G4660" t="str">
        <f t="shared" si="236"/>
        <v>의주로</v>
      </c>
    </row>
    <row r="4661" spans="1:9" x14ac:dyDescent="0.4">
      <c r="A4661">
        <v>3010000</v>
      </c>
      <c r="B4661" t="s">
        <v>1762</v>
      </c>
      <c r="C4661" s="1">
        <v>25044</v>
      </c>
      <c r="D4661" t="s">
        <v>1763</v>
      </c>
      <c r="E4661" t="str">
        <f t="shared" si="237"/>
        <v>서울특별시</v>
      </c>
      <c r="F4661" t="str">
        <f t="shared" si="238"/>
        <v xml:space="preserve">중구 </v>
      </c>
      <c r="G4661" t="str">
        <f t="shared" si="236"/>
        <v>의주로</v>
      </c>
    </row>
    <row r="4662" spans="1:9" x14ac:dyDescent="0.4">
      <c r="A4662">
        <v>3010000</v>
      </c>
      <c r="B4662" t="s">
        <v>1783</v>
      </c>
      <c r="C4662" s="1">
        <v>25599</v>
      </c>
      <c r="D4662" t="s">
        <v>1784</v>
      </c>
      <c r="E4662" t="str">
        <f t="shared" si="237"/>
        <v>서울특별시</v>
      </c>
      <c r="F4662" t="str">
        <f t="shared" si="238"/>
        <v xml:space="preserve">중구 </v>
      </c>
      <c r="G4662" t="str">
        <f t="shared" si="236"/>
        <v>의주로</v>
      </c>
    </row>
    <row r="4663" spans="1:9" x14ac:dyDescent="0.4">
      <c r="A4663">
        <v>3010000</v>
      </c>
      <c r="B4663" t="s">
        <v>1393</v>
      </c>
      <c r="C4663" s="1">
        <v>40513</v>
      </c>
      <c r="D4663" t="s">
        <v>1394</v>
      </c>
      <c r="E4663" t="str">
        <f t="shared" si="237"/>
        <v>서울특별시</v>
      </c>
      <c r="F4663" t="str">
        <f t="shared" si="238"/>
        <v xml:space="preserve">중구 </v>
      </c>
      <c r="G4663" t="str">
        <f t="shared" si="236"/>
        <v>인현동</v>
      </c>
      <c r="H4663" t="s">
        <v>1395</v>
      </c>
      <c r="I4663">
        <v>4556</v>
      </c>
    </row>
    <row r="4664" spans="1:9" x14ac:dyDescent="0.4">
      <c r="A4664">
        <v>3010000</v>
      </c>
      <c r="B4664" t="s">
        <v>1982</v>
      </c>
      <c r="C4664" s="1">
        <v>36357</v>
      </c>
      <c r="D4664" t="s">
        <v>1983</v>
      </c>
      <c r="E4664" t="str">
        <f t="shared" si="237"/>
        <v>서울특별시</v>
      </c>
      <c r="F4664" t="str">
        <f t="shared" si="238"/>
        <v xml:space="preserve">중구 </v>
      </c>
      <c r="G4664" t="str">
        <f t="shared" si="236"/>
        <v>인현동</v>
      </c>
    </row>
    <row r="4665" spans="1:9" x14ac:dyDescent="0.4">
      <c r="A4665">
        <v>3010000</v>
      </c>
      <c r="B4665" t="s">
        <v>2154</v>
      </c>
      <c r="C4665" s="1">
        <v>36641</v>
      </c>
      <c r="D4665" t="s">
        <v>1983</v>
      </c>
      <c r="E4665" t="str">
        <f t="shared" si="237"/>
        <v>서울특별시</v>
      </c>
      <c r="F4665" t="str">
        <f t="shared" si="238"/>
        <v xml:space="preserve">중구 </v>
      </c>
      <c r="G4665" t="str">
        <f t="shared" si="236"/>
        <v>인현동</v>
      </c>
    </row>
    <row r="4666" spans="1:9" x14ac:dyDescent="0.4">
      <c r="A4666">
        <v>3010000</v>
      </c>
      <c r="B4666" t="s">
        <v>2586</v>
      </c>
      <c r="C4666" s="1">
        <v>37223</v>
      </c>
      <c r="D4666" t="s">
        <v>2587</v>
      </c>
      <c r="E4666" t="str">
        <f t="shared" si="237"/>
        <v>서울특별시</v>
      </c>
      <c r="F4666" t="str">
        <f t="shared" si="238"/>
        <v xml:space="preserve">중구 </v>
      </c>
      <c r="G4666" t="str">
        <f t="shared" si="236"/>
        <v>인현동</v>
      </c>
      <c r="H4666" t="s">
        <v>2588</v>
      </c>
      <c r="I4666">
        <v>4549</v>
      </c>
    </row>
    <row r="4667" spans="1:9" x14ac:dyDescent="0.4">
      <c r="A4667">
        <v>3010000</v>
      </c>
      <c r="B4667" t="s">
        <v>2808</v>
      </c>
      <c r="C4667" s="1">
        <v>37529</v>
      </c>
      <c r="D4667" t="s">
        <v>2809</v>
      </c>
      <c r="E4667" t="str">
        <f t="shared" si="237"/>
        <v>서울특별시</v>
      </c>
      <c r="F4667" t="str">
        <f t="shared" si="238"/>
        <v xml:space="preserve">중구 </v>
      </c>
      <c r="G4667" t="str">
        <f t="shared" si="236"/>
        <v>인현동</v>
      </c>
      <c r="H4667" t="s">
        <v>2810</v>
      </c>
      <c r="I4667">
        <v>4556</v>
      </c>
    </row>
    <row r="4668" spans="1:9" x14ac:dyDescent="0.4">
      <c r="A4668">
        <v>3010000</v>
      </c>
      <c r="B4668" t="s">
        <v>2337</v>
      </c>
      <c r="C4668" s="1">
        <v>38539</v>
      </c>
      <c r="D4668" t="s">
        <v>2338</v>
      </c>
      <c r="E4668" t="str">
        <f t="shared" si="237"/>
        <v>서울특별시</v>
      </c>
      <c r="F4668" t="str">
        <f t="shared" si="238"/>
        <v xml:space="preserve">중구 </v>
      </c>
      <c r="G4668" t="str">
        <f t="shared" ref="G4668:G4718" si="239">MID(SUBSTITUTE(D4668," ",""),8,3)</f>
        <v>인현동</v>
      </c>
      <c r="H4668" t="s">
        <v>2339</v>
      </c>
      <c r="I4668">
        <v>4556</v>
      </c>
    </row>
    <row r="4669" spans="1:9" x14ac:dyDescent="0.4">
      <c r="A4669">
        <v>3010000</v>
      </c>
      <c r="B4669" t="s">
        <v>2805</v>
      </c>
      <c r="C4669" s="1">
        <v>37314</v>
      </c>
      <c r="D4669" t="s">
        <v>2806</v>
      </c>
      <c r="E4669" t="str">
        <f t="shared" si="237"/>
        <v>서울특별시</v>
      </c>
      <c r="F4669" t="str">
        <f t="shared" si="238"/>
        <v xml:space="preserve">중구 </v>
      </c>
      <c r="G4669" t="str">
        <f t="shared" si="239"/>
        <v>인현동</v>
      </c>
      <c r="H4669" t="s">
        <v>2807</v>
      </c>
      <c r="I4669">
        <v>4556</v>
      </c>
    </row>
    <row r="4670" spans="1:9" x14ac:dyDescent="0.4">
      <c r="A4670">
        <v>3010000</v>
      </c>
      <c r="B4670" t="s">
        <v>2867</v>
      </c>
      <c r="C4670" s="1">
        <v>39077</v>
      </c>
      <c r="D4670" t="s">
        <v>2868</v>
      </c>
      <c r="E4670" t="str">
        <f t="shared" si="237"/>
        <v>서울특별시</v>
      </c>
      <c r="F4670" t="str">
        <f t="shared" si="238"/>
        <v xml:space="preserve">중구 </v>
      </c>
      <c r="G4670" t="str">
        <f t="shared" si="239"/>
        <v>인현동</v>
      </c>
      <c r="H4670" t="s">
        <v>2869</v>
      </c>
      <c r="I4670">
        <v>4556</v>
      </c>
    </row>
    <row r="4671" spans="1:9" x14ac:dyDescent="0.4">
      <c r="A4671">
        <v>3010000</v>
      </c>
      <c r="B4671" t="s">
        <v>2192</v>
      </c>
      <c r="C4671" s="1">
        <v>32916</v>
      </c>
      <c r="D4671" t="s">
        <v>2193</v>
      </c>
      <c r="E4671" t="str">
        <f t="shared" si="237"/>
        <v>서울특별시</v>
      </c>
      <c r="F4671" t="str">
        <f t="shared" si="238"/>
        <v xml:space="preserve">중구 </v>
      </c>
      <c r="G4671" t="str">
        <f t="shared" si="239"/>
        <v>인현동</v>
      </c>
    </row>
    <row r="4672" spans="1:9" x14ac:dyDescent="0.4">
      <c r="A4672">
        <v>3010000</v>
      </c>
      <c r="B4672" t="s">
        <v>2604</v>
      </c>
      <c r="C4672" s="1">
        <v>39272</v>
      </c>
      <c r="D4672" t="s">
        <v>2605</v>
      </c>
      <c r="E4672" t="str">
        <f t="shared" si="237"/>
        <v>서울특별시</v>
      </c>
      <c r="F4672" t="str">
        <f t="shared" si="238"/>
        <v xml:space="preserve">중구 </v>
      </c>
      <c r="G4672" t="str">
        <f t="shared" si="239"/>
        <v>인현동</v>
      </c>
      <c r="H4672" t="s">
        <v>2606</v>
      </c>
      <c r="I4672">
        <v>4556</v>
      </c>
    </row>
    <row r="4673" spans="1:9" x14ac:dyDescent="0.4">
      <c r="A4673">
        <v>3010000</v>
      </c>
      <c r="B4673" t="s">
        <v>1563</v>
      </c>
      <c r="C4673" s="1">
        <v>27738</v>
      </c>
      <c r="D4673" t="s">
        <v>1564</v>
      </c>
      <c r="E4673" t="str">
        <f t="shared" si="237"/>
        <v>서울특별시</v>
      </c>
      <c r="F4673" t="str">
        <f t="shared" si="238"/>
        <v xml:space="preserve">중구 </v>
      </c>
      <c r="G4673" t="str">
        <f t="shared" si="239"/>
        <v>인현동</v>
      </c>
    </row>
    <row r="4674" spans="1:9" x14ac:dyDescent="0.4">
      <c r="A4674">
        <v>3010000</v>
      </c>
      <c r="B4674" t="s">
        <v>1790</v>
      </c>
      <c r="C4674" s="1">
        <v>26358</v>
      </c>
      <c r="D4674" t="s">
        <v>1564</v>
      </c>
      <c r="E4674" t="str">
        <f t="shared" si="237"/>
        <v>서울특별시</v>
      </c>
      <c r="F4674" t="str">
        <f t="shared" si="238"/>
        <v xml:space="preserve">중구 </v>
      </c>
      <c r="G4674" t="str">
        <f t="shared" si="239"/>
        <v>인현동</v>
      </c>
    </row>
    <row r="4675" spans="1:9" x14ac:dyDescent="0.4">
      <c r="A4675">
        <v>3010000</v>
      </c>
      <c r="B4675" t="s">
        <v>1965</v>
      </c>
      <c r="C4675" s="1">
        <v>32031</v>
      </c>
      <c r="D4675" t="s">
        <v>1564</v>
      </c>
      <c r="E4675" t="str">
        <f t="shared" ref="E4675:E4738" si="240">LEFT(D4675,5)</f>
        <v>서울특별시</v>
      </c>
      <c r="F4675" t="str">
        <f t="shared" si="238"/>
        <v xml:space="preserve">중구 </v>
      </c>
      <c r="G4675" t="str">
        <f t="shared" si="239"/>
        <v>인현동</v>
      </c>
    </row>
    <row r="4676" spans="1:9" x14ac:dyDescent="0.4">
      <c r="A4676">
        <v>3010000</v>
      </c>
      <c r="B4676" t="s">
        <v>2123</v>
      </c>
      <c r="C4676" s="1">
        <v>36846</v>
      </c>
      <c r="D4676" t="s">
        <v>1564</v>
      </c>
      <c r="E4676" t="str">
        <f t="shared" si="240"/>
        <v>서울특별시</v>
      </c>
      <c r="F4676" t="str">
        <f t="shared" si="238"/>
        <v xml:space="preserve">중구 </v>
      </c>
      <c r="G4676" t="str">
        <f t="shared" si="239"/>
        <v>인현동</v>
      </c>
    </row>
    <row r="4677" spans="1:9" x14ac:dyDescent="0.4">
      <c r="A4677">
        <v>3010000</v>
      </c>
      <c r="B4677" t="s">
        <v>2064</v>
      </c>
      <c r="C4677" s="1">
        <v>36466</v>
      </c>
      <c r="D4677" t="s">
        <v>2065</v>
      </c>
      <c r="E4677" t="str">
        <f t="shared" si="240"/>
        <v>서울특별시</v>
      </c>
      <c r="F4677" t="str">
        <f t="shared" si="238"/>
        <v xml:space="preserve">중구 </v>
      </c>
      <c r="G4677" t="str">
        <f t="shared" si="239"/>
        <v>인현동</v>
      </c>
      <c r="H4677" t="s">
        <v>2066</v>
      </c>
      <c r="I4677">
        <v>4549</v>
      </c>
    </row>
    <row r="4678" spans="1:9" x14ac:dyDescent="0.4">
      <c r="A4678">
        <v>3010000</v>
      </c>
      <c r="B4678" t="s">
        <v>1863</v>
      </c>
      <c r="C4678" s="1">
        <v>39100</v>
      </c>
      <c r="D4678" t="s">
        <v>1864</v>
      </c>
      <c r="E4678" t="str">
        <f t="shared" si="240"/>
        <v>서울특별시</v>
      </c>
      <c r="F4678" t="str">
        <f t="shared" si="238"/>
        <v xml:space="preserve">중구 </v>
      </c>
      <c r="G4678" t="str">
        <f t="shared" si="239"/>
        <v>장교동</v>
      </c>
    </row>
    <row r="4679" spans="1:9" x14ac:dyDescent="0.4">
      <c r="A4679">
        <v>3010000</v>
      </c>
      <c r="B4679" t="s">
        <v>1667</v>
      </c>
      <c r="C4679" s="1">
        <v>27119</v>
      </c>
      <c r="D4679" t="s">
        <v>1668</v>
      </c>
      <c r="E4679" t="str">
        <f t="shared" si="240"/>
        <v>서울특별시</v>
      </c>
      <c r="F4679" t="str">
        <f t="shared" si="238"/>
        <v xml:space="preserve">중구 </v>
      </c>
      <c r="G4679" t="str">
        <f t="shared" si="239"/>
        <v>장충동</v>
      </c>
    </row>
    <row r="4680" spans="1:9" x14ac:dyDescent="0.4">
      <c r="A4680">
        <v>3010000</v>
      </c>
      <c r="B4680" t="s">
        <v>1901</v>
      </c>
      <c r="C4680" s="1">
        <v>29341</v>
      </c>
      <c r="D4680" t="s">
        <v>1902</v>
      </c>
      <c r="E4680" t="str">
        <f t="shared" si="240"/>
        <v>서울특별시</v>
      </c>
      <c r="F4680" t="str">
        <f t="shared" si="238"/>
        <v xml:space="preserve">중구 </v>
      </c>
      <c r="G4680" t="str">
        <f t="shared" si="239"/>
        <v>장충동</v>
      </c>
    </row>
    <row r="4681" spans="1:9" x14ac:dyDescent="0.4">
      <c r="A4681">
        <v>3010000</v>
      </c>
      <c r="B4681" t="s">
        <v>1556</v>
      </c>
      <c r="C4681" s="1">
        <v>27576</v>
      </c>
      <c r="D4681" t="s">
        <v>1557</v>
      </c>
      <c r="E4681" t="str">
        <f t="shared" si="240"/>
        <v>서울특별시</v>
      </c>
      <c r="F4681" t="str">
        <f t="shared" si="238"/>
        <v xml:space="preserve">중구 </v>
      </c>
      <c r="G4681" t="str">
        <f t="shared" si="239"/>
        <v>장충동</v>
      </c>
    </row>
    <row r="4682" spans="1:9" x14ac:dyDescent="0.4">
      <c r="A4682">
        <v>3010000</v>
      </c>
      <c r="B4682" t="s">
        <v>1565</v>
      </c>
      <c r="C4682" s="1">
        <v>27771</v>
      </c>
      <c r="D4682" t="s">
        <v>1566</v>
      </c>
      <c r="E4682" t="str">
        <f t="shared" si="240"/>
        <v>서울특별시</v>
      </c>
      <c r="F4682" t="str">
        <f t="shared" si="238"/>
        <v xml:space="preserve">중구 </v>
      </c>
      <c r="G4682" t="str">
        <f t="shared" si="239"/>
        <v>장충동</v>
      </c>
    </row>
    <row r="4683" spans="1:9" x14ac:dyDescent="0.4">
      <c r="A4683">
        <v>3010000</v>
      </c>
      <c r="B4683" t="s">
        <v>1399</v>
      </c>
      <c r="C4683" s="1">
        <v>30318</v>
      </c>
      <c r="D4683" t="s">
        <v>1400</v>
      </c>
      <c r="E4683" t="str">
        <f t="shared" si="240"/>
        <v>서울특별시</v>
      </c>
      <c r="F4683" t="str">
        <f t="shared" si="238"/>
        <v xml:space="preserve">중구 </v>
      </c>
      <c r="G4683" t="str">
        <f t="shared" si="239"/>
        <v>장충동</v>
      </c>
    </row>
    <row r="4684" spans="1:9" x14ac:dyDescent="0.4">
      <c r="A4684">
        <v>3010000</v>
      </c>
      <c r="B4684" t="s">
        <v>1903</v>
      </c>
      <c r="C4684" s="1">
        <v>29418</v>
      </c>
      <c r="D4684" t="s">
        <v>1904</v>
      </c>
      <c r="E4684" t="str">
        <f t="shared" si="240"/>
        <v>서울특별시</v>
      </c>
      <c r="F4684" t="str">
        <f t="shared" si="238"/>
        <v xml:space="preserve">중구 </v>
      </c>
      <c r="G4684" t="str">
        <f t="shared" si="239"/>
        <v>장충동</v>
      </c>
    </row>
    <row r="4685" spans="1:9" x14ac:dyDescent="0.4">
      <c r="A4685">
        <v>3010000</v>
      </c>
      <c r="B4685" t="s">
        <v>1809</v>
      </c>
      <c r="C4685" s="1">
        <v>27827</v>
      </c>
      <c r="D4685" t="s">
        <v>1810</v>
      </c>
      <c r="E4685" t="str">
        <f t="shared" si="240"/>
        <v>서울특별시</v>
      </c>
      <c r="F4685" t="str">
        <f t="shared" si="238"/>
        <v xml:space="preserve">중구 </v>
      </c>
      <c r="G4685" t="str">
        <f t="shared" si="239"/>
        <v>장충동</v>
      </c>
    </row>
    <row r="4686" spans="1:9" x14ac:dyDescent="0.4">
      <c r="A4686">
        <v>3010000</v>
      </c>
      <c r="B4686" t="s">
        <v>2832</v>
      </c>
      <c r="C4686" s="1">
        <v>36501</v>
      </c>
      <c r="D4686" t="s">
        <v>2833</v>
      </c>
      <c r="E4686" t="str">
        <f t="shared" si="240"/>
        <v>서울특별시</v>
      </c>
      <c r="F4686" t="str">
        <f t="shared" si="238"/>
        <v xml:space="preserve">중구 </v>
      </c>
      <c r="G4686" t="str">
        <f t="shared" si="239"/>
        <v>저동1</v>
      </c>
      <c r="H4686" t="s">
        <v>2834</v>
      </c>
      <c r="I4686">
        <v>4538</v>
      </c>
    </row>
    <row r="4687" spans="1:9" x14ac:dyDescent="0.4">
      <c r="A4687">
        <v>3010000</v>
      </c>
      <c r="B4687" t="s">
        <v>2531</v>
      </c>
      <c r="C4687" s="1">
        <v>36295</v>
      </c>
      <c r="D4687" t="s">
        <v>2532</v>
      </c>
      <c r="E4687" t="str">
        <f t="shared" si="240"/>
        <v>서울특별시</v>
      </c>
      <c r="F4687" t="str">
        <f t="shared" si="238"/>
        <v xml:space="preserve">중구 </v>
      </c>
      <c r="G4687" t="str">
        <f t="shared" si="239"/>
        <v>저동2</v>
      </c>
      <c r="H4687" t="s">
        <v>2533</v>
      </c>
      <c r="I4687">
        <v>4555</v>
      </c>
    </row>
    <row r="4688" spans="1:9" x14ac:dyDescent="0.4">
      <c r="A4688">
        <v>3010000</v>
      </c>
      <c r="B4688" t="s">
        <v>1731</v>
      </c>
      <c r="C4688" s="1">
        <v>39637</v>
      </c>
      <c r="D4688" t="s">
        <v>1732</v>
      </c>
      <c r="E4688" t="str">
        <f t="shared" si="240"/>
        <v>서울특별시</v>
      </c>
      <c r="F4688" t="str">
        <f t="shared" si="238"/>
        <v xml:space="preserve">중구 </v>
      </c>
      <c r="G4688" t="str">
        <f t="shared" si="239"/>
        <v>저동2</v>
      </c>
      <c r="H4688" t="s">
        <v>1733</v>
      </c>
      <c r="I4688">
        <v>4555</v>
      </c>
    </row>
    <row r="4689" spans="1:9" x14ac:dyDescent="0.4">
      <c r="A4689">
        <v>3010000</v>
      </c>
      <c r="B4689" t="s">
        <v>2331</v>
      </c>
      <c r="C4689" s="1">
        <v>45264</v>
      </c>
      <c r="D4689" t="s">
        <v>2332</v>
      </c>
      <c r="E4689" t="str">
        <f t="shared" si="240"/>
        <v>서울특별시</v>
      </c>
      <c r="F4689" t="str">
        <f t="shared" si="238"/>
        <v xml:space="preserve">중구 </v>
      </c>
      <c r="G4689" t="str">
        <f t="shared" si="239"/>
        <v>저동2</v>
      </c>
      <c r="H4689" t="s">
        <v>2333</v>
      </c>
      <c r="I4689">
        <v>4550</v>
      </c>
    </row>
    <row r="4690" spans="1:9" x14ac:dyDescent="0.4">
      <c r="A4690">
        <v>3010000</v>
      </c>
      <c r="B4690" t="s">
        <v>2708</v>
      </c>
      <c r="C4690" s="1">
        <v>36712</v>
      </c>
      <c r="D4690" t="s">
        <v>2709</v>
      </c>
      <c r="E4690" t="str">
        <f t="shared" si="240"/>
        <v>서울특별시</v>
      </c>
      <c r="F4690" t="str">
        <f t="shared" si="238"/>
        <v xml:space="preserve">중구 </v>
      </c>
      <c r="G4690" t="str">
        <f t="shared" si="239"/>
        <v>저동2</v>
      </c>
      <c r="H4690" t="s">
        <v>2710</v>
      </c>
      <c r="I4690">
        <v>4551</v>
      </c>
    </row>
    <row r="4691" spans="1:9" x14ac:dyDescent="0.4">
      <c r="A4691">
        <v>3010000</v>
      </c>
      <c r="B4691" t="s">
        <v>2003</v>
      </c>
      <c r="C4691" s="1">
        <v>37256</v>
      </c>
      <c r="D4691" t="s">
        <v>2004</v>
      </c>
      <c r="E4691" t="str">
        <f t="shared" si="240"/>
        <v>서울특별시</v>
      </c>
      <c r="F4691" t="str">
        <f t="shared" si="238"/>
        <v xml:space="preserve">중구 </v>
      </c>
      <c r="G4691" t="str">
        <f t="shared" si="239"/>
        <v>저동2</v>
      </c>
    </row>
    <row r="4692" spans="1:9" x14ac:dyDescent="0.4">
      <c r="A4692">
        <v>3010000</v>
      </c>
      <c r="B4692" t="s">
        <v>2647</v>
      </c>
      <c r="C4692" s="1">
        <v>36420</v>
      </c>
      <c r="D4692" t="s">
        <v>2648</v>
      </c>
      <c r="E4692" t="str">
        <f t="shared" si="240"/>
        <v>서울특별시</v>
      </c>
      <c r="F4692" t="str">
        <f t="shared" si="238"/>
        <v xml:space="preserve">중구 </v>
      </c>
      <c r="G4692" t="str">
        <f t="shared" si="239"/>
        <v>저동2</v>
      </c>
      <c r="H4692" t="s">
        <v>2649</v>
      </c>
      <c r="I4692">
        <v>4551</v>
      </c>
    </row>
    <row r="4693" spans="1:9" x14ac:dyDescent="0.4">
      <c r="A4693">
        <v>3010000</v>
      </c>
      <c r="B4693" t="s">
        <v>1827</v>
      </c>
      <c r="C4693" s="1">
        <v>26726</v>
      </c>
      <c r="D4693" t="s">
        <v>1828</v>
      </c>
      <c r="E4693" t="str">
        <f t="shared" si="240"/>
        <v>서울특별시</v>
      </c>
      <c r="F4693" t="str">
        <f t="shared" si="238"/>
        <v xml:space="preserve">중구 </v>
      </c>
      <c r="G4693" t="str">
        <f t="shared" si="239"/>
        <v>정동1</v>
      </c>
    </row>
    <row r="4694" spans="1:9" x14ac:dyDescent="0.4">
      <c r="A4694">
        <v>3010000</v>
      </c>
      <c r="B4694" t="s">
        <v>2016</v>
      </c>
      <c r="C4694" s="1">
        <v>28116</v>
      </c>
      <c r="D4694" t="s">
        <v>2017</v>
      </c>
      <c r="E4694" t="str">
        <f t="shared" si="240"/>
        <v>서울특별시</v>
      </c>
      <c r="F4694" t="str">
        <f t="shared" si="238"/>
        <v xml:space="preserve">중구 </v>
      </c>
      <c r="G4694" t="str">
        <f t="shared" si="239"/>
        <v>주교동</v>
      </c>
      <c r="H4694" t="s">
        <v>2018</v>
      </c>
      <c r="I4694">
        <v>4546</v>
      </c>
    </row>
    <row r="4695" spans="1:9" x14ac:dyDescent="0.4">
      <c r="A4695">
        <v>3010000</v>
      </c>
      <c r="B4695" t="s">
        <v>2723</v>
      </c>
      <c r="C4695" s="1">
        <v>36698</v>
      </c>
      <c r="D4695" t="s">
        <v>2724</v>
      </c>
      <c r="E4695" t="str">
        <f t="shared" si="240"/>
        <v>서울특별시</v>
      </c>
      <c r="F4695" t="str">
        <f t="shared" si="238"/>
        <v xml:space="preserve">중구 </v>
      </c>
      <c r="G4695" t="str">
        <f t="shared" si="239"/>
        <v>주교동</v>
      </c>
      <c r="H4695" t="s">
        <v>2725</v>
      </c>
      <c r="I4695">
        <v>4546</v>
      </c>
    </row>
    <row r="4696" spans="1:9" x14ac:dyDescent="0.4">
      <c r="A4696">
        <v>3010000</v>
      </c>
      <c r="B4696" t="s">
        <v>2820</v>
      </c>
      <c r="C4696" s="1">
        <v>37347</v>
      </c>
      <c r="D4696" t="s">
        <v>2821</v>
      </c>
      <c r="E4696" t="str">
        <f t="shared" si="240"/>
        <v>서울특별시</v>
      </c>
      <c r="F4696" t="str">
        <f t="shared" si="238"/>
        <v xml:space="preserve">중구 </v>
      </c>
      <c r="G4696" t="str">
        <f t="shared" si="239"/>
        <v>주교동</v>
      </c>
      <c r="H4696" t="s">
        <v>2822</v>
      </c>
      <c r="I4696">
        <v>4546</v>
      </c>
    </row>
    <row r="4697" spans="1:9" x14ac:dyDescent="0.4">
      <c r="A4697">
        <v>3010000</v>
      </c>
      <c r="B4697" t="s">
        <v>1801</v>
      </c>
      <c r="C4697" s="1">
        <v>26619</v>
      </c>
      <c r="D4697" t="s">
        <v>1802</v>
      </c>
      <c r="E4697" t="str">
        <f t="shared" si="240"/>
        <v>서울특별시</v>
      </c>
      <c r="F4697" t="str">
        <f t="shared" si="238"/>
        <v xml:space="preserve">중구 </v>
      </c>
      <c r="G4697" t="str">
        <f t="shared" si="239"/>
        <v>주교동</v>
      </c>
    </row>
    <row r="4698" spans="1:9" x14ac:dyDescent="0.4">
      <c r="A4698">
        <v>3010000</v>
      </c>
      <c r="B4698" t="s">
        <v>1897</v>
      </c>
      <c r="C4698" s="1">
        <v>29205</v>
      </c>
      <c r="D4698" t="s">
        <v>1898</v>
      </c>
      <c r="E4698" t="str">
        <f t="shared" si="240"/>
        <v>서울특별시</v>
      </c>
      <c r="F4698" t="str">
        <f t="shared" si="238"/>
        <v xml:space="preserve">중구 </v>
      </c>
      <c r="G4698" t="str">
        <f t="shared" si="239"/>
        <v>주교동</v>
      </c>
    </row>
    <row r="4699" spans="1:9" x14ac:dyDescent="0.4">
      <c r="A4699">
        <v>3010000</v>
      </c>
      <c r="B4699" t="s">
        <v>2033</v>
      </c>
      <c r="C4699" s="1">
        <v>28193</v>
      </c>
      <c r="D4699" t="s">
        <v>2034</v>
      </c>
      <c r="E4699" t="str">
        <f t="shared" si="240"/>
        <v>서울특별시</v>
      </c>
      <c r="F4699" t="str">
        <f t="shared" si="238"/>
        <v xml:space="preserve">중구 </v>
      </c>
      <c r="G4699" t="str">
        <f t="shared" si="239"/>
        <v>주교동</v>
      </c>
    </row>
    <row r="4700" spans="1:9" x14ac:dyDescent="0.4">
      <c r="A4700">
        <v>3010000</v>
      </c>
      <c r="B4700" t="s">
        <v>1986</v>
      </c>
      <c r="C4700" s="1">
        <v>30922</v>
      </c>
      <c r="D4700" t="s">
        <v>1987</v>
      </c>
      <c r="E4700" t="str">
        <f t="shared" si="240"/>
        <v>서울특별시</v>
      </c>
      <c r="F4700" t="str">
        <f t="shared" si="238"/>
        <v xml:space="preserve">중구 </v>
      </c>
      <c r="G4700" t="str">
        <f t="shared" si="239"/>
        <v>주교동</v>
      </c>
    </row>
    <row r="4701" spans="1:9" x14ac:dyDescent="0.4">
      <c r="A4701">
        <v>3010000</v>
      </c>
      <c r="B4701" t="s">
        <v>1857</v>
      </c>
      <c r="C4701" s="1">
        <v>39050</v>
      </c>
      <c r="D4701" t="s">
        <v>1858</v>
      </c>
      <c r="E4701" t="str">
        <f t="shared" si="240"/>
        <v>서울특별시</v>
      </c>
      <c r="F4701" t="str">
        <f t="shared" si="238"/>
        <v xml:space="preserve">중구 </v>
      </c>
      <c r="G4701" t="str">
        <f t="shared" si="239"/>
        <v>주교동</v>
      </c>
      <c r="H4701" t="s">
        <v>1859</v>
      </c>
      <c r="I4701">
        <v>4546</v>
      </c>
    </row>
    <row r="4702" spans="1:9" x14ac:dyDescent="0.4">
      <c r="A4702">
        <v>3010000</v>
      </c>
      <c r="B4702" t="s">
        <v>2392</v>
      </c>
      <c r="C4702" s="1">
        <v>37672</v>
      </c>
      <c r="D4702" t="s">
        <v>2393</v>
      </c>
      <c r="E4702" t="str">
        <f t="shared" si="240"/>
        <v>서울특별시</v>
      </c>
      <c r="F4702" t="str">
        <f t="shared" si="238"/>
        <v xml:space="preserve">중구 </v>
      </c>
      <c r="G4702" t="str">
        <f t="shared" si="239"/>
        <v>주교동</v>
      </c>
      <c r="H4702" t="s">
        <v>2394</v>
      </c>
      <c r="I4702">
        <v>4546</v>
      </c>
    </row>
    <row r="4703" spans="1:9" x14ac:dyDescent="0.4">
      <c r="A4703">
        <v>3010000</v>
      </c>
      <c r="B4703" t="s">
        <v>1803</v>
      </c>
      <c r="C4703" s="1">
        <v>26630</v>
      </c>
      <c r="D4703" t="s">
        <v>1804</v>
      </c>
      <c r="E4703" t="str">
        <f t="shared" si="240"/>
        <v>서울특별시</v>
      </c>
      <c r="F4703" t="str">
        <f t="shared" si="238"/>
        <v xml:space="preserve">중구 </v>
      </c>
      <c r="G4703" t="str">
        <f t="shared" si="239"/>
        <v>주교동</v>
      </c>
    </row>
    <row r="4704" spans="1:9" x14ac:dyDescent="0.4">
      <c r="A4704">
        <v>3010000</v>
      </c>
      <c r="B4704" t="s">
        <v>1496</v>
      </c>
      <c r="C4704" s="1">
        <v>31227</v>
      </c>
      <c r="D4704" t="s">
        <v>1497</v>
      </c>
      <c r="E4704" t="str">
        <f t="shared" si="240"/>
        <v>서울특별시</v>
      </c>
      <c r="F4704" t="str">
        <f t="shared" si="238"/>
        <v xml:space="preserve">중구 </v>
      </c>
      <c r="G4704" t="str">
        <f t="shared" si="239"/>
        <v>중림동</v>
      </c>
    </row>
    <row r="4705" spans="1:9" x14ac:dyDescent="0.4">
      <c r="A4705">
        <v>3010000</v>
      </c>
      <c r="B4705" t="s">
        <v>1764</v>
      </c>
      <c r="C4705" s="1">
        <v>25151</v>
      </c>
      <c r="D4705" t="s">
        <v>1765</v>
      </c>
      <c r="E4705" t="str">
        <f t="shared" si="240"/>
        <v>서울특별시</v>
      </c>
      <c r="F4705" t="str">
        <f t="shared" si="238"/>
        <v xml:space="preserve">중구 </v>
      </c>
      <c r="G4705" t="str">
        <f t="shared" si="239"/>
        <v>중림동</v>
      </c>
    </row>
    <row r="4706" spans="1:9" x14ac:dyDescent="0.4">
      <c r="A4706">
        <v>3010000</v>
      </c>
      <c r="B4706" t="s">
        <v>1429</v>
      </c>
      <c r="C4706" s="1">
        <v>28861</v>
      </c>
      <c r="D4706" t="s">
        <v>1430</v>
      </c>
      <c r="E4706" t="str">
        <f t="shared" si="240"/>
        <v>서울특별시</v>
      </c>
      <c r="F4706" t="str">
        <f t="shared" si="238"/>
        <v xml:space="preserve">중구 </v>
      </c>
      <c r="G4706" t="str">
        <f t="shared" si="239"/>
        <v>중림동</v>
      </c>
    </row>
    <row r="4707" spans="1:9" x14ac:dyDescent="0.4">
      <c r="A4707">
        <v>3010000</v>
      </c>
      <c r="B4707" t="s">
        <v>1894</v>
      </c>
      <c r="C4707" s="1">
        <v>28861</v>
      </c>
      <c r="D4707" t="s">
        <v>1430</v>
      </c>
      <c r="E4707" t="str">
        <f t="shared" si="240"/>
        <v>서울특별시</v>
      </c>
      <c r="F4707" t="str">
        <f t="shared" si="238"/>
        <v xml:space="preserve">중구 </v>
      </c>
      <c r="G4707" t="str">
        <f t="shared" si="239"/>
        <v>중림동</v>
      </c>
    </row>
    <row r="4708" spans="1:9" x14ac:dyDescent="0.4">
      <c r="A4708">
        <v>3010000</v>
      </c>
      <c r="B4708" t="s">
        <v>2817</v>
      </c>
      <c r="C4708" s="1">
        <v>37323</v>
      </c>
      <c r="D4708" t="s">
        <v>2818</v>
      </c>
      <c r="E4708" t="str">
        <f t="shared" si="240"/>
        <v>서울특별시</v>
      </c>
      <c r="F4708" t="str">
        <f t="shared" si="238"/>
        <v xml:space="preserve">중구 </v>
      </c>
      <c r="G4708" t="str">
        <f t="shared" si="239"/>
        <v>중림동</v>
      </c>
      <c r="H4708" t="s">
        <v>2819</v>
      </c>
      <c r="I4708">
        <v>4507</v>
      </c>
    </row>
    <row r="4709" spans="1:9" x14ac:dyDescent="0.4">
      <c r="A4709">
        <v>3010000</v>
      </c>
      <c r="B4709" t="s">
        <v>2534</v>
      </c>
      <c r="C4709" s="1">
        <v>38314</v>
      </c>
      <c r="D4709" t="s">
        <v>2535</v>
      </c>
      <c r="E4709" t="str">
        <f t="shared" si="240"/>
        <v>서울특별시</v>
      </c>
      <c r="F4709" t="str">
        <f t="shared" si="238"/>
        <v xml:space="preserve">중구 </v>
      </c>
      <c r="G4709" t="str">
        <f t="shared" si="239"/>
        <v>중림동</v>
      </c>
      <c r="H4709" t="s">
        <v>2536</v>
      </c>
      <c r="I4709">
        <v>4507</v>
      </c>
    </row>
    <row r="4710" spans="1:9" x14ac:dyDescent="0.4">
      <c r="A4710">
        <v>3010000</v>
      </c>
      <c r="B4710" t="s">
        <v>2778</v>
      </c>
      <c r="C4710" s="1">
        <v>27992</v>
      </c>
      <c r="D4710" t="s">
        <v>2779</v>
      </c>
      <c r="E4710" t="str">
        <f t="shared" si="240"/>
        <v>서울특별시</v>
      </c>
      <c r="F4710" t="str">
        <f t="shared" si="238"/>
        <v xml:space="preserve">중구 </v>
      </c>
      <c r="G4710" t="str">
        <f t="shared" si="239"/>
        <v>중림동</v>
      </c>
      <c r="H4710" t="s">
        <v>2780</v>
      </c>
      <c r="I4710">
        <v>4507</v>
      </c>
    </row>
    <row r="4711" spans="1:9" x14ac:dyDescent="0.4">
      <c r="A4711">
        <v>3010000</v>
      </c>
      <c r="B4711" t="s">
        <v>2221</v>
      </c>
      <c r="C4711" s="1">
        <v>30457</v>
      </c>
      <c r="D4711" t="s">
        <v>2222</v>
      </c>
      <c r="E4711" t="str">
        <f t="shared" si="240"/>
        <v>서울특별시</v>
      </c>
      <c r="F4711" t="str">
        <f t="shared" si="238"/>
        <v xml:space="preserve">중구 </v>
      </c>
      <c r="G4711" t="str">
        <f t="shared" si="239"/>
        <v>중림동</v>
      </c>
    </row>
    <row r="4712" spans="1:9" x14ac:dyDescent="0.4">
      <c r="A4712">
        <v>3010000</v>
      </c>
      <c r="B4712" t="s">
        <v>1493</v>
      </c>
      <c r="C4712" s="1">
        <v>31226</v>
      </c>
      <c r="D4712" t="s">
        <v>1494</v>
      </c>
      <c r="E4712" t="str">
        <f t="shared" si="240"/>
        <v>서울특별시</v>
      </c>
      <c r="F4712" t="str">
        <f t="shared" si="238"/>
        <v xml:space="preserve">중구 </v>
      </c>
      <c r="G4712" t="str">
        <f t="shared" si="239"/>
        <v>중림동</v>
      </c>
    </row>
    <row r="4713" spans="1:9" x14ac:dyDescent="0.4">
      <c r="A4713">
        <v>3010000</v>
      </c>
      <c r="B4713" t="s">
        <v>1495</v>
      </c>
      <c r="C4713" s="1">
        <v>31226</v>
      </c>
      <c r="D4713" t="s">
        <v>1494</v>
      </c>
      <c r="E4713" t="str">
        <f t="shared" si="240"/>
        <v>서울특별시</v>
      </c>
      <c r="F4713" t="str">
        <f t="shared" si="238"/>
        <v xml:space="preserve">중구 </v>
      </c>
      <c r="G4713" t="str">
        <f t="shared" si="239"/>
        <v>중림동</v>
      </c>
    </row>
    <row r="4714" spans="1:9" x14ac:dyDescent="0.4">
      <c r="A4714">
        <v>3010000</v>
      </c>
      <c r="B4714" t="s">
        <v>2876</v>
      </c>
      <c r="C4714" s="1">
        <v>36888</v>
      </c>
      <c r="D4714" t="s">
        <v>2877</v>
      </c>
      <c r="E4714" t="str">
        <f t="shared" si="240"/>
        <v>서울특별시</v>
      </c>
      <c r="F4714" t="str">
        <f t="shared" si="238"/>
        <v xml:space="preserve">중구 </v>
      </c>
      <c r="G4714" t="str">
        <f t="shared" si="239"/>
        <v>중림동</v>
      </c>
      <c r="H4714" t="s">
        <v>2878</v>
      </c>
      <c r="I4714">
        <v>4507</v>
      </c>
    </row>
    <row r="4715" spans="1:9" x14ac:dyDescent="0.4">
      <c r="A4715">
        <v>3010000</v>
      </c>
      <c r="B4715" t="s">
        <v>1362</v>
      </c>
      <c r="C4715" s="1">
        <v>31278</v>
      </c>
      <c r="D4715" t="s">
        <v>1363</v>
      </c>
      <c r="E4715" t="str">
        <f t="shared" si="240"/>
        <v>서울특별시</v>
      </c>
      <c r="F4715" t="str">
        <f t="shared" si="238"/>
        <v xml:space="preserve">중구 </v>
      </c>
      <c r="G4715" t="str">
        <f t="shared" si="239"/>
        <v>중림동</v>
      </c>
    </row>
    <row r="4716" spans="1:9" x14ac:dyDescent="0.4">
      <c r="A4716">
        <v>3010000</v>
      </c>
      <c r="B4716" t="s">
        <v>1491</v>
      </c>
      <c r="C4716" s="1">
        <v>31225</v>
      </c>
      <c r="D4716" t="s">
        <v>1492</v>
      </c>
      <c r="E4716" t="str">
        <f t="shared" si="240"/>
        <v>서울특별시</v>
      </c>
      <c r="F4716" t="str">
        <f t="shared" si="238"/>
        <v xml:space="preserve">중구 </v>
      </c>
      <c r="G4716" t="str">
        <f t="shared" si="239"/>
        <v>중림동</v>
      </c>
    </row>
    <row r="4717" spans="1:9" x14ac:dyDescent="0.4">
      <c r="A4717">
        <v>3010000</v>
      </c>
      <c r="B4717" t="s">
        <v>1785</v>
      </c>
      <c r="C4717" s="1">
        <v>26038</v>
      </c>
      <c r="D4717" t="s">
        <v>1786</v>
      </c>
      <c r="E4717" t="str">
        <f t="shared" si="240"/>
        <v>서울특별시</v>
      </c>
      <c r="F4717" t="str">
        <f t="shared" si="238"/>
        <v xml:space="preserve">중구 </v>
      </c>
      <c r="G4717" t="str">
        <f t="shared" si="239"/>
        <v>중림동</v>
      </c>
    </row>
    <row r="4718" spans="1:9" x14ac:dyDescent="0.4">
      <c r="A4718">
        <v>3010000</v>
      </c>
      <c r="B4718" t="s">
        <v>1787</v>
      </c>
      <c r="C4718" s="1">
        <v>26038</v>
      </c>
      <c r="D4718" t="s">
        <v>1786</v>
      </c>
      <c r="E4718" t="str">
        <f t="shared" si="240"/>
        <v>서울특별시</v>
      </c>
      <c r="F4718" t="str">
        <f t="shared" si="238"/>
        <v xml:space="preserve">중구 </v>
      </c>
      <c r="G4718" t="str">
        <f t="shared" si="239"/>
        <v>중림동</v>
      </c>
    </row>
    <row r="4719" spans="1:9" x14ac:dyDescent="0.4">
      <c r="A4719">
        <v>3010000</v>
      </c>
      <c r="B4719" t="s">
        <v>1549</v>
      </c>
      <c r="C4719" s="1">
        <v>27363</v>
      </c>
      <c r="D4719" t="s">
        <v>1550</v>
      </c>
      <c r="E4719" t="str">
        <f t="shared" si="240"/>
        <v>서울특별시</v>
      </c>
      <c r="F4719" t="str">
        <f t="shared" si="238"/>
        <v xml:space="preserve">중구 </v>
      </c>
      <c r="G4719" t="str">
        <f>MID(SUBSTITUTE(D4719," ",""),8,2)</f>
        <v>초동</v>
      </c>
    </row>
    <row r="4720" spans="1:9" x14ac:dyDescent="0.4">
      <c r="A4720">
        <v>3010000</v>
      </c>
      <c r="B4720" t="s">
        <v>1984</v>
      </c>
      <c r="C4720" s="1">
        <v>30888</v>
      </c>
      <c r="D4720" t="s">
        <v>1985</v>
      </c>
      <c r="E4720" t="str">
        <f t="shared" si="240"/>
        <v>서울특별시</v>
      </c>
      <c r="F4720" t="str">
        <f t="shared" ref="F4720:F4783" si="241">MID(D4720,7,3)</f>
        <v xml:space="preserve">중구 </v>
      </c>
      <c r="G4720" t="str">
        <f t="shared" ref="G4720:G4736" si="242">MID(SUBSTITUTE(D4720," ",""),8,2)</f>
        <v>초동</v>
      </c>
    </row>
    <row r="4721" spans="1:9" x14ac:dyDescent="0.4">
      <c r="A4721">
        <v>3010000</v>
      </c>
      <c r="B4721" t="s">
        <v>2404</v>
      </c>
      <c r="C4721" s="1">
        <v>41033</v>
      </c>
      <c r="D4721" t="s">
        <v>2405</v>
      </c>
      <c r="E4721" t="str">
        <f t="shared" si="240"/>
        <v>서울특별시</v>
      </c>
      <c r="F4721" t="str">
        <f t="shared" si="241"/>
        <v xml:space="preserve">중구 </v>
      </c>
      <c r="G4721" t="str">
        <f t="shared" si="242"/>
        <v>초동</v>
      </c>
      <c r="H4721" t="s">
        <v>2406</v>
      </c>
      <c r="I4721">
        <v>4550</v>
      </c>
    </row>
    <row r="4722" spans="1:9" x14ac:dyDescent="0.4">
      <c r="A4722">
        <v>3010000</v>
      </c>
      <c r="B4722" t="s">
        <v>2793</v>
      </c>
      <c r="C4722" s="1">
        <v>43083</v>
      </c>
      <c r="D4722" t="s">
        <v>2794</v>
      </c>
      <c r="E4722" t="str">
        <f t="shared" si="240"/>
        <v>서울특별시</v>
      </c>
      <c r="F4722" t="str">
        <f t="shared" si="241"/>
        <v xml:space="preserve">중구 </v>
      </c>
      <c r="G4722" t="str">
        <f t="shared" si="242"/>
        <v>초동</v>
      </c>
      <c r="H4722" t="s">
        <v>2795</v>
      </c>
      <c r="I4722">
        <v>4549</v>
      </c>
    </row>
    <row r="4723" spans="1:9" x14ac:dyDescent="0.4">
      <c r="A4723">
        <v>3010000</v>
      </c>
      <c r="B4723" t="s">
        <v>2498</v>
      </c>
      <c r="C4723" s="1">
        <v>40437</v>
      </c>
      <c r="D4723" t="s">
        <v>2499</v>
      </c>
      <c r="E4723" t="str">
        <f t="shared" si="240"/>
        <v>서울특별시</v>
      </c>
      <c r="F4723" t="str">
        <f t="shared" si="241"/>
        <v xml:space="preserve">중구 </v>
      </c>
      <c r="G4723" t="str">
        <f t="shared" si="242"/>
        <v>초동</v>
      </c>
      <c r="H4723" t="s">
        <v>2500</v>
      </c>
      <c r="I4723">
        <v>4550</v>
      </c>
    </row>
    <row r="4724" spans="1:9" x14ac:dyDescent="0.4">
      <c r="A4724">
        <v>3010000</v>
      </c>
      <c r="B4724" t="s">
        <v>2685</v>
      </c>
      <c r="C4724" s="1">
        <v>37187</v>
      </c>
      <c r="D4724" t="s">
        <v>2686</v>
      </c>
      <c r="E4724" t="str">
        <f t="shared" si="240"/>
        <v>서울특별시</v>
      </c>
      <c r="F4724" t="str">
        <f t="shared" si="241"/>
        <v xml:space="preserve">중구 </v>
      </c>
      <c r="G4724" t="str">
        <f t="shared" si="242"/>
        <v>초동</v>
      </c>
      <c r="H4724" t="s">
        <v>2687</v>
      </c>
      <c r="I4724">
        <v>4550</v>
      </c>
    </row>
    <row r="4725" spans="1:9" x14ac:dyDescent="0.4">
      <c r="A4725">
        <v>3010000</v>
      </c>
      <c r="B4725" t="s">
        <v>1509</v>
      </c>
      <c r="C4725" s="1">
        <v>31275</v>
      </c>
      <c r="D4725" t="s">
        <v>1510</v>
      </c>
      <c r="E4725" t="str">
        <f t="shared" si="240"/>
        <v>서울특별시</v>
      </c>
      <c r="F4725" t="str">
        <f t="shared" si="241"/>
        <v xml:space="preserve">중구 </v>
      </c>
      <c r="G4725" t="str">
        <f t="shared" si="242"/>
        <v>초동</v>
      </c>
    </row>
    <row r="4726" spans="1:9" x14ac:dyDescent="0.4">
      <c r="A4726">
        <v>3010000</v>
      </c>
      <c r="B4726" t="s">
        <v>1829</v>
      </c>
      <c r="C4726" s="1">
        <v>26807</v>
      </c>
      <c r="D4726" t="s">
        <v>1510</v>
      </c>
      <c r="E4726" t="str">
        <f t="shared" si="240"/>
        <v>서울특별시</v>
      </c>
      <c r="F4726" t="str">
        <f t="shared" si="241"/>
        <v xml:space="preserve">중구 </v>
      </c>
      <c r="G4726" t="str">
        <f t="shared" si="242"/>
        <v>초동</v>
      </c>
    </row>
    <row r="4727" spans="1:9" x14ac:dyDescent="0.4">
      <c r="A4727">
        <v>3010000</v>
      </c>
      <c r="B4727" t="s">
        <v>1749</v>
      </c>
      <c r="C4727" s="1">
        <v>36379</v>
      </c>
      <c r="D4727" t="s">
        <v>1750</v>
      </c>
      <c r="E4727" t="str">
        <f t="shared" si="240"/>
        <v>서울특별시</v>
      </c>
      <c r="F4727" t="str">
        <f t="shared" si="241"/>
        <v xml:space="preserve">중구 </v>
      </c>
      <c r="G4727" t="str">
        <f t="shared" si="242"/>
        <v>초동</v>
      </c>
    </row>
    <row r="4728" spans="1:9" x14ac:dyDescent="0.4">
      <c r="A4728">
        <v>3010000</v>
      </c>
      <c r="B4728" t="s">
        <v>2259</v>
      </c>
      <c r="C4728" s="1">
        <v>36813</v>
      </c>
      <c r="D4728" t="s">
        <v>1750</v>
      </c>
      <c r="E4728" t="str">
        <f t="shared" si="240"/>
        <v>서울특별시</v>
      </c>
      <c r="F4728" t="str">
        <f t="shared" si="241"/>
        <v xml:space="preserve">중구 </v>
      </c>
      <c r="G4728" t="str">
        <f t="shared" si="242"/>
        <v>초동</v>
      </c>
    </row>
    <row r="4729" spans="1:9" x14ac:dyDescent="0.4">
      <c r="A4729">
        <v>3010000</v>
      </c>
      <c r="B4729" t="s">
        <v>2487</v>
      </c>
      <c r="C4729" s="1">
        <v>30190</v>
      </c>
      <c r="D4729" t="s">
        <v>1750</v>
      </c>
      <c r="E4729" t="str">
        <f t="shared" si="240"/>
        <v>서울특별시</v>
      </c>
      <c r="F4729" t="str">
        <f t="shared" si="241"/>
        <v xml:space="preserve">중구 </v>
      </c>
      <c r="G4729" t="str">
        <f t="shared" si="242"/>
        <v>초동</v>
      </c>
      <c r="H4729" t="s">
        <v>2488</v>
      </c>
      <c r="I4729">
        <v>4550</v>
      </c>
    </row>
    <row r="4730" spans="1:9" x14ac:dyDescent="0.4">
      <c r="A4730">
        <v>3010000</v>
      </c>
      <c r="B4730" t="s">
        <v>2639</v>
      </c>
      <c r="C4730" s="1">
        <v>40015</v>
      </c>
      <c r="D4730" t="s">
        <v>2640</v>
      </c>
      <c r="E4730" t="str">
        <f t="shared" si="240"/>
        <v>서울특별시</v>
      </c>
      <c r="F4730" t="str">
        <f t="shared" si="241"/>
        <v xml:space="preserve">중구 </v>
      </c>
      <c r="G4730" t="str">
        <f t="shared" si="242"/>
        <v>초동</v>
      </c>
      <c r="H4730" t="s">
        <v>2641</v>
      </c>
      <c r="I4730">
        <v>4556</v>
      </c>
    </row>
    <row r="4731" spans="1:9" x14ac:dyDescent="0.4">
      <c r="A4731">
        <v>3010000</v>
      </c>
      <c r="B4731" t="s">
        <v>2343</v>
      </c>
      <c r="C4731" s="1">
        <v>38553</v>
      </c>
      <c r="D4731" t="s">
        <v>2344</v>
      </c>
      <c r="E4731" t="str">
        <f t="shared" si="240"/>
        <v>서울특별시</v>
      </c>
      <c r="F4731" t="str">
        <f t="shared" si="241"/>
        <v xml:space="preserve">중구 </v>
      </c>
      <c r="G4731" t="str">
        <f t="shared" si="242"/>
        <v>초동</v>
      </c>
      <c r="H4731" t="s">
        <v>2345</v>
      </c>
      <c r="I4731">
        <v>4556</v>
      </c>
    </row>
    <row r="4732" spans="1:9" x14ac:dyDescent="0.4">
      <c r="A4732">
        <v>3010000</v>
      </c>
      <c r="B4732" t="s">
        <v>2401</v>
      </c>
      <c r="C4732" s="1">
        <v>41003</v>
      </c>
      <c r="D4732" t="s">
        <v>2402</v>
      </c>
      <c r="E4732" t="str">
        <f t="shared" si="240"/>
        <v>서울특별시</v>
      </c>
      <c r="F4732" t="str">
        <f t="shared" si="241"/>
        <v xml:space="preserve">중구 </v>
      </c>
      <c r="G4732" t="str">
        <f t="shared" si="242"/>
        <v>초동</v>
      </c>
      <c r="H4732" t="s">
        <v>2403</v>
      </c>
      <c r="I4732">
        <v>4555</v>
      </c>
    </row>
    <row r="4733" spans="1:9" x14ac:dyDescent="0.4">
      <c r="A4733">
        <v>3010000</v>
      </c>
      <c r="B4733" t="s">
        <v>12164</v>
      </c>
      <c r="C4733" s="1">
        <v>39318</v>
      </c>
      <c r="D4733" t="s">
        <v>12165</v>
      </c>
      <c r="E4733" t="str">
        <f t="shared" si="240"/>
        <v>서울특별시</v>
      </c>
      <c r="F4733" t="str">
        <f t="shared" si="241"/>
        <v xml:space="preserve">중구 </v>
      </c>
      <c r="G4733" t="str">
        <f t="shared" si="242"/>
        <v>초동</v>
      </c>
      <c r="H4733" t="s">
        <v>12166</v>
      </c>
      <c r="I4733">
        <v>4555</v>
      </c>
    </row>
    <row r="4734" spans="1:9" x14ac:dyDescent="0.4">
      <c r="A4734">
        <v>3010000</v>
      </c>
      <c r="B4734" t="s">
        <v>2612</v>
      </c>
      <c r="C4734" s="1">
        <v>39645</v>
      </c>
      <c r="D4734" t="s">
        <v>2613</v>
      </c>
      <c r="E4734" t="str">
        <f t="shared" si="240"/>
        <v>서울특별시</v>
      </c>
      <c r="F4734" t="str">
        <f t="shared" si="241"/>
        <v xml:space="preserve">중구 </v>
      </c>
      <c r="G4734" t="str">
        <f t="shared" si="242"/>
        <v>초동</v>
      </c>
      <c r="H4734" t="s">
        <v>2614</v>
      </c>
      <c r="I4734">
        <v>4555</v>
      </c>
    </row>
    <row r="4735" spans="1:9" x14ac:dyDescent="0.4">
      <c r="A4735">
        <v>3010000</v>
      </c>
      <c r="B4735" t="s">
        <v>27</v>
      </c>
      <c r="C4735" s="1">
        <v>38303</v>
      </c>
      <c r="D4735" t="s">
        <v>28</v>
      </c>
      <c r="E4735" t="str">
        <f t="shared" si="240"/>
        <v>서울특별시</v>
      </c>
      <c r="F4735" t="str">
        <f t="shared" si="241"/>
        <v xml:space="preserve">중구 </v>
      </c>
      <c r="G4735" t="str">
        <f t="shared" si="242"/>
        <v>초동</v>
      </c>
      <c r="H4735" t="s">
        <v>29</v>
      </c>
      <c r="I4735">
        <v>4555</v>
      </c>
    </row>
    <row r="4736" spans="1:9" x14ac:dyDescent="0.4">
      <c r="A4736">
        <v>3010000</v>
      </c>
      <c r="B4736" t="s">
        <v>2447</v>
      </c>
      <c r="C4736" s="1">
        <v>40655</v>
      </c>
      <c r="D4736" t="s">
        <v>2448</v>
      </c>
      <c r="E4736" t="str">
        <f t="shared" si="240"/>
        <v>서울특별시</v>
      </c>
      <c r="F4736" t="str">
        <f t="shared" si="241"/>
        <v xml:space="preserve">중구 </v>
      </c>
      <c r="G4736" t="str">
        <f t="shared" si="242"/>
        <v>초동</v>
      </c>
      <c r="H4736" t="s">
        <v>2449</v>
      </c>
      <c r="I4736">
        <v>4555</v>
      </c>
    </row>
    <row r="4737" spans="1:9" x14ac:dyDescent="0.4">
      <c r="A4737">
        <v>3010000</v>
      </c>
      <c r="B4737" t="s">
        <v>1721</v>
      </c>
      <c r="C4737" s="1">
        <v>32156</v>
      </c>
      <c r="D4737" t="s">
        <v>1722</v>
      </c>
      <c r="E4737" t="str">
        <f t="shared" si="240"/>
        <v>서울특별시</v>
      </c>
      <c r="F4737" t="str">
        <f t="shared" si="241"/>
        <v xml:space="preserve">중구 </v>
      </c>
      <c r="G4737" t="str">
        <f t="shared" ref="G4737:G4795" si="243">MID(SUBSTITUTE(D4737," ",""),8,3)</f>
        <v>충무로</v>
      </c>
    </row>
    <row r="4738" spans="1:9" x14ac:dyDescent="0.4">
      <c r="A4738">
        <v>3010000</v>
      </c>
      <c r="B4738" t="s">
        <v>1723</v>
      </c>
      <c r="C4738" s="1">
        <v>32156</v>
      </c>
      <c r="D4738" t="s">
        <v>1722</v>
      </c>
      <c r="E4738" t="str">
        <f t="shared" si="240"/>
        <v>서울특별시</v>
      </c>
      <c r="F4738" t="str">
        <f t="shared" si="241"/>
        <v xml:space="preserve">중구 </v>
      </c>
      <c r="G4738" t="str">
        <f t="shared" si="243"/>
        <v>충무로</v>
      </c>
    </row>
    <row r="4739" spans="1:9" x14ac:dyDescent="0.4">
      <c r="A4739">
        <v>3010000</v>
      </c>
      <c r="B4739" t="s">
        <v>1797</v>
      </c>
      <c r="C4739" s="1">
        <v>26518</v>
      </c>
      <c r="D4739" t="s">
        <v>1798</v>
      </c>
      <c r="E4739" t="str">
        <f t="shared" ref="E4739:E4802" si="244">LEFT(D4739,5)</f>
        <v>서울특별시</v>
      </c>
      <c r="F4739" t="str">
        <f t="shared" si="241"/>
        <v xml:space="preserve">중구 </v>
      </c>
      <c r="G4739" t="str">
        <f t="shared" si="243"/>
        <v>충무로</v>
      </c>
    </row>
    <row r="4740" spans="1:9" x14ac:dyDescent="0.4">
      <c r="A4740">
        <v>3010000</v>
      </c>
      <c r="B4740" t="s">
        <v>1819</v>
      </c>
      <c r="C4740" s="1">
        <v>27884</v>
      </c>
      <c r="D4740" t="s">
        <v>1820</v>
      </c>
      <c r="E4740" t="str">
        <f t="shared" si="244"/>
        <v>서울특별시</v>
      </c>
      <c r="F4740" t="str">
        <f t="shared" si="241"/>
        <v xml:space="preserve">중구 </v>
      </c>
      <c r="G4740" t="str">
        <f t="shared" si="243"/>
        <v>충무로</v>
      </c>
    </row>
    <row r="4741" spans="1:9" x14ac:dyDescent="0.4">
      <c r="A4741">
        <v>3010000</v>
      </c>
      <c r="B4741" t="s">
        <v>1769</v>
      </c>
      <c r="C4741" s="1">
        <v>36421</v>
      </c>
      <c r="D4741" t="s">
        <v>1770</v>
      </c>
      <c r="E4741" t="str">
        <f t="shared" si="244"/>
        <v>서울특별시</v>
      </c>
      <c r="F4741" t="str">
        <f t="shared" si="241"/>
        <v xml:space="preserve">중구 </v>
      </c>
      <c r="G4741" t="str">
        <f t="shared" si="243"/>
        <v>충무로</v>
      </c>
      <c r="H4741" t="s">
        <v>1771</v>
      </c>
      <c r="I4741">
        <v>4536</v>
      </c>
    </row>
    <row r="4742" spans="1:9" x14ac:dyDescent="0.4">
      <c r="A4742">
        <v>3010000</v>
      </c>
      <c r="B4742" t="s">
        <v>1558</v>
      </c>
      <c r="C4742" s="1">
        <v>27637</v>
      </c>
      <c r="D4742" t="s">
        <v>1559</v>
      </c>
      <c r="E4742" t="str">
        <f t="shared" si="244"/>
        <v>서울특별시</v>
      </c>
      <c r="F4742" t="str">
        <f t="shared" si="241"/>
        <v xml:space="preserve">중구 </v>
      </c>
      <c r="G4742" t="str">
        <f t="shared" si="243"/>
        <v>충무로</v>
      </c>
      <c r="H4742" t="s">
        <v>1560</v>
      </c>
      <c r="I4742">
        <v>4553</v>
      </c>
    </row>
    <row r="4743" spans="1:9" x14ac:dyDescent="0.4">
      <c r="A4743">
        <v>3010000</v>
      </c>
      <c r="B4743" t="s">
        <v>2450</v>
      </c>
      <c r="C4743" s="1">
        <v>31286</v>
      </c>
      <c r="D4743" t="s">
        <v>2451</v>
      </c>
      <c r="E4743" t="str">
        <f t="shared" si="244"/>
        <v>서울특별시</v>
      </c>
      <c r="F4743" t="str">
        <f t="shared" si="241"/>
        <v xml:space="preserve">중구 </v>
      </c>
      <c r="G4743" t="str">
        <f t="shared" si="243"/>
        <v>충무로</v>
      </c>
    </row>
    <row r="4744" spans="1:9" x14ac:dyDescent="0.4">
      <c r="A4744">
        <v>3010000</v>
      </c>
      <c r="B4744" t="s">
        <v>1622</v>
      </c>
      <c r="C4744" s="1">
        <v>37590</v>
      </c>
      <c r="D4744" t="s">
        <v>1623</v>
      </c>
      <c r="E4744" t="str">
        <f t="shared" si="244"/>
        <v>서울특별시</v>
      </c>
      <c r="F4744" t="str">
        <f t="shared" si="241"/>
        <v xml:space="preserve">중구 </v>
      </c>
      <c r="G4744" t="str">
        <f t="shared" si="243"/>
        <v>충무로</v>
      </c>
    </row>
    <row r="4745" spans="1:9" x14ac:dyDescent="0.4">
      <c r="A4745">
        <v>3010000</v>
      </c>
      <c r="B4745" t="s">
        <v>1963</v>
      </c>
      <c r="C4745" s="1">
        <v>32016</v>
      </c>
      <c r="D4745" t="s">
        <v>1964</v>
      </c>
      <c r="E4745" t="str">
        <f t="shared" si="244"/>
        <v>서울특별시</v>
      </c>
      <c r="F4745" t="str">
        <f t="shared" si="241"/>
        <v xml:space="preserve">중구 </v>
      </c>
      <c r="G4745" t="str">
        <f t="shared" si="243"/>
        <v>충무로</v>
      </c>
    </row>
    <row r="4746" spans="1:9" x14ac:dyDescent="0.4">
      <c r="A4746">
        <v>3010000</v>
      </c>
      <c r="B4746" t="s">
        <v>2892</v>
      </c>
      <c r="C4746" s="1">
        <v>36962</v>
      </c>
      <c r="D4746" t="s">
        <v>2893</v>
      </c>
      <c r="E4746" t="str">
        <f t="shared" si="244"/>
        <v>서울특별시</v>
      </c>
      <c r="F4746" t="str">
        <f t="shared" si="241"/>
        <v xml:space="preserve">중구 </v>
      </c>
      <c r="G4746" t="str">
        <f t="shared" si="243"/>
        <v>충무로</v>
      </c>
      <c r="H4746" t="s">
        <v>2894</v>
      </c>
      <c r="I4746">
        <v>4553</v>
      </c>
    </row>
    <row r="4747" spans="1:9" x14ac:dyDescent="0.4">
      <c r="A4747">
        <v>3010000</v>
      </c>
      <c r="B4747" t="s">
        <v>1459</v>
      </c>
      <c r="C4747" s="1">
        <v>31443</v>
      </c>
      <c r="D4747" t="s">
        <v>1460</v>
      </c>
      <c r="E4747" t="str">
        <f t="shared" si="244"/>
        <v>서울특별시</v>
      </c>
      <c r="F4747" t="str">
        <f t="shared" si="241"/>
        <v xml:space="preserve">중구 </v>
      </c>
      <c r="G4747" t="str">
        <f t="shared" si="243"/>
        <v>충무로</v>
      </c>
    </row>
    <row r="4748" spans="1:9" x14ac:dyDescent="0.4">
      <c r="A4748">
        <v>3010000</v>
      </c>
      <c r="B4748" t="s">
        <v>1526</v>
      </c>
      <c r="C4748" s="1">
        <v>31286</v>
      </c>
      <c r="D4748" t="s">
        <v>1527</v>
      </c>
      <c r="E4748" t="str">
        <f t="shared" si="244"/>
        <v>서울특별시</v>
      </c>
      <c r="F4748" t="str">
        <f t="shared" si="241"/>
        <v xml:space="preserve">중구 </v>
      </c>
      <c r="G4748" t="str">
        <f t="shared" si="243"/>
        <v>충무로</v>
      </c>
    </row>
    <row r="4749" spans="1:9" x14ac:dyDescent="0.4">
      <c r="A4749">
        <v>3010000</v>
      </c>
      <c r="B4749" t="s">
        <v>1699</v>
      </c>
      <c r="C4749" s="1">
        <v>31286</v>
      </c>
      <c r="D4749" t="s">
        <v>1527</v>
      </c>
      <c r="E4749" t="str">
        <f t="shared" si="244"/>
        <v>서울특별시</v>
      </c>
      <c r="F4749" t="str">
        <f t="shared" si="241"/>
        <v xml:space="preserve">중구 </v>
      </c>
      <c r="G4749" t="str">
        <f t="shared" si="243"/>
        <v>충무로</v>
      </c>
    </row>
    <row r="4750" spans="1:9" x14ac:dyDescent="0.4">
      <c r="A4750">
        <v>3010000</v>
      </c>
      <c r="B4750" t="s">
        <v>1923</v>
      </c>
      <c r="C4750" s="1">
        <v>28664</v>
      </c>
      <c r="D4750" t="s">
        <v>1527</v>
      </c>
      <c r="E4750" t="str">
        <f t="shared" si="244"/>
        <v>서울특별시</v>
      </c>
      <c r="F4750" t="str">
        <f t="shared" si="241"/>
        <v xml:space="preserve">중구 </v>
      </c>
      <c r="G4750" t="str">
        <f t="shared" si="243"/>
        <v>충무로</v>
      </c>
    </row>
    <row r="4751" spans="1:9" x14ac:dyDescent="0.4">
      <c r="A4751">
        <v>3010000</v>
      </c>
      <c r="B4751" t="s">
        <v>1960</v>
      </c>
      <c r="C4751" s="1">
        <v>31887</v>
      </c>
      <c r="D4751" t="s">
        <v>1961</v>
      </c>
      <c r="E4751" t="str">
        <f t="shared" si="244"/>
        <v>서울특별시</v>
      </c>
      <c r="F4751" t="str">
        <f t="shared" si="241"/>
        <v xml:space="preserve">중구 </v>
      </c>
      <c r="G4751" t="str">
        <f t="shared" si="243"/>
        <v>충무로</v>
      </c>
    </row>
    <row r="4752" spans="1:9" x14ac:dyDescent="0.4">
      <c r="A4752">
        <v>3010000</v>
      </c>
      <c r="B4752" t="s">
        <v>1962</v>
      </c>
      <c r="C4752" s="1">
        <v>31887</v>
      </c>
      <c r="D4752" t="s">
        <v>1961</v>
      </c>
      <c r="E4752" t="str">
        <f t="shared" si="244"/>
        <v>서울특별시</v>
      </c>
      <c r="F4752" t="str">
        <f t="shared" si="241"/>
        <v xml:space="preserve">중구 </v>
      </c>
      <c r="G4752" t="str">
        <f t="shared" si="243"/>
        <v>충무로</v>
      </c>
    </row>
    <row r="4753" spans="1:9" x14ac:dyDescent="0.4">
      <c r="A4753">
        <v>3010000</v>
      </c>
      <c r="B4753" t="s">
        <v>2197</v>
      </c>
      <c r="C4753" s="1">
        <v>32975</v>
      </c>
      <c r="D4753" t="s">
        <v>2198</v>
      </c>
      <c r="E4753" t="str">
        <f t="shared" si="244"/>
        <v>서울특별시</v>
      </c>
      <c r="F4753" t="str">
        <f t="shared" si="241"/>
        <v xml:space="preserve">중구 </v>
      </c>
      <c r="G4753" t="str">
        <f t="shared" si="243"/>
        <v>충무로</v>
      </c>
    </row>
    <row r="4754" spans="1:9" x14ac:dyDescent="0.4">
      <c r="A4754">
        <v>3010000</v>
      </c>
      <c r="B4754" t="s">
        <v>2313</v>
      </c>
      <c r="C4754" s="1">
        <v>45327</v>
      </c>
      <c r="D4754" t="s">
        <v>2314</v>
      </c>
      <c r="E4754" t="str">
        <f t="shared" si="244"/>
        <v>서울특별시</v>
      </c>
      <c r="F4754" t="str">
        <f t="shared" si="241"/>
        <v xml:space="preserve">중구 </v>
      </c>
      <c r="G4754" t="str">
        <f t="shared" si="243"/>
        <v>충무로</v>
      </c>
      <c r="H4754" t="s">
        <v>2315</v>
      </c>
      <c r="I4754">
        <v>4553</v>
      </c>
    </row>
    <row r="4755" spans="1:9" x14ac:dyDescent="0.4">
      <c r="A4755">
        <v>3010000</v>
      </c>
      <c r="B4755" t="s">
        <v>2481</v>
      </c>
      <c r="C4755" s="1">
        <v>31757</v>
      </c>
      <c r="D4755" t="s">
        <v>2482</v>
      </c>
      <c r="E4755" t="str">
        <f t="shared" si="244"/>
        <v>서울특별시</v>
      </c>
      <c r="F4755" t="str">
        <f t="shared" si="241"/>
        <v xml:space="preserve">중구 </v>
      </c>
      <c r="G4755" t="str">
        <f t="shared" si="243"/>
        <v>충무로</v>
      </c>
      <c r="H4755" t="s">
        <v>2483</v>
      </c>
      <c r="I4755">
        <v>4537</v>
      </c>
    </row>
    <row r="4756" spans="1:9" x14ac:dyDescent="0.4">
      <c r="A4756">
        <v>3010000</v>
      </c>
      <c r="B4756" t="s">
        <v>2853</v>
      </c>
      <c r="C4756" s="1">
        <v>36237</v>
      </c>
      <c r="D4756" t="s">
        <v>2854</v>
      </c>
      <c r="E4756" t="str">
        <f t="shared" si="244"/>
        <v>서울특별시</v>
      </c>
      <c r="F4756" t="str">
        <f t="shared" si="241"/>
        <v xml:space="preserve">중구 </v>
      </c>
      <c r="G4756" t="str">
        <f t="shared" si="243"/>
        <v>충무로</v>
      </c>
      <c r="H4756" t="s">
        <v>2471</v>
      </c>
      <c r="I4756">
        <v>4537</v>
      </c>
    </row>
    <row r="4757" spans="1:9" x14ac:dyDescent="0.4">
      <c r="A4757">
        <v>3010000</v>
      </c>
      <c r="B4757" t="s">
        <v>1895</v>
      </c>
      <c r="C4757" s="1">
        <v>28867</v>
      </c>
      <c r="D4757" t="s">
        <v>1896</v>
      </c>
      <c r="E4757" t="str">
        <f t="shared" si="244"/>
        <v>서울특별시</v>
      </c>
      <c r="F4757" t="str">
        <f t="shared" si="241"/>
        <v xml:space="preserve">중구 </v>
      </c>
      <c r="G4757" t="str">
        <f t="shared" si="243"/>
        <v>충무로</v>
      </c>
    </row>
    <row r="4758" spans="1:9" x14ac:dyDescent="0.4">
      <c r="A4758">
        <v>3010000</v>
      </c>
      <c r="B4758" t="s">
        <v>2470</v>
      </c>
      <c r="C4758" s="1">
        <v>27571</v>
      </c>
      <c r="D4758" t="s">
        <v>1896</v>
      </c>
      <c r="E4758" t="str">
        <f t="shared" si="244"/>
        <v>서울특별시</v>
      </c>
      <c r="F4758" t="str">
        <f t="shared" si="241"/>
        <v xml:space="preserve">중구 </v>
      </c>
      <c r="G4758" t="str">
        <f t="shared" si="243"/>
        <v>충무로</v>
      </c>
      <c r="H4758" t="s">
        <v>2471</v>
      </c>
      <c r="I4758">
        <v>4537</v>
      </c>
    </row>
    <row r="4759" spans="1:9" x14ac:dyDescent="0.4">
      <c r="A4759">
        <v>3010000</v>
      </c>
      <c r="B4759" t="s">
        <v>1886</v>
      </c>
      <c r="C4759" s="1">
        <v>38366</v>
      </c>
      <c r="D4759" t="s">
        <v>1887</v>
      </c>
      <c r="E4759" t="str">
        <f t="shared" si="244"/>
        <v>서울특별시</v>
      </c>
      <c r="F4759" t="str">
        <f t="shared" si="241"/>
        <v xml:space="preserve">중구 </v>
      </c>
      <c r="G4759" t="str">
        <f t="shared" si="243"/>
        <v>충무로</v>
      </c>
    </row>
    <row r="4760" spans="1:9" x14ac:dyDescent="0.4">
      <c r="A4760">
        <v>3010000</v>
      </c>
      <c r="B4760" t="s">
        <v>1582</v>
      </c>
      <c r="C4760" s="1">
        <v>37183</v>
      </c>
      <c r="D4760" t="s">
        <v>1583</v>
      </c>
      <c r="E4760" t="str">
        <f t="shared" si="244"/>
        <v>서울특별시</v>
      </c>
      <c r="F4760" t="str">
        <f t="shared" si="241"/>
        <v xml:space="preserve">중구 </v>
      </c>
      <c r="G4760" t="str">
        <f t="shared" si="243"/>
        <v>충무로</v>
      </c>
    </row>
    <row r="4761" spans="1:9" x14ac:dyDescent="0.4">
      <c r="A4761">
        <v>3010000</v>
      </c>
      <c r="B4761" t="s">
        <v>2011</v>
      </c>
      <c r="C4761" s="1">
        <v>27934</v>
      </c>
      <c r="D4761" t="s">
        <v>2012</v>
      </c>
      <c r="E4761" t="str">
        <f t="shared" si="244"/>
        <v>서울특별시</v>
      </c>
      <c r="F4761" t="str">
        <f t="shared" si="241"/>
        <v xml:space="preserve">중구 </v>
      </c>
      <c r="G4761" t="str">
        <f t="shared" si="243"/>
        <v>충무로</v>
      </c>
    </row>
    <row r="4762" spans="1:9" x14ac:dyDescent="0.4">
      <c r="A4762">
        <v>3010000</v>
      </c>
      <c r="B4762" t="s">
        <v>2286</v>
      </c>
      <c r="C4762" s="1">
        <v>36767</v>
      </c>
      <c r="D4762" t="s">
        <v>2287</v>
      </c>
      <c r="E4762" t="str">
        <f t="shared" si="244"/>
        <v>서울특별시</v>
      </c>
      <c r="F4762" t="str">
        <f t="shared" si="241"/>
        <v xml:space="preserve">중구 </v>
      </c>
      <c r="G4762" t="str">
        <f t="shared" si="243"/>
        <v>충무로</v>
      </c>
    </row>
    <row r="4763" spans="1:9" x14ac:dyDescent="0.4">
      <c r="A4763">
        <v>3010000</v>
      </c>
      <c r="B4763" t="s">
        <v>1477</v>
      </c>
      <c r="C4763" s="1">
        <v>40284</v>
      </c>
      <c r="D4763" t="s">
        <v>1478</v>
      </c>
      <c r="E4763" t="str">
        <f t="shared" si="244"/>
        <v>서울특별시</v>
      </c>
      <c r="F4763" t="str">
        <f t="shared" si="241"/>
        <v xml:space="preserve">중구 </v>
      </c>
      <c r="G4763" t="str">
        <f t="shared" si="243"/>
        <v>충무로</v>
      </c>
    </row>
    <row r="4764" spans="1:9" x14ac:dyDescent="0.4">
      <c r="A4764">
        <v>3010000</v>
      </c>
      <c r="B4764" t="s">
        <v>1955</v>
      </c>
      <c r="C4764" s="1">
        <v>31810</v>
      </c>
      <c r="D4764" t="s">
        <v>1956</v>
      </c>
      <c r="E4764" t="str">
        <f t="shared" si="244"/>
        <v>서울특별시</v>
      </c>
      <c r="F4764" t="str">
        <f t="shared" si="241"/>
        <v xml:space="preserve">중구 </v>
      </c>
      <c r="G4764" t="str">
        <f t="shared" si="243"/>
        <v>충무로</v>
      </c>
    </row>
    <row r="4765" spans="1:9" x14ac:dyDescent="0.4">
      <c r="A4765">
        <v>3010000</v>
      </c>
      <c r="B4765" t="s">
        <v>1535</v>
      </c>
      <c r="C4765" s="1">
        <v>31289</v>
      </c>
      <c r="D4765" t="s">
        <v>1536</v>
      </c>
      <c r="E4765" t="str">
        <f t="shared" si="244"/>
        <v>서울특별시</v>
      </c>
      <c r="F4765" t="str">
        <f t="shared" si="241"/>
        <v xml:space="preserve">중구 </v>
      </c>
      <c r="G4765" t="str">
        <f t="shared" si="243"/>
        <v>충무로</v>
      </c>
    </row>
    <row r="4766" spans="1:9" x14ac:dyDescent="0.4">
      <c r="A4766">
        <v>3010000</v>
      </c>
      <c r="B4766" t="s">
        <v>1905</v>
      </c>
      <c r="C4766" s="1">
        <v>29426</v>
      </c>
      <c r="D4766" t="s">
        <v>1536</v>
      </c>
      <c r="E4766" t="str">
        <f t="shared" si="244"/>
        <v>서울특별시</v>
      </c>
      <c r="F4766" t="str">
        <f t="shared" si="241"/>
        <v xml:space="preserve">중구 </v>
      </c>
      <c r="G4766" t="str">
        <f t="shared" si="243"/>
        <v>충무로</v>
      </c>
    </row>
    <row r="4767" spans="1:9" x14ac:dyDescent="0.4">
      <c r="A4767">
        <v>3010000</v>
      </c>
      <c r="B4767" t="s">
        <v>2102</v>
      </c>
      <c r="C4767" s="1">
        <v>36251</v>
      </c>
      <c r="D4767" t="s">
        <v>1536</v>
      </c>
      <c r="E4767" t="str">
        <f t="shared" si="244"/>
        <v>서울특별시</v>
      </c>
      <c r="F4767" t="str">
        <f t="shared" si="241"/>
        <v xml:space="preserve">중구 </v>
      </c>
      <c r="G4767" t="str">
        <f t="shared" si="243"/>
        <v>충무로</v>
      </c>
    </row>
    <row r="4768" spans="1:9" x14ac:dyDescent="0.4">
      <c r="A4768">
        <v>3010000</v>
      </c>
      <c r="B4768" t="s">
        <v>1658</v>
      </c>
      <c r="C4768" s="1">
        <v>27038</v>
      </c>
      <c r="D4768" t="s">
        <v>1659</v>
      </c>
      <c r="E4768" t="str">
        <f t="shared" si="244"/>
        <v>서울특별시</v>
      </c>
      <c r="F4768" t="str">
        <f t="shared" si="241"/>
        <v xml:space="preserve">중구 </v>
      </c>
      <c r="G4768" t="str">
        <f t="shared" si="243"/>
        <v>충무로</v>
      </c>
    </row>
    <row r="4769" spans="1:9" x14ac:dyDescent="0.4">
      <c r="A4769">
        <v>3010000</v>
      </c>
      <c r="B4769" t="s">
        <v>2601</v>
      </c>
      <c r="C4769" s="1">
        <v>37411</v>
      </c>
      <c r="D4769" t="s">
        <v>2602</v>
      </c>
      <c r="E4769" t="str">
        <f t="shared" si="244"/>
        <v>서울특별시</v>
      </c>
      <c r="F4769" t="str">
        <f t="shared" si="241"/>
        <v xml:space="preserve">중구 </v>
      </c>
      <c r="G4769" t="str">
        <f t="shared" si="243"/>
        <v>충무로</v>
      </c>
      <c r="H4769" t="s">
        <v>2603</v>
      </c>
      <c r="I4769">
        <v>4555</v>
      </c>
    </row>
    <row r="4770" spans="1:9" x14ac:dyDescent="0.4">
      <c r="A4770">
        <v>3010000</v>
      </c>
      <c r="B4770" t="s">
        <v>219</v>
      </c>
      <c r="C4770" s="1">
        <v>45946</v>
      </c>
      <c r="D4770" t="s">
        <v>220</v>
      </c>
      <c r="E4770" t="str">
        <f t="shared" si="244"/>
        <v>서울특별시</v>
      </c>
      <c r="F4770" t="str">
        <f t="shared" si="241"/>
        <v xml:space="preserve">중구 </v>
      </c>
      <c r="G4770" t="str">
        <f t="shared" si="243"/>
        <v>충무로</v>
      </c>
      <c r="H4770" t="s">
        <v>221</v>
      </c>
      <c r="I4770">
        <v>4555</v>
      </c>
    </row>
    <row r="4771" spans="1:9" x14ac:dyDescent="0.4">
      <c r="A4771">
        <v>3010000</v>
      </c>
      <c r="B4771" t="s">
        <v>2756</v>
      </c>
      <c r="C4771" s="1">
        <v>38589</v>
      </c>
      <c r="D4771" t="s">
        <v>2757</v>
      </c>
      <c r="E4771" t="str">
        <f t="shared" si="244"/>
        <v>서울특별시</v>
      </c>
      <c r="F4771" t="str">
        <f t="shared" si="241"/>
        <v xml:space="preserve">중구 </v>
      </c>
      <c r="G4771" t="str">
        <f t="shared" si="243"/>
        <v>충무로</v>
      </c>
      <c r="H4771" t="s">
        <v>2758</v>
      </c>
      <c r="I4771">
        <v>4555</v>
      </c>
    </row>
    <row r="4772" spans="1:9" x14ac:dyDescent="0.4">
      <c r="A4772">
        <v>3010000</v>
      </c>
      <c r="B4772" t="s">
        <v>2747</v>
      </c>
      <c r="C4772" s="1">
        <v>38712</v>
      </c>
      <c r="D4772" t="s">
        <v>2748</v>
      </c>
      <c r="E4772" t="str">
        <f t="shared" si="244"/>
        <v>서울특별시</v>
      </c>
      <c r="F4772" t="str">
        <f t="shared" si="241"/>
        <v xml:space="preserve">중구 </v>
      </c>
      <c r="G4772" t="str">
        <f t="shared" si="243"/>
        <v>충무로</v>
      </c>
      <c r="H4772" t="s">
        <v>2749</v>
      </c>
      <c r="I4772">
        <v>4555</v>
      </c>
    </row>
    <row r="4773" spans="1:9" x14ac:dyDescent="0.4">
      <c r="A4773">
        <v>3010000</v>
      </c>
      <c r="B4773" t="s">
        <v>2659</v>
      </c>
      <c r="C4773" s="1">
        <v>41960</v>
      </c>
      <c r="D4773" t="s">
        <v>2660</v>
      </c>
      <c r="E4773" t="str">
        <f t="shared" si="244"/>
        <v>서울특별시</v>
      </c>
      <c r="F4773" t="str">
        <f t="shared" si="241"/>
        <v xml:space="preserve">중구 </v>
      </c>
      <c r="G4773" t="str">
        <f t="shared" si="243"/>
        <v>충무로</v>
      </c>
      <c r="H4773" t="s">
        <v>2661</v>
      </c>
      <c r="I4773">
        <v>4555</v>
      </c>
    </row>
    <row r="4774" spans="1:9" x14ac:dyDescent="0.4">
      <c r="A4774">
        <v>3010000</v>
      </c>
      <c r="B4774" t="s">
        <v>2621</v>
      </c>
      <c r="C4774" s="1">
        <v>39646</v>
      </c>
      <c r="D4774" t="s">
        <v>2622</v>
      </c>
      <c r="E4774" t="str">
        <f t="shared" si="244"/>
        <v>서울특별시</v>
      </c>
      <c r="F4774" t="str">
        <f t="shared" si="241"/>
        <v xml:space="preserve">중구 </v>
      </c>
      <c r="G4774" t="str">
        <f t="shared" si="243"/>
        <v>충무로</v>
      </c>
      <c r="H4774" t="s">
        <v>2623</v>
      </c>
      <c r="I4774">
        <v>4555</v>
      </c>
    </row>
    <row r="4775" spans="1:9" x14ac:dyDescent="0.4">
      <c r="A4775">
        <v>3010000</v>
      </c>
      <c r="B4775" t="s">
        <v>2428</v>
      </c>
      <c r="C4775" s="1">
        <v>40728</v>
      </c>
      <c r="D4775" t="s">
        <v>2429</v>
      </c>
      <c r="E4775" t="str">
        <f t="shared" si="244"/>
        <v>서울특별시</v>
      </c>
      <c r="F4775" t="str">
        <f t="shared" si="241"/>
        <v xml:space="preserve">중구 </v>
      </c>
      <c r="G4775" t="str">
        <f t="shared" si="243"/>
        <v>충무로</v>
      </c>
      <c r="H4775" t="s">
        <v>2430</v>
      </c>
      <c r="I4775">
        <v>4555</v>
      </c>
    </row>
    <row r="4776" spans="1:9" x14ac:dyDescent="0.4">
      <c r="A4776">
        <v>3010000</v>
      </c>
      <c r="B4776" t="s">
        <v>2067</v>
      </c>
      <c r="C4776" s="1">
        <v>36473</v>
      </c>
      <c r="D4776" t="s">
        <v>2068</v>
      </c>
      <c r="E4776" t="str">
        <f t="shared" si="244"/>
        <v>서울특별시</v>
      </c>
      <c r="F4776" t="str">
        <f t="shared" si="241"/>
        <v xml:space="preserve">중구 </v>
      </c>
      <c r="G4776" t="str">
        <f t="shared" si="243"/>
        <v>충무로</v>
      </c>
    </row>
    <row r="4777" spans="1:9" x14ac:dyDescent="0.4">
      <c r="A4777">
        <v>3010000</v>
      </c>
      <c r="B4777" t="s">
        <v>2495</v>
      </c>
      <c r="C4777" s="1">
        <v>38023</v>
      </c>
      <c r="D4777" t="s">
        <v>2496</v>
      </c>
      <c r="E4777" t="str">
        <f t="shared" si="244"/>
        <v>서울특별시</v>
      </c>
      <c r="F4777" t="str">
        <f t="shared" si="241"/>
        <v xml:space="preserve">중구 </v>
      </c>
      <c r="G4777" t="str">
        <f t="shared" si="243"/>
        <v>충무로</v>
      </c>
      <c r="H4777" t="s">
        <v>2497</v>
      </c>
      <c r="I4777">
        <v>4555</v>
      </c>
    </row>
    <row r="4778" spans="1:9" x14ac:dyDescent="0.4">
      <c r="A4778">
        <v>3010000</v>
      </c>
      <c r="B4778" t="s">
        <v>1825</v>
      </c>
      <c r="C4778" s="1">
        <v>26709</v>
      </c>
      <c r="D4778" t="s">
        <v>1826</v>
      </c>
      <c r="E4778" t="str">
        <f t="shared" si="244"/>
        <v>서울특별시</v>
      </c>
      <c r="F4778" t="str">
        <f t="shared" si="241"/>
        <v xml:space="preserve">중구 </v>
      </c>
      <c r="G4778" t="str">
        <f t="shared" si="243"/>
        <v>충무로</v>
      </c>
    </row>
    <row r="4779" spans="1:9" x14ac:dyDescent="0.4">
      <c r="A4779">
        <v>3010000</v>
      </c>
      <c r="B4779" t="s">
        <v>2328</v>
      </c>
      <c r="C4779" s="1">
        <v>44222</v>
      </c>
      <c r="D4779" t="s">
        <v>2329</v>
      </c>
      <c r="E4779" t="str">
        <f t="shared" si="244"/>
        <v>서울특별시</v>
      </c>
      <c r="F4779" t="str">
        <f t="shared" si="241"/>
        <v xml:space="preserve">중구 </v>
      </c>
      <c r="G4779" t="str">
        <f t="shared" si="243"/>
        <v>충무로</v>
      </c>
      <c r="H4779" t="s">
        <v>2330</v>
      </c>
      <c r="I4779">
        <v>4555</v>
      </c>
    </row>
    <row r="4780" spans="1:9" x14ac:dyDescent="0.4">
      <c r="A4780">
        <v>3010000</v>
      </c>
      <c r="B4780" t="s">
        <v>2761</v>
      </c>
      <c r="C4780" s="1">
        <v>31280</v>
      </c>
      <c r="D4780" t="s">
        <v>2762</v>
      </c>
      <c r="E4780" t="str">
        <f t="shared" si="244"/>
        <v>서울특별시</v>
      </c>
      <c r="F4780" t="str">
        <f t="shared" si="241"/>
        <v xml:space="preserve">중구 </v>
      </c>
      <c r="G4780" t="str">
        <f t="shared" si="243"/>
        <v>충무로</v>
      </c>
      <c r="H4780" t="s">
        <v>2763</v>
      </c>
      <c r="I4780">
        <v>4555</v>
      </c>
    </row>
    <row r="4781" spans="1:9" x14ac:dyDescent="0.4">
      <c r="A4781">
        <v>3010000</v>
      </c>
      <c r="B4781" t="s">
        <v>2537</v>
      </c>
      <c r="C4781" s="1">
        <v>38343</v>
      </c>
      <c r="D4781" t="s">
        <v>2538</v>
      </c>
      <c r="E4781" t="str">
        <f t="shared" si="244"/>
        <v>서울특별시</v>
      </c>
      <c r="F4781" t="str">
        <f t="shared" si="241"/>
        <v xml:space="preserve">중구 </v>
      </c>
      <c r="G4781" t="str">
        <f t="shared" si="243"/>
        <v>충무로</v>
      </c>
      <c r="H4781" t="s">
        <v>2539</v>
      </c>
      <c r="I4781">
        <v>4555</v>
      </c>
    </row>
    <row r="4782" spans="1:9" x14ac:dyDescent="0.4">
      <c r="A4782">
        <v>3010000</v>
      </c>
      <c r="B4782" t="s">
        <v>2656</v>
      </c>
      <c r="C4782" s="1">
        <v>41829</v>
      </c>
      <c r="D4782" t="s">
        <v>2657</v>
      </c>
      <c r="E4782" t="str">
        <f t="shared" si="244"/>
        <v>서울특별시</v>
      </c>
      <c r="F4782" t="str">
        <f t="shared" si="241"/>
        <v xml:space="preserve">중구 </v>
      </c>
      <c r="G4782" t="str">
        <f t="shared" si="243"/>
        <v>충무로</v>
      </c>
      <c r="H4782" t="s">
        <v>2658</v>
      </c>
      <c r="I4782">
        <v>4555</v>
      </c>
    </row>
    <row r="4783" spans="1:9" x14ac:dyDescent="0.4">
      <c r="A4783">
        <v>3010000</v>
      </c>
      <c r="B4783" t="s">
        <v>2398</v>
      </c>
      <c r="C4783" s="1">
        <v>40959</v>
      </c>
      <c r="D4783" t="s">
        <v>2399</v>
      </c>
      <c r="E4783" t="str">
        <f t="shared" si="244"/>
        <v>서울특별시</v>
      </c>
      <c r="F4783" t="str">
        <f t="shared" si="241"/>
        <v xml:space="preserve">중구 </v>
      </c>
      <c r="G4783" t="str">
        <f t="shared" si="243"/>
        <v>충무로</v>
      </c>
      <c r="H4783" t="s">
        <v>2400</v>
      </c>
      <c r="I4783">
        <v>4556</v>
      </c>
    </row>
    <row r="4784" spans="1:9" x14ac:dyDescent="0.4">
      <c r="A4784">
        <v>3010000</v>
      </c>
      <c r="B4784" t="s">
        <v>2559</v>
      </c>
      <c r="C4784" s="1">
        <v>37393</v>
      </c>
      <c r="D4784" t="s">
        <v>2560</v>
      </c>
      <c r="E4784" t="str">
        <f t="shared" si="244"/>
        <v>서울특별시</v>
      </c>
      <c r="F4784" t="str">
        <f t="shared" ref="F4784:F4847" si="245">MID(D4784,7,3)</f>
        <v xml:space="preserve">중구 </v>
      </c>
      <c r="G4784" t="str">
        <f t="shared" si="243"/>
        <v>충무로</v>
      </c>
      <c r="H4784" t="s">
        <v>2561</v>
      </c>
      <c r="I4784">
        <v>4556</v>
      </c>
    </row>
    <row r="4785" spans="1:9" x14ac:dyDescent="0.4">
      <c r="A4785">
        <v>3010000</v>
      </c>
      <c r="B4785" t="s">
        <v>2475</v>
      </c>
      <c r="C4785" s="1">
        <v>37383</v>
      </c>
      <c r="D4785" t="s">
        <v>2476</v>
      </c>
      <c r="E4785" t="str">
        <f t="shared" si="244"/>
        <v>서울특별시</v>
      </c>
      <c r="F4785" t="str">
        <f t="shared" si="245"/>
        <v xml:space="preserve">중구 </v>
      </c>
      <c r="G4785" t="str">
        <f t="shared" si="243"/>
        <v>충무로</v>
      </c>
      <c r="H4785" t="s">
        <v>2477</v>
      </c>
      <c r="I4785">
        <v>4556</v>
      </c>
    </row>
    <row r="4786" spans="1:9" x14ac:dyDescent="0.4">
      <c r="A4786">
        <v>3010000</v>
      </c>
      <c r="B4786" t="s">
        <v>2307</v>
      </c>
      <c r="C4786" s="1">
        <v>38679</v>
      </c>
      <c r="D4786" t="s">
        <v>2308</v>
      </c>
      <c r="E4786" t="str">
        <f t="shared" si="244"/>
        <v>서울특별시</v>
      </c>
      <c r="F4786" t="str">
        <f t="shared" si="245"/>
        <v xml:space="preserve">중구 </v>
      </c>
      <c r="G4786" t="str">
        <f t="shared" si="243"/>
        <v>충무로</v>
      </c>
      <c r="H4786" t="s">
        <v>2309</v>
      </c>
      <c r="I4786">
        <v>4556</v>
      </c>
    </row>
    <row r="4787" spans="1:9" x14ac:dyDescent="0.4">
      <c r="A4787">
        <v>3010000</v>
      </c>
      <c r="B4787" t="s">
        <v>2378</v>
      </c>
      <c r="C4787" s="1">
        <v>38267</v>
      </c>
      <c r="D4787" t="s">
        <v>2379</v>
      </c>
      <c r="E4787" t="str">
        <f t="shared" si="244"/>
        <v>서울특별시</v>
      </c>
      <c r="F4787" t="str">
        <f t="shared" si="245"/>
        <v xml:space="preserve">중구 </v>
      </c>
      <c r="G4787" t="str">
        <f t="shared" si="243"/>
        <v>충무로</v>
      </c>
      <c r="H4787" t="s">
        <v>2380</v>
      </c>
      <c r="I4787">
        <v>4557</v>
      </c>
    </row>
    <row r="4788" spans="1:9" x14ac:dyDescent="0.4">
      <c r="A4788">
        <v>3010000</v>
      </c>
      <c r="B4788" t="s">
        <v>2351</v>
      </c>
      <c r="C4788" s="1">
        <v>38581</v>
      </c>
      <c r="D4788" t="s">
        <v>2352</v>
      </c>
      <c r="E4788" t="str">
        <f t="shared" si="244"/>
        <v>서울특별시</v>
      </c>
      <c r="F4788" t="str">
        <f t="shared" si="245"/>
        <v xml:space="preserve">중구 </v>
      </c>
      <c r="G4788" t="str">
        <f t="shared" si="243"/>
        <v>충무로</v>
      </c>
      <c r="H4788" t="s">
        <v>2353</v>
      </c>
      <c r="I4788">
        <v>4557</v>
      </c>
    </row>
    <row r="4789" spans="1:9" x14ac:dyDescent="0.4">
      <c r="A4789">
        <v>3010000</v>
      </c>
      <c r="B4789" t="s">
        <v>1444</v>
      </c>
      <c r="C4789" s="1">
        <v>36341</v>
      </c>
      <c r="D4789" t="s">
        <v>1445</v>
      </c>
      <c r="E4789" t="str">
        <f t="shared" si="244"/>
        <v>서울특별시</v>
      </c>
      <c r="F4789" t="str">
        <f t="shared" si="245"/>
        <v xml:space="preserve">중구 </v>
      </c>
      <c r="G4789" t="str">
        <f t="shared" si="243"/>
        <v>충무로</v>
      </c>
    </row>
    <row r="4790" spans="1:9" x14ac:dyDescent="0.4">
      <c r="A4790">
        <v>3010000</v>
      </c>
      <c r="B4790" t="s">
        <v>2615</v>
      </c>
      <c r="C4790" s="1">
        <v>41677</v>
      </c>
      <c r="D4790" t="s">
        <v>2616</v>
      </c>
      <c r="E4790" t="str">
        <f t="shared" si="244"/>
        <v>서울특별시</v>
      </c>
      <c r="F4790" t="str">
        <f t="shared" si="245"/>
        <v xml:space="preserve">중구 </v>
      </c>
      <c r="G4790" t="str">
        <f t="shared" si="243"/>
        <v>충무로</v>
      </c>
      <c r="H4790" t="s">
        <v>2617</v>
      </c>
      <c r="I4790">
        <v>4554</v>
      </c>
    </row>
    <row r="4791" spans="1:9" x14ac:dyDescent="0.4">
      <c r="A4791">
        <v>3010000</v>
      </c>
      <c r="B4791" t="s">
        <v>2310</v>
      </c>
      <c r="C4791" s="1">
        <v>39450</v>
      </c>
      <c r="D4791" t="s">
        <v>2311</v>
      </c>
      <c r="E4791" t="str">
        <f t="shared" si="244"/>
        <v>서울특별시</v>
      </c>
      <c r="F4791" t="str">
        <f t="shared" si="245"/>
        <v xml:space="preserve">중구 </v>
      </c>
      <c r="G4791" t="str">
        <f t="shared" si="243"/>
        <v>충무로</v>
      </c>
      <c r="H4791" t="s">
        <v>2312</v>
      </c>
      <c r="I4791">
        <v>4554</v>
      </c>
    </row>
    <row r="4792" spans="1:9" x14ac:dyDescent="0.4">
      <c r="A4792">
        <v>3010000</v>
      </c>
      <c r="B4792" t="s">
        <v>2802</v>
      </c>
      <c r="C4792" s="1">
        <v>42984</v>
      </c>
      <c r="D4792" t="s">
        <v>2803</v>
      </c>
      <c r="E4792" t="str">
        <f t="shared" si="244"/>
        <v>서울특별시</v>
      </c>
      <c r="F4792" t="str">
        <f t="shared" si="245"/>
        <v xml:space="preserve">중구 </v>
      </c>
      <c r="G4792" t="str">
        <f t="shared" si="243"/>
        <v>충무로</v>
      </c>
      <c r="H4792" t="s">
        <v>2804</v>
      </c>
      <c r="I4792">
        <v>4554</v>
      </c>
    </row>
    <row r="4793" spans="1:9" x14ac:dyDescent="0.4">
      <c r="A4793">
        <v>3010000</v>
      </c>
      <c r="B4793" t="s">
        <v>2000</v>
      </c>
      <c r="C4793" s="1">
        <v>37249</v>
      </c>
      <c r="D4793" t="s">
        <v>2001</v>
      </c>
      <c r="E4793" t="str">
        <f t="shared" si="244"/>
        <v>서울특별시</v>
      </c>
      <c r="F4793" t="str">
        <f t="shared" si="245"/>
        <v xml:space="preserve">중구 </v>
      </c>
      <c r="G4793" t="str">
        <f t="shared" si="243"/>
        <v>충무로</v>
      </c>
      <c r="H4793" t="s">
        <v>2002</v>
      </c>
      <c r="I4793">
        <v>4554</v>
      </c>
    </row>
    <row r="4794" spans="1:9" x14ac:dyDescent="0.4">
      <c r="A4794">
        <v>3010000</v>
      </c>
      <c r="B4794" t="s">
        <v>1847</v>
      </c>
      <c r="C4794" s="1">
        <v>36550</v>
      </c>
      <c r="D4794" t="s">
        <v>1848</v>
      </c>
      <c r="E4794" t="str">
        <f t="shared" si="244"/>
        <v>서울특별시</v>
      </c>
      <c r="F4794" t="str">
        <f t="shared" si="245"/>
        <v xml:space="preserve">중구 </v>
      </c>
      <c r="G4794" t="str">
        <f t="shared" si="243"/>
        <v>충무로</v>
      </c>
    </row>
    <row r="4795" spans="1:9" x14ac:dyDescent="0.4">
      <c r="A4795">
        <v>3010000</v>
      </c>
      <c r="B4795" t="s">
        <v>1968</v>
      </c>
      <c r="C4795" s="1">
        <v>39531</v>
      </c>
      <c r="D4795" t="s">
        <v>1969</v>
      </c>
      <c r="E4795" t="str">
        <f t="shared" si="244"/>
        <v>서울특별시</v>
      </c>
      <c r="F4795" t="str">
        <f t="shared" si="245"/>
        <v xml:space="preserve">중구 </v>
      </c>
      <c r="G4795" t="str">
        <f t="shared" si="243"/>
        <v>충무로</v>
      </c>
    </row>
    <row r="4796" spans="1:9" x14ac:dyDescent="0.4">
      <c r="A4796">
        <v>3010000</v>
      </c>
      <c r="B4796" t="s">
        <v>1449</v>
      </c>
      <c r="C4796" s="1">
        <v>40683</v>
      </c>
      <c r="D4796" t="s">
        <v>1450</v>
      </c>
      <c r="E4796" t="str">
        <f t="shared" si="244"/>
        <v>서울특별시</v>
      </c>
      <c r="F4796" t="str">
        <f t="shared" si="245"/>
        <v xml:space="preserve">중구 </v>
      </c>
      <c r="G4796" t="str">
        <f t="shared" ref="G4796:G4859" si="246">MID(SUBSTITUTE(D4796," ",""),8,3)</f>
        <v>충무로</v>
      </c>
      <c r="H4796" t="s">
        <v>1451</v>
      </c>
      <c r="I4796">
        <v>4554</v>
      </c>
    </row>
    <row r="4797" spans="1:9" x14ac:dyDescent="0.4">
      <c r="A4797">
        <v>3010000</v>
      </c>
      <c r="B4797" t="s">
        <v>2650</v>
      </c>
      <c r="C4797" s="1">
        <v>36433</v>
      </c>
      <c r="D4797" t="s">
        <v>2651</v>
      </c>
      <c r="E4797" t="str">
        <f t="shared" si="244"/>
        <v>서울특별시</v>
      </c>
      <c r="F4797" t="str">
        <f t="shared" si="245"/>
        <v xml:space="preserve">중구 </v>
      </c>
      <c r="G4797" t="str">
        <f t="shared" si="246"/>
        <v>충무로</v>
      </c>
      <c r="H4797" t="s">
        <v>2652</v>
      </c>
      <c r="I4797">
        <v>4554</v>
      </c>
    </row>
    <row r="4798" spans="1:9" x14ac:dyDescent="0.4">
      <c r="A4798">
        <v>3010000</v>
      </c>
      <c r="B4798" t="s">
        <v>2492</v>
      </c>
      <c r="C4798" s="1">
        <v>37979</v>
      </c>
      <c r="D4798" t="s">
        <v>2493</v>
      </c>
      <c r="E4798" t="str">
        <f t="shared" si="244"/>
        <v>서울특별시</v>
      </c>
      <c r="F4798" t="str">
        <f t="shared" si="245"/>
        <v xml:space="preserve">중구 </v>
      </c>
      <c r="G4798" t="str">
        <f t="shared" si="246"/>
        <v>충무로</v>
      </c>
      <c r="H4798" t="s">
        <v>2494</v>
      </c>
      <c r="I4798">
        <v>4554</v>
      </c>
    </row>
    <row r="4799" spans="1:9" x14ac:dyDescent="0.4">
      <c r="A4799">
        <v>3010000</v>
      </c>
      <c r="B4799" t="s">
        <v>2340</v>
      </c>
      <c r="C4799" s="1">
        <v>37543</v>
      </c>
      <c r="D4799" t="s">
        <v>2341</v>
      </c>
      <c r="E4799" t="str">
        <f t="shared" si="244"/>
        <v>서울특별시</v>
      </c>
      <c r="F4799" t="str">
        <f t="shared" si="245"/>
        <v xml:space="preserve">중구 </v>
      </c>
      <c r="G4799" t="str">
        <f t="shared" si="246"/>
        <v>충무로</v>
      </c>
      <c r="H4799" t="s">
        <v>2342</v>
      </c>
      <c r="I4799">
        <v>4554</v>
      </c>
    </row>
    <row r="4800" spans="1:9" x14ac:dyDescent="0.4">
      <c r="A4800">
        <v>3010000</v>
      </c>
      <c r="B4800" t="s">
        <v>2395</v>
      </c>
      <c r="C4800" s="1">
        <v>40732</v>
      </c>
      <c r="D4800" t="s">
        <v>2396</v>
      </c>
      <c r="E4800" t="str">
        <f t="shared" si="244"/>
        <v>서울특별시</v>
      </c>
      <c r="F4800" t="str">
        <f t="shared" si="245"/>
        <v xml:space="preserve">중구 </v>
      </c>
      <c r="G4800" t="str">
        <f t="shared" si="246"/>
        <v>충무로</v>
      </c>
      <c r="H4800" t="s">
        <v>2397</v>
      </c>
      <c r="I4800">
        <v>4554</v>
      </c>
    </row>
    <row r="4801" spans="1:9" x14ac:dyDescent="0.4">
      <c r="A4801">
        <v>3010000</v>
      </c>
      <c r="B4801" t="s">
        <v>1945</v>
      </c>
      <c r="C4801" s="1">
        <v>31763</v>
      </c>
      <c r="D4801" t="s">
        <v>1946</v>
      </c>
      <c r="E4801" t="str">
        <f t="shared" si="244"/>
        <v>서울특별시</v>
      </c>
      <c r="F4801" t="str">
        <f t="shared" si="245"/>
        <v xml:space="preserve">중구 </v>
      </c>
      <c r="G4801" t="str">
        <f t="shared" si="246"/>
        <v>충무로</v>
      </c>
    </row>
    <row r="4802" spans="1:9" x14ac:dyDescent="0.4">
      <c r="A4802">
        <v>3010000</v>
      </c>
      <c r="B4802" t="s">
        <v>2413</v>
      </c>
      <c r="C4802" s="1">
        <v>41323</v>
      </c>
      <c r="D4802" t="s">
        <v>2414</v>
      </c>
      <c r="E4802" t="str">
        <f t="shared" si="244"/>
        <v>서울특별시</v>
      </c>
      <c r="F4802" t="str">
        <f t="shared" si="245"/>
        <v xml:space="preserve">중구 </v>
      </c>
      <c r="G4802" t="str">
        <f t="shared" si="246"/>
        <v>충무로</v>
      </c>
      <c r="H4802" t="s">
        <v>2415</v>
      </c>
      <c r="I4802">
        <v>4554</v>
      </c>
    </row>
    <row r="4803" spans="1:9" x14ac:dyDescent="0.4">
      <c r="A4803">
        <v>3010000</v>
      </c>
      <c r="B4803" t="s">
        <v>246</v>
      </c>
      <c r="C4803" s="1">
        <v>45891</v>
      </c>
      <c r="D4803" t="s">
        <v>247</v>
      </c>
      <c r="E4803" t="str">
        <f t="shared" ref="E4803:E4866" si="247">LEFT(D4803,5)</f>
        <v>서울특별시</v>
      </c>
      <c r="F4803" t="str">
        <f t="shared" si="245"/>
        <v xml:space="preserve">중구 </v>
      </c>
      <c r="G4803" t="str">
        <f t="shared" si="246"/>
        <v>충무로</v>
      </c>
      <c r="H4803" t="s">
        <v>248</v>
      </c>
      <c r="I4803">
        <v>4557</v>
      </c>
    </row>
    <row r="4804" spans="1:9" x14ac:dyDescent="0.4">
      <c r="A4804">
        <v>3010000</v>
      </c>
      <c r="B4804" t="s">
        <v>1660</v>
      </c>
      <c r="C4804" s="1">
        <v>27051</v>
      </c>
      <c r="D4804" t="s">
        <v>1661</v>
      </c>
      <c r="E4804" t="str">
        <f t="shared" si="247"/>
        <v>서울특별시</v>
      </c>
      <c r="F4804" t="str">
        <f t="shared" si="245"/>
        <v xml:space="preserve">중구 </v>
      </c>
      <c r="G4804" t="str">
        <f t="shared" si="246"/>
        <v>충무로</v>
      </c>
      <c r="H4804" t="s">
        <v>1662</v>
      </c>
      <c r="I4804">
        <v>4557</v>
      </c>
    </row>
    <row r="4805" spans="1:9" x14ac:dyDescent="0.4">
      <c r="A4805">
        <v>3010000</v>
      </c>
      <c r="B4805" t="s">
        <v>2288</v>
      </c>
      <c r="C4805" s="1">
        <v>44818</v>
      </c>
      <c r="D4805" t="s">
        <v>2289</v>
      </c>
      <c r="E4805" t="str">
        <f t="shared" si="247"/>
        <v>서울특별시</v>
      </c>
      <c r="F4805" t="str">
        <f t="shared" si="245"/>
        <v xml:space="preserve">중구 </v>
      </c>
      <c r="G4805" t="str">
        <f t="shared" si="246"/>
        <v>충무로</v>
      </c>
      <c r="H4805" t="s">
        <v>2290</v>
      </c>
      <c r="I4805">
        <v>4557</v>
      </c>
    </row>
    <row r="4806" spans="1:9" x14ac:dyDescent="0.4">
      <c r="A4806">
        <v>3010000</v>
      </c>
      <c r="B4806" t="s">
        <v>2682</v>
      </c>
      <c r="C4806" s="1">
        <v>37175</v>
      </c>
      <c r="D4806" t="s">
        <v>2683</v>
      </c>
      <c r="E4806" t="str">
        <f t="shared" si="247"/>
        <v>서울특별시</v>
      </c>
      <c r="F4806" t="str">
        <f t="shared" si="245"/>
        <v xml:space="preserve">중구 </v>
      </c>
      <c r="G4806" t="str">
        <f t="shared" si="246"/>
        <v>충무로</v>
      </c>
      <c r="H4806" t="s">
        <v>2684</v>
      </c>
      <c r="I4806">
        <v>4557</v>
      </c>
    </row>
    <row r="4807" spans="1:9" x14ac:dyDescent="0.4">
      <c r="A4807">
        <v>3010000</v>
      </c>
      <c r="B4807" t="s">
        <v>2630</v>
      </c>
      <c r="C4807" s="1">
        <v>38280</v>
      </c>
      <c r="D4807" t="s">
        <v>2631</v>
      </c>
      <c r="E4807" t="str">
        <f t="shared" si="247"/>
        <v>서울특별시</v>
      </c>
      <c r="F4807" t="str">
        <f t="shared" si="245"/>
        <v xml:space="preserve">중구 </v>
      </c>
      <c r="G4807" t="str">
        <f t="shared" si="246"/>
        <v>충무로</v>
      </c>
      <c r="H4807" t="s">
        <v>2632</v>
      </c>
      <c r="I4807">
        <v>4557</v>
      </c>
    </row>
    <row r="4808" spans="1:9" x14ac:dyDescent="0.4">
      <c r="A4808">
        <v>3010000</v>
      </c>
      <c r="B4808" t="s">
        <v>2574</v>
      </c>
      <c r="C4808" s="1">
        <v>37518</v>
      </c>
      <c r="D4808" t="s">
        <v>2575</v>
      </c>
      <c r="E4808" t="str">
        <f t="shared" si="247"/>
        <v>서울특별시</v>
      </c>
      <c r="F4808" t="str">
        <f t="shared" si="245"/>
        <v xml:space="preserve">중구 </v>
      </c>
      <c r="G4808" t="str">
        <f t="shared" si="246"/>
        <v>충무로</v>
      </c>
      <c r="H4808" t="s">
        <v>2576</v>
      </c>
      <c r="I4808">
        <v>4557</v>
      </c>
    </row>
    <row r="4809" spans="1:9" x14ac:dyDescent="0.4">
      <c r="A4809">
        <v>3010000</v>
      </c>
      <c r="B4809" t="s">
        <v>2741</v>
      </c>
      <c r="C4809" s="1">
        <v>38589</v>
      </c>
      <c r="D4809" t="s">
        <v>2742</v>
      </c>
      <c r="E4809" t="str">
        <f t="shared" si="247"/>
        <v>서울특별시</v>
      </c>
      <c r="F4809" t="str">
        <f t="shared" si="245"/>
        <v xml:space="preserve">중구 </v>
      </c>
      <c r="G4809" t="str">
        <f t="shared" si="246"/>
        <v>충무로</v>
      </c>
      <c r="H4809" t="s">
        <v>2743</v>
      </c>
      <c r="I4809">
        <v>4557</v>
      </c>
    </row>
    <row r="4810" spans="1:9" x14ac:dyDescent="0.4">
      <c r="A4810">
        <v>3010000</v>
      </c>
      <c r="B4810" t="s">
        <v>2552</v>
      </c>
      <c r="C4810" s="1">
        <v>37214</v>
      </c>
      <c r="D4810" t="s">
        <v>2553</v>
      </c>
      <c r="E4810" t="str">
        <f t="shared" si="247"/>
        <v>서울특별시</v>
      </c>
      <c r="F4810" t="str">
        <f t="shared" si="245"/>
        <v xml:space="preserve">중구 </v>
      </c>
      <c r="G4810" t="str">
        <f t="shared" si="246"/>
        <v>충무로</v>
      </c>
      <c r="H4810" t="s">
        <v>2554</v>
      </c>
      <c r="I4810">
        <v>4557</v>
      </c>
    </row>
    <row r="4811" spans="1:9" x14ac:dyDescent="0.4">
      <c r="A4811">
        <v>3010000</v>
      </c>
      <c r="B4811" t="s">
        <v>2589</v>
      </c>
      <c r="C4811" s="1">
        <v>39302</v>
      </c>
      <c r="D4811" t="s">
        <v>2590</v>
      </c>
      <c r="E4811" t="str">
        <f t="shared" si="247"/>
        <v>서울특별시</v>
      </c>
      <c r="F4811" t="str">
        <f t="shared" si="245"/>
        <v xml:space="preserve">중구 </v>
      </c>
      <c r="G4811" t="str">
        <f t="shared" si="246"/>
        <v>충무로</v>
      </c>
    </row>
    <row r="4812" spans="1:9" x14ac:dyDescent="0.4">
      <c r="A4812">
        <v>3010000</v>
      </c>
      <c r="B4812" t="s">
        <v>2879</v>
      </c>
      <c r="C4812" s="1">
        <v>36897</v>
      </c>
      <c r="D4812" t="s">
        <v>2880</v>
      </c>
      <c r="E4812" t="str">
        <f t="shared" si="247"/>
        <v>서울특별시</v>
      </c>
      <c r="F4812" t="str">
        <f t="shared" si="245"/>
        <v xml:space="preserve">중구 </v>
      </c>
      <c r="G4812" t="str">
        <f t="shared" si="246"/>
        <v>충무로</v>
      </c>
      <c r="H4812" t="s">
        <v>2881</v>
      </c>
      <c r="I4812">
        <v>4557</v>
      </c>
    </row>
    <row r="4813" spans="1:9" x14ac:dyDescent="0.4">
      <c r="A4813">
        <v>3010000</v>
      </c>
      <c r="B4813" t="s">
        <v>2455</v>
      </c>
      <c r="C4813" s="1">
        <v>31420</v>
      </c>
      <c r="D4813" t="s">
        <v>2456</v>
      </c>
      <c r="E4813" t="str">
        <f t="shared" si="247"/>
        <v>서울특별시</v>
      </c>
      <c r="F4813" t="str">
        <f t="shared" si="245"/>
        <v xml:space="preserve">중구 </v>
      </c>
      <c r="G4813" t="str">
        <f t="shared" si="246"/>
        <v>충무로</v>
      </c>
      <c r="H4813" t="s">
        <v>2457</v>
      </c>
      <c r="I4813">
        <v>4557</v>
      </c>
    </row>
    <row r="4814" spans="1:9" x14ac:dyDescent="0.4">
      <c r="A4814">
        <v>3010000</v>
      </c>
      <c r="B4814" t="s">
        <v>2599</v>
      </c>
      <c r="C4814" s="1">
        <v>37481</v>
      </c>
      <c r="D4814" t="s">
        <v>2600</v>
      </c>
      <c r="E4814" t="str">
        <f t="shared" si="247"/>
        <v>서울특별시</v>
      </c>
      <c r="F4814" t="str">
        <f t="shared" si="245"/>
        <v xml:space="preserve">중구 </v>
      </c>
      <c r="G4814" t="str">
        <f t="shared" si="246"/>
        <v>충무로</v>
      </c>
    </row>
    <row r="4815" spans="1:9" x14ac:dyDescent="0.4">
      <c r="A4815">
        <v>3010000</v>
      </c>
      <c r="B4815" t="s">
        <v>2557</v>
      </c>
      <c r="C4815" s="1">
        <v>39251</v>
      </c>
      <c r="D4815" t="s">
        <v>2558</v>
      </c>
      <c r="E4815" t="str">
        <f t="shared" si="247"/>
        <v>서울특별시</v>
      </c>
      <c r="F4815" t="str">
        <f t="shared" si="245"/>
        <v xml:space="preserve">중구 </v>
      </c>
      <c r="G4815" t="str">
        <f t="shared" si="246"/>
        <v>충무로</v>
      </c>
    </row>
    <row r="4816" spans="1:9" x14ac:dyDescent="0.4">
      <c r="A4816">
        <v>3010000</v>
      </c>
      <c r="B4816" t="s">
        <v>2705</v>
      </c>
      <c r="C4816" s="1">
        <v>30952</v>
      </c>
      <c r="D4816" t="s">
        <v>2706</v>
      </c>
      <c r="E4816" t="str">
        <f t="shared" si="247"/>
        <v>서울특별시</v>
      </c>
      <c r="F4816" t="str">
        <f t="shared" si="245"/>
        <v xml:space="preserve">중구 </v>
      </c>
      <c r="G4816" t="str">
        <f t="shared" si="246"/>
        <v>충무로</v>
      </c>
      <c r="H4816" t="s">
        <v>2707</v>
      </c>
      <c r="I4816">
        <v>4557</v>
      </c>
    </row>
    <row r="4817" spans="1:9" x14ac:dyDescent="0.4">
      <c r="A4817">
        <v>3010000</v>
      </c>
      <c r="B4817" t="s">
        <v>2811</v>
      </c>
      <c r="C4817" s="1">
        <v>37530</v>
      </c>
      <c r="D4817" t="s">
        <v>2812</v>
      </c>
      <c r="E4817" t="str">
        <f t="shared" si="247"/>
        <v>서울특별시</v>
      </c>
      <c r="F4817" t="str">
        <f t="shared" si="245"/>
        <v xml:space="preserve">중구 </v>
      </c>
      <c r="G4817" t="str">
        <f t="shared" si="246"/>
        <v>충무로</v>
      </c>
      <c r="H4817" t="s">
        <v>2813</v>
      </c>
      <c r="I4817">
        <v>4556</v>
      </c>
    </row>
    <row r="4818" spans="1:9" x14ac:dyDescent="0.4">
      <c r="A4818">
        <v>3010000</v>
      </c>
      <c r="B4818" t="s">
        <v>2766</v>
      </c>
      <c r="C4818" s="1">
        <v>37286</v>
      </c>
      <c r="D4818" t="s">
        <v>2767</v>
      </c>
      <c r="E4818" t="str">
        <f t="shared" si="247"/>
        <v>서울특별시</v>
      </c>
      <c r="F4818" t="str">
        <f t="shared" si="245"/>
        <v xml:space="preserve">중구 </v>
      </c>
      <c r="G4818" t="str">
        <f t="shared" si="246"/>
        <v>충무로</v>
      </c>
      <c r="H4818" t="s">
        <v>2768</v>
      </c>
      <c r="I4818">
        <v>4556</v>
      </c>
    </row>
    <row r="4819" spans="1:9" x14ac:dyDescent="0.4">
      <c r="A4819">
        <v>3010000</v>
      </c>
      <c r="B4819" t="s">
        <v>2461</v>
      </c>
      <c r="C4819" s="1">
        <v>37791</v>
      </c>
      <c r="D4819" t="s">
        <v>2462</v>
      </c>
      <c r="E4819" t="str">
        <f t="shared" si="247"/>
        <v>서울특별시</v>
      </c>
      <c r="F4819" t="str">
        <f t="shared" si="245"/>
        <v xml:space="preserve">중구 </v>
      </c>
      <c r="G4819" t="str">
        <f t="shared" si="246"/>
        <v>충무로</v>
      </c>
      <c r="H4819" t="s">
        <v>2463</v>
      </c>
      <c r="I4819">
        <v>4556</v>
      </c>
    </row>
    <row r="4820" spans="1:9" x14ac:dyDescent="0.4">
      <c r="A4820">
        <v>3010000</v>
      </c>
      <c r="B4820" t="s">
        <v>2519</v>
      </c>
      <c r="C4820" s="1">
        <v>39265</v>
      </c>
      <c r="D4820" t="s">
        <v>2520</v>
      </c>
      <c r="E4820" t="str">
        <f t="shared" si="247"/>
        <v>서울특별시</v>
      </c>
      <c r="F4820" t="str">
        <f t="shared" si="245"/>
        <v xml:space="preserve">중구 </v>
      </c>
      <c r="G4820" t="str">
        <f t="shared" si="246"/>
        <v>충무로</v>
      </c>
      <c r="H4820" t="s">
        <v>2521</v>
      </c>
      <c r="I4820">
        <v>4556</v>
      </c>
    </row>
    <row r="4821" spans="1:9" x14ac:dyDescent="0.4">
      <c r="A4821">
        <v>3010000</v>
      </c>
      <c r="B4821" t="s">
        <v>2522</v>
      </c>
      <c r="C4821" s="1">
        <v>39265</v>
      </c>
      <c r="D4821" t="s">
        <v>2523</v>
      </c>
      <c r="E4821" t="str">
        <f t="shared" si="247"/>
        <v>서울특별시</v>
      </c>
      <c r="F4821" t="str">
        <f t="shared" si="245"/>
        <v xml:space="preserve">중구 </v>
      </c>
      <c r="G4821" t="str">
        <f t="shared" si="246"/>
        <v>충무로</v>
      </c>
      <c r="H4821" t="s">
        <v>2524</v>
      </c>
      <c r="I4821">
        <v>4556</v>
      </c>
    </row>
    <row r="4822" spans="1:9" x14ac:dyDescent="0.4">
      <c r="A4822">
        <v>3010000</v>
      </c>
      <c r="B4822" t="s">
        <v>2357</v>
      </c>
      <c r="C4822" s="1">
        <v>37587</v>
      </c>
      <c r="D4822" t="s">
        <v>2358</v>
      </c>
      <c r="E4822" t="str">
        <f t="shared" si="247"/>
        <v>서울특별시</v>
      </c>
      <c r="F4822" t="str">
        <f t="shared" si="245"/>
        <v xml:space="preserve">중구 </v>
      </c>
      <c r="G4822" t="str">
        <f t="shared" si="246"/>
        <v>충무로</v>
      </c>
      <c r="H4822" t="s">
        <v>2359</v>
      </c>
      <c r="I4822">
        <v>4556</v>
      </c>
    </row>
    <row r="4823" spans="1:9" x14ac:dyDescent="0.4">
      <c r="A4823">
        <v>3010000</v>
      </c>
      <c r="B4823" t="s">
        <v>2346</v>
      </c>
      <c r="C4823" s="1">
        <v>38568</v>
      </c>
      <c r="D4823" t="s">
        <v>2347</v>
      </c>
      <c r="E4823" t="str">
        <f t="shared" si="247"/>
        <v>서울특별시</v>
      </c>
      <c r="F4823" t="str">
        <f t="shared" si="245"/>
        <v xml:space="preserve">중구 </v>
      </c>
      <c r="G4823" t="str">
        <f t="shared" si="246"/>
        <v>충무로</v>
      </c>
    </row>
    <row r="4824" spans="1:9" x14ac:dyDescent="0.4">
      <c r="A4824">
        <v>3010000</v>
      </c>
      <c r="B4824" t="s">
        <v>2823</v>
      </c>
      <c r="C4824" s="1">
        <v>37352</v>
      </c>
      <c r="D4824" t="s">
        <v>2824</v>
      </c>
      <c r="E4824" t="str">
        <f t="shared" si="247"/>
        <v>서울특별시</v>
      </c>
      <c r="F4824" t="str">
        <f t="shared" si="245"/>
        <v xml:space="preserve">중구 </v>
      </c>
      <c r="G4824" t="str">
        <f t="shared" si="246"/>
        <v>충무로</v>
      </c>
      <c r="H4824" t="s">
        <v>2825</v>
      </c>
      <c r="I4824">
        <v>4556</v>
      </c>
    </row>
    <row r="4825" spans="1:9" x14ac:dyDescent="0.4">
      <c r="A4825">
        <v>3010000</v>
      </c>
      <c r="B4825" t="s">
        <v>2697</v>
      </c>
      <c r="C4825" s="1">
        <v>37140</v>
      </c>
      <c r="D4825" t="s">
        <v>2698</v>
      </c>
      <c r="E4825" t="str">
        <f t="shared" si="247"/>
        <v>서울특별시</v>
      </c>
      <c r="F4825" t="str">
        <f t="shared" si="245"/>
        <v xml:space="preserve">중구 </v>
      </c>
      <c r="G4825" t="str">
        <f t="shared" si="246"/>
        <v>충무로</v>
      </c>
      <c r="H4825" t="s">
        <v>2699</v>
      </c>
      <c r="I4825">
        <v>4556</v>
      </c>
    </row>
    <row r="4826" spans="1:9" x14ac:dyDescent="0.4">
      <c r="A4826">
        <v>3010000</v>
      </c>
      <c r="B4826" t="s">
        <v>2504</v>
      </c>
      <c r="C4826" s="1">
        <v>40520</v>
      </c>
      <c r="D4826" t="s">
        <v>2505</v>
      </c>
      <c r="E4826" t="str">
        <f t="shared" si="247"/>
        <v>서울특별시</v>
      </c>
      <c r="F4826" t="str">
        <f t="shared" si="245"/>
        <v xml:space="preserve">중구 </v>
      </c>
      <c r="G4826" t="str">
        <f t="shared" si="246"/>
        <v>충무로</v>
      </c>
      <c r="H4826" t="s">
        <v>2506</v>
      </c>
      <c r="I4826">
        <v>4558</v>
      </c>
    </row>
    <row r="4827" spans="1:9" x14ac:dyDescent="0.4">
      <c r="A4827">
        <v>3010000</v>
      </c>
      <c r="B4827" t="s">
        <v>1654</v>
      </c>
      <c r="C4827" s="1">
        <v>38252</v>
      </c>
      <c r="D4827" t="s">
        <v>1655</v>
      </c>
      <c r="E4827" t="str">
        <f t="shared" si="247"/>
        <v>서울특별시</v>
      </c>
      <c r="F4827" t="str">
        <f t="shared" si="245"/>
        <v xml:space="preserve">중구 </v>
      </c>
      <c r="G4827" t="str">
        <f t="shared" si="246"/>
        <v>충무로</v>
      </c>
    </row>
    <row r="4828" spans="1:9" x14ac:dyDescent="0.4">
      <c r="A4828">
        <v>3010000</v>
      </c>
      <c r="B4828" t="s">
        <v>1475</v>
      </c>
      <c r="C4828" s="1">
        <v>40170</v>
      </c>
      <c r="D4828" t="s">
        <v>1476</v>
      </c>
      <c r="E4828" t="str">
        <f t="shared" si="247"/>
        <v>서울특별시</v>
      </c>
      <c r="F4828" t="str">
        <f t="shared" si="245"/>
        <v xml:space="preserve">중구 </v>
      </c>
      <c r="G4828" t="str">
        <f t="shared" si="246"/>
        <v>충무로</v>
      </c>
    </row>
    <row r="4829" spans="1:9" x14ac:dyDescent="0.4">
      <c r="A4829">
        <v>3010000</v>
      </c>
      <c r="B4829" t="s">
        <v>2175</v>
      </c>
      <c r="C4829" s="1">
        <v>38726</v>
      </c>
      <c r="D4829" t="s">
        <v>2176</v>
      </c>
      <c r="E4829" t="str">
        <f t="shared" si="247"/>
        <v>서울특별시</v>
      </c>
      <c r="F4829" t="str">
        <f t="shared" si="245"/>
        <v xml:space="preserve">중구 </v>
      </c>
      <c r="G4829" t="str">
        <f t="shared" si="246"/>
        <v>충무로</v>
      </c>
      <c r="H4829" t="s">
        <v>2177</v>
      </c>
      <c r="I4829">
        <v>4556</v>
      </c>
    </row>
    <row r="4830" spans="1:9" x14ac:dyDescent="0.4">
      <c r="A4830">
        <v>3010000</v>
      </c>
      <c r="B4830" t="s">
        <v>2178</v>
      </c>
      <c r="C4830" s="1">
        <v>38748</v>
      </c>
      <c r="D4830" t="s">
        <v>2179</v>
      </c>
      <c r="E4830" t="str">
        <f t="shared" si="247"/>
        <v>서울특별시</v>
      </c>
      <c r="F4830" t="str">
        <f t="shared" si="245"/>
        <v xml:space="preserve">중구 </v>
      </c>
      <c r="G4830" t="str">
        <f t="shared" si="246"/>
        <v>충무로</v>
      </c>
      <c r="H4830" t="s">
        <v>2180</v>
      </c>
      <c r="I4830">
        <v>4556</v>
      </c>
    </row>
    <row r="4831" spans="1:9" x14ac:dyDescent="0.4">
      <c r="A4831">
        <v>3010000</v>
      </c>
      <c r="B4831" t="s">
        <v>1936</v>
      </c>
      <c r="C4831" s="1">
        <v>37482</v>
      </c>
      <c r="D4831" t="s">
        <v>1937</v>
      </c>
      <c r="E4831" t="str">
        <f t="shared" si="247"/>
        <v>서울특별시</v>
      </c>
      <c r="F4831" t="str">
        <f t="shared" si="245"/>
        <v xml:space="preserve">중구 </v>
      </c>
      <c r="G4831" t="str">
        <f t="shared" si="246"/>
        <v>충무로</v>
      </c>
      <c r="H4831" t="s">
        <v>1938</v>
      </c>
      <c r="I4831">
        <v>4559</v>
      </c>
    </row>
    <row r="4832" spans="1:9" x14ac:dyDescent="0.4">
      <c r="A4832">
        <v>3010000</v>
      </c>
      <c r="B4832" t="s">
        <v>1758</v>
      </c>
      <c r="C4832" s="1">
        <v>36412</v>
      </c>
      <c r="D4832" t="s">
        <v>1759</v>
      </c>
      <c r="E4832" t="str">
        <f t="shared" si="247"/>
        <v>서울특별시</v>
      </c>
      <c r="F4832" t="str">
        <f t="shared" si="245"/>
        <v xml:space="preserve">중구 </v>
      </c>
      <c r="G4832" t="str">
        <f t="shared" si="246"/>
        <v>충무로</v>
      </c>
    </row>
    <row r="4833" spans="1:9" x14ac:dyDescent="0.4">
      <c r="A4833">
        <v>3010000</v>
      </c>
      <c r="B4833" t="s">
        <v>1403</v>
      </c>
      <c r="C4833" s="1">
        <v>30347</v>
      </c>
      <c r="D4833" t="s">
        <v>1404</v>
      </c>
      <c r="E4833" t="str">
        <f t="shared" si="247"/>
        <v>서울특별시</v>
      </c>
      <c r="F4833" t="str">
        <f t="shared" si="245"/>
        <v xml:space="preserve">중구 </v>
      </c>
      <c r="G4833" t="str">
        <f t="shared" si="246"/>
        <v>충무로</v>
      </c>
    </row>
    <row r="4834" spans="1:9" x14ac:dyDescent="0.4">
      <c r="A4834">
        <v>3010000</v>
      </c>
      <c r="B4834" t="s">
        <v>2168</v>
      </c>
      <c r="C4834" s="1">
        <v>36686</v>
      </c>
      <c r="D4834" t="s">
        <v>2169</v>
      </c>
      <c r="E4834" t="str">
        <f t="shared" si="247"/>
        <v>서울특별시</v>
      </c>
      <c r="F4834" t="str">
        <f t="shared" si="245"/>
        <v xml:space="preserve">중구 </v>
      </c>
      <c r="G4834" t="str">
        <f t="shared" si="246"/>
        <v>충무로</v>
      </c>
    </row>
    <row r="4835" spans="1:9" x14ac:dyDescent="0.4">
      <c r="A4835">
        <v>3010000</v>
      </c>
      <c r="B4835" t="s">
        <v>2151</v>
      </c>
      <c r="C4835" s="1">
        <v>36601</v>
      </c>
      <c r="D4835" t="s">
        <v>2152</v>
      </c>
      <c r="E4835" t="str">
        <f t="shared" si="247"/>
        <v>서울특별시</v>
      </c>
      <c r="F4835" t="str">
        <f t="shared" si="245"/>
        <v xml:space="preserve">중구 </v>
      </c>
      <c r="G4835" t="str">
        <f t="shared" si="246"/>
        <v>충무로</v>
      </c>
      <c r="H4835" t="s">
        <v>2153</v>
      </c>
      <c r="I4835">
        <v>4624</v>
      </c>
    </row>
    <row r="4836" spans="1:9" x14ac:dyDescent="0.4">
      <c r="A4836">
        <v>3010000</v>
      </c>
      <c r="B4836" t="s">
        <v>1372</v>
      </c>
      <c r="C4836" s="1">
        <v>31729</v>
      </c>
      <c r="D4836" t="s">
        <v>1373</v>
      </c>
      <c r="E4836" t="str">
        <f t="shared" si="247"/>
        <v>서울특별시</v>
      </c>
      <c r="F4836" t="str">
        <f t="shared" si="245"/>
        <v xml:space="preserve">중구 </v>
      </c>
      <c r="G4836" t="str">
        <f t="shared" si="246"/>
        <v>태평로</v>
      </c>
      <c r="H4836" t="s">
        <v>1374</v>
      </c>
      <c r="I4836">
        <v>4520</v>
      </c>
    </row>
    <row r="4837" spans="1:9" x14ac:dyDescent="0.4">
      <c r="A4837">
        <v>3010000</v>
      </c>
      <c r="B4837" t="s">
        <v>1360</v>
      </c>
      <c r="C4837" s="1">
        <v>27827</v>
      </c>
      <c r="D4837" t="s">
        <v>1361</v>
      </c>
      <c r="E4837" t="str">
        <f t="shared" si="247"/>
        <v>서울특별시</v>
      </c>
      <c r="F4837" t="str">
        <f t="shared" si="245"/>
        <v xml:space="preserve">중구 </v>
      </c>
      <c r="G4837" t="str">
        <f t="shared" si="246"/>
        <v>태평로</v>
      </c>
    </row>
    <row r="4838" spans="1:9" x14ac:dyDescent="0.4">
      <c r="A4838">
        <v>3010000</v>
      </c>
      <c r="B4838" t="s">
        <v>1917</v>
      </c>
      <c r="C4838" s="1">
        <v>28516</v>
      </c>
      <c r="D4838" t="s">
        <v>1918</v>
      </c>
      <c r="E4838" t="str">
        <f t="shared" si="247"/>
        <v>서울특별시</v>
      </c>
      <c r="F4838" t="str">
        <f t="shared" si="245"/>
        <v xml:space="preserve">중구 </v>
      </c>
      <c r="G4838" t="str">
        <f t="shared" si="246"/>
        <v>태평로</v>
      </c>
      <c r="H4838" t="s">
        <v>1919</v>
      </c>
      <c r="I4838">
        <v>4520</v>
      </c>
    </row>
    <row r="4839" spans="1:9" x14ac:dyDescent="0.4">
      <c r="A4839">
        <v>3010000</v>
      </c>
      <c r="B4839" t="s">
        <v>1920</v>
      </c>
      <c r="C4839" s="1">
        <v>28516</v>
      </c>
      <c r="D4839" t="s">
        <v>1918</v>
      </c>
      <c r="E4839" t="str">
        <f t="shared" si="247"/>
        <v>서울특별시</v>
      </c>
      <c r="F4839" t="str">
        <f t="shared" si="245"/>
        <v xml:space="preserve">중구 </v>
      </c>
      <c r="G4839" t="str">
        <f t="shared" si="246"/>
        <v>태평로</v>
      </c>
      <c r="H4839" t="s">
        <v>1919</v>
      </c>
      <c r="I4839">
        <v>4520</v>
      </c>
    </row>
    <row r="4840" spans="1:9" x14ac:dyDescent="0.4">
      <c r="A4840">
        <v>3010000</v>
      </c>
      <c r="B4840" t="s">
        <v>2702</v>
      </c>
      <c r="C4840" s="1">
        <v>36710</v>
      </c>
      <c r="D4840" t="s">
        <v>2703</v>
      </c>
      <c r="E4840" t="str">
        <f t="shared" si="247"/>
        <v>서울특별시</v>
      </c>
      <c r="F4840" t="str">
        <f t="shared" si="245"/>
        <v xml:space="preserve">중구 </v>
      </c>
      <c r="G4840" t="str">
        <f t="shared" si="246"/>
        <v>태평로</v>
      </c>
      <c r="H4840" t="s">
        <v>2704</v>
      </c>
      <c r="I4840">
        <v>4520</v>
      </c>
    </row>
    <row r="4841" spans="1:9" x14ac:dyDescent="0.4">
      <c r="A4841">
        <v>3010000</v>
      </c>
      <c r="B4841" t="s">
        <v>2139</v>
      </c>
      <c r="C4841" s="1">
        <v>36579</v>
      </c>
      <c r="D4841" t="s">
        <v>2140</v>
      </c>
      <c r="E4841" t="str">
        <f t="shared" si="247"/>
        <v>서울특별시</v>
      </c>
      <c r="F4841" t="str">
        <f t="shared" si="245"/>
        <v xml:space="preserve">중구 </v>
      </c>
      <c r="G4841" t="str">
        <f t="shared" si="246"/>
        <v>태평로</v>
      </c>
    </row>
    <row r="4842" spans="1:9" x14ac:dyDescent="0.4">
      <c r="A4842">
        <v>3010000</v>
      </c>
      <c r="B4842" t="s">
        <v>2052</v>
      </c>
      <c r="C4842" s="1">
        <v>37530</v>
      </c>
      <c r="D4842" t="s">
        <v>2053</v>
      </c>
      <c r="E4842" t="str">
        <f t="shared" si="247"/>
        <v>서울특별시</v>
      </c>
      <c r="F4842" t="str">
        <f t="shared" si="245"/>
        <v xml:space="preserve">중구 </v>
      </c>
      <c r="G4842" t="str">
        <f t="shared" si="246"/>
        <v>태평로</v>
      </c>
    </row>
    <row r="4843" spans="1:9" x14ac:dyDescent="0.4">
      <c r="A4843">
        <v>3010000</v>
      </c>
      <c r="B4843" t="s">
        <v>1793</v>
      </c>
      <c r="C4843" s="1">
        <v>26387</v>
      </c>
      <c r="D4843" t="s">
        <v>1794</v>
      </c>
      <c r="E4843" t="str">
        <f t="shared" si="247"/>
        <v>서울특별시</v>
      </c>
      <c r="F4843" t="str">
        <f t="shared" si="245"/>
        <v xml:space="preserve">중구 </v>
      </c>
      <c r="G4843" t="str">
        <f t="shared" si="246"/>
        <v>태평로</v>
      </c>
    </row>
    <row r="4844" spans="1:9" x14ac:dyDescent="0.4">
      <c r="A4844">
        <v>3010000</v>
      </c>
      <c r="B4844" t="s">
        <v>1747</v>
      </c>
      <c r="C4844" s="1">
        <v>36378</v>
      </c>
      <c r="D4844" t="s">
        <v>1748</v>
      </c>
      <c r="E4844" t="str">
        <f t="shared" si="247"/>
        <v>서울특별시</v>
      </c>
      <c r="F4844" t="str">
        <f t="shared" si="245"/>
        <v xml:space="preserve">중구 </v>
      </c>
      <c r="G4844" t="str">
        <f t="shared" si="246"/>
        <v>태평로</v>
      </c>
    </row>
    <row r="4845" spans="1:9" x14ac:dyDescent="0.4">
      <c r="A4845">
        <v>3010000</v>
      </c>
      <c r="B4845" t="s">
        <v>2711</v>
      </c>
      <c r="C4845" s="1">
        <v>36752</v>
      </c>
      <c r="D4845" t="s">
        <v>2712</v>
      </c>
      <c r="E4845" t="str">
        <f t="shared" si="247"/>
        <v>서울특별시</v>
      </c>
      <c r="F4845" t="str">
        <f t="shared" si="245"/>
        <v xml:space="preserve">중구 </v>
      </c>
      <c r="G4845" t="str">
        <f t="shared" si="246"/>
        <v>태평로</v>
      </c>
      <c r="H4845" t="s">
        <v>2713</v>
      </c>
      <c r="I4845">
        <v>4514</v>
      </c>
    </row>
    <row r="4846" spans="1:9" x14ac:dyDescent="0.4">
      <c r="A4846">
        <v>3010000</v>
      </c>
      <c r="B4846" t="s">
        <v>1712</v>
      </c>
      <c r="C4846" s="1">
        <v>36367</v>
      </c>
      <c r="D4846" t="s">
        <v>1713</v>
      </c>
      <c r="E4846" t="str">
        <f t="shared" si="247"/>
        <v>서울특별시</v>
      </c>
      <c r="F4846" t="str">
        <f t="shared" si="245"/>
        <v xml:space="preserve">중구 </v>
      </c>
      <c r="G4846" t="str">
        <f t="shared" si="246"/>
        <v>태평로</v>
      </c>
    </row>
    <row r="4847" spans="1:9" x14ac:dyDescent="0.4">
      <c r="A4847">
        <v>3010000</v>
      </c>
      <c r="B4847" t="s">
        <v>1772</v>
      </c>
      <c r="C4847" s="1">
        <v>36425</v>
      </c>
      <c r="D4847" t="s">
        <v>1773</v>
      </c>
      <c r="E4847" t="str">
        <f t="shared" si="247"/>
        <v>서울특별시</v>
      </c>
      <c r="F4847" t="str">
        <f t="shared" si="245"/>
        <v xml:space="preserve">중구 </v>
      </c>
      <c r="G4847" t="str">
        <f t="shared" si="246"/>
        <v>태평로</v>
      </c>
    </row>
    <row r="4848" spans="1:9" x14ac:dyDescent="0.4">
      <c r="A4848">
        <v>3010000</v>
      </c>
      <c r="B4848" t="s">
        <v>1431</v>
      </c>
      <c r="C4848" s="1">
        <v>36546</v>
      </c>
      <c r="D4848" t="s">
        <v>1432</v>
      </c>
      <c r="E4848" t="str">
        <f t="shared" si="247"/>
        <v>서울특별시</v>
      </c>
      <c r="F4848" t="str">
        <f t="shared" ref="F4848:F4911" si="248">MID(D4848,7,3)</f>
        <v xml:space="preserve">중구 </v>
      </c>
      <c r="G4848" t="str">
        <f t="shared" si="246"/>
        <v>태평로</v>
      </c>
    </row>
    <row r="4849" spans="1:9" x14ac:dyDescent="0.4">
      <c r="A4849">
        <v>3010000</v>
      </c>
      <c r="B4849" t="s">
        <v>2107</v>
      </c>
      <c r="C4849" s="1">
        <v>36266</v>
      </c>
      <c r="D4849" t="s">
        <v>2108</v>
      </c>
      <c r="E4849" t="str">
        <f t="shared" si="247"/>
        <v>서울특별시</v>
      </c>
      <c r="F4849" t="str">
        <f t="shared" si="248"/>
        <v xml:space="preserve">중구 </v>
      </c>
      <c r="G4849" t="str">
        <f t="shared" si="246"/>
        <v>태평로</v>
      </c>
    </row>
    <row r="4850" spans="1:9" x14ac:dyDescent="0.4">
      <c r="A4850">
        <v>3010000</v>
      </c>
      <c r="B4850" t="s">
        <v>1870</v>
      </c>
      <c r="C4850" s="1">
        <v>36280</v>
      </c>
      <c r="D4850" t="s">
        <v>1871</v>
      </c>
      <c r="E4850" t="str">
        <f t="shared" si="247"/>
        <v>서울특별시</v>
      </c>
      <c r="F4850" t="str">
        <f t="shared" si="248"/>
        <v xml:space="preserve">중구 </v>
      </c>
      <c r="G4850" t="str">
        <f t="shared" si="246"/>
        <v>태평로</v>
      </c>
      <c r="H4850" t="s">
        <v>1872</v>
      </c>
      <c r="I4850">
        <v>4526</v>
      </c>
    </row>
    <row r="4851" spans="1:9" x14ac:dyDescent="0.4">
      <c r="A4851">
        <v>3010000</v>
      </c>
      <c r="B4851" t="s">
        <v>2027</v>
      </c>
      <c r="C4851" s="1">
        <v>28133</v>
      </c>
      <c r="D4851" t="s">
        <v>1871</v>
      </c>
      <c r="E4851" t="str">
        <f t="shared" si="247"/>
        <v>서울특별시</v>
      </c>
      <c r="F4851" t="str">
        <f t="shared" si="248"/>
        <v xml:space="preserve">중구 </v>
      </c>
      <c r="G4851" t="str">
        <f t="shared" si="246"/>
        <v>태평로</v>
      </c>
    </row>
    <row r="4852" spans="1:9" x14ac:dyDescent="0.4">
      <c r="A4852">
        <v>3010000</v>
      </c>
      <c r="B4852" t="s">
        <v>1420</v>
      </c>
      <c r="C4852" s="1">
        <v>36307</v>
      </c>
      <c r="D4852" t="s">
        <v>1421</v>
      </c>
      <c r="E4852" t="str">
        <f t="shared" si="247"/>
        <v>서울특별시</v>
      </c>
      <c r="F4852" t="str">
        <f t="shared" si="248"/>
        <v xml:space="preserve">중구 </v>
      </c>
      <c r="G4852" t="str">
        <f t="shared" si="246"/>
        <v>태평로</v>
      </c>
    </row>
    <row r="4853" spans="1:9" x14ac:dyDescent="0.4">
      <c r="A4853">
        <v>3010000</v>
      </c>
      <c r="B4853" t="s">
        <v>2058</v>
      </c>
      <c r="C4853" s="1">
        <v>37321</v>
      </c>
      <c r="D4853" t="s">
        <v>2059</v>
      </c>
      <c r="E4853" t="str">
        <f t="shared" si="247"/>
        <v>서울특별시</v>
      </c>
      <c r="F4853" t="str">
        <f t="shared" si="248"/>
        <v xml:space="preserve">중구 </v>
      </c>
      <c r="G4853" t="str">
        <f t="shared" si="246"/>
        <v>태평로</v>
      </c>
    </row>
    <row r="4854" spans="1:9" x14ac:dyDescent="0.4">
      <c r="A4854">
        <v>3010000</v>
      </c>
      <c r="B4854" t="s">
        <v>2077</v>
      </c>
      <c r="C4854" s="1">
        <v>36496</v>
      </c>
      <c r="D4854" t="s">
        <v>2078</v>
      </c>
      <c r="E4854" t="str">
        <f t="shared" si="247"/>
        <v>서울특별시</v>
      </c>
      <c r="F4854" t="str">
        <f t="shared" si="248"/>
        <v xml:space="preserve">중구 </v>
      </c>
      <c r="G4854" t="str">
        <f t="shared" si="246"/>
        <v>태평로</v>
      </c>
    </row>
    <row r="4855" spans="1:9" x14ac:dyDescent="0.4">
      <c r="A4855">
        <v>3010000</v>
      </c>
      <c r="B4855" t="s">
        <v>1779</v>
      </c>
      <c r="C4855" s="1">
        <v>36454</v>
      </c>
      <c r="D4855" t="s">
        <v>1780</v>
      </c>
      <c r="E4855" t="str">
        <f t="shared" si="247"/>
        <v>서울특별시</v>
      </c>
      <c r="F4855" t="str">
        <f t="shared" si="248"/>
        <v xml:space="preserve">중구 </v>
      </c>
      <c r="G4855" t="str">
        <f t="shared" si="246"/>
        <v>태평로</v>
      </c>
    </row>
    <row r="4856" spans="1:9" x14ac:dyDescent="0.4">
      <c r="A4856">
        <v>3010000</v>
      </c>
      <c r="B4856" t="s">
        <v>2161</v>
      </c>
      <c r="C4856" s="1">
        <v>36662</v>
      </c>
      <c r="D4856" t="s">
        <v>2162</v>
      </c>
      <c r="E4856" t="str">
        <f t="shared" si="247"/>
        <v>서울특별시</v>
      </c>
      <c r="F4856" t="str">
        <f t="shared" si="248"/>
        <v xml:space="preserve">중구 </v>
      </c>
      <c r="G4856" t="str">
        <f t="shared" si="246"/>
        <v>태평로</v>
      </c>
    </row>
    <row r="4857" spans="1:9" x14ac:dyDescent="0.4">
      <c r="A4857">
        <v>3010000</v>
      </c>
      <c r="B4857" t="s">
        <v>1875</v>
      </c>
      <c r="C4857" s="1">
        <v>36295</v>
      </c>
      <c r="D4857" t="s">
        <v>1876</v>
      </c>
      <c r="E4857" t="str">
        <f t="shared" si="247"/>
        <v>서울특별시</v>
      </c>
      <c r="F4857" t="str">
        <f t="shared" si="248"/>
        <v xml:space="preserve">중구 </v>
      </c>
      <c r="G4857" t="str">
        <f t="shared" si="246"/>
        <v>태평로</v>
      </c>
    </row>
    <row r="4858" spans="1:9" x14ac:dyDescent="0.4">
      <c r="A4858">
        <v>3010000</v>
      </c>
      <c r="B4858" t="s">
        <v>1485</v>
      </c>
      <c r="C4858" s="1">
        <v>40375</v>
      </c>
      <c r="D4858" t="s">
        <v>1486</v>
      </c>
      <c r="E4858" t="str">
        <f t="shared" si="247"/>
        <v>서울특별시</v>
      </c>
      <c r="F4858" t="str">
        <f t="shared" si="248"/>
        <v xml:space="preserve">중구 </v>
      </c>
      <c r="G4858" t="str">
        <f t="shared" si="246"/>
        <v>태평로</v>
      </c>
    </row>
    <row r="4859" spans="1:9" x14ac:dyDescent="0.4">
      <c r="A4859">
        <v>3010000</v>
      </c>
      <c r="B4859" t="s">
        <v>1734</v>
      </c>
      <c r="C4859" s="1">
        <v>36371</v>
      </c>
      <c r="D4859" t="s">
        <v>1735</v>
      </c>
      <c r="E4859" t="str">
        <f t="shared" si="247"/>
        <v>서울특별시</v>
      </c>
      <c r="F4859" t="str">
        <f t="shared" si="248"/>
        <v xml:space="preserve">중구 </v>
      </c>
      <c r="G4859" t="str">
        <f t="shared" si="246"/>
        <v>태평로</v>
      </c>
    </row>
    <row r="4860" spans="1:9" x14ac:dyDescent="0.4">
      <c r="A4860">
        <v>3010000</v>
      </c>
      <c r="B4860" t="s">
        <v>1677</v>
      </c>
      <c r="C4860" s="1">
        <v>41243</v>
      </c>
      <c r="D4860" t="s">
        <v>1678</v>
      </c>
      <c r="E4860" t="str">
        <f t="shared" si="247"/>
        <v>서울특별시</v>
      </c>
      <c r="F4860" t="str">
        <f t="shared" si="248"/>
        <v xml:space="preserve">중구 </v>
      </c>
      <c r="G4860" t="str">
        <f t="shared" ref="G4860:G4923" si="249">MID(SUBSTITUTE(D4860," ",""),8,3)</f>
        <v>태평로</v>
      </c>
      <c r="H4860" t="s">
        <v>1679</v>
      </c>
      <c r="I4860">
        <v>4526</v>
      </c>
    </row>
    <row r="4861" spans="1:9" x14ac:dyDescent="0.4">
      <c r="A4861">
        <v>3010000</v>
      </c>
      <c r="B4861" t="s">
        <v>1414</v>
      </c>
      <c r="C4861" s="1">
        <v>43808</v>
      </c>
      <c r="D4861" t="s">
        <v>1415</v>
      </c>
      <c r="E4861" t="str">
        <f t="shared" si="247"/>
        <v>서울특별시</v>
      </c>
      <c r="F4861" t="str">
        <f t="shared" si="248"/>
        <v xml:space="preserve">중구 </v>
      </c>
      <c r="G4861" t="str">
        <f t="shared" si="249"/>
        <v>태평로</v>
      </c>
      <c r="H4861" t="s">
        <v>1416</v>
      </c>
      <c r="I4861">
        <v>4526</v>
      </c>
    </row>
    <row r="4862" spans="1:9" x14ac:dyDescent="0.4">
      <c r="A4862">
        <v>3010000</v>
      </c>
      <c r="B4862" t="s">
        <v>1703</v>
      </c>
      <c r="C4862" s="1">
        <v>37812</v>
      </c>
      <c r="D4862" t="s">
        <v>1704</v>
      </c>
      <c r="E4862" t="str">
        <f t="shared" si="247"/>
        <v>서울특별시</v>
      </c>
      <c r="F4862" t="str">
        <f t="shared" si="248"/>
        <v xml:space="preserve">중구 </v>
      </c>
      <c r="G4862" t="str">
        <f t="shared" si="249"/>
        <v>태평로</v>
      </c>
      <c r="H4862" t="s">
        <v>1705</v>
      </c>
      <c r="I4862">
        <v>4526</v>
      </c>
    </row>
    <row r="4863" spans="1:9" x14ac:dyDescent="0.4">
      <c r="A4863">
        <v>3010000</v>
      </c>
      <c r="B4863" t="s">
        <v>2105</v>
      </c>
      <c r="C4863" s="1">
        <v>36260</v>
      </c>
      <c r="D4863" t="s">
        <v>2106</v>
      </c>
      <c r="E4863" t="str">
        <f t="shared" si="247"/>
        <v>서울특별시</v>
      </c>
      <c r="F4863" t="str">
        <f t="shared" si="248"/>
        <v xml:space="preserve">중구 </v>
      </c>
      <c r="G4863" t="str">
        <f t="shared" si="249"/>
        <v>태평로</v>
      </c>
    </row>
    <row r="4864" spans="1:9" x14ac:dyDescent="0.4">
      <c r="A4864">
        <v>3010000</v>
      </c>
      <c r="B4864" t="s">
        <v>2271</v>
      </c>
      <c r="C4864" s="1">
        <v>36712</v>
      </c>
      <c r="D4864" t="s">
        <v>2106</v>
      </c>
      <c r="E4864" t="str">
        <f t="shared" si="247"/>
        <v>서울특별시</v>
      </c>
      <c r="F4864" t="str">
        <f t="shared" si="248"/>
        <v xml:space="preserve">중구 </v>
      </c>
      <c r="G4864" t="str">
        <f t="shared" si="249"/>
        <v>태평로</v>
      </c>
    </row>
    <row r="4865" spans="1:9" x14ac:dyDescent="0.4">
      <c r="A4865">
        <v>3010000</v>
      </c>
      <c r="B4865" t="s">
        <v>1604</v>
      </c>
      <c r="C4865" s="1">
        <v>37544</v>
      </c>
      <c r="D4865" t="s">
        <v>1605</v>
      </c>
      <c r="E4865" t="str">
        <f t="shared" si="247"/>
        <v>서울특별시</v>
      </c>
      <c r="F4865" t="str">
        <f t="shared" si="248"/>
        <v xml:space="preserve">중구 </v>
      </c>
      <c r="G4865" t="str">
        <f t="shared" si="249"/>
        <v>태평로</v>
      </c>
    </row>
    <row r="4866" spans="1:9" x14ac:dyDescent="0.4">
      <c r="A4866">
        <v>3010000</v>
      </c>
      <c r="B4866" t="s">
        <v>2799</v>
      </c>
      <c r="C4866" s="1">
        <v>37306</v>
      </c>
      <c r="D4866" t="s">
        <v>2800</v>
      </c>
      <c r="E4866" t="str">
        <f t="shared" si="247"/>
        <v>서울특별시</v>
      </c>
      <c r="F4866" t="str">
        <f t="shared" si="248"/>
        <v xml:space="preserve">중구 </v>
      </c>
      <c r="G4866" t="str">
        <f t="shared" si="249"/>
        <v>필동1</v>
      </c>
      <c r="H4866" t="s">
        <v>2801</v>
      </c>
      <c r="I4866">
        <v>4554</v>
      </c>
    </row>
    <row r="4867" spans="1:9" x14ac:dyDescent="0.4">
      <c r="A4867">
        <v>3010000</v>
      </c>
      <c r="B4867" t="s">
        <v>2443</v>
      </c>
      <c r="C4867" s="1">
        <v>31206</v>
      </c>
      <c r="D4867" t="s">
        <v>2444</v>
      </c>
      <c r="E4867" t="str">
        <f t="shared" ref="E4867:E4930" si="250">LEFT(D4867,5)</f>
        <v>서울특별시</v>
      </c>
      <c r="F4867" t="str">
        <f t="shared" si="248"/>
        <v xml:space="preserve">중구 </v>
      </c>
      <c r="G4867" t="str">
        <f t="shared" si="249"/>
        <v>필동1</v>
      </c>
    </row>
    <row r="4868" spans="1:9" x14ac:dyDescent="0.4">
      <c r="A4868">
        <v>3010000</v>
      </c>
      <c r="B4868" t="s">
        <v>2028</v>
      </c>
      <c r="C4868" s="1">
        <v>28154</v>
      </c>
      <c r="D4868" t="s">
        <v>2029</v>
      </c>
      <c r="E4868" t="str">
        <f t="shared" si="250"/>
        <v>서울특별시</v>
      </c>
      <c r="F4868" t="str">
        <f t="shared" si="248"/>
        <v xml:space="preserve">중구 </v>
      </c>
      <c r="G4868" t="str">
        <f t="shared" si="249"/>
        <v>필동1</v>
      </c>
      <c r="H4868" t="s">
        <v>2030</v>
      </c>
      <c r="I4868">
        <v>4554</v>
      </c>
    </row>
    <row r="4869" spans="1:9" x14ac:dyDescent="0.4">
      <c r="A4869">
        <v>3010000</v>
      </c>
      <c r="B4869" t="s">
        <v>2130</v>
      </c>
      <c r="C4869" s="1">
        <v>36871</v>
      </c>
      <c r="D4869" t="s">
        <v>2131</v>
      </c>
      <c r="E4869" t="str">
        <f t="shared" si="250"/>
        <v>서울특별시</v>
      </c>
      <c r="F4869" t="str">
        <f t="shared" si="248"/>
        <v xml:space="preserve">중구 </v>
      </c>
      <c r="G4869" t="str">
        <f t="shared" si="249"/>
        <v>필동1</v>
      </c>
      <c r="H4869" t="s">
        <v>2132</v>
      </c>
      <c r="I4869">
        <v>4554</v>
      </c>
    </row>
    <row r="4870" spans="1:9" x14ac:dyDescent="0.4">
      <c r="A4870">
        <v>3010000</v>
      </c>
      <c r="B4870" t="s">
        <v>1928</v>
      </c>
      <c r="C4870" s="1">
        <v>37419</v>
      </c>
      <c r="D4870" t="s">
        <v>1929</v>
      </c>
      <c r="E4870" t="str">
        <f t="shared" si="250"/>
        <v>서울특별시</v>
      </c>
      <c r="F4870" t="str">
        <f t="shared" si="248"/>
        <v xml:space="preserve">중구 </v>
      </c>
      <c r="G4870" t="str">
        <f t="shared" si="249"/>
        <v>필동1</v>
      </c>
    </row>
    <row r="4871" spans="1:9" x14ac:dyDescent="0.4">
      <c r="A4871">
        <v>3010000</v>
      </c>
      <c r="B4871" t="s">
        <v>1465</v>
      </c>
      <c r="C4871" s="1">
        <v>31493</v>
      </c>
      <c r="D4871" t="s">
        <v>1466</v>
      </c>
      <c r="E4871" t="str">
        <f t="shared" si="250"/>
        <v>서울특별시</v>
      </c>
      <c r="F4871" t="str">
        <f t="shared" si="248"/>
        <v xml:space="preserve">중구 </v>
      </c>
      <c r="G4871" t="str">
        <f t="shared" si="249"/>
        <v>필동2</v>
      </c>
      <c r="H4871" t="s">
        <v>1467</v>
      </c>
      <c r="I4871">
        <v>4557</v>
      </c>
    </row>
    <row r="4872" spans="1:9" x14ac:dyDescent="0.4">
      <c r="A4872">
        <v>3010000</v>
      </c>
      <c r="B4872" t="s">
        <v>2858</v>
      </c>
      <c r="C4872" s="1">
        <v>36249</v>
      </c>
      <c r="D4872" t="s">
        <v>2859</v>
      </c>
      <c r="E4872" t="str">
        <f t="shared" si="250"/>
        <v>서울특별시</v>
      </c>
      <c r="F4872" t="str">
        <f t="shared" si="248"/>
        <v xml:space="preserve">중구 </v>
      </c>
      <c r="G4872" t="str">
        <f t="shared" si="249"/>
        <v>필동2</v>
      </c>
      <c r="H4872" t="s">
        <v>2860</v>
      </c>
      <c r="I4872">
        <v>4624</v>
      </c>
    </row>
    <row r="4873" spans="1:9" x14ac:dyDescent="0.4">
      <c r="A4873">
        <v>3010000</v>
      </c>
      <c r="B4873" t="s">
        <v>1528</v>
      </c>
      <c r="C4873" s="1">
        <v>31286</v>
      </c>
      <c r="D4873" t="s">
        <v>1529</v>
      </c>
      <c r="E4873" t="str">
        <f t="shared" si="250"/>
        <v>서울특별시</v>
      </c>
      <c r="F4873" t="str">
        <f t="shared" si="248"/>
        <v xml:space="preserve">중구 </v>
      </c>
      <c r="G4873" t="str">
        <f t="shared" si="249"/>
        <v>황학동</v>
      </c>
    </row>
    <row r="4874" spans="1:9" x14ac:dyDescent="0.4">
      <c r="A4874">
        <v>3010000</v>
      </c>
      <c r="B4874" t="s">
        <v>1530</v>
      </c>
      <c r="C4874" s="1">
        <v>31286</v>
      </c>
      <c r="D4874" t="s">
        <v>1531</v>
      </c>
      <c r="E4874" t="str">
        <f t="shared" si="250"/>
        <v>서울특별시</v>
      </c>
      <c r="F4874" t="str">
        <f t="shared" si="248"/>
        <v xml:space="preserve">중구 </v>
      </c>
      <c r="G4874" t="str">
        <f t="shared" si="249"/>
        <v>황학동</v>
      </c>
      <c r="H4874" t="s">
        <v>1532</v>
      </c>
      <c r="I4874">
        <v>4574</v>
      </c>
    </row>
    <row r="4875" spans="1:9" x14ac:dyDescent="0.4">
      <c r="A4875">
        <v>3010000</v>
      </c>
      <c r="B4875" t="s">
        <v>1788</v>
      </c>
      <c r="C4875" s="1">
        <v>26099</v>
      </c>
      <c r="D4875" t="s">
        <v>1789</v>
      </c>
      <c r="E4875" t="str">
        <f t="shared" si="250"/>
        <v>서울특별시</v>
      </c>
      <c r="F4875" t="str">
        <f t="shared" si="248"/>
        <v xml:space="preserve">중구 </v>
      </c>
      <c r="G4875" t="str">
        <f t="shared" si="249"/>
        <v>황학동</v>
      </c>
    </row>
    <row r="4876" spans="1:9" x14ac:dyDescent="0.4">
      <c r="A4876">
        <v>3010000</v>
      </c>
      <c r="B4876" t="s">
        <v>2256</v>
      </c>
      <c r="C4876" s="1">
        <v>37020</v>
      </c>
      <c r="D4876" t="s">
        <v>2257</v>
      </c>
      <c r="E4876" t="str">
        <f t="shared" si="250"/>
        <v>서울특별시</v>
      </c>
      <c r="F4876" t="str">
        <f t="shared" si="248"/>
        <v xml:space="preserve">중구 </v>
      </c>
      <c r="G4876" t="str">
        <f t="shared" si="249"/>
        <v>황학동</v>
      </c>
      <c r="H4876" t="s">
        <v>2258</v>
      </c>
      <c r="I4876">
        <v>4575</v>
      </c>
    </row>
    <row r="4877" spans="1:9" x14ac:dyDescent="0.4">
      <c r="A4877">
        <v>3010000</v>
      </c>
      <c r="B4877" t="s">
        <v>1593</v>
      </c>
      <c r="C4877" s="1">
        <v>31279</v>
      </c>
      <c r="D4877" t="s">
        <v>1594</v>
      </c>
      <c r="E4877" t="str">
        <f t="shared" si="250"/>
        <v>서울특별시</v>
      </c>
      <c r="F4877" t="str">
        <f t="shared" si="248"/>
        <v xml:space="preserve">중구 </v>
      </c>
      <c r="G4877" t="str">
        <f t="shared" si="249"/>
        <v>황학동</v>
      </c>
    </row>
    <row r="4878" spans="1:9" x14ac:dyDescent="0.4">
      <c r="A4878">
        <v>3010000</v>
      </c>
      <c r="B4878" t="s">
        <v>1595</v>
      </c>
      <c r="C4878" s="1">
        <v>31279</v>
      </c>
      <c r="D4878" t="s">
        <v>1594</v>
      </c>
      <c r="E4878" t="str">
        <f t="shared" si="250"/>
        <v>서울특별시</v>
      </c>
      <c r="F4878" t="str">
        <f t="shared" si="248"/>
        <v xml:space="preserve">중구 </v>
      </c>
      <c r="G4878" t="str">
        <f t="shared" si="249"/>
        <v>황학동</v>
      </c>
    </row>
    <row r="4879" spans="1:9" x14ac:dyDescent="0.4">
      <c r="A4879">
        <v>3010000</v>
      </c>
      <c r="B4879" t="s">
        <v>1596</v>
      </c>
      <c r="C4879" s="1">
        <v>31279</v>
      </c>
      <c r="D4879" t="s">
        <v>1594</v>
      </c>
      <c r="E4879" t="str">
        <f t="shared" si="250"/>
        <v>서울특별시</v>
      </c>
      <c r="F4879" t="str">
        <f t="shared" si="248"/>
        <v xml:space="preserve">중구 </v>
      </c>
      <c r="G4879" t="str">
        <f t="shared" si="249"/>
        <v>황학동</v>
      </c>
    </row>
    <row r="4880" spans="1:9" x14ac:dyDescent="0.4">
      <c r="A4880">
        <v>3010000</v>
      </c>
      <c r="B4880" t="s">
        <v>2316</v>
      </c>
      <c r="C4880" s="1">
        <v>44021</v>
      </c>
      <c r="D4880" t="s">
        <v>2317</v>
      </c>
      <c r="E4880" t="str">
        <f t="shared" si="250"/>
        <v>서울특별시</v>
      </c>
      <c r="F4880" t="str">
        <f t="shared" si="248"/>
        <v xml:space="preserve">중구 </v>
      </c>
      <c r="G4880" t="str">
        <f t="shared" si="249"/>
        <v>황학동</v>
      </c>
      <c r="H4880" t="s">
        <v>2318</v>
      </c>
      <c r="I4880">
        <v>4576</v>
      </c>
    </row>
    <row r="4881" spans="1:9" x14ac:dyDescent="0.4">
      <c r="A4881">
        <v>3010000</v>
      </c>
      <c r="B4881" t="s">
        <v>1368</v>
      </c>
      <c r="C4881" s="1">
        <v>31279</v>
      </c>
      <c r="D4881" t="s">
        <v>1369</v>
      </c>
      <c r="E4881" t="str">
        <f t="shared" si="250"/>
        <v>서울특별시</v>
      </c>
      <c r="F4881" t="str">
        <f t="shared" si="248"/>
        <v xml:space="preserve">중구 </v>
      </c>
      <c r="G4881" t="str">
        <f t="shared" si="249"/>
        <v>황학동</v>
      </c>
    </row>
    <row r="4882" spans="1:9" x14ac:dyDescent="0.4">
      <c r="A4882">
        <v>3010000</v>
      </c>
      <c r="B4882" t="s">
        <v>1591</v>
      </c>
      <c r="C4882" s="1">
        <v>31279</v>
      </c>
      <c r="D4882" t="s">
        <v>1592</v>
      </c>
      <c r="E4882" t="str">
        <f t="shared" si="250"/>
        <v>서울특별시</v>
      </c>
      <c r="F4882" t="str">
        <f t="shared" si="248"/>
        <v xml:space="preserve">중구 </v>
      </c>
      <c r="G4882" t="str">
        <f t="shared" si="249"/>
        <v>황학동</v>
      </c>
    </row>
    <row r="4883" spans="1:9" x14ac:dyDescent="0.4">
      <c r="A4883">
        <v>3010000</v>
      </c>
      <c r="B4883" t="s">
        <v>2208</v>
      </c>
      <c r="C4883" s="1">
        <v>31279</v>
      </c>
      <c r="D4883" t="s">
        <v>2209</v>
      </c>
      <c r="E4883" t="str">
        <f t="shared" si="250"/>
        <v>서울특별시</v>
      </c>
      <c r="F4883" t="str">
        <f t="shared" si="248"/>
        <v xml:space="preserve">중구 </v>
      </c>
      <c r="G4883" t="str">
        <f t="shared" si="249"/>
        <v>황학동</v>
      </c>
    </row>
    <row r="4884" spans="1:9" x14ac:dyDescent="0.4">
      <c r="A4884">
        <v>3010000</v>
      </c>
      <c r="B4884" t="s">
        <v>2210</v>
      </c>
      <c r="C4884" s="1">
        <v>31279</v>
      </c>
      <c r="D4884" t="s">
        <v>2209</v>
      </c>
      <c r="E4884" t="str">
        <f t="shared" si="250"/>
        <v>서울특별시</v>
      </c>
      <c r="F4884" t="str">
        <f t="shared" si="248"/>
        <v xml:space="preserve">중구 </v>
      </c>
      <c r="G4884" t="str">
        <f t="shared" si="249"/>
        <v>황학동</v>
      </c>
    </row>
    <row r="4885" spans="1:9" x14ac:dyDescent="0.4">
      <c r="A4885">
        <v>3010000</v>
      </c>
      <c r="B4885" t="s">
        <v>2211</v>
      </c>
      <c r="C4885" s="1">
        <v>31279</v>
      </c>
      <c r="D4885" t="s">
        <v>2209</v>
      </c>
      <c r="E4885" t="str">
        <f t="shared" si="250"/>
        <v>서울특별시</v>
      </c>
      <c r="F4885" t="str">
        <f t="shared" si="248"/>
        <v xml:space="preserve">중구 </v>
      </c>
      <c r="G4885" t="str">
        <f t="shared" si="249"/>
        <v>황학동</v>
      </c>
    </row>
    <row r="4886" spans="1:9" x14ac:dyDescent="0.4">
      <c r="A4886">
        <v>3010000</v>
      </c>
      <c r="B4886" t="s">
        <v>2759</v>
      </c>
      <c r="C4886" s="1">
        <v>31279</v>
      </c>
      <c r="D4886" t="s">
        <v>2209</v>
      </c>
      <c r="E4886" t="str">
        <f t="shared" si="250"/>
        <v>서울특별시</v>
      </c>
      <c r="F4886" t="str">
        <f t="shared" si="248"/>
        <v xml:space="preserve">중구 </v>
      </c>
      <c r="G4886" t="str">
        <f t="shared" si="249"/>
        <v>황학동</v>
      </c>
      <c r="H4886" t="s">
        <v>2760</v>
      </c>
      <c r="I4886">
        <v>4576</v>
      </c>
    </row>
    <row r="4887" spans="1:9" x14ac:dyDescent="0.4">
      <c r="A4887">
        <v>3010000</v>
      </c>
      <c r="B4887" t="s">
        <v>2096</v>
      </c>
      <c r="C4887" s="1">
        <v>36149</v>
      </c>
      <c r="D4887" t="s">
        <v>2097</v>
      </c>
      <c r="E4887" t="str">
        <f t="shared" si="250"/>
        <v>서울특별시</v>
      </c>
      <c r="F4887" t="str">
        <f t="shared" si="248"/>
        <v xml:space="preserve">중구 </v>
      </c>
      <c r="G4887" t="str">
        <f t="shared" si="249"/>
        <v>황학동</v>
      </c>
    </row>
    <row r="4888" spans="1:9" x14ac:dyDescent="0.4">
      <c r="A4888">
        <v>3010000</v>
      </c>
      <c r="B4888" t="s">
        <v>2204</v>
      </c>
      <c r="C4888" s="1">
        <v>34623</v>
      </c>
      <c r="D4888" t="s">
        <v>2205</v>
      </c>
      <c r="E4888" t="str">
        <f t="shared" si="250"/>
        <v>서울특별시</v>
      </c>
      <c r="F4888" t="str">
        <f t="shared" si="248"/>
        <v xml:space="preserve">중구 </v>
      </c>
      <c r="G4888" t="str">
        <f t="shared" si="249"/>
        <v>황학동</v>
      </c>
    </row>
    <row r="4889" spans="1:9" x14ac:dyDescent="0.4">
      <c r="A4889">
        <v>3010000</v>
      </c>
      <c r="B4889" t="s">
        <v>1500</v>
      </c>
      <c r="C4889" s="1">
        <v>31268</v>
      </c>
      <c r="D4889" t="s">
        <v>1501</v>
      </c>
      <c r="E4889" t="str">
        <f t="shared" si="250"/>
        <v>서울특별시</v>
      </c>
      <c r="F4889" t="str">
        <f t="shared" si="248"/>
        <v xml:space="preserve">중구 </v>
      </c>
      <c r="G4889" t="str">
        <f t="shared" si="249"/>
        <v>황학동</v>
      </c>
    </row>
    <row r="4890" spans="1:9" x14ac:dyDescent="0.4">
      <c r="A4890">
        <v>3010000</v>
      </c>
      <c r="B4890" t="s">
        <v>2445</v>
      </c>
      <c r="C4890" s="1">
        <v>31272</v>
      </c>
      <c r="D4890" t="s">
        <v>2446</v>
      </c>
      <c r="E4890" t="str">
        <f t="shared" si="250"/>
        <v>서울특별시</v>
      </c>
      <c r="F4890" t="str">
        <f t="shared" si="248"/>
        <v xml:space="preserve">중구 </v>
      </c>
      <c r="G4890" t="str">
        <f t="shared" si="249"/>
        <v>황학동</v>
      </c>
    </row>
    <row r="4891" spans="1:9" x14ac:dyDescent="0.4">
      <c r="A4891">
        <v>3010000</v>
      </c>
      <c r="B4891" t="s">
        <v>2568</v>
      </c>
      <c r="C4891" s="1">
        <v>37469</v>
      </c>
      <c r="D4891" t="s">
        <v>2569</v>
      </c>
      <c r="E4891" t="str">
        <f t="shared" si="250"/>
        <v>서울특별시</v>
      </c>
      <c r="F4891" t="str">
        <f t="shared" si="248"/>
        <v xml:space="preserve">중구 </v>
      </c>
      <c r="G4891" t="str">
        <f t="shared" si="249"/>
        <v>황학동</v>
      </c>
      <c r="H4891" t="s">
        <v>2570</v>
      </c>
      <c r="I4891">
        <v>4576</v>
      </c>
    </row>
    <row r="4892" spans="1:9" x14ac:dyDescent="0.4">
      <c r="A4892">
        <v>3010000</v>
      </c>
      <c r="B4892" t="s">
        <v>1639</v>
      </c>
      <c r="C4892" s="1">
        <v>31099</v>
      </c>
      <c r="D4892" t="s">
        <v>1640</v>
      </c>
      <c r="E4892" t="str">
        <f t="shared" si="250"/>
        <v>서울특별시</v>
      </c>
      <c r="F4892" t="str">
        <f t="shared" si="248"/>
        <v xml:space="preserve">중구 </v>
      </c>
      <c r="G4892" t="str">
        <f t="shared" si="249"/>
        <v>황학동</v>
      </c>
    </row>
    <row r="4893" spans="1:9" x14ac:dyDescent="0.4">
      <c r="A4893">
        <v>3010000</v>
      </c>
      <c r="B4893" t="s">
        <v>2671</v>
      </c>
      <c r="C4893" s="1">
        <v>40029</v>
      </c>
      <c r="D4893" t="s">
        <v>2672</v>
      </c>
      <c r="E4893" t="str">
        <f t="shared" si="250"/>
        <v>서울특별시</v>
      </c>
      <c r="F4893" t="str">
        <f t="shared" si="248"/>
        <v xml:space="preserve">중구 </v>
      </c>
      <c r="G4893" t="str">
        <f t="shared" si="249"/>
        <v>황학동</v>
      </c>
      <c r="H4893" t="s">
        <v>2673</v>
      </c>
      <c r="I4893">
        <v>4576</v>
      </c>
    </row>
    <row r="4894" spans="1:9" x14ac:dyDescent="0.4">
      <c r="A4894">
        <v>3010000</v>
      </c>
      <c r="B4894" t="s">
        <v>2774</v>
      </c>
      <c r="C4894" s="1">
        <v>37246</v>
      </c>
      <c r="D4894" t="s">
        <v>2775</v>
      </c>
      <c r="E4894" t="str">
        <f t="shared" si="250"/>
        <v>서울특별시</v>
      </c>
      <c r="F4894" t="str">
        <f t="shared" si="248"/>
        <v xml:space="preserve">중구 </v>
      </c>
      <c r="G4894" t="str">
        <f t="shared" si="249"/>
        <v>황학동</v>
      </c>
      <c r="H4894" t="s">
        <v>2776</v>
      </c>
      <c r="I4894">
        <v>4576</v>
      </c>
    </row>
    <row r="4895" spans="1:9" x14ac:dyDescent="0.4">
      <c r="A4895">
        <v>3010000</v>
      </c>
      <c r="B4895" t="s">
        <v>1760</v>
      </c>
      <c r="C4895" s="1">
        <v>1682</v>
      </c>
      <c r="D4895" t="s">
        <v>1761</v>
      </c>
      <c r="E4895" t="str">
        <f t="shared" si="250"/>
        <v>서울특별시</v>
      </c>
      <c r="F4895" t="str">
        <f t="shared" si="248"/>
        <v xml:space="preserve">중구 </v>
      </c>
      <c r="G4895" t="str">
        <f t="shared" si="249"/>
        <v>황학동</v>
      </c>
    </row>
    <row r="4896" spans="1:9" x14ac:dyDescent="0.4">
      <c r="A4896">
        <v>3010000</v>
      </c>
      <c r="B4896" t="s">
        <v>2472</v>
      </c>
      <c r="C4896" s="1">
        <v>27697</v>
      </c>
      <c r="D4896" t="s">
        <v>2473</v>
      </c>
      <c r="E4896" t="str">
        <f t="shared" si="250"/>
        <v>서울특별시</v>
      </c>
      <c r="F4896" t="str">
        <f t="shared" si="248"/>
        <v xml:space="preserve">중구 </v>
      </c>
      <c r="G4896" t="str">
        <f t="shared" si="249"/>
        <v>황학동</v>
      </c>
      <c r="H4896" t="s">
        <v>2474</v>
      </c>
      <c r="I4896">
        <v>4576</v>
      </c>
    </row>
    <row r="4897" spans="1:9" x14ac:dyDescent="0.4">
      <c r="A4897">
        <v>3010000</v>
      </c>
      <c r="B4897" t="s">
        <v>2143</v>
      </c>
      <c r="C4897" s="1">
        <v>36594</v>
      </c>
      <c r="D4897" t="s">
        <v>2144</v>
      </c>
      <c r="E4897" t="str">
        <f t="shared" si="250"/>
        <v>서울특별시</v>
      </c>
      <c r="F4897" t="str">
        <f t="shared" si="248"/>
        <v xml:space="preserve">중구 </v>
      </c>
      <c r="G4897" t="str">
        <f t="shared" si="249"/>
        <v>황학동</v>
      </c>
    </row>
    <row r="4898" spans="1:9" x14ac:dyDescent="0.4">
      <c r="A4898">
        <v>3010000</v>
      </c>
      <c r="B4898" t="s">
        <v>2431</v>
      </c>
      <c r="C4898" s="1">
        <v>40155</v>
      </c>
      <c r="D4898" t="s">
        <v>2432</v>
      </c>
      <c r="E4898" t="str">
        <f t="shared" si="250"/>
        <v>서울특별시</v>
      </c>
      <c r="F4898" t="str">
        <f t="shared" si="248"/>
        <v xml:space="preserve">중구 </v>
      </c>
      <c r="G4898" t="str">
        <f t="shared" si="249"/>
        <v>황학동</v>
      </c>
      <c r="H4898" t="s">
        <v>2433</v>
      </c>
      <c r="I4898">
        <v>4576</v>
      </c>
    </row>
    <row r="4899" spans="1:9" x14ac:dyDescent="0.4">
      <c r="A4899">
        <v>3010000</v>
      </c>
      <c r="B4899" t="s">
        <v>2540</v>
      </c>
      <c r="C4899" s="1">
        <v>38377</v>
      </c>
      <c r="D4899" t="s">
        <v>2541</v>
      </c>
      <c r="E4899" t="str">
        <f t="shared" si="250"/>
        <v>서울특별시</v>
      </c>
      <c r="F4899" t="str">
        <f t="shared" si="248"/>
        <v xml:space="preserve">중구 </v>
      </c>
      <c r="G4899" t="str">
        <f t="shared" si="249"/>
        <v>황학동</v>
      </c>
      <c r="H4899" t="s">
        <v>2542</v>
      </c>
      <c r="I4899">
        <v>4576</v>
      </c>
    </row>
    <row r="4900" spans="1:9" x14ac:dyDescent="0.4">
      <c r="A4900">
        <v>3010000</v>
      </c>
      <c r="B4900" t="s">
        <v>2478</v>
      </c>
      <c r="C4900" s="1">
        <v>31728</v>
      </c>
      <c r="D4900" t="s">
        <v>2479</v>
      </c>
      <c r="E4900" t="str">
        <f t="shared" si="250"/>
        <v>서울특별시</v>
      </c>
      <c r="F4900" t="str">
        <f t="shared" si="248"/>
        <v xml:space="preserve">중구 </v>
      </c>
      <c r="G4900" t="str">
        <f t="shared" si="249"/>
        <v>황학동</v>
      </c>
      <c r="H4900" t="s">
        <v>2480</v>
      </c>
      <c r="I4900">
        <v>4576</v>
      </c>
    </row>
    <row r="4901" spans="1:9" x14ac:dyDescent="0.4">
      <c r="A4901">
        <v>3010000</v>
      </c>
      <c r="B4901" t="s">
        <v>2549</v>
      </c>
      <c r="C4901" s="1">
        <v>37201</v>
      </c>
      <c r="D4901" t="s">
        <v>2550</v>
      </c>
      <c r="E4901" t="str">
        <f t="shared" si="250"/>
        <v>서울특별시</v>
      </c>
      <c r="F4901" t="str">
        <f t="shared" si="248"/>
        <v xml:space="preserve">중구 </v>
      </c>
      <c r="G4901" t="str">
        <f t="shared" si="249"/>
        <v>황학동</v>
      </c>
      <c r="H4901" t="s">
        <v>2551</v>
      </c>
      <c r="I4901">
        <v>4576</v>
      </c>
    </row>
    <row r="4902" spans="1:9" x14ac:dyDescent="0.4">
      <c r="A4902">
        <v>3010000</v>
      </c>
      <c r="B4902" t="s">
        <v>2642</v>
      </c>
      <c r="C4902" s="1">
        <v>40015</v>
      </c>
      <c r="D4902" t="s">
        <v>2550</v>
      </c>
      <c r="E4902" t="str">
        <f t="shared" si="250"/>
        <v>서울특별시</v>
      </c>
      <c r="F4902" t="str">
        <f t="shared" si="248"/>
        <v xml:space="preserve">중구 </v>
      </c>
      <c r="G4902" t="str">
        <f t="shared" si="249"/>
        <v>황학동</v>
      </c>
      <c r="H4902" t="s">
        <v>2643</v>
      </c>
      <c r="I4902">
        <v>4576</v>
      </c>
    </row>
    <row r="4903" spans="1:9" x14ac:dyDescent="0.4">
      <c r="A4903">
        <v>3010000</v>
      </c>
      <c r="B4903" t="s">
        <v>2790</v>
      </c>
      <c r="C4903" s="1">
        <v>42723</v>
      </c>
      <c r="D4903" t="s">
        <v>2791</v>
      </c>
      <c r="E4903" t="str">
        <f t="shared" si="250"/>
        <v>서울특별시</v>
      </c>
      <c r="F4903" t="str">
        <f t="shared" si="248"/>
        <v xml:space="preserve">중구 </v>
      </c>
      <c r="G4903" t="str">
        <f t="shared" si="249"/>
        <v>황학동</v>
      </c>
      <c r="H4903" t="s">
        <v>2792</v>
      </c>
      <c r="I4903">
        <v>4576</v>
      </c>
    </row>
    <row r="4904" spans="1:9" x14ac:dyDescent="0.4">
      <c r="A4904">
        <v>3010000</v>
      </c>
      <c r="B4904" t="s">
        <v>2007</v>
      </c>
      <c r="C4904" s="1">
        <v>27895</v>
      </c>
      <c r="D4904" t="s">
        <v>2008</v>
      </c>
      <c r="E4904" t="str">
        <f t="shared" si="250"/>
        <v>서울특별시</v>
      </c>
      <c r="F4904" t="str">
        <f t="shared" si="248"/>
        <v xml:space="preserve">중구 </v>
      </c>
      <c r="G4904" t="str">
        <f t="shared" si="249"/>
        <v>황학동</v>
      </c>
    </row>
    <row r="4905" spans="1:9" x14ac:dyDescent="0.4">
      <c r="A4905">
        <v>3010000</v>
      </c>
      <c r="B4905" t="s">
        <v>2688</v>
      </c>
      <c r="C4905" s="1">
        <v>37194</v>
      </c>
      <c r="D4905" t="s">
        <v>2689</v>
      </c>
      <c r="E4905" t="str">
        <f t="shared" si="250"/>
        <v>서울특별시</v>
      </c>
      <c r="F4905" t="str">
        <f t="shared" si="248"/>
        <v xml:space="preserve">중구 </v>
      </c>
      <c r="G4905" t="str">
        <f t="shared" si="249"/>
        <v>황학동</v>
      </c>
      <c r="H4905" t="s">
        <v>2690</v>
      </c>
      <c r="I4905">
        <v>4575</v>
      </c>
    </row>
    <row r="4906" spans="1:9" x14ac:dyDescent="0.4">
      <c r="A4906">
        <v>3010000</v>
      </c>
      <c r="B4906" t="s">
        <v>2009</v>
      </c>
      <c r="C4906" s="1">
        <v>27921</v>
      </c>
      <c r="D4906" t="s">
        <v>2010</v>
      </c>
      <c r="E4906" t="str">
        <f t="shared" si="250"/>
        <v>서울특별시</v>
      </c>
      <c r="F4906" t="str">
        <f t="shared" si="248"/>
        <v xml:space="preserve">중구 </v>
      </c>
      <c r="G4906" t="str">
        <f t="shared" si="249"/>
        <v>황학동</v>
      </c>
    </row>
    <row r="4907" spans="1:9" x14ac:dyDescent="0.4">
      <c r="A4907">
        <v>3010000</v>
      </c>
      <c r="B4907" t="s">
        <v>1561</v>
      </c>
      <c r="C4907" s="1">
        <v>27697</v>
      </c>
      <c r="D4907" t="s">
        <v>1562</v>
      </c>
      <c r="E4907" t="str">
        <f t="shared" si="250"/>
        <v>서울특별시</v>
      </c>
      <c r="F4907" t="str">
        <f t="shared" si="248"/>
        <v xml:space="preserve">중구 </v>
      </c>
      <c r="G4907" t="str">
        <f t="shared" si="249"/>
        <v>황학동</v>
      </c>
    </row>
    <row r="4908" spans="1:9" x14ac:dyDescent="0.4">
      <c r="A4908">
        <v>3010000</v>
      </c>
      <c r="B4908" t="s">
        <v>1577</v>
      </c>
      <c r="C4908" s="1">
        <v>37155</v>
      </c>
      <c r="D4908" t="s">
        <v>1578</v>
      </c>
      <c r="E4908" t="str">
        <f t="shared" si="250"/>
        <v>서울특별시</v>
      </c>
      <c r="F4908" t="str">
        <f t="shared" si="248"/>
        <v xml:space="preserve">중구 </v>
      </c>
      <c r="G4908" t="str">
        <f t="shared" si="249"/>
        <v>회현동</v>
      </c>
    </row>
    <row r="4909" spans="1:9" x14ac:dyDescent="0.4">
      <c r="A4909">
        <v>3010000</v>
      </c>
      <c r="B4909" t="s">
        <v>1976</v>
      </c>
      <c r="C4909" s="1">
        <v>39568</v>
      </c>
      <c r="D4909" t="s">
        <v>1977</v>
      </c>
      <c r="E4909" t="str">
        <f t="shared" si="250"/>
        <v>서울특별시</v>
      </c>
      <c r="F4909" t="str">
        <f t="shared" si="248"/>
        <v xml:space="preserve">중구 </v>
      </c>
      <c r="G4909" t="str">
        <f t="shared" si="249"/>
        <v>회현동</v>
      </c>
    </row>
    <row r="4910" spans="1:9" x14ac:dyDescent="0.4">
      <c r="A4910">
        <v>3010000</v>
      </c>
      <c r="B4910" t="s">
        <v>1813</v>
      </c>
      <c r="C4910" s="1">
        <v>27853</v>
      </c>
      <c r="D4910" t="s">
        <v>1814</v>
      </c>
      <c r="E4910" t="str">
        <f t="shared" si="250"/>
        <v>서울특별시</v>
      </c>
      <c r="F4910" t="str">
        <f t="shared" si="248"/>
        <v xml:space="preserve">중구 </v>
      </c>
      <c r="G4910" t="str">
        <f t="shared" si="249"/>
        <v>회현동</v>
      </c>
    </row>
    <row r="4911" spans="1:9" x14ac:dyDescent="0.4">
      <c r="A4911">
        <v>3010000</v>
      </c>
      <c r="B4911" t="s">
        <v>2354</v>
      </c>
      <c r="C4911" s="1">
        <v>37561</v>
      </c>
      <c r="D4911" t="s">
        <v>2355</v>
      </c>
      <c r="E4911" t="str">
        <f t="shared" si="250"/>
        <v>서울특별시</v>
      </c>
      <c r="F4911" t="str">
        <f t="shared" si="248"/>
        <v xml:space="preserve">중구 </v>
      </c>
      <c r="G4911" t="str">
        <f t="shared" si="249"/>
        <v>회현동</v>
      </c>
      <c r="H4911" t="s">
        <v>2356</v>
      </c>
      <c r="I4911">
        <v>4529</v>
      </c>
    </row>
    <row r="4912" spans="1:9" x14ac:dyDescent="0.4">
      <c r="A4912">
        <v>3010000</v>
      </c>
      <c r="B4912" t="s">
        <v>1567</v>
      </c>
      <c r="C4912" s="1">
        <v>27776</v>
      </c>
      <c r="D4912" t="s">
        <v>1568</v>
      </c>
      <c r="E4912" t="str">
        <f t="shared" si="250"/>
        <v>서울특별시</v>
      </c>
      <c r="F4912" t="str">
        <f t="shared" ref="F4912:F4929" si="251">MID(D4912,7,3)</f>
        <v xml:space="preserve">중구 </v>
      </c>
      <c r="G4912" t="str">
        <f t="shared" si="249"/>
        <v>회현동</v>
      </c>
    </row>
    <row r="4913" spans="1:9" x14ac:dyDescent="0.4">
      <c r="A4913">
        <v>3010000</v>
      </c>
      <c r="B4913" t="s">
        <v>1921</v>
      </c>
      <c r="C4913" s="1">
        <v>28552</v>
      </c>
      <c r="D4913" t="s">
        <v>1922</v>
      </c>
      <c r="E4913" t="str">
        <f t="shared" si="250"/>
        <v>서울특별시</v>
      </c>
      <c r="F4913" t="str">
        <f t="shared" si="251"/>
        <v xml:space="preserve">중구 </v>
      </c>
      <c r="G4913" t="str">
        <f t="shared" si="249"/>
        <v>회현동</v>
      </c>
    </row>
    <row r="4914" spans="1:9" x14ac:dyDescent="0.4">
      <c r="A4914">
        <v>3010000</v>
      </c>
      <c r="B4914" t="s">
        <v>2847</v>
      </c>
      <c r="C4914" s="1">
        <v>39030</v>
      </c>
      <c r="D4914" t="s">
        <v>2848</v>
      </c>
      <c r="E4914" t="str">
        <f t="shared" si="250"/>
        <v>서울특별시</v>
      </c>
      <c r="F4914" t="str">
        <f t="shared" si="251"/>
        <v xml:space="preserve">중구 </v>
      </c>
      <c r="G4914" t="str">
        <f t="shared" si="249"/>
        <v>회현동</v>
      </c>
      <c r="H4914" t="s">
        <v>2849</v>
      </c>
      <c r="I4914">
        <v>4634</v>
      </c>
    </row>
    <row r="4915" spans="1:9" x14ac:dyDescent="0.4">
      <c r="A4915">
        <v>3010000</v>
      </c>
      <c r="B4915" t="s">
        <v>2056</v>
      </c>
      <c r="C4915" s="1">
        <v>37320</v>
      </c>
      <c r="D4915" t="s">
        <v>2057</v>
      </c>
      <c r="E4915" t="str">
        <f t="shared" si="250"/>
        <v>서울특별시</v>
      </c>
      <c r="F4915" t="str">
        <f t="shared" si="251"/>
        <v xml:space="preserve">중구 </v>
      </c>
      <c r="G4915" t="str">
        <f t="shared" si="249"/>
        <v>회현동</v>
      </c>
    </row>
    <row r="4916" spans="1:9" x14ac:dyDescent="0.4">
      <c r="A4916">
        <v>3010000</v>
      </c>
      <c r="B4916" t="s">
        <v>1696</v>
      </c>
      <c r="C4916" s="1">
        <v>31285</v>
      </c>
      <c r="D4916" t="s">
        <v>1697</v>
      </c>
      <c r="E4916" t="str">
        <f t="shared" si="250"/>
        <v>서울특별시</v>
      </c>
      <c r="F4916" t="str">
        <f t="shared" si="251"/>
        <v xml:space="preserve">중구 </v>
      </c>
      <c r="G4916" t="str">
        <f t="shared" si="249"/>
        <v>회현동</v>
      </c>
      <c r="H4916" t="s">
        <v>1698</v>
      </c>
      <c r="I4916">
        <v>4631</v>
      </c>
    </row>
    <row r="4917" spans="1:9" x14ac:dyDescent="0.4">
      <c r="A4917">
        <v>3010000</v>
      </c>
      <c r="B4917" t="s">
        <v>1479</v>
      </c>
      <c r="C4917" s="1">
        <v>40296</v>
      </c>
      <c r="D4917" t="s">
        <v>1480</v>
      </c>
      <c r="E4917" t="str">
        <f t="shared" si="250"/>
        <v>서울특별시</v>
      </c>
      <c r="F4917" t="str">
        <f t="shared" si="251"/>
        <v xml:space="preserve">중구 </v>
      </c>
      <c r="G4917" t="str">
        <f t="shared" si="249"/>
        <v>회현동</v>
      </c>
      <c r="H4917" t="s">
        <v>1481</v>
      </c>
      <c r="I4917">
        <v>4631</v>
      </c>
    </row>
    <row r="4918" spans="1:9" x14ac:dyDescent="0.4">
      <c r="A4918">
        <v>3010000</v>
      </c>
      <c r="B4918" t="s">
        <v>2375</v>
      </c>
      <c r="C4918" s="1">
        <v>38160</v>
      </c>
      <c r="D4918" t="s">
        <v>2376</v>
      </c>
      <c r="E4918" t="str">
        <f t="shared" si="250"/>
        <v>서울특별시</v>
      </c>
      <c r="F4918" t="str">
        <f t="shared" si="251"/>
        <v xml:space="preserve">중구 </v>
      </c>
      <c r="G4918" t="str">
        <f t="shared" si="249"/>
        <v>흥인동</v>
      </c>
      <c r="H4918" t="s">
        <v>2377</v>
      </c>
      <c r="I4918">
        <v>4569</v>
      </c>
    </row>
    <row r="4919" spans="1:9" x14ac:dyDescent="0.4">
      <c r="A4919">
        <v>3010000</v>
      </c>
      <c r="B4919" t="s">
        <v>1641</v>
      </c>
      <c r="C4919" s="1">
        <v>31121</v>
      </c>
      <c r="D4919" t="s">
        <v>1642</v>
      </c>
      <c r="E4919" t="str">
        <f t="shared" si="250"/>
        <v>서울특별시</v>
      </c>
      <c r="F4919" t="str">
        <f t="shared" si="251"/>
        <v xml:space="preserve">중구 </v>
      </c>
      <c r="G4919" t="str">
        <f t="shared" si="249"/>
        <v>흥인동</v>
      </c>
    </row>
    <row r="4920" spans="1:9" x14ac:dyDescent="0.4">
      <c r="A4920">
        <v>3010000</v>
      </c>
      <c r="B4920" t="s">
        <v>2668</v>
      </c>
      <c r="C4920" s="1">
        <v>26900</v>
      </c>
      <c r="D4920" t="s">
        <v>2669</v>
      </c>
      <c r="E4920" t="str">
        <f t="shared" si="250"/>
        <v>서울특별시</v>
      </c>
      <c r="F4920" t="str">
        <f t="shared" si="251"/>
        <v xml:space="preserve">중구 </v>
      </c>
      <c r="G4920" t="str">
        <f t="shared" si="249"/>
        <v>흥인동</v>
      </c>
      <c r="H4920" t="s">
        <v>2670</v>
      </c>
      <c r="I4920">
        <v>4570</v>
      </c>
    </row>
    <row r="4921" spans="1:9" x14ac:dyDescent="0.4">
      <c r="A4921">
        <v>3010000</v>
      </c>
      <c r="B4921" t="s">
        <v>1470</v>
      </c>
      <c r="C4921" s="1">
        <v>31545</v>
      </c>
      <c r="D4921" t="s">
        <v>1471</v>
      </c>
      <c r="E4921" t="str">
        <f t="shared" si="250"/>
        <v>서울특별시</v>
      </c>
      <c r="F4921" t="str">
        <f t="shared" si="251"/>
        <v xml:space="preserve">중구 </v>
      </c>
      <c r="G4921" t="str">
        <f t="shared" si="249"/>
        <v>흥인동</v>
      </c>
    </row>
    <row r="4922" spans="1:9" x14ac:dyDescent="0.4">
      <c r="A4922">
        <v>3010000</v>
      </c>
      <c r="B4922" t="s">
        <v>1589</v>
      </c>
      <c r="C4922" s="1">
        <v>28501</v>
      </c>
      <c r="D4922" t="s">
        <v>1590</v>
      </c>
      <c r="E4922" t="str">
        <f t="shared" si="250"/>
        <v>서울특별시</v>
      </c>
      <c r="F4922" t="str">
        <f t="shared" si="251"/>
        <v xml:space="preserve">중구 </v>
      </c>
      <c r="G4922" t="str">
        <f t="shared" si="249"/>
        <v>흥인동</v>
      </c>
    </row>
    <row r="4923" spans="1:9" x14ac:dyDescent="0.4">
      <c r="A4923">
        <v>3010000</v>
      </c>
      <c r="B4923" t="s">
        <v>2005</v>
      </c>
      <c r="C4923" s="1">
        <v>27888</v>
      </c>
      <c r="D4923" t="s">
        <v>2006</v>
      </c>
      <c r="E4923" t="str">
        <f t="shared" si="250"/>
        <v>서울특별시</v>
      </c>
      <c r="F4923" t="str">
        <f t="shared" si="251"/>
        <v xml:space="preserve">중구 </v>
      </c>
      <c r="G4923" t="str">
        <f t="shared" si="249"/>
        <v>흥인동</v>
      </c>
    </row>
    <row r="4924" spans="1:9" x14ac:dyDescent="0.4">
      <c r="A4924">
        <v>3010000</v>
      </c>
      <c r="B4924" t="s">
        <v>2233</v>
      </c>
      <c r="C4924" s="1">
        <v>30812</v>
      </c>
      <c r="D4924" t="s">
        <v>2234</v>
      </c>
      <c r="E4924" t="str">
        <f t="shared" si="250"/>
        <v>서울특별시</v>
      </c>
      <c r="F4924" t="str">
        <f t="shared" si="251"/>
        <v xml:space="preserve">중구 </v>
      </c>
      <c r="G4924" t="str">
        <f t="shared" ref="G4924:G4929" si="252">MID(SUBSTITUTE(D4924," ",""),8,3)</f>
        <v>흥인동</v>
      </c>
    </row>
    <row r="4925" spans="1:9" x14ac:dyDescent="0.4">
      <c r="A4925">
        <v>3010000</v>
      </c>
      <c r="B4925" t="s">
        <v>1454</v>
      </c>
      <c r="C4925" s="1">
        <v>31139</v>
      </c>
      <c r="D4925" t="s">
        <v>1455</v>
      </c>
      <c r="E4925" t="str">
        <f t="shared" si="250"/>
        <v>서울특별시</v>
      </c>
      <c r="F4925" t="str">
        <f t="shared" si="251"/>
        <v xml:space="preserve">중구 </v>
      </c>
      <c r="G4925" t="str">
        <f t="shared" si="252"/>
        <v>흥인동</v>
      </c>
    </row>
    <row r="4926" spans="1:9" x14ac:dyDescent="0.4">
      <c r="A4926">
        <v>3010000</v>
      </c>
      <c r="B4926" t="s">
        <v>1456</v>
      </c>
      <c r="C4926" s="1">
        <v>31139</v>
      </c>
      <c r="D4926" t="s">
        <v>1455</v>
      </c>
      <c r="E4926" t="str">
        <f t="shared" si="250"/>
        <v>서울특별시</v>
      </c>
      <c r="F4926" t="str">
        <f t="shared" si="251"/>
        <v xml:space="preserve">중구 </v>
      </c>
      <c r="G4926" t="str">
        <f t="shared" si="252"/>
        <v>흥인동</v>
      </c>
    </row>
    <row r="4927" spans="1:9" x14ac:dyDescent="0.4">
      <c r="A4927">
        <v>3010000</v>
      </c>
      <c r="B4927" t="s">
        <v>2235</v>
      </c>
      <c r="C4927" s="1">
        <v>30849</v>
      </c>
      <c r="D4927" t="s">
        <v>2236</v>
      </c>
      <c r="E4927" t="str">
        <f t="shared" si="250"/>
        <v>서울특별시</v>
      </c>
      <c r="F4927" t="str">
        <f t="shared" si="251"/>
        <v xml:space="preserve">중구 </v>
      </c>
      <c r="G4927" t="str">
        <f t="shared" si="252"/>
        <v>흥인동</v>
      </c>
    </row>
    <row r="4928" spans="1:9" x14ac:dyDescent="0.4">
      <c r="A4928">
        <v>3010000</v>
      </c>
      <c r="B4928" t="s">
        <v>2229</v>
      </c>
      <c r="C4928" s="1">
        <v>30798</v>
      </c>
      <c r="D4928" t="s">
        <v>2230</v>
      </c>
      <c r="E4928" t="str">
        <f t="shared" si="250"/>
        <v>서울특별시</v>
      </c>
      <c r="F4928" t="str">
        <f t="shared" si="251"/>
        <v xml:space="preserve">중구 </v>
      </c>
      <c r="G4928" t="str">
        <f t="shared" si="252"/>
        <v>흥인동</v>
      </c>
    </row>
    <row r="4929" spans="1:9" x14ac:dyDescent="0.4">
      <c r="A4929">
        <v>3010000</v>
      </c>
      <c r="B4929" t="s">
        <v>1689</v>
      </c>
      <c r="C4929" s="1">
        <v>31283</v>
      </c>
      <c r="D4929" t="s">
        <v>1690</v>
      </c>
      <c r="E4929" t="str">
        <f t="shared" si="250"/>
        <v>서울특별시</v>
      </c>
      <c r="F4929" t="str">
        <f t="shared" si="251"/>
        <v xml:space="preserve">중구 </v>
      </c>
      <c r="G4929" t="str">
        <f t="shared" si="252"/>
        <v>흥인동</v>
      </c>
    </row>
    <row r="4930" spans="1:9" x14ac:dyDescent="0.4">
      <c r="A4930">
        <v>3060000</v>
      </c>
      <c r="B4930" t="s">
        <v>3768</v>
      </c>
      <c r="C4930" s="1">
        <v>36858</v>
      </c>
      <c r="D4930" t="s">
        <v>3769</v>
      </c>
      <c r="E4930" t="str">
        <f t="shared" si="250"/>
        <v>서울특별시</v>
      </c>
      <c r="F4930" t="str">
        <f t="shared" ref="F4930" si="253">MID(D4930,7,4)</f>
        <v xml:space="preserve">중랑구 </v>
      </c>
      <c r="G4930" t="str">
        <f t="shared" ref="G4930" si="254">MID(SUBSTITUTE(D4930," ",""),9,3)</f>
        <v>망우동</v>
      </c>
      <c r="H4930" t="s">
        <v>3770</v>
      </c>
      <c r="I4930">
        <v>2163</v>
      </c>
    </row>
    <row r="4931" spans="1:9" x14ac:dyDescent="0.4">
      <c r="A4931">
        <v>3060000</v>
      </c>
      <c r="B4931" t="s">
        <v>3817</v>
      </c>
      <c r="C4931" s="1">
        <v>39106</v>
      </c>
      <c r="D4931" t="s">
        <v>3818</v>
      </c>
      <c r="E4931" t="str">
        <f t="shared" ref="E4931:E4976" si="255">LEFT(D4931,5)</f>
        <v>서울특별시</v>
      </c>
      <c r="F4931" t="str">
        <f t="shared" ref="F4931:F4976" si="256">MID(D4931,7,4)</f>
        <v xml:space="preserve">중랑구 </v>
      </c>
      <c r="G4931" t="str">
        <f t="shared" ref="G4931:G4976" si="257">MID(SUBSTITUTE(D4931," ",""),9,3)</f>
        <v>망우동</v>
      </c>
    </row>
    <row r="4932" spans="1:9" x14ac:dyDescent="0.4">
      <c r="A4932">
        <v>3060000</v>
      </c>
      <c r="B4932" t="s">
        <v>3828</v>
      </c>
      <c r="C4932" s="1">
        <v>30818</v>
      </c>
      <c r="D4932" t="s">
        <v>3829</v>
      </c>
      <c r="E4932" t="str">
        <f t="shared" si="255"/>
        <v>서울특별시</v>
      </c>
      <c r="F4932" t="str">
        <f t="shared" si="256"/>
        <v xml:space="preserve">중랑구 </v>
      </c>
      <c r="G4932" t="str">
        <f t="shared" si="257"/>
        <v>망우동</v>
      </c>
    </row>
    <row r="4933" spans="1:9" x14ac:dyDescent="0.4">
      <c r="A4933">
        <v>3060000</v>
      </c>
      <c r="B4933" t="s">
        <v>3830</v>
      </c>
      <c r="C4933" s="1">
        <v>31303</v>
      </c>
      <c r="D4933" t="s">
        <v>3831</v>
      </c>
      <c r="E4933" t="str">
        <f t="shared" si="255"/>
        <v>서울특별시</v>
      </c>
      <c r="F4933" t="str">
        <f t="shared" si="256"/>
        <v xml:space="preserve">중랑구 </v>
      </c>
      <c r="G4933" t="str">
        <f t="shared" si="257"/>
        <v>망우동</v>
      </c>
    </row>
    <row r="4934" spans="1:9" x14ac:dyDescent="0.4">
      <c r="A4934">
        <v>3060000</v>
      </c>
      <c r="B4934" t="s">
        <v>3788</v>
      </c>
      <c r="C4934" s="1">
        <v>36451</v>
      </c>
      <c r="D4934" t="s">
        <v>3789</v>
      </c>
      <c r="E4934" t="str">
        <f t="shared" si="255"/>
        <v>서울특별시</v>
      </c>
      <c r="F4934" t="str">
        <f t="shared" si="256"/>
        <v xml:space="preserve">중랑구 </v>
      </c>
      <c r="G4934" t="str">
        <f t="shared" si="257"/>
        <v>망우동</v>
      </c>
      <c r="H4934" t="s">
        <v>3790</v>
      </c>
      <c r="I4934">
        <v>2163</v>
      </c>
    </row>
    <row r="4935" spans="1:9" x14ac:dyDescent="0.4">
      <c r="A4935">
        <v>3060000</v>
      </c>
      <c r="B4935" t="s">
        <v>3803</v>
      </c>
      <c r="C4935" s="1">
        <v>36237</v>
      </c>
      <c r="D4935" t="s">
        <v>3804</v>
      </c>
      <c r="E4935" t="str">
        <f t="shared" si="255"/>
        <v>서울특별시</v>
      </c>
      <c r="F4935" t="str">
        <f t="shared" si="256"/>
        <v xml:space="preserve">중랑구 </v>
      </c>
      <c r="G4935" t="str">
        <f t="shared" si="257"/>
        <v>망우동</v>
      </c>
    </row>
    <row r="4936" spans="1:9" x14ac:dyDescent="0.4">
      <c r="A4936">
        <v>3060000</v>
      </c>
      <c r="B4936" t="s">
        <v>3844</v>
      </c>
      <c r="C4936" s="1">
        <v>37235</v>
      </c>
      <c r="D4936" t="s">
        <v>3845</v>
      </c>
      <c r="E4936" t="str">
        <f t="shared" si="255"/>
        <v>서울특별시</v>
      </c>
      <c r="F4936" t="str">
        <f t="shared" si="256"/>
        <v xml:space="preserve">중랑구 </v>
      </c>
      <c r="G4936" t="str">
        <f t="shared" si="257"/>
        <v>면목동</v>
      </c>
      <c r="H4936" t="s">
        <v>3846</v>
      </c>
      <c r="I4936">
        <v>2228</v>
      </c>
    </row>
    <row r="4937" spans="1:9" x14ac:dyDescent="0.4">
      <c r="A4937">
        <v>3060000</v>
      </c>
      <c r="B4937" t="s">
        <v>3838</v>
      </c>
      <c r="C4937" s="1">
        <v>37137</v>
      </c>
      <c r="D4937" t="s">
        <v>3839</v>
      </c>
      <c r="E4937" t="str">
        <f t="shared" si="255"/>
        <v>서울특별시</v>
      </c>
      <c r="F4937" t="str">
        <f t="shared" si="256"/>
        <v xml:space="preserve">중랑구 </v>
      </c>
      <c r="G4937" t="str">
        <f t="shared" si="257"/>
        <v>면목동</v>
      </c>
      <c r="H4937" t="s">
        <v>3840</v>
      </c>
      <c r="I4937">
        <v>2228</v>
      </c>
    </row>
    <row r="4938" spans="1:9" x14ac:dyDescent="0.4">
      <c r="A4938">
        <v>3060000</v>
      </c>
      <c r="B4938" t="s">
        <v>3832</v>
      </c>
      <c r="C4938" s="1">
        <v>37267</v>
      </c>
      <c r="D4938" t="s">
        <v>3833</v>
      </c>
      <c r="E4938" t="str">
        <f t="shared" si="255"/>
        <v>서울특별시</v>
      </c>
      <c r="F4938" t="str">
        <f t="shared" si="256"/>
        <v xml:space="preserve">중랑구 </v>
      </c>
      <c r="G4938" t="str">
        <f t="shared" si="257"/>
        <v>면목동</v>
      </c>
      <c r="H4938" t="s">
        <v>3834</v>
      </c>
      <c r="I4938">
        <v>2228</v>
      </c>
    </row>
    <row r="4939" spans="1:9" x14ac:dyDescent="0.4">
      <c r="A4939">
        <v>3060000</v>
      </c>
      <c r="B4939" t="s">
        <v>3835</v>
      </c>
      <c r="C4939" s="1">
        <v>37014</v>
      </c>
      <c r="D4939" t="s">
        <v>3836</v>
      </c>
      <c r="E4939" t="str">
        <f t="shared" si="255"/>
        <v>서울특별시</v>
      </c>
      <c r="F4939" t="str">
        <f t="shared" si="256"/>
        <v xml:space="preserve">중랑구 </v>
      </c>
      <c r="G4939" t="str">
        <f t="shared" si="257"/>
        <v>면목동</v>
      </c>
      <c r="H4939" t="s">
        <v>3837</v>
      </c>
      <c r="I4939">
        <v>2249</v>
      </c>
    </row>
    <row r="4940" spans="1:9" x14ac:dyDescent="0.4">
      <c r="A4940">
        <v>3060000</v>
      </c>
      <c r="B4940" t="s">
        <v>3823</v>
      </c>
      <c r="C4940" s="1">
        <v>29213</v>
      </c>
      <c r="D4940" t="s">
        <v>3824</v>
      </c>
      <c r="E4940" t="str">
        <f t="shared" si="255"/>
        <v>서울특별시</v>
      </c>
      <c r="F4940" t="str">
        <f t="shared" si="256"/>
        <v xml:space="preserve">중랑구 </v>
      </c>
      <c r="G4940" t="str">
        <f t="shared" si="257"/>
        <v>면목동</v>
      </c>
      <c r="H4940" t="s">
        <v>3825</v>
      </c>
      <c r="I4940">
        <v>2199</v>
      </c>
    </row>
    <row r="4941" spans="1:9" x14ac:dyDescent="0.4">
      <c r="A4941">
        <v>3060000</v>
      </c>
      <c r="B4941" t="s">
        <v>3809</v>
      </c>
      <c r="C4941" s="1">
        <v>36806</v>
      </c>
      <c r="D4941" t="s">
        <v>3810</v>
      </c>
      <c r="E4941" t="str">
        <f t="shared" si="255"/>
        <v>서울특별시</v>
      </c>
      <c r="F4941" t="str">
        <f t="shared" si="256"/>
        <v xml:space="preserve">중랑구 </v>
      </c>
      <c r="G4941" t="str">
        <f>MID(SUBSTITUTE(D4941," ",""),9,2)</f>
        <v>묵동</v>
      </c>
    </row>
    <row r="4942" spans="1:9" x14ac:dyDescent="0.4">
      <c r="A4942">
        <v>3060000</v>
      </c>
      <c r="B4942" t="s">
        <v>3785</v>
      </c>
      <c r="C4942" s="1">
        <v>36451</v>
      </c>
      <c r="D4942" t="s">
        <v>3786</v>
      </c>
      <c r="E4942" t="str">
        <f t="shared" si="255"/>
        <v>서울특별시</v>
      </c>
      <c r="F4942" t="str">
        <f t="shared" si="256"/>
        <v xml:space="preserve">중랑구 </v>
      </c>
      <c r="G4942" t="str">
        <f t="shared" ref="G4942:G4950" si="258">MID(SUBSTITUTE(D4942," ",""),9,2)</f>
        <v>묵동</v>
      </c>
      <c r="H4942" t="s">
        <v>3787</v>
      </c>
      <c r="I4942">
        <v>2033</v>
      </c>
    </row>
    <row r="4943" spans="1:9" x14ac:dyDescent="0.4">
      <c r="A4943">
        <v>3060000</v>
      </c>
      <c r="B4943" t="s">
        <v>3815</v>
      </c>
      <c r="C4943" s="1">
        <v>38716</v>
      </c>
      <c r="D4943" t="s">
        <v>3816</v>
      </c>
      <c r="E4943" t="str">
        <f t="shared" si="255"/>
        <v>서울특별시</v>
      </c>
      <c r="F4943" t="str">
        <f t="shared" si="256"/>
        <v xml:space="preserve">중랑구 </v>
      </c>
      <c r="G4943" t="str">
        <f t="shared" si="258"/>
        <v>묵동</v>
      </c>
    </row>
    <row r="4944" spans="1:9" x14ac:dyDescent="0.4">
      <c r="A4944">
        <v>3060000</v>
      </c>
      <c r="B4944" t="s">
        <v>3821</v>
      </c>
      <c r="C4944" s="1">
        <v>29119</v>
      </c>
      <c r="D4944" t="s">
        <v>3822</v>
      </c>
      <c r="E4944" t="str">
        <f t="shared" si="255"/>
        <v>서울특별시</v>
      </c>
      <c r="F4944" t="str">
        <f t="shared" si="256"/>
        <v xml:space="preserve">중랑구 </v>
      </c>
      <c r="G4944" t="str">
        <f t="shared" si="258"/>
        <v>묵동</v>
      </c>
    </row>
    <row r="4945" spans="1:9" x14ac:dyDescent="0.4">
      <c r="A4945">
        <v>3060000</v>
      </c>
      <c r="B4945" t="s">
        <v>3774</v>
      </c>
      <c r="C4945" s="1">
        <v>28523</v>
      </c>
      <c r="D4945" t="s">
        <v>3775</v>
      </c>
      <c r="E4945" t="str">
        <f t="shared" si="255"/>
        <v>서울특별시</v>
      </c>
      <c r="F4945" t="str">
        <f t="shared" si="256"/>
        <v xml:space="preserve">중랑구 </v>
      </c>
      <c r="G4945" t="str">
        <f t="shared" si="258"/>
        <v>묵동</v>
      </c>
      <c r="H4945" t="s">
        <v>3776</v>
      </c>
      <c r="I4945">
        <v>2033</v>
      </c>
    </row>
    <row r="4946" spans="1:9" x14ac:dyDescent="0.4">
      <c r="A4946">
        <v>3060000</v>
      </c>
      <c r="B4946" t="s">
        <v>3876</v>
      </c>
      <c r="C4946" s="1">
        <v>29480</v>
      </c>
      <c r="D4946" t="s">
        <v>3877</v>
      </c>
      <c r="E4946" t="str">
        <f t="shared" si="255"/>
        <v>서울특별시</v>
      </c>
      <c r="F4946" t="str">
        <f t="shared" si="256"/>
        <v xml:space="preserve">중랑구 </v>
      </c>
      <c r="G4946" t="str">
        <f t="shared" si="258"/>
        <v>묵동</v>
      </c>
      <c r="H4946" t="s">
        <v>3878</v>
      </c>
      <c r="I4946">
        <v>2046</v>
      </c>
    </row>
    <row r="4947" spans="1:9" x14ac:dyDescent="0.4">
      <c r="A4947">
        <v>3060000</v>
      </c>
      <c r="B4947" t="s">
        <v>3793</v>
      </c>
      <c r="C4947" s="1">
        <v>27389</v>
      </c>
      <c r="D4947" t="s">
        <v>3794</v>
      </c>
      <c r="E4947" t="str">
        <f t="shared" si="255"/>
        <v>서울특별시</v>
      </c>
      <c r="F4947" t="str">
        <f t="shared" si="256"/>
        <v xml:space="preserve">중랑구 </v>
      </c>
      <c r="G4947" t="str">
        <f t="shared" si="258"/>
        <v>묵동</v>
      </c>
      <c r="H4947" t="s">
        <v>3795</v>
      </c>
      <c r="I4947">
        <v>2005</v>
      </c>
    </row>
    <row r="4948" spans="1:9" x14ac:dyDescent="0.4">
      <c r="A4948">
        <v>3060000</v>
      </c>
      <c r="B4948" t="s">
        <v>3777</v>
      </c>
      <c r="C4948" s="1">
        <v>28644</v>
      </c>
      <c r="D4948" t="s">
        <v>3778</v>
      </c>
      <c r="E4948" t="str">
        <f t="shared" si="255"/>
        <v>서울특별시</v>
      </c>
      <c r="F4948" t="str">
        <f t="shared" si="256"/>
        <v xml:space="preserve">중랑구 </v>
      </c>
      <c r="G4948" t="str">
        <f t="shared" si="258"/>
        <v>묵동</v>
      </c>
    </row>
    <row r="4949" spans="1:9" x14ac:dyDescent="0.4">
      <c r="A4949">
        <v>3060000</v>
      </c>
      <c r="B4949" t="s">
        <v>3862</v>
      </c>
      <c r="C4949" s="1">
        <v>28875</v>
      </c>
      <c r="D4949" t="s">
        <v>3863</v>
      </c>
      <c r="E4949" t="str">
        <f t="shared" si="255"/>
        <v>서울특별시</v>
      </c>
      <c r="F4949" t="str">
        <f t="shared" si="256"/>
        <v xml:space="preserve">중랑구 </v>
      </c>
      <c r="G4949" t="str">
        <f t="shared" si="258"/>
        <v>묵동</v>
      </c>
      <c r="H4949" t="s">
        <v>3864</v>
      </c>
      <c r="I4949">
        <v>2005</v>
      </c>
    </row>
    <row r="4950" spans="1:9" x14ac:dyDescent="0.4">
      <c r="A4950">
        <v>3060000</v>
      </c>
      <c r="B4950" t="s">
        <v>3873</v>
      </c>
      <c r="C4950" s="1">
        <v>29354</v>
      </c>
      <c r="D4950" t="s">
        <v>3874</v>
      </c>
      <c r="E4950" t="str">
        <f t="shared" si="255"/>
        <v>서울특별시</v>
      </c>
      <c r="F4950" t="str">
        <f t="shared" si="256"/>
        <v xml:space="preserve">중랑구 </v>
      </c>
      <c r="G4950" t="str">
        <f t="shared" si="258"/>
        <v>묵동</v>
      </c>
      <c r="H4950" t="s">
        <v>3875</v>
      </c>
      <c r="I4950">
        <v>2010</v>
      </c>
    </row>
    <row r="4951" spans="1:9" x14ac:dyDescent="0.4">
      <c r="A4951">
        <v>3060000</v>
      </c>
      <c r="B4951" t="s">
        <v>3847</v>
      </c>
      <c r="C4951" s="1">
        <v>28447</v>
      </c>
      <c r="D4951" t="s">
        <v>3848</v>
      </c>
      <c r="E4951" t="str">
        <f t="shared" si="255"/>
        <v>서울특별시</v>
      </c>
      <c r="F4951" t="str">
        <f t="shared" si="256"/>
        <v xml:space="preserve">중랑구 </v>
      </c>
      <c r="G4951" t="str">
        <f t="shared" si="257"/>
        <v>상봉동</v>
      </c>
      <c r="H4951" t="s">
        <v>3849</v>
      </c>
      <c r="I4951">
        <v>2153</v>
      </c>
    </row>
    <row r="4952" spans="1:9" x14ac:dyDescent="0.4">
      <c r="A4952">
        <v>3060000</v>
      </c>
      <c r="B4952" t="s">
        <v>3798</v>
      </c>
      <c r="C4952" s="1">
        <v>28154</v>
      </c>
      <c r="D4952" t="s">
        <v>3799</v>
      </c>
      <c r="E4952" t="str">
        <f t="shared" si="255"/>
        <v>서울특별시</v>
      </c>
      <c r="F4952" t="str">
        <f t="shared" si="256"/>
        <v xml:space="preserve">중랑구 </v>
      </c>
      <c r="G4952" t="str">
        <f t="shared" si="257"/>
        <v>상봉동</v>
      </c>
    </row>
    <row r="4953" spans="1:9" x14ac:dyDescent="0.4">
      <c r="A4953">
        <v>3060000</v>
      </c>
      <c r="B4953" t="s">
        <v>3796</v>
      </c>
      <c r="C4953" s="1">
        <v>27620</v>
      </c>
      <c r="D4953" t="s">
        <v>3797</v>
      </c>
      <c r="E4953" t="str">
        <f t="shared" si="255"/>
        <v>서울특별시</v>
      </c>
      <c r="F4953" t="str">
        <f t="shared" si="256"/>
        <v xml:space="preserve">중랑구 </v>
      </c>
      <c r="G4953" t="str">
        <f t="shared" si="257"/>
        <v>상봉동</v>
      </c>
    </row>
    <row r="4954" spans="1:9" x14ac:dyDescent="0.4">
      <c r="A4954">
        <v>3060000</v>
      </c>
      <c r="B4954" t="s">
        <v>3791</v>
      </c>
      <c r="C4954" s="1">
        <v>26932</v>
      </c>
      <c r="D4954" t="s">
        <v>3792</v>
      </c>
      <c r="E4954" t="str">
        <f t="shared" si="255"/>
        <v>서울특별시</v>
      </c>
      <c r="F4954" t="str">
        <f t="shared" si="256"/>
        <v xml:space="preserve">중랑구 </v>
      </c>
      <c r="G4954" t="str">
        <f t="shared" si="257"/>
        <v>상봉동</v>
      </c>
    </row>
    <row r="4955" spans="1:9" x14ac:dyDescent="0.4">
      <c r="A4955">
        <v>3060000</v>
      </c>
      <c r="B4955" t="s">
        <v>3771</v>
      </c>
      <c r="C4955" s="1">
        <v>37007</v>
      </c>
      <c r="D4955" t="s">
        <v>3772</v>
      </c>
      <c r="E4955" t="str">
        <f t="shared" si="255"/>
        <v>서울특별시</v>
      </c>
      <c r="F4955" t="str">
        <f t="shared" si="256"/>
        <v xml:space="preserve">중랑구 </v>
      </c>
      <c r="G4955" t="str">
        <f t="shared" si="257"/>
        <v>상봉동</v>
      </c>
      <c r="H4955" t="s">
        <v>3773</v>
      </c>
      <c r="I4955">
        <v>2151</v>
      </c>
    </row>
    <row r="4956" spans="1:9" x14ac:dyDescent="0.4">
      <c r="A4956">
        <v>3060000</v>
      </c>
      <c r="B4956" t="s">
        <v>3805</v>
      </c>
      <c r="C4956" s="1">
        <v>36514</v>
      </c>
      <c r="D4956" t="s">
        <v>3772</v>
      </c>
      <c r="E4956" t="str">
        <f t="shared" si="255"/>
        <v>서울특별시</v>
      </c>
      <c r="F4956" t="str">
        <f t="shared" si="256"/>
        <v xml:space="preserve">중랑구 </v>
      </c>
      <c r="G4956" t="str">
        <f t="shared" si="257"/>
        <v>상봉동</v>
      </c>
    </row>
    <row r="4957" spans="1:9" x14ac:dyDescent="0.4">
      <c r="A4957">
        <v>3060000</v>
      </c>
      <c r="B4957" t="s">
        <v>3806</v>
      </c>
      <c r="C4957" s="1">
        <v>36741</v>
      </c>
      <c r="D4957" t="s">
        <v>3772</v>
      </c>
      <c r="E4957" t="str">
        <f t="shared" si="255"/>
        <v>서울특별시</v>
      </c>
      <c r="F4957" t="str">
        <f t="shared" si="256"/>
        <v xml:space="preserve">중랑구 </v>
      </c>
      <c r="G4957" t="str">
        <f t="shared" si="257"/>
        <v>상봉동</v>
      </c>
    </row>
    <row r="4958" spans="1:9" x14ac:dyDescent="0.4">
      <c r="A4958">
        <v>3060000</v>
      </c>
      <c r="B4958" t="s">
        <v>3879</v>
      </c>
      <c r="C4958" s="1">
        <v>37006</v>
      </c>
      <c r="D4958" t="s">
        <v>3880</v>
      </c>
      <c r="E4958" t="str">
        <f t="shared" si="255"/>
        <v>서울특별시</v>
      </c>
      <c r="F4958" t="str">
        <f t="shared" si="256"/>
        <v xml:space="preserve">중랑구 </v>
      </c>
      <c r="G4958" t="str">
        <f t="shared" si="257"/>
        <v>상봉동</v>
      </c>
      <c r="H4958" t="s">
        <v>3881</v>
      </c>
      <c r="I4958">
        <v>2149</v>
      </c>
    </row>
    <row r="4959" spans="1:9" x14ac:dyDescent="0.4">
      <c r="A4959">
        <v>3060000</v>
      </c>
      <c r="B4959" t="s">
        <v>3841</v>
      </c>
      <c r="C4959" s="1">
        <v>37174</v>
      </c>
      <c r="D4959" t="s">
        <v>3842</v>
      </c>
      <c r="E4959" t="str">
        <f t="shared" si="255"/>
        <v>서울특별시</v>
      </c>
      <c r="F4959" t="str">
        <f t="shared" si="256"/>
        <v xml:space="preserve">중랑구 </v>
      </c>
      <c r="G4959" t="str">
        <f t="shared" si="257"/>
        <v>상봉동</v>
      </c>
      <c r="H4959" t="s">
        <v>3843</v>
      </c>
      <c r="I4959">
        <v>2149</v>
      </c>
    </row>
    <row r="4960" spans="1:9" x14ac:dyDescent="0.4">
      <c r="A4960">
        <v>3060000</v>
      </c>
      <c r="B4960" t="s">
        <v>3868</v>
      </c>
      <c r="C4960" s="1">
        <v>39246</v>
      </c>
      <c r="D4960" t="s">
        <v>3869</v>
      </c>
      <c r="E4960" t="str">
        <f t="shared" si="255"/>
        <v>서울특별시</v>
      </c>
      <c r="F4960" t="str">
        <f t="shared" si="256"/>
        <v xml:space="preserve">중랑구 </v>
      </c>
      <c r="G4960" t="str">
        <f t="shared" si="257"/>
        <v>상봉동</v>
      </c>
      <c r="H4960" t="s">
        <v>3870</v>
      </c>
      <c r="I4960">
        <v>2149</v>
      </c>
    </row>
    <row r="4961" spans="1:9" x14ac:dyDescent="0.4">
      <c r="A4961">
        <v>3060000</v>
      </c>
      <c r="B4961" t="s">
        <v>3859</v>
      </c>
      <c r="C4961" s="1">
        <v>36644</v>
      </c>
      <c r="D4961" t="s">
        <v>3860</v>
      </c>
      <c r="E4961" t="str">
        <f t="shared" si="255"/>
        <v>서울특별시</v>
      </c>
      <c r="F4961" t="str">
        <f t="shared" si="256"/>
        <v xml:space="preserve">중랑구 </v>
      </c>
      <c r="G4961" t="str">
        <f t="shared" si="257"/>
        <v>상봉동</v>
      </c>
      <c r="H4961" t="s">
        <v>3861</v>
      </c>
      <c r="I4961">
        <v>2149</v>
      </c>
    </row>
    <row r="4962" spans="1:9" x14ac:dyDescent="0.4">
      <c r="A4962">
        <v>3060000</v>
      </c>
      <c r="B4962" t="s">
        <v>3857</v>
      </c>
      <c r="C4962" s="1">
        <v>36510</v>
      </c>
      <c r="D4962" t="s">
        <v>3858</v>
      </c>
      <c r="E4962" t="str">
        <f t="shared" si="255"/>
        <v>서울특별시</v>
      </c>
      <c r="F4962" t="str">
        <f t="shared" si="256"/>
        <v xml:space="preserve">중랑구 </v>
      </c>
      <c r="G4962" t="str">
        <f t="shared" si="257"/>
        <v>상봉동</v>
      </c>
      <c r="H4962" t="s">
        <v>3784</v>
      </c>
      <c r="I4962">
        <v>2149</v>
      </c>
    </row>
    <row r="4963" spans="1:9" x14ac:dyDescent="0.4">
      <c r="A4963">
        <v>3060000</v>
      </c>
      <c r="B4963" t="s">
        <v>3871</v>
      </c>
      <c r="C4963" s="1">
        <v>39765</v>
      </c>
      <c r="D4963" t="s">
        <v>3858</v>
      </c>
      <c r="E4963" t="str">
        <f t="shared" si="255"/>
        <v>서울특별시</v>
      </c>
      <c r="F4963" t="str">
        <f t="shared" si="256"/>
        <v xml:space="preserve">중랑구 </v>
      </c>
      <c r="G4963" t="str">
        <f t="shared" si="257"/>
        <v>상봉동</v>
      </c>
      <c r="H4963" t="s">
        <v>3872</v>
      </c>
      <c r="I4963">
        <v>2149</v>
      </c>
    </row>
    <row r="4964" spans="1:9" x14ac:dyDescent="0.4">
      <c r="A4964">
        <v>3060000</v>
      </c>
      <c r="B4964" t="s">
        <v>3782</v>
      </c>
      <c r="C4964" s="1">
        <v>42122</v>
      </c>
      <c r="D4964" t="s">
        <v>3783</v>
      </c>
      <c r="E4964" t="str">
        <f t="shared" si="255"/>
        <v>서울특별시</v>
      </c>
      <c r="F4964" t="str">
        <f t="shared" si="256"/>
        <v xml:space="preserve">중랑구 </v>
      </c>
      <c r="G4964" t="str">
        <f t="shared" si="257"/>
        <v>상봉동</v>
      </c>
      <c r="H4964" t="s">
        <v>3784</v>
      </c>
      <c r="I4964">
        <v>2149</v>
      </c>
    </row>
    <row r="4965" spans="1:9" x14ac:dyDescent="0.4">
      <c r="A4965">
        <v>3060000</v>
      </c>
      <c r="B4965" t="s">
        <v>3819</v>
      </c>
      <c r="C4965" s="1">
        <v>40875</v>
      </c>
      <c r="D4965" t="s">
        <v>3783</v>
      </c>
      <c r="E4965" t="str">
        <f t="shared" si="255"/>
        <v>서울특별시</v>
      </c>
      <c r="F4965" t="str">
        <f t="shared" si="256"/>
        <v xml:space="preserve">중랑구 </v>
      </c>
      <c r="G4965" t="str">
        <f t="shared" si="257"/>
        <v>상봉동</v>
      </c>
      <c r="H4965" t="s">
        <v>3820</v>
      </c>
      <c r="I4965">
        <v>2149</v>
      </c>
    </row>
    <row r="4966" spans="1:9" x14ac:dyDescent="0.4">
      <c r="A4966">
        <v>3060000</v>
      </c>
      <c r="B4966" t="s">
        <v>3779</v>
      </c>
      <c r="C4966" s="1">
        <v>40879</v>
      </c>
      <c r="D4966" t="s">
        <v>3780</v>
      </c>
      <c r="E4966" t="str">
        <f t="shared" si="255"/>
        <v>서울특별시</v>
      </c>
      <c r="F4966" t="str">
        <f t="shared" si="256"/>
        <v xml:space="preserve">중랑구 </v>
      </c>
      <c r="G4966" t="str">
        <f t="shared" si="257"/>
        <v>상봉동</v>
      </c>
      <c r="H4966" t="s">
        <v>3781</v>
      </c>
      <c r="I4966">
        <v>2149</v>
      </c>
    </row>
    <row r="4967" spans="1:9" x14ac:dyDescent="0.4">
      <c r="A4967">
        <v>3060000</v>
      </c>
      <c r="B4967" t="s">
        <v>3811</v>
      </c>
      <c r="C4967" s="1">
        <v>36822</v>
      </c>
      <c r="D4967" t="s">
        <v>3780</v>
      </c>
      <c r="E4967" t="str">
        <f t="shared" si="255"/>
        <v>서울특별시</v>
      </c>
      <c r="F4967" t="str">
        <f t="shared" si="256"/>
        <v xml:space="preserve">중랑구 </v>
      </c>
      <c r="G4967" t="str">
        <f t="shared" si="257"/>
        <v>상봉동</v>
      </c>
    </row>
    <row r="4968" spans="1:9" x14ac:dyDescent="0.4">
      <c r="A4968">
        <v>3060000</v>
      </c>
      <c r="B4968" t="s">
        <v>258</v>
      </c>
      <c r="C4968" s="1">
        <v>45972</v>
      </c>
      <c r="D4968" t="s">
        <v>259</v>
      </c>
      <c r="E4968" t="str">
        <f t="shared" si="255"/>
        <v>서울특별시</v>
      </c>
      <c r="F4968" t="str">
        <f t="shared" si="256"/>
        <v xml:space="preserve">중랑구 </v>
      </c>
      <c r="G4968" t="str">
        <f t="shared" si="257"/>
        <v>상봉동</v>
      </c>
      <c r="H4968" t="s">
        <v>260</v>
      </c>
      <c r="I4968">
        <v>2149</v>
      </c>
    </row>
    <row r="4969" spans="1:9" x14ac:dyDescent="0.4">
      <c r="A4969">
        <v>3060000</v>
      </c>
      <c r="B4969" t="s">
        <v>3812</v>
      </c>
      <c r="C4969" s="1">
        <v>37845</v>
      </c>
      <c r="D4969" t="s">
        <v>3813</v>
      </c>
      <c r="E4969" t="str">
        <f t="shared" si="255"/>
        <v>서울특별시</v>
      </c>
      <c r="F4969" t="str">
        <f t="shared" si="256"/>
        <v xml:space="preserve">중랑구 </v>
      </c>
      <c r="G4969" t="str">
        <f t="shared" si="257"/>
        <v>상봉동</v>
      </c>
      <c r="H4969" t="s">
        <v>3814</v>
      </c>
      <c r="I4969">
        <v>2149</v>
      </c>
    </row>
    <row r="4970" spans="1:9" x14ac:dyDescent="0.4">
      <c r="A4970">
        <v>3060000</v>
      </c>
      <c r="B4970" t="s">
        <v>3865</v>
      </c>
      <c r="C4970" s="1">
        <v>36687</v>
      </c>
      <c r="D4970" t="s">
        <v>3866</v>
      </c>
      <c r="E4970" t="str">
        <f t="shared" si="255"/>
        <v>서울특별시</v>
      </c>
      <c r="F4970" t="str">
        <f t="shared" si="256"/>
        <v xml:space="preserve">중랑구 </v>
      </c>
      <c r="G4970" t="str">
        <f t="shared" si="257"/>
        <v>상봉동</v>
      </c>
      <c r="H4970" t="s">
        <v>3867</v>
      </c>
      <c r="I4970">
        <v>2149</v>
      </c>
    </row>
    <row r="4971" spans="1:9" x14ac:dyDescent="0.4">
      <c r="A4971">
        <v>3060000</v>
      </c>
      <c r="B4971" t="s">
        <v>3800</v>
      </c>
      <c r="C4971" s="1">
        <v>32820</v>
      </c>
      <c r="D4971" t="s">
        <v>3801</v>
      </c>
      <c r="E4971" t="str">
        <f t="shared" si="255"/>
        <v>서울특별시</v>
      </c>
      <c r="F4971" t="str">
        <f t="shared" si="256"/>
        <v xml:space="preserve">중랑구 </v>
      </c>
      <c r="G4971" t="str">
        <f t="shared" si="257"/>
        <v>상봉동</v>
      </c>
      <c r="H4971" t="s">
        <v>3802</v>
      </c>
      <c r="I4971">
        <v>2149</v>
      </c>
    </row>
    <row r="4972" spans="1:9" x14ac:dyDescent="0.4">
      <c r="A4972">
        <v>3060000</v>
      </c>
      <c r="B4972" t="s">
        <v>3850</v>
      </c>
      <c r="C4972" s="1">
        <v>36406</v>
      </c>
      <c r="D4972" t="s">
        <v>3851</v>
      </c>
      <c r="E4972" t="str">
        <f t="shared" si="255"/>
        <v>서울특별시</v>
      </c>
      <c r="F4972" t="str">
        <f t="shared" si="256"/>
        <v xml:space="preserve">중랑구 </v>
      </c>
      <c r="G4972" t="str">
        <f t="shared" si="257"/>
        <v>상봉동</v>
      </c>
      <c r="H4972" t="s">
        <v>3852</v>
      </c>
      <c r="I4972">
        <v>2149</v>
      </c>
    </row>
    <row r="4973" spans="1:9" x14ac:dyDescent="0.4">
      <c r="A4973">
        <v>3060000</v>
      </c>
      <c r="B4973" t="s">
        <v>3856</v>
      </c>
      <c r="C4973" s="1">
        <v>32232</v>
      </c>
      <c r="D4973" t="s">
        <v>3851</v>
      </c>
      <c r="E4973" t="str">
        <f t="shared" si="255"/>
        <v>서울특별시</v>
      </c>
      <c r="F4973" t="str">
        <f t="shared" si="256"/>
        <v xml:space="preserve">중랑구 </v>
      </c>
      <c r="G4973" t="str">
        <f t="shared" si="257"/>
        <v>상봉동</v>
      </c>
      <c r="H4973" t="s">
        <v>3852</v>
      </c>
      <c r="I4973">
        <v>2149</v>
      </c>
    </row>
    <row r="4974" spans="1:9" x14ac:dyDescent="0.4">
      <c r="A4974">
        <v>3060000</v>
      </c>
      <c r="B4974" t="s">
        <v>3826</v>
      </c>
      <c r="C4974" s="1">
        <v>30363</v>
      </c>
      <c r="D4974" t="s">
        <v>3827</v>
      </c>
      <c r="E4974" t="str">
        <f t="shared" si="255"/>
        <v>서울특별시</v>
      </c>
      <c r="F4974" t="str">
        <f t="shared" si="256"/>
        <v xml:space="preserve">중랑구 </v>
      </c>
      <c r="G4974" t="str">
        <f t="shared" si="257"/>
        <v>상봉동</v>
      </c>
    </row>
    <row r="4975" spans="1:9" x14ac:dyDescent="0.4">
      <c r="A4975">
        <v>3060000</v>
      </c>
      <c r="B4975" t="s">
        <v>3853</v>
      </c>
      <c r="C4975" s="1">
        <v>37350</v>
      </c>
      <c r="D4975" t="s">
        <v>3854</v>
      </c>
      <c r="E4975" t="str">
        <f t="shared" si="255"/>
        <v>서울특별시</v>
      </c>
      <c r="F4975" t="str">
        <f t="shared" si="256"/>
        <v xml:space="preserve">중랑구 </v>
      </c>
      <c r="G4975" t="str">
        <f t="shared" si="257"/>
        <v>상봉동</v>
      </c>
      <c r="H4975" t="s">
        <v>3855</v>
      </c>
      <c r="I4975">
        <v>2149</v>
      </c>
    </row>
    <row r="4976" spans="1:9" x14ac:dyDescent="0.4">
      <c r="A4976">
        <v>3060000</v>
      </c>
      <c r="B4976" t="s">
        <v>3807</v>
      </c>
      <c r="C4976" s="1">
        <v>36774</v>
      </c>
      <c r="D4976" t="s">
        <v>3808</v>
      </c>
      <c r="E4976" t="str">
        <f t="shared" si="255"/>
        <v>서울특별시</v>
      </c>
      <c r="F4976" t="str">
        <f t="shared" si="256"/>
        <v xml:space="preserve">중랑구 </v>
      </c>
      <c r="G4976" t="str">
        <f t="shared" si="257"/>
        <v>상봉동</v>
      </c>
    </row>
  </sheetData>
  <autoFilter ref="A1:I4976" xr:uid="{508DF76C-EB86-4F61-8DD8-006E618A5527}">
    <sortState xmlns:xlrd2="http://schemas.microsoft.com/office/spreadsheetml/2017/richdata2" ref="A2:I4976">
      <sortCondition ref="D1:D4976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서울시 유흥주점영업 인허가 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수정 김</cp:lastModifiedBy>
  <dcterms:created xsi:type="dcterms:W3CDTF">2025-12-12T02:54:48Z</dcterms:created>
  <dcterms:modified xsi:type="dcterms:W3CDTF">2025-12-12T05:36:31Z</dcterms:modified>
</cp:coreProperties>
</file>